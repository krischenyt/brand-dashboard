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658" documentId="14_{7E3F11F7-5506-4157-A2D9-4D026D27B5AF}" xr6:coauthVersionLast="47" xr6:coauthVersionMax="47" xr10:uidLastSave="{0BA712FC-86B1-4AA2-97CB-B6B3B3432F7F}"/>
  <bookViews>
    <workbookView xWindow="-120" yWindow="-120" windowWidth="29040" windowHeight="15720" firstSheet="6" activeTab="3" xr2:uid="{00000000-000D-0000-FFFF-FFFF00000000}"/>
  </bookViews>
  <sheets>
    <sheet name="Micro Difference" sheetId="1" r:id="rId1"/>
    <sheet name="NB Difference" sheetId="2" r:id="rId2"/>
    <sheet name="DS Difference" sheetId="3" r:id="rId3"/>
    <sheet name="ACOS &amp; TCOS" sheetId="7" r:id="rId4"/>
    <sheet name="All Products" sheetId="4" state="hidden" r:id="rId5"/>
    <sheet name="CVR" sheetId="9" r:id="rId6"/>
    <sheet name="Sales &amp; Budget OOB" sheetId="5" r:id="rId7"/>
  </sheets>
  <definedNames>
    <definedName name="_xlnm._FilterDatabase" localSheetId="5" hidden="1">CVR!$AG$1:$AG$488</definedName>
    <definedName name="_xlnm._FilterDatabase" localSheetId="6" hidden="1">'Sales &amp; Budget OOB'!$A$1:$N$640</definedName>
    <definedName name="_xlnm._FilterDatabase" localSheetId="2" hidden="1">'DS Difference'!$A$2:$AE$2</definedName>
    <definedName name="_xlnm._FilterDatabase" localSheetId="1" hidden="1">'NB Difference'!$A$2:$AE$2</definedName>
    <definedName name="_xlnm._FilterDatabase" localSheetId="0" hidden="1">'Micro Difference'!$A$2:$AD$2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58" i="1" l="1"/>
  <c r="Y22" i="1"/>
  <c r="AJ38" i="7"/>
  <c r="AJ40" i="7"/>
  <c r="AJ17" i="7"/>
  <c r="AJ10" i="7"/>
  <c r="AJ3" i="7"/>
  <c r="E211" i="5"/>
  <c r="Y18" i="1"/>
  <c r="Y274" i="1"/>
  <c r="N374" i="1"/>
  <c r="F374" i="1"/>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3" i="2"/>
  <c r="AB131" i="3"/>
  <c r="O131" i="3"/>
  <c r="N131" i="3"/>
  <c r="J131" i="3"/>
  <c r="F131" i="3"/>
  <c r="C131" i="3"/>
  <c r="AA155" i="2"/>
  <c r="Q155" i="2"/>
  <c r="N155" i="2"/>
  <c r="M155" i="2"/>
  <c r="J155" i="2"/>
  <c r="F155" i="2"/>
  <c r="C155" i="2"/>
  <c r="W374" i="1"/>
  <c r="Q374" i="1"/>
  <c r="M374" i="1"/>
  <c r="C374" i="1"/>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62" i="5"/>
  <c r="I148" i="5"/>
  <c r="I149" i="5"/>
  <c r="I150" i="5"/>
  <c r="I151" i="5"/>
  <c r="I152" i="5"/>
  <c r="I153" i="5"/>
  <c r="I154" i="5"/>
  <c r="I155" i="5"/>
  <c r="I156" i="5"/>
  <c r="I157" i="5"/>
  <c r="I158" i="5"/>
  <c r="I159" i="5"/>
  <c r="I160" i="5"/>
  <c r="I161"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K558" i="5" s="1"/>
  <c r="I559" i="5"/>
  <c r="J559" i="5" s="1"/>
  <c r="I560" i="5"/>
  <c r="K560" i="5" s="1"/>
  <c r="I561" i="5"/>
  <c r="K561" i="5" s="1"/>
  <c r="I562" i="5"/>
  <c r="J562" i="5" s="1"/>
  <c r="I563" i="5"/>
  <c r="J563" i="5" s="1"/>
  <c r="I564" i="5"/>
  <c r="I565" i="5"/>
  <c r="J565" i="5" s="1"/>
  <c r="I566" i="5"/>
  <c r="K566" i="5" s="1"/>
  <c r="I567" i="5"/>
  <c r="J567" i="5" s="1"/>
  <c r="I568" i="5"/>
  <c r="K568" i="5" s="1"/>
  <c r="I569" i="5"/>
  <c r="J569" i="5" s="1"/>
  <c r="I570" i="5"/>
  <c r="J570" i="5" s="1"/>
  <c r="I571" i="5"/>
  <c r="J571" i="5" s="1"/>
  <c r="I572" i="5"/>
  <c r="I573" i="5"/>
  <c r="J573" i="5" s="1"/>
  <c r="I574" i="5"/>
  <c r="K574" i="5" s="1"/>
  <c r="I575" i="5"/>
  <c r="J575" i="5" s="1"/>
  <c r="I576" i="5"/>
  <c r="K576" i="5" s="1"/>
  <c r="I577" i="5"/>
  <c r="K577" i="5" s="1"/>
  <c r="I578" i="5"/>
  <c r="J578" i="5" s="1"/>
  <c r="I579" i="5"/>
  <c r="K579" i="5" s="1"/>
  <c r="I580" i="5"/>
  <c r="I581" i="5"/>
  <c r="J581" i="5" s="1"/>
  <c r="I582" i="5"/>
  <c r="J582" i="5" s="1"/>
  <c r="I583" i="5"/>
  <c r="I584" i="5"/>
  <c r="K584" i="5" s="1"/>
  <c r="I585" i="5"/>
  <c r="J585" i="5" s="1"/>
  <c r="I586" i="5"/>
  <c r="J586" i="5" s="1"/>
  <c r="I587" i="5"/>
  <c r="K587" i="5" s="1"/>
  <c r="I588" i="5"/>
  <c r="I589" i="5"/>
  <c r="J589" i="5" s="1"/>
  <c r="I590" i="5"/>
  <c r="J590" i="5" s="1"/>
  <c r="I591" i="5"/>
  <c r="I592" i="5"/>
  <c r="K592" i="5" s="1"/>
  <c r="I593" i="5"/>
  <c r="K593" i="5" s="1"/>
  <c r="I594" i="5"/>
  <c r="J594" i="5" s="1"/>
  <c r="I595" i="5"/>
  <c r="J595" i="5" s="1"/>
  <c r="I596" i="5"/>
  <c r="I597" i="5"/>
  <c r="J597" i="5" s="1"/>
  <c r="I598" i="5"/>
  <c r="J598" i="5" s="1"/>
  <c r="I599" i="5"/>
  <c r="J599" i="5" s="1"/>
  <c r="I600" i="5"/>
  <c r="K600" i="5" s="1"/>
  <c r="I601" i="5"/>
  <c r="J601" i="5" s="1"/>
  <c r="I602" i="5"/>
  <c r="J602" i="5" s="1"/>
  <c r="I603" i="5"/>
  <c r="K603" i="5" s="1"/>
  <c r="I604" i="5"/>
  <c r="I605" i="5"/>
  <c r="J605" i="5" s="1"/>
  <c r="I606" i="5"/>
  <c r="J606" i="5" s="1"/>
  <c r="I607" i="5"/>
  <c r="J607" i="5" s="1"/>
  <c r="I608" i="5"/>
  <c r="K608" i="5" s="1"/>
  <c r="I609" i="5"/>
  <c r="K609" i="5" s="1"/>
  <c r="I610" i="5"/>
  <c r="J610" i="5" s="1"/>
  <c r="I611" i="5"/>
  <c r="J611" i="5" s="1"/>
  <c r="I612" i="5"/>
  <c r="I613" i="5"/>
  <c r="J613" i="5" s="1"/>
  <c r="I614" i="5"/>
  <c r="J614" i="5" s="1"/>
  <c r="I615" i="5"/>
  <c r="I616" i="5"/>
  <c r="K616" i="5" s="1"/>
  <c r="I617" i="5"/>
  <c r="J617" i="5" s="1"/>
  <c r="I618" i="5"/>
  <c r="J618" i="5" s="1"/>
  <c r="I619" i="5"/>
  <c r="J619" i="5" s="1"/>
  <c r="I620" i="5"/>
  <c r="I621" i="5"/>
  <c r="J621" i="5" s="1"/>
  <c r="I622" i="5"/>
  <c r="K622" i="5" s="1"/>
  <c r="I623" i="5"/>
  <c r="I624" i="5"/>
  <c r="K624" i="5" s="1"/>
  <c r="I625" i="5"/>
  <c r="K625" i="5" s="1"/>
  <c r="I626" i="5"/>
  <c r="J626" i="5" s="1"/>
  <c r="I627" i="5"/>
  <c r="J627" i="5" s="1"/>
  <c r="I628" i="5"/>
  <c r="I629" i="5"/>
  <c r="J629" i="5" s="1"/>
  <c r="I630" i="5"/>
  <c r="K630" i="5" s="1"/>
  <c r="I631" i="5"/>
  <c r="J631" i="5" s="1"/>
  <c r="I632" i="5"/>
  <c r="I633" i="5"/>
  <c r="K633" i="5" s="1"/>
  <c r="I634" i="5"/>
  <c r="J634" i="5" s="1"/>
  <c r="I635" i="5"/>
  <c r="J635" i="5" s="1"/>
  <c r="I636" i="5"/>
  <c r="I637" i="5"/>
  <c r="I638" i="5"/>
  <c r="K638" i="5" s="1"/>
  <c r="I639" i="5"/>
  <c r="J639" i="5" s="1"/>
  <c r="I640" i="5"/>
  <c r="K640" i="5" s="1"/>
  <c r="I641" i="5"/>
  <c r="J641" i="5" s="1"/>
  <c r="I2" i="5"/>
  <c r="J564" i="5"/>
  <c r="J572" i="5"/>
  <c r="J580" i="5"/>
  <c r="J583" i="5"/>
  <c r="J588" i="5"/>
  <c r="J591" i="5"/>
  <c r="J596" i="5"/>
  <c r="J604" i="5"/>
  <c r="K606" i="5"/>
  <c r="J612" i="5"/>
  <c r="J615" i="5"/>
  <c r="J620" i="5"/>
  <c r="J623" i="5"/>
  <c r="J628" i="5"/>
  <c r="K632" i="5"/>
  <c r="J636" i="5"/>
  <c r="J63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557" i="5"/>
  <c r="E489"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62" i="5"/>
  <c r="E148" i="5"/>
  <c r="E149" i="5"/>
  <c r="E150" i="5"/>
  <c r="E151" i="5"/>
  <c r="E152" i="5"/>
  <c r="E153" i="5"/>
  <c r="E154" i="5"/>
  <c r="E155" i="5"/>
  <c r="E156" i="5"/>
  <c r="E157" i="5"/>
  <c r="E158" i="5"/>
  <c r="E159" i="5"/>
  <c r="E160" i="5"/>
  <c r="E161"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AJ41" i="7"/>
  <c r="AJ30" i="7"/>
  <c r="AJ31" i="7"/>
  <c r="AJ32" i="7"/>
  <c r="AJ23" i="7"/>
  <c r="AJ24" i="7"/>
  <c r="AJ25" i="7"/>
  <c r="AJ19" i="7"/>
  <c r="AJ12" i="7"/>
  <c r="AL5" i="7"/>
  <c r="Q131" i="3"/>
  <c r="AC85" i="2"/>
  <c r="AC86" i="2"/>
  <c r="AC87" i="2"/>
  <c r="AC88" i="2"/>
  <c r="Y55" i="1"/>
  <c r="Y99" i="1"/>
  <c r="Y163" i="1"/>
  <c r="Y37" i="1"/>
  <c r="Y54" i="1"/>
  <c r="Y306" i="1"/>
  <c r="Y40" i="1"/>
  <c r="Y150" i="1"/>
  <c r="Y117" i="1"/>
  <c r="Y63" i="1"/>
  <c r="Y89" i="1"/>
  <c r="Y132" i="1"/>
  <c r="Y113" i="1"/>
  <c r="Y127" i="1"/>
  <c r="Y52" i="1"/>
  <c r="Y205" i="1"/>
  <c r="Y23" i="1"/>
  <c r="Y158" i="1"/>
  <c r="Y62" i="1"/>
  <c r="Y38" i="1"/>
  <c r="AI41" i="7"/>
  <c r="AI23" i="7"/>
  <c r="F376" i="1" l="1"/>
  <c r="AJ33" i="7"/>
  <c r="AJ26" i="7"/>
  <c r="U374" i="1"/>
  <c r="T131" i="3"/>
  <c r="AB158" i="2"/>
  <c r="Q157" i="2"/>
  <c r="F157" i="2"/>
  <c r="F158" i="2"/>
  <c r="J638" i="5"/>
  <c r="K614" i="5"/>
  <c r="K590" i="5"/>
  <c r="J609" i="5"/>
  <c r="J622" i="5"/>
  <c r="J566" i="5"/>
  <c r="J561" i="5"/>
  <c r="J630" i="5"/>
  <c r="K598" i="5"/>
  <c r="J574" i="5"/>
  <c r="K585" i="5"/>
  <c r="J579" i="5"/>
  <c r="K619" i="5"/>
  <c r="J587" i="5"/>
  <c r="K627" i="5"/>
  <c r="J603" i="5"/>
  <c r="J593" i="5"/>
  <c r="K569" i="5"/>
  <c r="J633" i="5"/>
  <c r="J625" i="5"/>
  <c r="K601" i="5"/>
  <c r="K595" i="5"/>
  <c r="K571" i="5"/>
  <c r="K641" i="5"/>
  <c r="K635" i="5"/>
  <c r="K617" i="5"/>
  <c r="K611" i="5"/>
  <c r="K582" i="5"/>
  <c r="J577" i="5"/>
  <c r="J558" i="5"/>
  <c r="J640" i="5"/>
  <c r="K637" i="5"/>
  <c r="J632" i="5"/>
  <c r="K629" i="5"/>
  <c r="J624" i="5"/>
  <c r="K621" i="5"/>
  <c r="J616" i="5"/>
  <c r="K613" i="5"/>
  <c r="J608" i="5"/>
  <c r="K605" i="5"/>
  <c r="J600" i="5"/>
  <c r="K597" i="5"/>
  <c r="J592" i="5"/>
  <c r="K589" i="5"/>
  <c r="J584" i="5"/>
  <c r="K581" i="5"/>
  <c r="J576" i="5"/>
  <c r="K573" i="5"/>
  <c r="J568" i="5"/>
  <c r="K565" i="5"/>
  <c r="J560" i="5"/>
  <c r="K634" i="5"/>
  <c r="K626" i="5"/>
  <c r="K618" i="5"/>
  <c r="K610" i="5"/>
  <c r="K602" i="5"/>
  <c r="K594" i="5"/>
  <c r="K586" i="5"/>
  <c r="K578" i="5"/>
  <c r="K570" i="5"/>
  <c r="K562" i="5"/>
  <c r="K639" i="5"/>
  <c r="K631" i="5"/>
  <c r="K623" i="5"/>
  <c r="K615" i="5"/>
  <c r="K607" i="5"/>
  <c r="K599" i="5"/>
  <c r="K591" i="5"/>
  <c r="K583" i="5"/>
  <c r="K575" i="5"/>
  <c r="K567" i="5"/>
  <c r="K559" i="5"/>
  <c r="K636" i="5"/>
  <c r="K628" i="5"/>
  <c r="K620" i="5"/>
  <c r="K612" i="5"/>
  <c r="K604" i="5"/>
  <c r="K596" i="5"/>
  <c r="K588" i="5"/>
  <c r="K580" i="5"/>
  <c r="K572" i="5"/>
  <c r="K564" i="5"/>
  <c r="K563" i="5"/>
  <c r="AI40" i="7"/>
  <c r="AI30" i="7"/>
  <c r="AI31" i="7"/>
  <c r="AI32" i="7"/>
  <c r="AI33" i="7"/>
  <c r="AI24" i="7"/>
  <c r="AI25" i="7"/>
  <c r="AI26" i="7"/>
  <c r="AH23" i="7"/>
  <c r="AI19" i="7"/>
  <c r="AL19" i="7" s="1"/>
  <c r="AI12" i="7"/>
  <c r="J15" i="3"/>
  <c r="K15" i="3"/>
  <c r="AA158" i="2"/>
  <c r="Q376" i="1"/>
  <c r="T15" i="3"/>
  <c r="U15" i="3"/>
  <c r="G15" i="3"/>
  <c r="U85" i="2"/>
  <c r="U86" i="2"/>
  <c r="U87" i="2"/>
  <c r="U88" i="2"/>
  <c r="T85" i="2"/>
  <c r="T86" i="2"/>
  <c r="T87" i="2"/>
  <c r="T88" i="2"/>
  <c r="G88" i="2"/>
  <c r="G85" i="2"/>
  <c r="G86" i="2"/>
  <c r="G87" i="2"/>
  <c r="V99" i="1"/>
  <c r="V163" i="1"/>
  <c r="V37" i="1"/>
  <c r="V54" i="1"/>
  <c r="V306" i="1"/>
  <c r="V40" i="1"/>
  <c r="V150" i="1"/>
  <c r="V117" i="1"/>
  <c r="V63" i="1"/>
  <c r="V89" i="1"/>
  <c r="V132" i="1"/>
  <c r="V113" i="1"/>
  <c r="V127" i="1"/>
  <c r="V52" i="1"/>
  <c r="V205" i="1"/>
  <c r="V23" i="1"/>
  <c r="V158" i="1"/>
  <c r="V62" i="1"/>
  <c r="V38" i="1"/>
  <c r="U99" i="1"/>
  <c r="U163" i="1"/>
  <c r="U37" i="1"/>
  <c r="U54" i="1"/>
  <c r="U306" i="1"/>
  <c r="U40" i="1"/>
  <c r="U150" i="1"/>
  <c r="U117" i="1"/>
  <c r="U63" i="1"/>
  <c r="U89" i="1"/>
  <c r="U132" i="1"/>
  <c r="U113" i="1"/>
  <c r="U127" i="1"/>
  <c r="U52" i="1"/>
  <c r="U205" i="1"/>
  <c r="U23" i="1"/>
  <c r="U158" i="1"/>
  <c r="U62" i="1"/>
  <c r="U38" i="1"/>
  <c r="K55" i="1"/>
  <c r="K99" i="1"/>
  <c r="K163" i="1"/>
  <c r="K37" i="1"/>
  <c r="K54" i="1"/>
  <c r="K306" i="1"/>
  <c r="K40" i="1"/>
  <c r="K150" i="1"/>
  <c r="K117" i="1"/>
  <c r="K63" i="1"/>
  <c r="K89" i="1"/>
  <c r="K132" i="1"/>
  <c r="K113" i="1"/>
  <c r="K127" i="1"/>
  <c r="K52" i="1"/>
  <c r="K205" i="1"/>
  <c r="K23" i="1"/>
  <c r="K158" i="1"/>
  <c r="K62" i="1"/>
  <c r="K38" i="1"/>
  <c r="J55" i="1"/>
  <c r="J99" i="1"/>
  <c r="J163" i="1"/>
  <c r="J37" i="1"/>
  <c r="J54" i="1"/>
  <c r="J306" i="1"/>
  <c r="J40" i="1"/>
  <c r="J150" i="1"/>
  <c r="J117" i="1"/>
  <c r="J63" i="1"/>
  <c r="J89" i="1"/>
  <c r="J132" i="1"/>
  <c r="J113" i="1"/>
  <c r="J127" i="1"/>
  <c r="J52" i="1"/>
  <c r="J205" i="1"/>
  <c r="J23" i="1"/>
  <c r="J158" i="1"/>
  <c r="J62" i="1"/>
  <c r="J38" i="1"/>
  <c r="U55" i="1"/>
  <c r="V55" i="1"/>
  <c r="G55" i="1"/>
  <c r="G99" i="1"/>
  <c r="G163" i="1"/>
  <c r="G37" i="1"/>
  <c r="G54" i="1"/>
  <c r="G306" i="1"/>
  <c r="G40" i="1"/>
  <c r="G150" i="1"/>
  <c r="G117" i="1"/>
  <c r="G63" i="1"/>
  <c r="G89" i="1"/>
  <c r="G132" i="1"/>
  <c r="G113" i="1"/>
  <c r="G127" i="1"/>
  <c r="G52" i="1"/>
  <c r="G205" i="1"/>
  <c r="G23" i="1"/>
  <c r="G158" i="1"/>
  <c r="G62" i="1"/>
  <c r="G38" i="1"/>
  <c r="AH30" i="7"/>
  <c r="AH31" i="7"/>
  <c r="AH32" i="7"/>
  <c r="AH33" i="7"/>
  <c r="AH25" i="7"/>
  <c r="AG25" i="7"/>
  <c r="AH24" i="7"/>
  <c r="AG23" i="7"/>
  <c r="AL12" i="7"/>
  <c r="AL38" i="7"/>
  <c r="AL39" i="7"/>
  <c r="AL37" i="7"/>
  <c r="AG41" i="7"/>
  <c r="AH40" i="7"/>
  <c r="AH41" i="7" s="1"/>
  <c r="AL17" i="7"/>
  <c r="AL18" i="7"/>
  <c r="AL16" i="7"/>
  <c r="AL3" i="7"/>
  <c r="AL4" i="7"/>
  <c r="AL2" i="7"/>
  <c r="AL10" i="7"/>
  <c r="AL11" i="7"/>
  <c r="AL9" i="7"/>
  <c r="AH12" i="7"/>
  <c r="AH19" i="7"/>
  <c r="U124" i="3"/>
  <c r="U83" i="3"/>
  <c r="U14" i="3"/>
  <c r="U18" i="3"/>
  <c r="T124" i="3"/>
  <c r="T83" i="3"/>
  <c r="T14" i="3"/>
  <c r="T18" i="3"/>
  <c r="AC18" i="2"/>
  <c r="AC17" i="2"/>
  <c r="U18" i="2"/>
  <c r="U17" i="2"/>
  <c r="T18" i="2"/>
  <c r="T17" i="2"/>
  <c r="V330" i="1"/>
  <c r="V78" i="1"/>
  <c r="V88" i="1"/>
  <c r="V26" i="1"/>
  <c r="V142" i="1"/>
  <c r="V221" i="1"/>
  <c r="V215" i="1"/>
  <c r="V8" i="1"/>
  <c r="V188" i="1"/>
  <c r="V28" i="1"/>
  <c r="V36" i="1"/>
  <c r="U330" i="1"/>
  <c r="U78" i="1"/>
  <c r="U88" i="1"/>
  <c r="U26" i="1"/>
  <c r="U142" i="1"/>
  <c r="U221" i="1"/>
  <c r="U215" i="1"/>
  <c r="U8" i="1"/>
  <c r="U188" i="1"/>
  <c r="U28" i="1"/>
  <c r="U36" i="1"/>
  <c r="AD124" i="3"/>
  <c r="AD83" i="3"/>
  <c r="AD14" i="3"/>
  <c r="AD18" i="3"/>
  <c r="K124" i="3"/>
  <c r="K83" i="3"/>
  <c r="K14" i="3"/>
  <c r="K18" i="3"/>
  <c r="J124" i="3"/>
  <c r="J83" i="3"/>
  <c r="J14" i="3"/>
  <c r="J18" i="3"/>
  <c r="G14" i="3"/>
  <c r="G18" i="3"/>
  <c r="G18" i="2"/>
  <c r="G17" i="2"/>
  <c r="J17" i="2"/>
  <c r="J18" i="2"/>
  <c r="Y36" i="1"/>
  <c r="Y78" i="1"/>
  <c r="Y88" i="1"/>
  <c r="Y26" i="1"/>
  <c r="Y142" i="1"/>
  <c r="Y221" i="1"/>
  <c r="Y215" i="1"/>
  <c r="Y8" i="1"/>
  <c r="Y188" i="1"/>
  <c r="Y28" i="1"/>
  <c r="Y330" i="1"/>
  <c r="K78" i="1"/>
  <c r="K88" i="1"/>
  <c r="K26" i="1"/>
  <c r="K142" i="1"/>
  <c r="K221" i="1"/>
  <c r="K215" i="1"/>
  <c r="K8" i="1"/>
  <c r="K188" i="1"/>
  <c r="K28" i="1"/>
  <c r="K36" i="1"/>
  <c r="J78" i="1"/>
  <c r="J88" i="1"/>
  <c r="J26" i="1"/>
  <c r="J142" i="1"/>
  <c r="J221" i="1"/>
  <c r="J215" i="1"/>
  <c r="J8" i="1"/>
  <c r="J188" i="1"/>
  <c r="J28" i="1"/>
  <c r="J36" i="1"/>
  <c r="J330" i="1"/>
  <c r="K330" i="1"/>
  <c r="G330" i="1"/>
  <c r="G78" i="1"/>
  <c r="G88" i="1"/>
  <c r="G26" i="1"/>
  <c r="G142" i="1"/>
  <c r="G221" i="1"/>
  <c r="G215" i="1"/>
  <c r="G8" i="1"/>
  <c r="G188" i="1"/>
  <c r="G28" i="1"/>
  <c r="G36" i="1"/>
  <c r="AG40" i="7"/>
  <c r="AG32" i="7"/>
  <c r="AG31" i="7"/>
  <c r="AG30" i="7"/>
  <c r="AG24" i="7"/>
  <c r="AG19" i="7"/>
  <c r="AG12" i="7"/>
  <c r="J49" i="2"/>
  <c r="J136" i="2"/>
  <c r="J57" i="2"/>
  <c r="U49" i="2"/>
  <c r="U136" i="2"/>
  <c r="U57" i="2"/>
  <c r="T49" i="2"/>
  <c r="T136" i="2"/>
  <c r="T57" i="2"/>
  <c r="AC136" i="2"/>
  <c r="AC57" i="2"/>
  <c r="AC49" i="2"/>
  <c r="K103" i="1"/>
  <c r="K262" i="1"/>
  <c r="K274" i="1"/>
  <c r="K137" i="1"/>
  <c r="K22" i="1"/>
  <c r="K97" i="1"/>
  <c r="K58" i="1"/>
  <c r="K79" i="1"/>
  <c r="K174" i="1"/>
  <c r="K272" i="1"/>
  <c r="K91" i="1"/>
  <c r="K76" i="1"/>
  <c r="K18" i="1"/>
  <c r="K80" i="1"/>
  <c r="K94" i="1"/>
  <c r="K151" i="1"/>
  <c r="K104" i="1"/>
  <c r="K146" i="1"/>
  <c r="K61" i="1"/>
  <c r="J103" i="1"/>
  <c r="J262" i="1"/>
  <c r="J274" i="1"/>
  <c r="J137" i="1"/>
  <c r="J22" i="1"/>
  <c r="J97" i="1"/>
  <c r="J58" i="1"/>
  <c r="J79" i="1"/>
  <c r="J174" i="1"/>
  <c r="J272" i="1"/>
  <c r="J91" i="1"/>
  <c r="J76" i="1"/>
  <c r="J18" i="1"/>
  <c r="J80" i="1"/>
  <c r="J94" i="1"/>
  <c r="J151" i="1"/>
  <c r="J104" i="1"/>
  <c r="J146" i="1"/>
  <c r="J61" i="1"/>
  <c r="J84" i="1"/>
  <c r="K84" i="1"/>
  <c r="G83" i="3"/>
  <c r="G124" i="3"/>
  <c r="G49" i="2"/>
  <c r="G136" i="2"/>
  <c r="G57" i="2"/>
  <c r="V103" i="1"/>
  <c r="V262" i="1"/>
  <c r="V274" i="1"/>
  <c r="V137" i="1"/>
  <c r="V22" i="1"/>
  <c r="V97" i="1"/>
  <c r="V58" i="1"/>
  <c r="V79" i="1"/>
  <c r="V174" i="1"/>
  <c r="V272" i="1"/>
  <c r="V91" i="1"/>
  <c r="V76" i="1"/>
  <c r="V18" i="1"/>
  <c r="V80" i="1"/>
  <c r="V94" i="1"/>
  <c r="V151" i="1"/>
  <c r="V104" i="1"/>
  <c r="V146" i="1"/>
  <c r="V61" i="1"/>
  <c r="U103" i="1"/>
  <c r="U262" i="1"/>
  <c r="U274" i="1"/>
  <c r="U137" i="1"/>
  <c r="U22" i="1"/>
  <c r="U97" i="1"/>
  <c r="U58" i="1"/>
  <c r="U79" i="1"/>
  <c r="U174" i="1"/>
  <c r="U272" i="1"/>
  <c r="U91" i="1"/>
  <c r="U76" i="1"/>
  <c r="U18" i="1"/>
  <c r="U80" i="1"/>
  <c r="U94" i="1"/>
  <c r="U151" i="1"/>
  <c r="U104" i="1"/>
  <c r="U146" i="1"/>
  <c r="U61" i="1"/>
  <c r="U84" i="1"/>
  <c r="V84" i="1"/>
  <c r="G84" i="1"/>
  <c r="G103" i="1"/>
  <c r="G262" i="1"/>
  <c r="G274" i="1"/>
  <c r="G137" i="1"/>
  <c r="G22" i="1"/>
  <c r="G97" i="1"/>
  <c r="G58" i="1"/>
  <c r="G79" i="1"/>
  <c r="G174" i="1"/>
  <c r="G272" i="1"/>
  <c r="G91" i="1"/>
  <c r="G76" i="1"/>
  <c r="G18" i="1"/>
  <c r="G80" i="1"/>
  <c r="G94" i="1"/>
  <c r="G151" i="1"/>
  <c r="G104" i="1"/>
  <c r="G146" i="1"/>
  <c r="G61" i="1"/>
  <c r="AF19" i="7"/>
  <c r="AF12" i="7"/>
  <c r="AF40" i="7"/>
  <c r="AF32" i="7"/>
  <c r="AF31" i="7"/>
  <c r="AF30" i="7"/>
  <c r="AF25" i="7"/>
  <c r="AF24" i="7"/>
  <c r="AF23" i="7"/>
  <c r="V314" i="1"/>
  <c r="V6" i="1"/>
  <c r="V11" i="1"/>
  <c r="V161" i="1"/>
  <c r="V108" i="1"/>
  <c r="V71" i="1"/>
  <c r="V346" i="1"/>
  <c r="V299" i="1"/>
  <c r="V289" i="1"/>
  <c r="V67" i="1"/>
  <c r="V348" i="1"/>
  <c r="V9" i="1"/>
  <c r="V21" i="1"/>
  <c r="V162" i="1"/>
  <c r="V358" i="1"/>
  <c r="V128" i="1"/>
  <c r="V105" i="1"/>
  <c r="V222" i="1"/>
  <c r="V33" i="1"/>
  <c r="V119" i="1"/>
  <c r="V268" i="1"/>
  <c r="V90" i="1"/>
  <c r="U314" i="1"/>
  <c r="U11" i="1"/>
  <c r="U161" i="1"/>
  <c r="U108" i="1"/>
  <c r="U71" i="1"/>
  <c r="U346" i="1"/>
  <c r="U299" i="1"/>
  <c r="U289" i="1"/>
  <c r="U67" i="1"/>
  <c r="U348" i="1"/>
  <c r="U9" i="1"/>
  <c r="U21" i="1"/>
  <c r="U162" i="1"/>
  <c r="U358" i="1"/>
  <c r="U128" i="1"/>
  <c r="U105" i="1"/>
  <c r="U222" i="1"/>
  <c r="U33" i="1"/>
  <c r="U119" i="1"/>
  <c r="U268" i="1"/>
  <c r="U90" i="1"/>
  <c r="AD121" i="3"/>
  <c r="J121" i="3"/>
  <c r="K121" i="3"/>
  <c r="G121" i="3"/>
  <c r="Y314" i="1"/>
  <c r="Y11" i="1"/>
  <c r="Y161" i="1"/>
  <c r="Y108" i="1"/>
  <c r="Y71" i="1"/>
  <c r="Y346" i="1"/>
  <c r="Y299" i="1"/>
  <c r="Y289" i="1"/>
  <c r="Y67" i="1"/>
  <c r="Y348" i="1"/>
  <c r="Y9" i="1"/>
  <c r="Y21" i="1"/>
  <c r="Y162" i="1"/>
  <c r="Y128" i="1"/>
  <c r="Y105" i="1"/>
  <c r="Y222" i="1"/>
  <c r="Y33" i="1"/>
  <c r="Y119" i="1"/>
  <c r="Y268" i="1"/>
  <c r="Y90" i="1"/>
  <c r="Y187" i="1"/>
  <c r="Y355" i="1"/>
  <c r="U355" i="1"/>
  <c r="V355" i="1"/>
  <c r="K314" i="1"/>
  <c r="K11" i="1"/>
  <c r="K161" i="1"/>
  <c r="K108" i="1"/>
  <c r="K71" i="1"/>
  <c r="K346" i="1"/>
  <c r="K299" i="1"/>
  <c r="K289" i="1"/>
  <c r="K67" i="1"/>
  <c r="K348" i="1"/>
  <c r="K9" i="1"/>
  <c r="K21" i="1"/>
  <c r="K162" i="1"/>
  <c r="K358" i="1"/>
  <c r="K128" i="1"/>
  <c r="K105" i="1"/>
  <c r="K222" i="1"/>
  <c r="K33" i="1"/>
  <c r="K119" i="1"/>
  <c r="K268" i="1"/>
  <c r="K90" i="1"/>
  <c r="K187" i="1"/>
  <c r="J314" i="1"/>
  <c r="J11" i="1"/>
  <c r="J161" i="1"/>
  <c r="J108" i="1"/>
  <c r="J71" i="1"/>
  <c r="J346" i="1"/>
  <c r="J299" i="1"/>
  <c r="J289" i="1"/>
  <c r="J67" i="1"/>
  <c r="J348" i="1"/>
  <c r="J9" i="1"/>
  <c r="J21" i="1"/>
  <c r="J162" i="1"/>
  <c r="J358" i="1"/>
  <c r="J128" i="1"/>
  <c r="J105" i="1"/>
  <c r="J222" i="1"/>
  <c r="J33" i="1"/>
  <c r="J119" i="1"/>
  <c r="J268" i="1"/>
  <c r="J90" i="1"/>
  <c r="J187" i="1"/>
  <c r="J355" i="1"/>
  <c r="K355" i="1"/>
  <c r="G355" i="1"/>
  <c r="G314" i="1"/>
  <c r="G11" i="1"/>
  <c r="G161" i="1"/>
  <c r="G108" i="1"/>
  <c r="G71" i="1"/>
  <c r="G346" i="1"/>
  <c r="G299" i="1"/>
  <c r="G289" i="1"/>
  <c r="G67" i="1"/>
  <c r="G348" i="1"/>
  <c r="G9" i="1"/>
  <c r="G21" i="1"/>
  <c r="G162" i="1"/>
  <c r="G358" i="1"/>
  <c r="G128" i="1"/>
  <c r="G105" i="1"/>
  <c r="G222" i="1"/>
  <c r="G33" i="1"/>
  <c r="G119" i="1"/>
  <c r="G268" i="1"/>
  <c r="G90" i="1"/>
  <c r="G187" i="1"/>
  <c r="AE25" i="7"/>
  <c r="J6" i="3"/>
  <c r="J3" i="3"/>
  <c r="J122" i="3"/>
  <c r="J64" i="3"/>
  <c r="J75" i="3"/>
  <c r="J25" i="3"/>
  <c r="J105" i="3"/>
  <c r="J68" i="3"/>
  <c r="J88" i="3"/>
  <c r="J58" i="3"/>
  <c r="J72" i="3"/>
  <c r="J123" i="3"/>
  <c r="J70" i="3"/>
  <c r="J21" i="3"/>
  <c r="J104" i="3"/>
  <c r="J106" i="3"/>
  <c r="J107" i="3"/>
  <c r="J89" i="3"/>
  <c r="J112" i="3"/>
  <c r="J111" i="3"/>
  <c r="J115" i="3"/>
  <c r="J84" i="3"/>
  <c r="J96" i="3"/>
  <c r="J101" i="3"/>
  <c r="J100" i="3"/>
  <c r="J125" i="3"/>
  <c r="J99" i="3"/>
  <c r="J102" i="3"/>
  <c r="J87" i="3"/>
  <c r="J30" i="3"/>
  <c r="J108" i="3"/>
  <c r="J32" i="3"/>
  <c r="J24" i="3"/>
  <c r="J74" i="3"/>
  <c r="J116" i="3"/>
  <c r="J127" i="3"/>
  <c r="J119" i="3"/>
  <c r="J50" i="3"/>
  <c r="J51" i="3"/>
  <c r="J114" i="3"/>
  <c r="J26" i="3"/>
  <c r="J22" i="3"/>
  <c r="J29" i="3"/>
  <c r="J23" i="3"/>
  <c r="J86" i="3"/>
  <c r="J28" i="3"/>
  <c r="J77" i="3"/>
  <c r="J34" i="3"/>
  <c r="J49" i="3"/>
  <c r="J7" i="3"/>
  <c r="J65" i="3"/>
  <c r="J37" i="3"/>
  <c r="J69" i="3"/>
  <c r="J67" i="3"/>
  <c r="J92" i="3"/>
  <c r="J10" i="3"/>
  <c r="J91" i="3"/>
  <c r="J66" i="3"/>
  <c r="J117" i="3"/>
  <c r="J38" i="3"/>
  <c r="J17" i="3"/>
  <c r="J41" i="3"/>
  <c r="J33" i="3"/>
  <c r="J45" i="3"/>
  <c r="J79" i="3"/>
  <c r="J73" i="3"/>
  <c r="J35" i="3"/>
  <c r="J43" i="3"/>
  <c r="J56" i="3"/>
  <c r="J80" i="3"/>
  <c r="J71" i="3"/>
  <c r="J60" i="3"/>
  <c r="J53" i="3"/>
  <c r="J54" i="3"/>
  <c r="J57" i="3"/>
  <c r="J55" i="3"/>
  <c r="J85" i="3"/>
  <c r="J39" i="3"/>
  <c r="J110" i="3"/>
  <c r="J109" i="3"/>
  <c r="J61" i="3"/>
  <c r="J78" i="3"/>
  <c r="J59" i="3"/>
  <c r="J63" i="3"/>
  <c r="J93" i="3"/>
  <c r="J36" i="3"/>
  <c r="J11" i="3"/>
  <c r="J27" i="3"/>
  <c r="J82" i="3"/>
  <c r="J97" i="3"/>
  <c r="J103" i="3"/>
  <c r="J4" i="3"/>
  <c r="J98" i="3"/>
  <c r="J113" i="3"/>
  <c r="J13" i="3"/>
  <c r="J52" i="3"/>
  <c r="J62" i="3"/>
  <c r="J76" i="3"/>
  <c r="J118" i="3"/>
  <c r="J44" i="3"/>
  <c r="J48" i="3"/>
  <c r="J16" i="3"/>
  <c r="J20" i="3"/>
  <c r="J94" i="3"/>
  <c r="J5" i="3"/>
  <c r="J19" i="3"/>
  <c r="J31" i="3"/>
  <c r="J46" i="3"/>
  <c r="J47" i="3"/>
  <c r="J81" i="3"/>
  <c r="J42" i="3"/>
  <c r="J90" i="3"/>
  <c r="J40" i="3"/>
  <c r="J95" i="3"/>
  <c r="J120" i="3"/>
  <c r="J9" i="3"/>
  <c r="J12" i="3"/>
  <c r="J8" i="3"/>
  <c r="J126" i="3"/>
  <c r="J3" i="2"/>
  <c r="J42" i="2"/>
  <c r="J65" i="2"/>
  <c r="J143" i="2"/>
  <c r="J13" i="2"/>
  <c r="J149" i="2"/>
  <c r="J66" i="2"/>
  <c r="J39" i="2"/>
  <c r="J15" i="2"/>
  <c r="J64" i="2"/>
  <c r="J61" i="2"/>
  <c r="J103" i="2"/>
  <c r="J63" i="2"/>
  <c r="J113" i="2"/>
  <c r="J22" i="2"/>
  <c r="J34" i="2"/>
  <c r="J126" i="2"/>
  <c r="J6" i="2"/>
  <c r="J100" i="2"/>
  <c r="J124" i="2"/>
  <c r="J36" i="2"/>
  <c r="J121" i="2"/>
  <c r="J146" i="2"/>
  <c r="J99" i="2"/>
  <c r="J29" i="2"/>
  <c r="J135" i="2"/>
  <c r="J134" i="2"/>
  <c r="J26" i="2"/>
  <c r="J79" i="2"/>
  <c r="J120" i="2"/>
  <c r="J78" i="2"/>
  <c r="J4" i="2"/>
  <c r="J108" i="2"/>
  <c r="J92" i="2"/>
  <c r="J90" i="2"/>
  <c r="J96" i="2"/>
  <c r="J23" i="2"/>
  <c r="J27" i="2"/>
  <c r="J105" i="2"/>
  <c r="J130" i="2"/>
  <c r="J69" i="2"/>
  <c r="J12" i="2"/>
  <c r="J74" i="2"/>
  <c r="J60" i="2"/>
  <c r="J38" i="2"/>
  <c r="J68" i="2"/>
  <c r="J33" i="2"/>
  <c r="J5" i="2"/>
  <c r="J53" i="2"/>
  <c r="J58" i="2"/>
  <c r="J111" i="2"/>
  <c r="J147" i="2"/>
  <c r="J104" i="2"/>
  <c r="J112" i="2"/>
  <c r="J131" i="2"/>
  <c r="J81" i="2"/>
  <c r="J114" i="2"/>
  <c r="J138" i="2"/>
  <c r="J82" i="2"/>
  <c r="J48" i="2"/>
  <c r="J19" i="2"/>
  <c r="J127" i="2"/>
  <c r="J83" i="2"/>
  <c r="J76" i="2"/>
  <c r="J73" i="2"/>
  <c r="J52" i="2"/>
  <c r="J98" i="2"/>
  <c r="J32" i="2"/>
  <c r="J106" i="2"/>
  <c r="J101" i="2"/>
  <c r="J84" i="2"/>
  <c r="J55" i="2"/>
  <c r="J116" i="2"/>
  <c r="J77" i="2"/>
  <c r="J71" i="2"/>
  <c r="J109" i="2"/>
  <c r="J35" i="2"/>
  <c r="J25" i="2"/>
  <c r="J75" i="2"/>
  <c r="J93" i="2"/>
  <c r="J70" i="2"/>
  <c r="J41" i="2"/>
  <c r="J62" i="2"/>
  <c r="J37" i="2"/>
  <c r="J139" i="2"/>
  <c r="J40" i="2"/>
  <c r="J54" i="2"/>
  <c r="J67" i="2"/>
  <c r="J30" i="2"/>
  <c r="J21" i="2"/>
  <c r="J102" i="2"/>
  <c r="J133" i="2"/>
  <c r="J59" i="2"/>
  <c r="J11" i="2"/>
  <c r="J123" i="2"/>
  <c r="J72" i="2"/>
  <c r="J125" i="2"/>
  <c r="J110" i="2"/>
  <c r="J115" i="2"/>
  <c r="J97" i="2"/>
  <c r="J117" i="2"/>
  <c r="J128" i="2"/>
  <c r="J122" i="2"/>
  <c r="J80" i="2"/>
  <c r="J14" i="2"/>
  <c r="J95" i="2"/>
  <c r="J107" i="2"/>
  <c r="J16" i="2"/>
  <c r="J44" i="2"/>
  <c r="J43" i="2"/>
  <c r="J31" i="2"/>
  <c r="J89" i="2"/>
  <c r="J119" i="2"/>
  <c r="J56" i="2"/>
  <c r="J141" i="2"/>
  <c r="J132" i="2"/>
  <c r="J137" i="2"/>
  <c r="J46" i="2"/>
  <c r="J28" i="2"/>
  <c r="J94" i="2"/>
  <c r="J9" i="2"/>
  <c r="J145" i="2"/>
  <c r="J148" i="2"/>
  <c r="J118" i="2"/>
  <c r="J91" i="2"/>
  <c r="J47" i="2"/>
  <c r="J50" i="2"/>
  <c r="J24" i="2"/>
  <c r="J129" i="2"/>
  <c r="J51" i="2"/>
  <c r="J20" i="2"/>
  <c r="J142" i="2"/>
  <c r="J8" i="2"/>
  <c r="J140" i="2"/>
  <c r="J144" i="2"/>
  <c r="J45" i="2"/>
  <c r="J7" i="2"/>
  <c r="J10" i="2"/>
  <c r="J6" i="1"/>
  <c r="J368" i="1"/>
  <c r="J367" i="1"/>
  <c r="J317" i="1"/>
  <c r="J360" i="1"/>
  <c r="J178" i="1"/>
  <c r="J364" i="1"/>
  <c r="J283" i="1"/>
  <c r="J350" i="1"/>
  <c r="J366" i="1"/>
  <c r="J183" i="1"/>
  <c r="J345" i="1"/>
  <c r="J354" i="1"/>
  <c r="J237" i="1"/>
  <c r="J329" i="1"/>
  <c r="J365" i="1"/>
  <c r="J159" i="1"/>
  <c r="J66" i="1"/>
  <c r="J168" i="1"/>
  <c r="J339" i="1"/>
  <c r="J334" i="1"/>
  <c r="J362" i="1"/>
  <c r="J156" i="1"/>
  <c r="J34" i="1"/>
  <c r="J68" i="1"/>
  <c r="J256" i="1"/>
  <c r="J60" i="1"/>
  <c r="J322" i="1"/>
  <c r="J172" i="1"/>
  <c r="J13" i="1"/>
  <c r="J319" i="1"/>
  <c r="J359" i="1"/>
  <c r="J83" i="1"/>
  <c r="J50" i="1"/>
  <c r="J244" i="1"/>
  <c r="J239" i="1"/>
  <c r="J29" i="1"/>
  <c r="J357" i="1"/>
  <c r="J246" i="1"/>
  <c r="J184" i="1"/>
  <c r="J349" i="1"/>
  <c r="J171" i="1"/>
  <c r="J248" i="1"/>
  <c r="J30" i="1"/>
  <c r="J363" i="1"/>
  <c r="J235" i="1"/>
  <c r="J7" i="1"/>
  <c r="J255" i="1"/>
  <c r="J114" i="1"/>
  <c r="J154" i="1"/>
  <c r="J143" i="1"/>
  <c r="J331" i="1"/>
  <c r="J192" i="1"/>
  <c r="J175" i="1"/>
  <c r="J141" i="1"/>
  <c r="J124" i="1"/>
  <c r="J170" i="1"/>
  <c r="J144" i="1"/>
  <c r="J201" i="1"/>
  <c r="J122" i="1"/>
  <c r="J211" i="1"/>
  <c r="J43" i="1"/>
  <c r="J20" i="1"/>
  <c r="J111" i="1"/>
  <c r="J316" i="1"/>
  <c r="J96" i="1"/>
  <c r="J190" i="1"/>
  <c r="J185" i="1"/>
  <c r="J81" i="1"/>
  <c r="J284" i="1"/>
  <c r="J351" i="1"/>
  <c r="J342" i="1"/>
  <c r="J315" i="1"/>
  <c r="J180" i="1"/>
  <c r="J134" i="1"/>
  <c r="J153" i="1"/>
  <c r="J198" i="1"/>
  <c r="J352" i="1"/>
  <c r="J73" i="1"/>
  <c r="J182" i="1"/>
  <c r="J324" i="1"/>
  <c r="J131" i="1"/>
  <c r="J249" i="1"/>
  <c r="J242" i="1"/>
  <c r="J304" i="1"/>
  <c r="J140" i="1"/>
  <c r="J323" i="1"/>
  <c r="J251" i="1"/>
  <c r="J310" i="1"/>
  <c r="J210" i="1"/>
  <c r="J286" i="1"/>
  <c r="J107" i="1"/>
  <c r="J102" i="1"/>
  <c r="J325" i="1"/>
  <c r="J229" i="1"/>
  <c r="J203" i="1"/>
  <c r="J307" i="1"/>
  <c r="J10" i="1"/>
  <c r="J219" i="1"/>
  <c r="J213" i="1"/>
  <c r="J87" i="1"/>
  <c r="J298" i="1"/>
  <c r="J254" i="1"/>
  <c r="J275" i="1"/>
  <c r="J165" i="1"/>
  <c r="J181" i="1"/>
  <c r="J291" i="1"/>
  <c r="J92" i="1"/>
  <c r="J93" i="1"/>
  <c r="J149" i="1"/>
  <c r="J199" i="1"/>
  <c r="J318" i="1"/>
  <c r="J273" i="1"/>
  <c r="J266" i="1"/>
  <c r="J218" i="1"/>
  <c r="J227" i="1"/>
  <c r="J49" i="1"/>
  <c r="J280" i="1"/>
  <c r="J247" i="1"/>
  <c r="J138" i="1"/>
  <c r="J86" i="1"/>
  <c r="J123" i="1"/>
  <c r="J257" i="1"/>
  <c r="J276" i="1"/>
  <c r="J287" i="1"/>
  <c r="J296" i="1"/>
  <c r="J328" i="1"/>
  <c r="J44" i="1"/>
  <c r="J101" i="1"/>
  <c r="J264" i="1"/>
  <c r="J267" i="1"/>
  <c r="J223" i="1"/>
  <c r="J106" i="1"/>
  <c r="J261" i="1"/>
  <c r="J157" i="1"/>
  <c r="J282" i="1"/>
  <c r="J313" i="1"/>
  <c r="J320" i="1"/>
  <c r="J177" i="1"/>
  <c r="J72" i="1"/>
  <c r="J279" i="1"/>
  <c r="J252" i="1"/>
  <c r="J292" i="1"/>
  <c r="J207" i="1"/>
  <c r="J195" i="1"/>
  <c r="J343" i="1"/>
  <c r="J293" i="1"/>
  <c r="J312" i="1"/>
  <c r="J189" i="1"/>
  <c r="J234" i="1"/>
  <c r="J129" i="1"/>
  <c r="J277" i="1"/>
  <c r="J65" i="1"/>
  <c r="J166" i="1"/>
  <c r="J204" i="1"/>
  <c r="J121" i="1"/>
  <c r="J160" i="1"/>
  <c r="J236" i="1"/>
  <c r="J240" i="1"/>
  <c r="J288" i="1"/>
  <c r="J300" i="1"/>
  <c r="J290" i="1"/>
  <c r="J335" i="1"/>
  <c r="J98" i="1"/>
  <c r="J197" i="1"/>
  <c r="J118" i="1"/>
  <c r="J12" i="1"/>
  <c r="J206" i="1"/>
  <c r="J208" i="1"/>
  <c r="J109" i="1"/>
  <c r="J135" i="1"/>
  <c r="J311" i="1"/>
  <c r="J243" i="1"/>
  <c r="J116" i="1"/>
  <c r="J258" i="1"/>
  <c r="J278" i="1"/>
  <c r="J191" i="1"/>
  <c r="J250" i="1"/>
  <c r="J285" i="1"/>
  <c r="J238" i="1"/>
  <c r="J164" i="1"/>
  <c r="J265" i="1"/>
  <c r="J176" i="1"/>
  <c r="J270" i="1"/>
  <c r="J45" i="1"/>
  <c r="J233" i="1"/>
  <c r="J303" i="1"/>
  <c r="J241" i="1"/>
  <c r="J173" i="1"/>
  <c r="J46" i="1"/>
  <c r="J321" i="1"/>
  <c r="J77" i="1"/>
  <c r="J31" i="1"/>
  <c r="J115" i="1"/>
  <c r="J302" i="1"/>
  <c r="J217" i="1"/>
  <c r="J232" i="1"/>
  <c r="J231" i="1"/>
  <c r="J356" i="1"/>
  <c r="J169" i="1"/>
  <c r="J112" i="1"/>
  <c r="J281" i="1"/>
  <c r="J48" i="1"/>
  <c r="J214" i="1"/>
  <c r="J152" i="1"/>
  <c r="J194" i="1"/>
  <c r="J230" i="1"/>
  <c r="J294" i="1"/>
  <c r="J340" i="1"/>
  <c r="J126" i="1"/>
  <c r="J139" i="1"/>
  <c r="J196" i="1"/>
  <c r="J332" i="1"/>
  <c r="J245" i="1"/>
  <c r="J259" i="1"/>
  <c r="J301" i="1"/>
  <c r="J327" i="1"/>
  <c r="J148" i="1"/>
  <c r="J309" i="1"/>
  <c r="J155" i="1"/>
  <c r="J202" i="1"/>
  <c r="J344" i="1"/>
  <c r="J85" i="1"/>
  <c r="J253" i="1"/>
  <c r="J24" i="1"/>
  <c r="J209" i="1"/>
  <c r="J186" i="1"/>
  <c r="J269" i="1"/>
  <c r="J216" i="1"/>
  <c r="J145" i="1"/>
  <c r="J136" i="1"/>
  <c r="J27" i="1"/>
  <c r="J16" i="1"/>
  <c r="J32" i="1"/>
  <c r="J200" i="1"/>
  <c r="J353" i="1"/>
  <c r="J130" i="1"/>
  <c r="J147" i="1"/>
  <c r="J226" i="1"/>
  <c r="J224" i="1"/>
  <c r="J25" i="1"/>
  <c r="J167" i="1"/>
  <c r="J110" i="1"/>
  <c r="J69" i="1"/>
  <c r="J228" i="1"/>
  <c r="J64" i="1"/>
  <c r="J70" i="1"/>
  <c r="J95" i="1"/>
  <c r="J297" i="1"/>
  <c r="J14" i="1"/>
  <c r="J260" i="1"/>
  <c r="J193" i="1"/>
  <c r="J120" i="1"/>
  <c r="J74" i="1"/>
  <c r="J17" i="1"/>
  <c r="J336" i="1"/>
  <c r="J212" i="1"/>
  <c r="J338" i="1"/>
  <c r="J51" i="1"/>
  <c r="J75" i="1"/>
  <c r="J361" i="1"/>
  <c r="J308" i="1"/>
  <c r="J263" i="1"/>
  <c r="J56" i="1"/>
  <c r="J133" i="1"/>
  <c r="J39" i="1"/>
  <c r="J271" i="1"/>
  <c r="J347" i="1"/>
  <c r="J220" i="1"/>
  <c r="J59" i="1"/>
  <c r="J100" i="1"/>
  <c r="J305" i="1"/>
  <c r="J41" i="1"/>
  <c r="J53" i="1"/>
  <c r="J225" i="1"/>
  <c r="J82" i="1"/>
  <c r="J35" i="1"/>
  <c r="J326" i="1"/>
  <c r="J42" i="1"/>
  <c r="J341" i="1"/>
  <c r="J333" i="1"/>
  <c r="J47" i="1"/>
  <c r="J337" i="1"/>
  <c r="J295" i="1"/>
  <c r="J179" i="1"/>
  <c r="J125" i="1"/>
  <c r="J57" i="1"/>
  <c r="J19" i="1"/>
  <c r="J5" i="1"/>
  <c r="J3" i="1"/>
  <c r="J15" i="1"/>
  <c r="J4" i="1"/>
  <c r="J54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3" i="5"/>
  <c r="J544" i="5"/>
  <c r="J545" i="5"/>
  <c r="J546" i="5"/>
  <c r="J547" i="5"/>
  <c r="J548" i="5"/>
  <c r="J549" i="5"/>
  <c r="J550" i="5"/>
  <c r="J551" i="5"/>
  <c r="J552" i="5"/>
  <c r="J553" i="5"/>
  <c r="J554" i="5"/>
  <c r="J555" i="5"/>
  <c r="J556" i="5"/>
  <c r="J557" i="5"/>
  <c r="AE40" i="7"/>
  <c r="K40" i="3"/>
  <c r="K95" i="3"/>
  <c r="K120" i="3"/>
  <c r="K9" i="3"/>
  <c r="K12" i="3"/>
  <c r="K8" i="3"/>
  <c r="AD40" i="3"/>
  <c r="AD95" i="3"/>
  <c r="AD120" i="3"/>
  <c r="AD9" i="3"/>
  <c r="AD12" i="3"/>
  <c r="AD8" i="3"/>
  <c r="AC48" i="2"/>
  <c r="AC19" i="2"/>
  <c r="AC10" i="2"/>
  <c r="Y295" i="1"/>
  <c r="Y133" i="1"/>
  <c r="Y305" i="1"/>
  <c r="Y47" i="1"/>
  <c r="Y53" i="1"/>
  <c r="Y51" i="1"/>
  <c r="Y24" i="1"/>
  <c r="Y226" i="1"/>
  <c r="Y27" i="1"/>
  <c r="Y75" i="1"/>
  <c r="Y85" i="1"/>
  <c r="Y303" i="1"/>
  <c r="Y250" i="1"/>
  <c r="Y31" i="1"/>
  <c r="Y270" i="1"/>
  <c r="V133" i="1"/>
  <c r="V305" i="1"/>
  <c r="V47" i="1"/>
  <c r="V53" i="1"/>
  <c r="V51" i="1"/>
  <c r="V24" i="1"/>
  <c r="V226" i="1"/>
  <c r="V27" i="1"/>
  <c r="V75" i="1"/>
  <c r="V85" i="1"/>
  <c r="V303" i="1"/>
  <c r="V250" i="1"/>
  <c r="V31" i="1"/>
  <c r="V270" i="1"/>
  <c r="U133" i="1"/>
  <c r="U305" i="1"/>
  <c r="U47" i="1"/>
  <c r="U53" i="1"/>
  <c r="U51" i="1"/>
  <c r="U24" i="1"/>
  <c r="U226" i="1"/>
  <c r="U27" i="1"/>
  <c r="U75" i="1"/>
  <c r="U85" i="1"/>
  <c r="U303" i="1"/>
  <c r="U250" i="1"/>
  <c r="U31" i="1"/>
  <c r="U270" i="1"/>
  <c r="U295" i="1"/>
  <c r="V295" i="1"/>
  <c r="K295" i="1"/>
  <c r="K133" i="1"/>
  <c r="K305" i="1"/>
  <c r="K47" i="1"/>
  <c r="K53" i="1"/>
  <c r="K51" i="1"/>
  <c r="K24" i="1"/>
  <c r="K226" i="1"/>
  <c r="K27" i="1"/>
  <c r="K75" i="1"/>
  <c r="K85" i="1"/>
  <c r="K303" i="1"/>
  <c r="K250" i="1"/>
  <c r="K31" i="1"/>
  <c r="K270" i="1"/>
  <c r="AE32" i="7"/>
  <c r="AE31" i="7"/>
  <c r="AE30" i="7"/>
  <c r="AE24" i="7"/>
  <c r="AE23" i="7"/>
  <c r="AE19" i="7"/>
  <c r="AE12" i="7"/>
  <c r="U90" i="3"/>
  <c r="U40" i="3"/>
  <c r="U95" i="3"/>
  <c r="U120" i="3"/>
  <c r="U9" i="3"/>
  <c r="U12" i="3"/>
  <c r="U8" i="3"/>
  <c r="T40" i="3"/>
  <c r="T95" i="3"/>
  <c r="T120" i="3"/>
  <c r="T9" i="3"/>
  <c r="T12" i="3"/>
  <c r="T8" i="3"/>
  <c r="G40" i="3"/>
  <c r="G95" i="3"/>
  <c r="G120" i="3"/>
  <c r="G9" i="3"/>
  <c r="G12" i="3"/>
  <c r="G8" i="3"/>
  <c r="G48" i="2"/>
  <c r="G19" i="2"/>
  <c r="G10" i="2"/>
  <c r="G295" i="1"/>
  <c r="G133" i="1"/>
  <c r="G305" i="1"/>
  <c r="G47" i="1"/>
  <c r="G53" i="1"/>
  <c r="G51" i="1"/>
  <c r="G24" i="1"/>
  <c r="G226" i="1"/>
  <c r="G27" i="1"/>
  <c r="G75" i="1"/>
  <c r="G85" i="1"/>
  <c r="G303" i="1"/>
  <c r="G250" i="1"/>
  <c r="G31" i="1"/>
  <c r="G270" i="1"/>
  <c r="J362" i="5"/>
  <c r="G39" i="1"/>
  <c r="Q433" i="9"/>
  <c r="AD40" i="7"/>
  <c r="AD30" i="7"/>
  <c r="AD23" i="7"/>
  <c r="AD19" i="7"/>
  <c r="AD32" i="7"/>
  <c r="AD31" i="7"/>
  <c r="AD25" i="7"/>
  <c r="AD24" i="7"/>
  <c r="AD12" i="7"/>
  <c r="U47" i="3"/>
  <c r="U11" i="3"/>
  <c r="T47" i="3"/>
  <c r="T11" i="3"/>
  <c r="T15" i="2"/>
  <c r="U15" i="2"/>
  <c r="T24" i="2"/>
  <c r="U24" i="2"/>
  <c r="V347" i="1"/>
  <c r="V5" i="1"/>
  <c r="V225" i="1"/>
  <c r="V19" i="1"/>
  <c r="V42" i="1"/>
  <c r="V125" i="1"/>
  <c r="V74" i="1"/>
  <c r="V82" i="1"/>
  <c r="V147" i="1"/>
  <c r="V308" i="1"/>
  <c r="V34" i="1"/>
  <c r="U347" i="1"/>
  <c r="U5" i="1"/>
  <c r="U225" i="1"/>
  <c r="U19" i="1"/>
  <c r="U42" i="1"/>
  <c r="U125" i="1"/>
  <c r="U74" i="1"/>
  <c r="U82" i="1"/>
  <c r="U147" i="1"/>
  <c r="U308" i="1"/>
  <c r="U34" i="1"/>
  <c r="AD11" i="3"/>
  <c r="AD47" i="3"/>
  <c r="G47" i="3"/>
  <c r="G11" i="3"/>
  <c r="K11" i="3"/>
  <c r="K47" i="3"/>
  <c r="AC15" i="2"/>
  <c r="AC24" i="2"/>
  <c r="G24" i="2"/>
  <c r="G15" i="2"/>
  <c r="U130" i="1"/>
  <c r="V130" i="1"/>
  <c r="Y347" i="1"/>
  <c r="Y5" i="1"/>
  <c r="Y225" i="1"/>
  <c r="Y19" i="1"/>
  <c r="Y42" i="1"/>
  <c r="Y125" i="1"/>
  <c r="Y74" i="1"/>
  <c r="Y82" i="1"/>
  <c r="Y147" i="1"/>
  <c r="Y308" i="1"/>
  <c r="Y34" i="1"/>
  <c r="Y130" i="1"/>
  <c r="K34" i="1"/>
  <c r="K347" i="1"/>
  <c r="K5" i="1"/>
  <c r="K225" i="1"/>
  <c r="K19" i="1"/>
  <c r="K42" i="1"/>
  <c r="K125" i="1"/>
  <c r="K74" i="1"/>
  <c r="K82" i="1"/>
  <c r="K147" i="1"/>
  <c r="K308" i="1"/>
  <c r="G130" i="1"/>
  <c r="G347" i="1"/>
  <c r="G5" i="1"/>
  <c r="G225" i="1"/>
  <c r="G19" i="1"/>
  <c r="G42" i="1"/>
  <c r="G125" i="1"/>
  <c r="G74" i="1"/>
  <c r="G82" i="1"/>
  <c r="G147" i="1"/>
  <c r="G308" i="1"/>
  <c r="G34" i="1"/>
  <c r="K130" i="1"/>
  <c r="G183" i="1"/>
  <c r="G360" i="1"/>
  <c r="Y157" i="1"/>
  <c r="Y98" i="1"/>
  <c r="Y126" i="1"/>
  <c r="Y121" i="1"/>
  <c r="Y211" i="1"/>
  <c r="Y4" i="1"/>
  <c r="Y145" i="1"/>
  <c r="Y15" i="1"/>
  <c r="Y319" i="1"/>
  <c r="Y95" i="1"/>
  <c r="Y152" i="1"/>
  <c r="Y169" i="1"/>
  <c r="Y35" i="1"/>
  <c r="Y212" i="1"/>
  <c r="Y338" i="1"/>
  <c r="Y337" i="1"/>
  <c r="Y271" i="1"/>
  <c r="Y100" i="1"/>
  <c r="Y46" i="1"/>
  <c r="Y39" i="1"/>
  <c r="P433" i="9"/>
  <c r="AC40" i="7"/>
  <c r="AB40" i="7"/>
  <c r="AC12" i="7"/>
  <c r="AC19" i="7"/>
  <c r="AC23" i="7"/>
  <c r="AC24" i="7"/>
  <c r="AC25" i="7"/>
  <c r="AC30" i="7"/>
  <c r="AC31" i="7"/>
  <c r="AC32" i="7"/>
  <c r="AD90" i="3"/>
  <c r="T90" i="3"/>
  <c r="AC138" i="2"/>
  <c r="T138" i="2"/>
  <c r="U138" i="2"/>
  <c r="V157" i="1"/>
  <c r="V98" i="1"/>
  <c r="V126" i="1"/>
  <c r="V121" i="1"/>
  <c r="V211" i="1"/>
  <c r="V4" i="1"/>
  <c r="V145" i="1"/>
  <c r="V15" i="1"/>
  <c r="V319" i="1"/>
  <c r="V95" i="1"/>
  <c r="V152" i="1"/>
  <c r="V169" i="1"/>
  <c r="V35" i="1"/>
  <c r="V212" i="1"/>
  <c r="V338" i="1"/>
  <c r="V337" i="1"/>
  <c r="V271" i="1"/>
  <c r="V100" i="1"/>
  <c r="V46" i="1"/>
  <c r="V39" i="1"/>
  <c r="U157" i="1"/>
  <c r="U98" i="1"/>
  <c r="U126" i="1"/>
  <c r="U121" i="1"/>
  <c r="U211" i="1"/>
  <c r="U4" i="1"/>
  <c r="U145" i="1"/>
  <c r="U15" i="1"/>
  <c r="U319" i="1"/>
  <c r="U95" i="1"/>
  <c r="U152" i="1"/>
  <c r="U169" i="1"/>
  <c r="U35" i="1"/>
  <c r="U212" i="1"/>
  <c r="U338" i="1"/>
  <c r="U337" i="1"/>
  <c r="U271" i="1"/>
  <c r="U100" i="1"/>
  <c r="U46" i="1"/>
  <c r="U39" i="1"/>
  <c r="K90" i="3"/>
  <c r="G90" i="3"/>
  <c r="G138" i="2"/>
  <c r="K157" i="1"/>
  <c r="K98" i="1"/>
  <c r="K126" i="1"/>
  <c r="K121" i="1"/>
  <c r="K211" i="1"/>
  <c r="K4" i="1"/>
  <c r="K145" i="1"/>
  <c r="K15" i="1"/>
  <c r="K319" i="1"/>
  <c r="K95" i="1"/>
  <c r="K152" i="1"/>
  <c r="K169" i="1"/>
  <c r="K35" i="1"/>
  <c r="K212" i="1"/>
  <c r="K338" i="1"/>
  <c r="K337" i="1"/>
  <c r="K271" i="1"/>
  <c r="K100" i="1"/>
  <c r="K46" i="1"/>
  <c r="K39" i="1"/>
  <c r="G157" i="1"/>
  <c r="G98" i="1"/>
  <c r="G126" i="1"/>
  <c r="G121" i="1"/>
  <c r="G211" i="1"/>
  <c r="G4" i="1"/>
  <c r="G145" i="1"/>
  <c r="G15" i="1"/>
  <c r="G319" i="1"/>
  <c r="G95" i="1"/>
  <c r="G152" i="1"/>
  <c r="G169" i="1"/>
  <c r="G35" i="1"/>
  <c r="G212" i="1"/>
  <c r="G338" i="1"/>
  <c r="G337" i="1"/>
  <c r="G271" i="1"/>
  <c r="G100" i="1"/>
  <c r="G46" i="1"/>
  <c r="AG488" i="9"/>
  <c r="AH488" i="9"/>
  <c r="AF488" i="9"/>
  <c r="Q133" i="3" l="1"/>
  <c r="J374" i="1"/>
  <c r="AH26" i="7"/>
  <c r="AL40" i="7"/>
  <c r="AF41" i="7"/>
  <c r="AD26" i="7"/>
  <c r="U155" i="2"/>
  <c r="F133" i="3"/>
  <c r="AC134" i="3"/>
  <c r="AG26" i="7"/>
  <c r="AG33" i="7"/>
  <c r="AD131" i="3"/>
  <c r="AC155" i="2"/>
  <c r="AB134" i="3"/>
  <c r="F134" i="3"/>
  <c r="V374" i="1"/>
  <c r="K505" i="5"/>
  <c r="K425" i="5"/>
  <c r="K517" i="5"/>
  <c r="K537" i="5"/>
  <c r="K453" i="5"/>
  <c r="K521" i="5"/>
  <c r="K441" i="5"/>
  <c r="K489" i="5"/>
  <c r="K409" i="5"/>
  <c r="K421" i="5"/>
  <c r="K485" i="5"/>
  <c r="K393" i="5"/>
  <c r="K473" i="5"/>
  <c r="K389" i="5"/>
  <c r="K549" i="5"/>
  <c r="K457" i="5"/>
  <c r="K377" i="5"/>
  <c r="AF26" i="7"/>
  <c r="AF33" i="7"/>
  <c r="X377" i="1"/>
  <c r="F377" i="1"/>
  <c r="K542" i="5"/>
  <c r="K513" i="5"/>
  <c r="K481" i="5"/>
  <c r="K449" i="5"/>
  <c r="K417" i="5"/>
  <c r="K385" i="5"/>
  <c r="K541" i="5"/>
  <c r="K509" i="5"/>
  <c r="K477" i="5"/>
  <c r="K445" i="5"/>
  <c r="K413" i="5"/>
  <c r="K381" i="5"/>
  <c r="K545" i="5"/>
  <c r="K533" i="5"/>
  <c r="K501" i="5"/>
  <c r="K469" i="5"/>
  <c r="K437" i="5"/>
  <c r="K405" i="5"/>
  <c r="K373" i="5"/>
  <c r="K529" i="5"/>
  <c r="K497" i="5"/>
  <c r="K465" i="5"/>
  <c r="K433" i="5"/>
  <c r="K401" i="5"/>
  <c r="K369" i="5"/>
  <c r="K553" i="5"/>
  <c r="K525" i="5"/>
  <c r="K493" i="5"/>
  <c r="K461" i="5"/>
  <c r="K429" i="5"/>
  <c r="K397" i="5"/>
  <c r="K365" i="5"/>
  <c r="K556" i="5"/>
  <c r="K552" i="5"/>
  <c r="K548" i="5"/>
  <c r="K544" i="5"/>
  <c r="K540" i="5"/>
  <c r="K536" i="5"/>
  <c r="K532" i="5"/>
  <c r="K528" i="5"/>
  <c r="K524" i="5"/>
  <c r="K520" i="5"/>
  <c r="K516" i="5"/>
  <c r="K512" i="5"/>
  <c r="K508" i="5"/>
  <c r="K504" i="5"/>
  <c r="K500" i="5"/>
  <c r="K496" i="5"/>
  <c r="K492" i="5"/>
  <c r="K488" i="5"/>
  <c r="K484" i="5"/>
  <c r="K480" i="5"/>
  <c r="K476" i="5"/>
  <c r="K472" i="5"/>
  <c r="K468" i="5"/>
  <c r="K464" i="5"/>
  <c r="K460" i="5"/>
  <c r="K456" i="5"/>
  <c r="K452" i="5"/>
  <c r="K448" i="5"/>
  <c r="K444" i="5"/>
  <c r="K440" i="5"/>
  <c r="K436" i="5"/>
  <c r="K432" i="5"/>
  <c r="K428" i="5"/>
  <c r="K424" i="5"/>
  <c r="K420" i="5"/>
  <c r="K416" i="5"/>
  <c r="K412" i="5"/>
  <c r="K408" i="5"/>
  <c r="K404" i="5"/>
  <c r="K400" i="5"/>
  <c r="K396" i="5"/>
  <c r="K392" i="5"/>
  <c r="K388" i="5"/>
  <c r="K384" i="5"/>
  <c r="K380" i="5"/>
  <c r="K376" i="5"/>
  <c r="K372" i="5"/>
  <c r="K368" i="5"/>
  <c r="K364" i="5"/>
  <c r="K555" i="5"/>
  <c r="K551" i="5"/>
  <c r="K547" i="5"/>
  <c r="K543" i="5"/>
  <c r="K539" i="5"/>
  <c r="K535" i="5"/>
  <c r="K531" i="5"/>
  <c r="K527" i="5"/>
  <c r="K523" i="5"/>
  <c r="K519" i="5"/>
  <c r="K515" i="5"/>
  <c r="K511" i="5"/>
  <c r="K507" i="5"/>
  <c r="K503" i="5"/>
  <c r="K499" i="5"/>
  <c r="K495" i="5"/>
  <c r="K491" i="5"/>
  <c r="K487" i="5"/>
  <c r="K483" i="5"/>
  <c r="K479" i="5"/>
  <c r="K475" i="5"/>
  <c r="K471" i="5"/>
  <c r="K467" i="5"/>
  <c r="K463" i="5"/>
  <c r="K459" i="5"/>
  <c r="K455" i="5"/>
  <c r="K451" i="5"/>
  <c r="K447" i="5"/>
  <c r="K443" i="5"/>
  <c r="K439" i="5"/>
  <c r="K435" i="5"/>
  <c r="K431" i="5"/>
  <c r="K427" i="5"/>
  <c r="K423" i="5"/>
  <c r="K419" i="5"/>
  <c r="K415" i="5"/>
  <c r="K411" i="5"/>
  <c r="K407" i="5"/>
  <c r="K403" i="5"/>
  <c r="K399" i="5"/>
  <c r="K395" i="5"/>
  <c r="K391" i="5"/>
  <c r="K387" i="5"/>
  <c r="K383" i="5"/>
  <c r="K379" i="5"/>
  <c r="K375" i="5"/>
  <c r="K371" i="5"/>
  <c r="K367" i="5"/>
  <c r="K363" i="5"/>
  <c r="K554" i="5"/>
  <c r="K550" i="5"/>
  <c r="K546" i="5"/>
  <c r="K538" i="5"/>
  <c r="K534" i="5"/>
  <c r="K530" i="5"/>
  <c r="K526" i="5"/>
  <c r="K522" i="5"/>
  <c r="K518" i="5"/>
  <c r="K514" i="5"/>
  <c r="K510" i="5"/>
  <c r="K506" i="5"/>
  <c r="K502" i="5"/>
  <c r="K498" i="5"/>
  <c r="K494" i="5"/>
  <c r="K490" i="5"/>
  <c r="K486" i="5"/>
  <c r="K482" i="5"/>
  <c r="K478" i="5"/>
  <c r="K474" i="5"/>
  <c r="K470" i="5"/>
  <c r="K466" i="5"/>
  <c r="K462" i="5"/>
  <c r="K458" i="5"/>
  <c r="K454" i="5"/>
  <c r="K450" i="5"/>
  <c r="K446" i="5"/>
  <c r="K442" i="5"/>
  <c r="K438" i="5"/>
  <c r="K434" i="5"/>
  <c r="K430" i="5"/>
  <c r="K426" i="5"/>
  <c r="K422" i="5"/>
  <c r="K418" i="5"/>
  <c r="K414" i="5"/>
  <c r="K410" i="5"/>
  <c r="K406" i="5"/>
  <c r="K402" i="5"/>
  <c r="K398" i="5"/>
  <c r="K394" i="5"/>
  <c r="K390" i="5"/>
  <c r="K386" i="5"/>
  <c r="K382" i="5"/>
  <c r="K378" i="5"/>
  <c r="K374" i="5"/>
  <c r="K370" i="5"/>
  <c r="K366" i="5"/>
  <c r="K557" i="5"/>
  <c r="AE41" i="7"/>
  <c r="AD41" i="7"/>
  <c r="AE26" i="7"/>
  <c r="AE33" i="7"/>
  <c r="K362" i="5"/>
  <c r="O433" i="9"/>
  <c r="AD33" i="7"/>
  <c r="AC26" i="7"/>
  <c r="AC33" i="7"/>
  <c r="AB30" i="7"/>
  <c r="AB23" i="7"/>
  <c r="AB12" i="7"/>
  <c r="AB19" i="7"/>
  <c r="AB24" i="7"/>
  <c r="AB25" i="7"/>
  <c r="AB31" i="7"/>
  <c r="AB32" i="7"/>
  <c r="AC41" i="7"/>
  <c r="Y374" i="1"/>
  <c r="U148" i="1"/>
  <c r="V148" i="1"/>
  <c r="U232" i="1"/>
  <c r="V232" i="1"/>
  <c r="U326" i="1"/>
  <c r="V326" i="1"/>
  <c r="U191" i="1"/>
  <c r="V191" i="1"/>
  <c r="U234" i="1"/>
  <c r="V234" i="1"/>
  <c r="U115" i="1"/>
  <c r="V115" i="1"/>
  <c r="U287" i="1"/>
  <c r="V287" i="1"/>
  <c r="U45" i="1"/>
  <c r="V45" i="1"/>
  <c r="U59" i="1"/>
  <c r="V59" i="1"/>
  <c r="U190" i="1"/>
  <c r="V190" i="1"/>
  <c r="U32" i="1"/>
  <c r="V32" i="1"/>
  <c r="U297" i="1"/>
  <c r="V297" i="1"/>
  <c r="U352" i="1"/>
  <c r="V352" i="1"/>
  <c r="U363" i="1"/>
  <c r="V363" i="1"/>
  <c r="U356" i="1"/>
  <c r="V356" i="1"/>
  <c r="U156" i="1"/>
  <c r="V156" i="1"/>
  <c r="U129" i="1"/>
  <c r="V129" i="1"/>
  <c r="U25" i="1"/>
  <c r="V25" i="1"/>
  <c r="U332" i="1"/>
  <c r="V332" i="1"/>
  <c r="U12" i="1"/>
  <c r="V12" i="1"/>
  <c r="U106" i="1"/>
  <c r="V106" i="1"/>
  <c r="U73" i="1"/>
  <c r="V73" i="1"/>
  <c r="U350" i="1"/>
  <c r="V350" i="1"/>
  <c r="U17" i="1"/>
  <c r="V17" i="1"/>
  <c r="U353" i="1"/>
  <c r="V353" i="1"/>
  <c r="U48" i="1"/>
  <c r="V48" i="1"/>
  <c r="U178" i="1"/>
  <c r="V178" i="1"/>
  <c r="K232" i="1"/>
  <c r="K326" i="1"/>
  <c r="K191" i="1"/>
  <c r="K234" i="1"/>
  <c r="K115" i="1"/>
  <c r="K287" i="1"/>
  <c r="K45" i="1"/>
  <c r="K59" i="1"/>
  <c r="K190" i="1"/>
  <c r="K32" i="1"/>
  <c r="K297" i="1"/>
  <c r="K352" i="1"/>
  <c r="K363" i="1"/>
  <c r="K356" i="1"/>
  <c r="K156" i="1"/>
  <c r="K129" i="1"/>
  <c r="K25" i="1"/>
  <c r="K332" i="1"/>
  <c r="K12" i="1"/>
  <c r="K106" i="1"/>
  <c r="K73" i="1"/>
  <c r="K350" i="1"/>
  <c r="K17" i="1"/>
  <c r="K353" i="1"/>
  <c r="K48" i="1"/>
  <c r="K178" i="1"/>
  <c r="K148" i="1"/>
  <c r="AD105" i="3"/>
  <c r="AD64" i="3"/>
  <c r="AD65" i="3"/>
  <c r="AD75" i="3"/>
  <c r="AD34" i="3"/>
  <c r="AD5" i="3"/>
  <c r="AC84" i="2"/>
  <c r="AC42" i="2"/>
  <c r="AC39" i="2"/>
  <c r="AC9" i="2"/>
  <c r="AC107" i="2"/>
  <c r="AC129" i="2"/>
  <c r="AC95" i="2"/>
  <c r="U84" i="2"/>
  <c r="U42" i="2"/>
  <c r="U39" i="2"/>
  <c r="U9" i="2"/>
  <c r="U107" i="2"/>
  <c r="U129" i="2"/>
  <c r="U95" i="2"/>
  <c r="T84" i="2"/>
  <c r="T42" i="2"/>
  <c r="T39" i="2"/>
  <c r="T9" i="2"/>
  <c r="T107" i="2"/>
  <c r="T129" i="2"/>
  <c r="T95" i="2"/>
  <c r="T105" i="3"/>
  <c r="U105" i="3"/>
  <c r="T64" i="3"/>
  <c r="U64" i="3"/>
  <c r="T65" i="3"/>
  <c r="U65" i="3"/>
  <c r="T75" i="3"/>
  <c r="U75" i="3"/>
  <c r="T34" i="3"/>
  <c r="U34" i="3"/>
  <c r="T5" i="3"/>
  <c r="U5" i="3"/>
  <c r="T26" i="3"/>
  <c r="K105" i="3"/>
  <c r="K64" i="3"/>
  <c r="K65" i="3"/>
  <c r="K75" i="3"/>
  <c r="K34" i="3"/>
  <c r="K5" i="3"/>
  <c r="Y232" i="1"/>
  <c r="Y326" i="1"/>
  <c r="Y191" i="1"/>
  <c r="Y234" i="1"/>
  <c r="Y115" i="1"/>
  <c r="Y287" i="1"/>
  <c r="Y45" i="1"/>
  <c r="Y59" i="1"/>
  <c r="Y190" i="1"/>
  <c r="Y32" i="1"/>
  <c r="Y297" i="1"/>
  <c r="Y352" i="1"/>
  <c r="Y363" i="1"/>
  <c r="Y356" i="1"/>
  <c r="Y156" i="1"/>
  <c r="Y129" i="1"/>
  <c r="Y25" i="1"/>
  <c r="Y332" i="1"/>
  <c r="Y12" i="1"/>
  <c r="Y106" i="1"/>
  <c r="Y73" i="1"/>
  <c r="Y350" i="1"/>
  <c r="Y17" i="1"/>
  <c r="Y353" i="1"/>
  <c r="Y48" i="1"/>
  <c r="Y178" i="1"/>
  <c r="Y148" i="1"/>
  <c r="G105" i="3"/>
  <c r="G64" i="3"/>
  <c r="G65" i="3"/>
  <c r="G75" i="3"/>
  <c r="G34" i="3"/>
  <c r="G5" i="3"/>
  <c r="G84" i="2"/>
  <c r="G42" i="2"/>
  <c r="G39" i="2"/>
  <c r="G9" i="2"/>
  <c r="G107" i="2"/>
  <c r="G129" i="2"/>
  <c r="G95" i="2"/>
  <c r="G124" i="2"/>
  <c r="G232" i="1"/>
  <c r="G326" i="1"/>
  <c r="G191" i="1"/>
  <c r="G234" i="1"/>
  <c r="G115" i="1"/>
  <c r="G287" i="1"/>
  <c r="G45" i="1"/>
  <c r="G59" i="1"/>
  <c r="G190" i="1"/>
  <c r="G32" i="1"/>
  <c r="G297" i="1"/>
  <c r="G352" i="1"/>
  <c r="G363" i="1"/>
  <c r="G356" i="1"/>
  <c r="G156" i="1"/>
  <c r="G129" i="1"/>
  <c r="G25" i="1"/>
  <c r="G332" i="1"/>
  <c r="G12" i="1"/>
  <c r="G106" i="1"/>
  <c r="G73" i="1"/>
  <c r="G350" i="1"/>
  <c r="G17" i="1"/>
  <c r="G353" i="1"/>
  <c r="G48" i="1"/>
  <c r="G178" i="1"/>
  <c r="G148" i="1"/>
  <c r="AE488" i="9"/>
  <c r="AA19" i="7"/>
  <c r="AA40" i="7"/>
  <c r="AA32" i="7"/>
  <c r="AA31" i="7"/>
  <c r="AA30" i="7"/>
  <c r="AA25" i="7"/>
  <c r="AA24" i="7"/>
  <c r="AA23" i="7"/>
  <c r="AA12" i="7"/>
  <c r="T6" i="3"/>
  <c r="U142" i="2"/>
  <c r="T142" i="2"/>
  <c r="Y40" i="7"/>
  <c r="G366" i="1"/>
  <c r="G362" i="1"/>
  <c r="AA425" i="9"/>
  <c r="N425" i="9"/>
  <c r="Z32" i="7"/>
  <c r="Z31" i="7"/>
  <c r="Z30" i="7"/>
  <c r="Z23" i="7"/>
  <c r="Z25" i="7"/>
  <c r="Z24" i="7"/>
  <c r="Z19" i="7"/>
  <c r="Z12" i="7"/>
  <c r="Z40" i="7"/>
  <c r="G133" i="2"/>
  <c r="G36" i="2"/>
  <c r="G90" i="2"/>
  <c r="G113" i="2"/>
  <c r="G12" i="2"/>
  <c r="G89" i="2"/>
  <c r="G100" i="2"/>
  <c r="G135" i="2"/>
  <c r="G34" i="2"/>
  <c r="G23" i="2"/>
  <c r="G51" i="2"/>
  <c r="G52" i="2"/>
  <c r="G82" i="2"/>
  <c r="G41" i="2"/>
  <c r="G35" i="2"/>
  <c r="G65" i="2"/>
  <c r="G120" i="2"/>
  <c r="G96" i="2"/>
  <c r="G101" i="2"/>
  <c r="G38" i="2"/>
  <c r="G69" i="2"/>
  <c r="G74" i="2"/>
  <c r="G110" i="2"/>
  <c r="G98" i="2"/>
  <c r="G125" i="2"/>
  <c r="G102" i="2"/>
  <c r="G79" i="2"/>
  <c r="G11" i="2"/>
  <c r="G112" i="2"/>
  <c r="G103" i="2"/>
  <c r="G32" i="2"/>
  <c r="G119" i="2"/>
  <c r="G60" i="2"/>
  <c r="G72" i="2"/>
  <c r="G92" i="2"/>
  <c r="G76" i="2"/>
  <c r="G123" i="2"/>
  <c r="G116" i="2"/>
  <c r="G14" i="2"/>
  <c r="G37" i="2"/>
  <c r="G67" i="2"/>
  <c r="G44" i="2"/>
  <c r="G99" i="2"/>
  <c r="G66" i="2"/>
  <c r="G105" i="2"/>
  <c r="G78" i="2"/>
  <c r="G143" i="2"/>
  <c r="G43" i="2"/>
  <c r="G111" i="2"/>
  <c r="G114" i="2"/>
  <c r="G137" i="2"/>
  <c r="G45" i="2"/>
  <c r="G55" i="2"/>
  <c r="G28" i="2"/>
  <c r="G128" i="2"/>
  <c r="G77" i="2"/>
  <c r="G58" i="2"/>
  <c r="G70" i="2"/>
  <c r="G81" i="2"/>
  <c r="G25" i="2"/>
  <c r="G118" i="2"/>
  <c r="G132" i="2"/>
  <c r="G46" i="2"/>
  <c r="G54" i="2"/>
  <c r="G30" i="2"/>
  <c r="G109" i="2"/>
  <c r="G147" i="2"/>
  <c r="G144" i="2"/>
  <c r="G33" i="2"/>
  <c r="G91" i="2"/>
  <c r="G117" i="2"/>
  <c r="G131" i="2"/>
  <c r="G141" i="2"/>
  <c r="G5" i="2"/>
  <c r="G16" i="2"/>
  <c r="G3" i="2"/>
  <c r="G146" i="2"/>
  <c r="G47" i="2"/>
  <c r="G26" i="2"/>
  <c r="G8" i="2"/>
  <c r="G149" i="2"/>
  <c r="Z425" i="9"/>
  <c r="M425" i="9"/>
  <c r="U27" i="3"/>
  <c r="U52" i="3"/>
  <c r="U88" i="3"/>
  <c r="T27" i="3"/>
  <c r="T52" i="3"/>
  <c r="T88" i="3"/>
  <c r="U27" i="2"/>
  <c r="U134" i="2"/>
  <c r="U90" i="2"/>
  <c r="U23" i="2"/>
  <c r="U51" i="2"/>
  <c r="T27" i="2"/>
  <c r="T134" i="2"/>
  <c r="T90" i="2"/>
  <c r="T23" i="2"/>
  <c r="T51" i="2"/>
  <c r="V154" i="1"/>
  <c r="U310" i="1"/>
  <c r="V310" i="1"/>
  <c r="U57" i="1"/>
  <c r="V57" i="1"/>
  <c r="U296" i="1"/>
  <c r="V296" i="1"/>
  <c r="U172" i="1"/>
  <c r="V172" i="1"/>
  <c r="U124" i="1"/>
  <c r="V124" i="1"/>
  <c r="U193" i="1"/>
  <c r="V193" i="1"/>
  <c r="U228" i="1"/>
  <c r="V228" i="1"/>
  <c r="U231" i="1"/>
  <c r="V231" i="1"/>
  <c r="AD98" i="3"/>
  <c r="AD13" i="3"/>
  <c r="AD62" i="3"/>
  <c r="AD103" i="3"/>
  <c r="AD85" i="3"/>
  <c r="AD36" i="3"/>
  <c r="AD27" i="3"/>
  <c r="AD52" i="3"/>
  <c r="AD88" i="3"/>
  <c r="T36" i="3"/>
  <c r="U36" i="3"/>
  <c r="K36" i="3"/>
  <c r="K27" i="3"/>
  <c r="K52" i="3"/>
  <c r="K88" i="3"/>
  <c r="G36" i="3"/>
  <c r="G27" i="3"/>
  <c r="G52" i="3"/>
  <c r="G88" i="3"/>
  <c r="AC30" i="2"/>
  <c r="AC118" i="2"/>
  <c r="AC142" i="2"/>
  <c r="AC4" i="2"/>
  <c r="AC94" i="2"/>
  <c r="T63" i="2"/>
  <c r="U63" i="2"/>
  <c r="G63" i="2"/>
  <c r="G27" i="2"/>
  <c r="G134" i="2"/>
  <c r="Y154" i="1"/>
  <c r="Y310" i="1"/>
  <c r="Y57" i="1"/>
  <c r="Y296" i="1"/>
  <c r="Y172" i="1"/>
  <c r="Y124" i="1"/>
  <c r="Y193" i="1"/>
  <c r="Y228" i="1"/>
  <c r="Y231" i="1"/>
  <c r="Y362" i="1"/>
  <c r="U154" i="1"/>
  <c r="K281" i="1"/>
  <c r="K240" i="1"/>
  <c r="K3" i="1"/>
  <c r="K235" i="1"/>
  <c r="K341" i="1"/>
  <c r="K136" i="1"/>
  <c r="K180" i="1"/>
  <c r="K20" i="1"/>
  <c r="K109" i="1"/>
  <c r="G154" i="1"/>
  <c r="G310" i="1"/>
  <c r="G57" i="1"/>
  <c r="G296" i="1"/>
  <c r="G172" i="1"/>
  <c r="G124" i="1"/>
  <c r="G193" i="1"/>
  <c r="G228" i="1"/>
  <c r="G231" i="1"/>
  <c r="G164" i="1"/>
  <c r="L425" i="9"/>
  <c r="Y425" i="9"/>
  <c r="X425" i="9"/>
  <c r="W425" i="9"/>
  <c r="V425" i="9"/>
  <c r="U425" i="9"/>
  <c r="T425" i="9"/>
  <c r="S425" i="9"/>
  <c r="R425" i="9"/>
  <c r="Q425" i="9"/>
  <c r="P425" i="9"/>
  <c r="O425" i="9"/>
  <c r="K425" i="9"/>
  <c r="J425" i="9"/>
  <c r="I425" i="9"/>
  <c r="H425" i="9"/>
  <c r="G425" i="9"/>
  <c r="F425" i="9"/>
  <c r="E425" i="9"/>
  <c r="D425" i="9"/>
  <c r="C425" i="9"/>
  <c r="B425" i="9"/>
  <c r="Z41" i="7" l="1"/>
  <c r="N433" i="9"/>
  <c r="M433" i="9"/>
  <c r="AB41" i="7"/>
  <c r="AB26" i="7"/>
  <c r="AA41" i="7"/>
  <c r="AB33" i="7"/>
  <c r="J319" i="5"/>
  <c r="K433" i="9"/>
  <c r="AA33" i="7"/>
  <c r="AA26" i="7"/>
  <c r="Z33" i="7"/>
  <c r="Z26" i="7"/>
  <c r="L433" i="9"/>
  <c r="W377" i="1"/>
  <c r="U131" i="3"/>
  <c r="K319" i="5"/>
  <c r="I433" i="9"/>
  <c r="J433" i="9"/>
  <c r="C433" i="9"/>
  <c r="D433" i="9"/>
  <c r="A433" i="9"/>
  <c r="B433" i="9"/>
  <c r="E433" i="9"/>
  <c r="F433" i="9"/>
  <c r="H433" i="9"/>
  <c r="G433" i="9"/>
  <c r="U4" i="2"/>
  <c r="U31" i="2"/>
  <c r="U64" i="2"/>
  <c r="U148" i="2"/>
  <c r="T4" i="2"/>
  <c r="T31" i="2"/>
  <c r="T64" i="2"/>
  <c r="T148" i="2"/>
  <c r="V200" i="1"/>
  <c r="V208" i="1"/>
  <c r="V102" i="1"/>
  <c r="V341" i="1"/>
  <c r="V87" i="1"/>
  <c r="V201" i="1"/>
  <c r="V318" i="1"/>
  <c r="V179" i="1"/>
  <c r="V164" i="1"/>
  <c r="U200" i="1"/>
  <c r="U208" i="1"/>
  <c r="U102" i="1"/>
  <c r="U341" i="1"/>
  <c r="U87" i="1"/>
  <c r="U201" i="1"/>
  <c r="U318" i="1"/>
  <c r="U179" i="1"/>
  <c r="U164" i="1"/>
  <c r="U368" i="1"/>
  <c r="AC109" i="2"/>
  <c r="AC32" i="2"/>
  <c r="AC69" i="2"/>
  <c r="AC113" i="2"/>
  <c r="AC130" i="2"/>
  <c r="AC114" i="2"/>
  <c r="AC14" i="2"/>
  <c r="AC16" i="2"/>
  <c r="AC67" i="2"/>
  <c r="AC126" i="2"/>
  <c r="AC120" i="2"/>
  <c r="G148" i="2"/>
  <c r="G64" i="2"/>
  <c r="G31" i="2"/>
  <c r="G4" i="2"/>
  <c r="K313" i="1"/>
  <c r="K210" i="1"/>
  <c r="K160" i="1"/>
  <c r="K102" i="1"/>
  <c r="K175" i="1"/>
  <c r="K280" i="1"/>
  <c r="Y341" i="1"/>
  <c r="Y87" i="1"/>
  <c r="Y201" i="1"/>
  <c r="Y318" i="1"/>
  <c r="Y179" i="1"/>
  <c r="Y164" i="1"/>
  <c r="Y102" i="1"/>
  <c r="Y317" i="1"/>
  <c r="Y367" i="1"/>
  <c r="Y20" i="1"/>
  <c r="Y284" i="1"/>
  <c r="Y334" i="1"/>
  <c r="Y354" i="1"/>
  <c r="Y255" i="1"/>
  <c r="Y269" i="1"/>
  <c r="Y50" i="1"/>
  <c r="Y209" i="1"/>
  <c r="Y316" i="1"/>
  <c r="Y114" i="1"/>
  <c r="Y69" i="1"/>
  <c r="Y349" i="1"/>
  <c r="Y281" i="1"/>
  <c r="Y186" i="1"/>
  <c r="Y322" i="1"/>
  <c r="Y364" i="1"/>
  <c r="Y218" i="1"/>
  <c r="Y44" i="1"/>
  <c r="Y171" i="1"/>
  <c r="Y276" i="1"/>
  <c r="Y315" i="1"/>
  <c r="Y83" i="1"/>
  <c r="Y120" i="1"/>
  <c r="Y203" i="1"/>
  <c r="Y199" i="1"/>
  <c r="Y13" i="1"/>
  <c r="Y155" i="1"/>
  <c r="Y342" i="1"/>
  <c r="Y122" i="1"/>
  <c r="Y140" i="1"/>
  <c r="Y324" i="1"/>
  <c r="Y141" i="1"/>
  <c r="Y166" i="1"/>
  <c r="Y280" i="1"/>
  <c r="Y173" i="1"/>
  <c r="Y175" i="1"/>
  <c r="Y195" i="1"/>
  <c r="Y204" i="1"/>
  <c r="Y325" i="1"/>
  <c r="Y49" i="1"/>
  <c r="Y41" i="1"/>
  <c r="Y10" i="1"/>
  <c r="Y290" i="1"/>
  <c r="Y243" i="1"/>
  <c r="Y259" i="1"/>
  <c r="Y249" i="1"/>
  <c r="Y246" i="1"/>
  <c r="Y331" i="1"/>
  <c r="Y336" i="1"/>
  <c r="Y335" i="1"/>
  <c r="Y143" i="1"/>
  <c r="Y165" i="1"/>
  <c r="Y283" i="1"/>
  <c r="Y294" i="1"/>
  <c r="Y93" i="1"/>
  <c r="Y189" i="1"/>
  <c r="Y197" i="1"/>
  <c r="Y101" i="1"/>
  <c r="Y340" i="1"/>
  <c r="Y72" i="1"/>
  <c r="Y194" i="1"/>
  <c r="Y298" i="1"/>
  <c r="Y123" i="1"/>
  <c r="Y277" i="1"/>
  <c r="Y107" i="1"/>
  <c r="Y210" i="1"/>
  <c r="Y309" i="1"/>
  <c r="Y229" i="1"/>
  <c r="Y144" i="1"/>
  <c r="Y257" i="1"/>
  <c r="Y267" i="1"/>
  <c r="Y300" i="1"/>
  <c r="Y253" i="1"/>
  <c r="Y265" i="1"/>
  <c r="Y118" i="1"/>
  <c r="Y254" i="1"/>
  <c r="Y275" i="1"/>
  <c r="Y92" i="1"/>
  <c r="Y311" i="1"/>
  <c r="Y301" i="1"/>
  <c r="Y260" i="1"/>
  <c r="Y181" i="1"/>
  <c r="Y96" i="1"/>
  <c r="Y184" i="1"/>
  <c r="Y238" i="1"/>
  <c r="Y160" i="1"/>
  <c r="Y230" i="1"/>
  <c r="Y286" i="1"/>
  <c r="Y170" i="1"/>
  <c r="Y112" i="1"/>
  <c r="Y149" i="1"/>
  <c r="Y223" i="1"/>
  <c r="Y198" i="1"/>
  <c r="Y321" i="1"/>
  <c r="Y65" i="1"/>
  <c r="Y64" i="1"/>
  <c r="Y217" i="1"/>
  <c r="Y245" i="1"/>
  <c r="Y279" i="1"/>
  <c r="Y307" i="1"/>
  <c r="Y185" i="1"/>
  <c r="Y278" i="1"/>
  <c r="Y43" i="1"/>
  <c r="Y327" i="1"/>
  <c r="Y247" i="1"/>
  <c r="Y252" i="1"/>
  <c r="Y202" i="1"/>
  <c r="Y153" i="1"/>
  <c r="Y116" i="1"/>
  <c r="Y182" i="1"/>
  <c r="Y282" i="1"/>
  <c r="Y206" i="1"/>
  <c r="Y263" i="1"/>
  <c r="Y292" i="1"/>
  <c r="Y177" i="1"/>
  <c r="Y242" i="1"/>
  <c r="Y293" i="1"/>
  <c r="Y251" i="1"/>
  <c r="Y240" i="1"/>
  <c r="Y273" i="1"/>
  <c r="Y3" i="1"/>
  <c r="Y183" i="1"/>
  <c r="Y351" i="1"/>
  <c r="Y288" i="1"/>
  <c r="Y224" i="1"/>
  <c r="Y138" i="1"/>
  <c r="Y264" i="1"/>
  <c r="Y343" i="1"/>
  <c r="Y56" i="1"/>
  <c r="Y81" i="1"/>
  <c r="Y261" i="1"/>
  <c r="Y7" i="1"/>
  <c r="Y192" i="1"/>
  <c r="Y131" i="1"/>
  <c r="Y233" i="1"/>
  <c r="Y213" i="1"/>
  <c r="Y207" i="1"/>
  <c r="Y241" i="1"/>
  <c r="Y302" i="1"/>
  <c r="Y258" i="1"/>
  <c r="Y312" i="1"/>
  <c r="Y60" i="1"/>
  <c r="Y248" i="1"/>
  <c r="Y135" i="1"/>
  <c r="Y134" i="1"/>
  <c r="Y285" i="1"/>
  <c r="Y365" i="1"/>
  <c r="Y111" i="1"/>
  <c r="Y236" i="1"/>
  <c r="Y239" i="1"/>
  <c r="Y227" i="1"/>
  <c r="Y219" i="1"/>
  <c r="Y109" i="1"/>
  <c r="Y86" i="1"/>
  <c r="Y196" i="1"/>
  <c r="Y244" i="1"/>
  <c r="Y291" i="1"/>
  <c r="Y180" i="1"/>
  <c r="Y216" i="1"/>
  <c r="Y266" i="1"/>
  <c r="Y235" i="1"/>
  <c r="Y304" i="1"/>
  <c r="Y320" i="1"/>
  <c r="Y329" i="1"/>
  <c r="Y168" i="1"/>
  <c r="Y345" i="1"/>
  <c r="Y313" i="1"/>
  <c r="Y16" i="1"/>
  <c r="Y77" i="1"/>
  <c r="Y256" i="1"/>
  <c r="Y14" i="1"/>
  <c r="Y360" i="1"/>
  <c r="Y237" i="1"/>
  <c r="Y29" i="1"/>
  <c r="Y70" i="1"/>
  <c r="Y30" i="1"/>
  <c r="Y333" i="1"/>
  <c r="Y167" i="1"/>
  <c r="Y136" i="1"/>
  <c r="Y339" i="1"/>
  <c r="Y176" i="1"/>
  <c r="Y110" i="1"/>
  <c r="Y68" i="1"/>
  <c r="Y139" i="1"/>
  <c r="Y344" i="1"/>
  <c r="Y359" i="1"/>
  <c r="Y214" i="1"/>
  <c r="Y323" i="1"/>
  <c r="Y220" i="1"/>
  <c r="Y66" i="1"/>
  <c r="Y361" i="1"/>
  <c r="Y159" i="1"/>
  <c r="Y328" i="1"/>
  <c r="Y357" i="1"/>
  <c r="Y366" i="1"/>
  <c r="Y6" i="1"/>
  <c r="Y200" i="1"/>
  <c r="Y208" i="1"/>
  <c r="Y368" i="1"/>
  <c r="G179" i="1"/>
  <c r="G318" i="1"/>
  <c r="G201" i="1"/>
  <c r="G87" i="1"/>
  <c r="G341" i="1"/>
  <c r="U81" i="2"/>
  <c r="U37" i="2"/>
  <c r="U92" i="2"/>
  <c r="U94" i="2"/>
  <c r="U140" i="2"/>
  <c r="U124" i="2"/>
  <c r="U130" i="2"/>
  <c r="T81" i="2"/>
  <c r="T37" i="2"/>
  <c r="T92" i="2"/>
  <c r="T94" i="2"/>
  <c r="T140" i="2"/>
  <c r="T124" i="2"/>
  <c r="T130" i="2"/>
  <c r="U98" i="3"/>
  <c r="U13" i="3"/>
  <c r="U62" i="3"/>
  <c r="U103" i="3"/>
  <c r="U85" i="3"/>
  <c r="T98" i="3"/>
  <c r="T13" i="3"/>
  <c r="T62" i="3"/>
  <c r="T103" i="3"/>
  <c r="T85" i="3"/>
  <c r="G62" i="3"/>
  <c r="G103" i="3"/>
  <c r="G85" i="3"/>
  <c r="G13" i="3"/>
  <c r="G98" i="3"/>
  <c r="AC7" i="2"/>
  <c r="G94" i="2"/>
  <c r="G140" i="2"/>
  <c r="G130" i="2"/>
  <c r="K124" i="1"/>
  <c r="K357" i="1"/>
  <c r="K114" i="1"/>
  <c r="G208" i="1"/>
  <c r="G102" i="1"/>
  <c r="G200" i="1"/>
  <c r="AD4" i="3"/>
  <c r="AD89" i="3"/>
  <c r="AD99" i="3"/>
  <c r="AD30" i="3"/>
  <c r="AD97" i="3"/>
  <c r="AD51" i="3"/>
  <c r="AD41" i="3"/>
  <c r="AD66" i="3"/>
  <c r="AD96" i="3"/>
  <c r="AD93" i="3"/>
  <c r="AD22" i="3"/>
  <c r="AD122" i="3"/>
  <c r="AD79" i="3"/>
  <c r="AD6" i="3"/>
  <c r="AD115" i="3"/>
  <c r="AD46" i="3"/>
  <c r="AD17" i="3"/>
  <c r="AD56" i="3"/>
  <c r="AD53" i="3"/>
  <c r="AD113" i="3"/>
  <c r="AD20" i="3"/>
  <c r="AD32" i="3"/>
  <c r="AD76" i="3"/>
  <c r="AD43" i="3"/>
  <c r="AD84" i="3"/>
  <c r="AD58" i="3"/>
  <c r="AD80" i="3"/>
  <c r="AD24" i="3"/>
  <c r="AD61" i="3"/>
  <c r="AD112" i="3"/>
  <c r="AD50" i="3"/>
  <c r="AD55" i="3"/>
  <c r="AD7" i="3"/>
  <c r="AD16" i="3"/>
  <c r="AD25" i="3"/>
  <c r="AD114" i="3"/>
  <c r="AD110" i="3"/>
  <c r="AD87" i="3"/>
  <c r="AD57" i="3"/>
  <c r="AD35" i="3"/>
  <c r="AD60" i="3"/>
  <c r="AD39" i="3"/>
  <c r="AD117" i="3"/>
  <c r="AD33" i="3"/>
  <c r="AD108" i="3"/>
  <c r="AD73" i="3"/>
  <c r="AD42" i="3"/>
  <c r="AD71" i="3"/>
  <c r="AD31" i="3"/>
  <c r="AD101" i="3"/>
  <c r="AD74" i="3"/>
  <c r="AD3" i="3"/>
  <c r="AD29" i="3"/>
  <c r="AD38" i="3"/>
  <c r="AD107" i="3"/>
  <c r="AD44" i="3"/>
  <c r="AD69" i="3"/>
  <c r="AD72" i="3"/>
  <c r="AD59" i="3"/>
  <c r="AD100" i="3"/>
  <c r="AD116" i="3"/>
  <c r="AD67" i="3"/>
  <c r="AD28" i="3"/>
  <c r="AD111" i="3"/>
  <c r="AD26" i="3"/>
  <c r="AD82" i="3"/>
  <c r="AD109" i="3"/>
  <c r="AD119" i="3"/>
  <c r="AD78" i="3"/>
  <c r="AD77" i="3"/>
  <c r="AD92" i="3"/>
  <c r="AD86" i="3"/>
  <c r="AD94" i="3"/>
  <c r="AD19" i="3"/>
  <c r="AD63" i="3"/>
  <c r="AD10" i="3"/>
  <c r="AD118" i="3"/>
  <c r="AD70" i="3"/>
  <c r="AD48" i="3"/>
  <c r="AD21" i="3"/>
  <c r="AD102" i="3"/>
  <c r="AD23" i="3"/>
  <c r="AD106" i="3"/>
  <c r="AD91" i="3"/>
  <c r="AD125" i="3"/>
  <c r="AD37" i="3"/>
  <c r="AD45" i="3"/>
  <c r="AD49" i="3"/>
  <c r="AD81" i="3"/>
  <c r="AD54" i="3"/>
  <c r="AD68" i="3"/>
  <c r="AD123" i="3"/>
  <c r="AD127" i="3"/>
  <c r="AD126" i="3"/>
  <c r="AD104" i="3"/>
  <c r="AC3" i="2"/>
  <c r="AC105" i="2"/>
  <c r="AC146" i="2"/>
  <c r="AC147" i="2"/>
  <c r="AC61" i="2"/>
  <c r="AC13" i="2"/>
  <c r="AC145" i="2"/>
  <c r="AC144" i="2"/>
  <c r="AC21" i="2"/>
  <c r="AC148" i="2"/>
  <c r="AC28" i="2"/>
  <c r="AC23" i="2"/>
  <c r="AC26" i="2"/>
  <c r="AC5" i="2"/>
  <c r="AC143" i="2"/>
  <c r="AC20" i="2"/>
  <c r="AC63" i="2"/>
  <c r="AC90" i="2"/>
  <c r="AC51" i="2"/>
  <c r="AC68" i="2"/>
  <c r="AC149" i="2"/>
  <c r="AC78" i="2"/>
  <c r="AC134" i="2"/>
  <c r="AC131" i="2"/>
  <c r="AC119" i="2"/>
  <c r="AC22" i="2"/>
  <c r="AC115" i="2"/>
  <c r="AC102" i="2"/>
  <c r="AC27" i="2"/>
  <c r="AC110" i="2"/>
  <c r="AC137" i="2"/>
  <c r="AC92" i="2"/>
  <c r="AC141" i="2"/>
  <c r="AC81" i="2"/>
  <c r="AC125" i="2"/>
  <c r="AC75" i="2"/>
  <c r="AC112" i="2"/>
  <c r="AC108" i="2"/>
  <c r="AC96" i="2"/>
  <c r="AC46" i="2"/>
  <c r="AC101" i="2"/>
  <c r="AC122" i="2"/>
  <c r="AC44" i="2"/>
  <c r="AC139" i="2"/>
  <c r="AC33" i="2"/>
  <c r="AC66" i="2"/>
  <c r="AC124" i="2"/>
  <c r="AC64" i="2"/>
  <c r="AC104" i="2"/>
  <c r="AC59" i="2"/>
  <c r="AC133" i="2"/>
  <c r="AC117" i="2"/>
  <c r="AC6" i="2"/>
  <c r="AC8" i="2"/>
  <c r="AC31" i="2"/>
  <c r="AC38" i="2"/>
  <c r="AC100" i="2"/>
  <c r="AC121" i="2"/>
  <c r="AC12" i="2"/>
  <c r="AC53" i="2"/>
  <c r="AC77" i="2"/>
  <c r="AC80" i="2"/>
  <c r="AC54" i="2"/>
  <c r="AC41" i="2"/>
  <c r="AC93" i="2"/>
  <c r="AC58" i="2"/>
  <c r="AC123" i="2"/>
  <c r="AC127" i="2"/>
  <c r="AC71" i="2"/>
  <c r="AC25" i="2"/>
  <c r="AC43" i="2"/>
  <c r="AC55" i="2"/>
  <c r="AC72" i="2"/>
  <c r="AC11" i="2"/>
  <c r="AC47" i="2"/>
  <c r="AC103" i="2"/>
  <c r="AC91" i="2"/>
  <c r="AC70" i="2"/>
  <c r="AC116" i="2"/>
  <c r="AC62" i="2"/>
  <c r="AC74" i="2"/>
  <c r="AC128" i="2"/>
  <c r="AC29" i="2"/>
  <c r="AC73" i="2"/>
  <c r="AC97" i="2"/>
  <c r="AC40" i="2"/>
  <c r="AC106" i="2"/>
  <c r="AC83" i="2"/>
  <c r="AC89" i="2"/>
  <c r="AC56" i="2"/>
  <c r="AC99" i="2"/>
  <c r="AC34" i="2"/>
  <c r="AC82" i="2"/>
  <c r="AC60" i="2"/>
  <c r="AC76" i="2"/>
  <c r="AC79" i="2"/>
  <c r="AC50" i="2"/>
  <c r="AC132" i="2"/>
  <c r="AC135" i="2"/>
  <c r="AC37" i="2"/>
  <c r="AC35" i="2"/>
  <c r="AC140" i="2"/>
  <c r="AC52" i="2"/>
  <c r="AC111" i="2"/>
  <c r="AC65" i="2"/>
  <c r="AC98" i="2"/>
  <c r="AC36" i="2"/>
  <c r="K6" i="1"/>
  <c r="V368" i="1"/>
  <c r="T70" i="2"/>
  <c r="U70" i="2"/>
  <c r="T56" i="2"/>
  <c r="U56" i="2"/>
  <c r="T145" i="2"/>
  <c r="U145" i="2"/>
  <c r="V366" i="1"/>
  <c r="V233" i="1"/>
  <c r="V14" i="1"/>
  <c r="V70" i="1"/>
  <c r="U333" i="1"/>
  <c r="U366" i="1"/>
  <c r="U233" i="1"/>
  <c r="U14" i="1"/>
  <c r="U70" i="1"/>
  <c r="G145" i="2"/>
  <c r="G56" i="2"/>
  <c r="V333" i="1"/>
  <c r="K92" i="1"/>
  <c r="K366" i="1"/>
  <c r="K69" i="1"/>
  <c r="K107" i="1"/>
  <c r="K123" i="1"/>
  <c r="G333" i="1"/>
  <c r="G233" i="1"/>
  <c r="G14" i="1"/>
  <c r="G70" i="1"/>
  <c r="U107" i="3"/>
  <c r="T24" i="3"/>
  <c r="T89" i="3"/>
  <c r="U89" i="3"/>
  <c r="T51" i="3"/>
  <c r="U106" i="3"/>
  <c r="T106" i="3"/>
  <c r="U68" i="3"/>
  <c r="U66" i="3"/>
  <c r="U122" i="3"/>
  <c r="U49" i="3"/>
  <c r="U84" i="3"/>
  <c r="U79" i="3"/>
  <c r="U80" i="3"/>
  <c r="U76" i="3"/>
  <c r="U72" i="3"/>
  <c r="U73" i="3"/>
  <c r="U100" i="3"/>
  <c r="U81" i="3"/>
  <c r="U91" i="3"/>
  <c r="U119" i="3"/>
  <c r="U23" i="3"/>
  <c r="U115" i="3"/>
  <c r="U39" i="3"/>
  <c r="U92" i="3"/>
  <c r="U118" i="3"/>
  <c r="U7" i="3"/>
  <c r="U61" i="3"/>
  <c r="U69" i="3"/>
  <c r="U102" i="3"/>
  <c r="U45" i="3"/>
  <c r="U78" i="3"/>
  <c r="U60" i="3"/>
  <c r="U57" i="3"/>
  <c r="U42" i="3"/>
  <c r="U94" i="3"/>
  <c r="U43" i="3"/>
  <c r="U71" i="3"/>
  <c r="U29" i="3"/>
  <c r="U33" i="3"/>
  <c r="U31" i="3"/>
  <c r="U109" i="3"/>
  <c r="U67" i="3"/>
  <c r="U48" i="3"/>
  <c r="U35" i="3"/>
  <c r="U55" i="3"/>
  <c r="U56" i="3"/>
  <c r="U58" i="3"/>
  <c r="U87" i="3"/>
  <c r="U21" i="3"/>
  <c r="U108" i="3"/>
  <c r="U63" i="3"/>
  <c r="U77" i="3"/>
  <c r="U59" i="3"/>
  <c r="U10" i="3"/>
  <c r="U110" i="3"/>
  <c r="U99" i="3"/>
  <c r="U46" i="3"/>
  <c r="U86" i="3"/>
  <c r="U44" i="3"/>
  <c r="U74" i="3"/>
  <c r="U20" i="3"/>
  <c r="U4" i="3"/>
  <c r="U19" i="3"/>
  <c r="U114" i="3"/>
  <c r="U117" i="3"/>
  <c r="U54" i="3"/>
  <c r="U38" i="3"/>
  <c r="U32" i="3"/>
  <c r="U112" i="3"/>
  <c r="U17" i="3"/>
  <c r="U93" i="3"/>
  <c r="U104" i="3"/>
  <c r="U82" i="3"/>
  <c r="U16" i="3"/>
  <c r="U25" i="3"/>
  <c r="U50" i="3"/>
  <c r="U123" i="3"/>
  <c r="U70" i="3"/>
  <c r="U41" i="3"/>
  <c r="U125" i="3"/>
  <c r="U53" i="3"/>
  <c r="U37" i="3"/>
  <c r="U101" i="3"/>
  <c r="U113" i="3"/>
  <c r="U97" i="3"/>
  <c r="U22" i="3"/>
  <c r="U116" i="3"/>
  <c r="U24" i="3"/>
  <c r="U126" i="3"/>
  <c r="U127" i="3"/>
  <c r="U96" i="3"/>
  <c r="T107" i="3"/>
  <c r="T68" i="3"/>
  <c r="T66" i="3"/>
  <c r="T122" i="3"/>
  <c r="T49" i="3"/>
  <c r="T84" i="3"/>
  <c r="T79" i="3"/>
  <c r="T80" i="3"/>
  <c r="T76" i="3"/>
  <c r="T72" i="3"/>
  <c r="T73" i="3"/>
  <c r="T100" i="3"/>
  <c r="T81" i="3"/>
  <c r="T91" i="3"/>
  <c r="T119" i="3"/>
  <c r="T23" i="3"/>
  <c r="T115" i="3"/>
  <c r="T39" i="3"/>
  <c r="T92" i="3"/>
  <c r="T118" i="3"/>
  <c r="T7" i="3"/>
  <c r="T61" i="3"/>
  <c r="T69" i="3"/>
  <c r="T102" i="3"/>
  <c r="T45" i="3"/>
  <c r="T78" i="3"/>
  <c r="T60" i="3"/>
  <c r="T57" i="3"/>
  <c r="T42" i="3"/>
  <c r="T94" i="3"/>
  <c r="T43" i="3"/>
  <c r="T71" i="3"/>
  <c r="T29" i="3"/>
  <c r="T33" i="3"/>
  <c r="T31" i="3"/>
  <c r="T109" i="3"/>
  <c r="T67" i="3"/>
  <c r="T48" i="3"/>
  <c r="T35" i="3"/>
  <c r="T55" i="3"/>
  <c r="T56" i="3"/>
  <c r="T58" i="3"/>
  <c r="T87" i="3"/>
  <c r="T21" i="3"/>
  <c r="T108" i="3"/>
  <c r="T63" i="3"/>
  <c r="T77" i="3"/>
  <c r="T59" i="3"/>
  <c r="T10" i="3"/>
  <c r="T110" i="3"/>
  <c r="T99" i="3"/>
  <c r="T46" i="3"/>
  <c r="T86" i="3"/>
  <c r="T44" i="3"/>
  <c r="T74" i="3"/>
  <c r="T20" i="3"/>
  <c r="T4" i="3"/>
  <c r="T19" i="3"/>
  <c r="T114" i="3"/>
  <c r="T117" i="3"/>
  <c r="T54" i="3"/>
  <c r="T38" i="3"/>
  <c r="T32" i="3"/>
  <c r="T112" i="3"/>
  <c r="T17" i="3"/>
  <c r="T93" i="3"/>
  <c r="T104" i="3"/>
  <c r="T82" i="3"/>
  <c r="T16" i="3"/>
  <c r="T25" i="3"/>
  <c r="T50" i="3"/>
  <c r="T123" i="3"/>
  <c r="T70" i="3"/>
  <c r="T41" i="3"/>
  <c r="T125" i="3"/>
  <c r="T53" i="3"/>
  <c r="T37" i="3"/>
  <c r="T101" i="3"/>
  <c r="T113" i="3"/>
  <c r="T97" i="3"/>
  <c r="T22" i="3"/>
  <c r="T116" i="3"/>
  <c r="T126" i="3"/>
  <c r="T127" i="3"/>
  <c r="T96" i="3"/>
  <c r="T3" i="3"/>
  <c r="U50" i="2"/>
  <c r="U47" i="2"/>
  <c r="U118" i="2"/>
  <c r="T50" i="2"/>
  <c r="T47" i="2"/>
  <c r="T118" i="2"/>
  <c r="V60" i="1"/>
  <c r="V195" i="1"/>
  <c r="V322" i="1"/>
  <c r="V220" i="1"/>
  <c r="V69" i="1"/>
  <c r="V284" i="1"/>
  <c r="V44" i="1"/>
  <c r="V3" i="1"/>
  <c r="V68" i="1"/>
  <c r="V29" i="1"/>
  <c r="V312" i="1"/>
  <c r="V362" i="1"/>
  <c r="V239" i="1"/>
  <c r="V349" i="1"/>
  <c r="V30" i="1"/>
  <c r="V360" i="1"/>
  <c r="V361" i="1"/>
  <c r="V334" i="1"/>
  <c r="V20" i="1"/>
  <c r="V171" i="1"/>
  <c r="V256" i="1"/>
  <c r="V114" i="1"/>
  <c r="V111" i="1"/>
  <c r="V216" i="1"/>
  <c r="V181" i="1"/>
  <c r="V214" i="1"/>
  <c r="V167" i="1"/>
  <c r="V357" i="1"/>
  <c r="U60" i="1"/>
  <c r="U195" i="1"/>
  <c r="U322" i="1"/>
  <c r="U220" i="1"/>
  <c r="U69" i="1"/>
  <c r="U284" i="1"/>
  <c r="U44" i="1"/>
  <c r="U3" i="1"/>
  <c r="U68" i="1"/>
  <c r="U29" i="1"/>
  <c r="U312" i="1"/>
  <c r="U362" i="1"/>
  <c r="U239" i="1"/>
  <c r="U349" i="1"/>
  <c r="U30" i="1"/>
  <c r="U360" i="1"/>
  <c r="U361" i="1"/>
  <c r="U334" i="1"/>
  <c r="U20" i="1"/>
  <c r="U171" i="1"/>
  <c r="U256" i="1"/>
  <c r="U114" i="1"/>
  <c r="U111" i="1"/>
  <c r="U216" i="1"/>
  <c r="U181" i="1"/>
  <c r="U214" i="1"/>
  <c r="U167" i="1"/>
  <c r="U357" i="1"/>
  <c r="V180" i="1"/>
  <c r="U180" i="1"/>
  <c r="U365" i="1"/>
  <c r="V354" i="1"/>
  <c r="V317" i="1"/>
  <c r="V10" i="1"/>
  <c r="V339" i="1"/>
  <c r="V96" i="1"/>
  <c r="V313" i="1"/>
  <c r="V266" i="1"/>
  <c r="V235" i="1"/>
  <c r="V237" i="1"/>
  <c r="V283" i="1"/>
  <c r="V230" i="1"/>
  <c r="V331" i="1"/>
  <c r="V41" i="1"/>
  <c r="V176" i="1"/>
  <c r="V243" i="1"/>
  <c r="V335" i="1"/>
  <c r="V249" i="1"/>
  <c r="V311" i="1"/>
  <c r="V325" i="1"/>
  <c r="V288" i="1"/>
  <c r="V149" i="1"/>
  <c r="V324" i="1"/>
  <c r="V275" i="1"/>
  <c r="V282" i="1"/>
  <c r="V56" i="1"/>
  <c r="V258" i="1"/>
  <c r="V261" i="1"/>
  <c r="V302" i="1"/>
  <c r="V309" i="1"/>
  <c r="V122" i="1"/>
  <c r="V264" i="1"/>
  <c r="V327" i="1"/>
  <c r="V213" i="1"/>
  <c r="V245" i="1"/>
  <c r="V194" i="1"/>
  <c r="V210" i="1"/>
  <c r="V276" i="1"/>
  <c r="V290" i="1"/>
  <c r="V259" i="1"/>
  <c r="V359" i="1"/>
  <c r="V253" i="1"/>
  <c r="V263" i="1"/>
  <c r="V189" i="1"/>
  <c r="V123" i="1"/>
  <c r="V316" i="1"/>
  <c r="V254" i="1"/>
  <c r="V260" i="1"/>
  <c r="V252" i="1"/>
  <c r="V267" i="1"/>
  <c r="V293" i="1"/>
  <c r="V273" i="1"/>
  <c r="V257" i="1"/>
  <c r="V251" i="1"/>
  <c r="V203" i="1"/>
  <c r="V227" i="1"/>
  <c r="V342" i="1"/>
  <c r="V279" i="1"/>
  <c r="V265" i="1"/>
  <c r="V238" i="1"/>
  <c r="V304" i="1"/>
  <c r="V224" i="1"/>
  <c r="V118" i="1"/>
  <c r="V278" i="1"/>
  <c r="V246" i="1"/>
  <c r="V307" i="1"/>
  <c r="V298" i="1"/>
  <c r="V300" i="1"/>
  <c r="V219" i="1"/>
  <c r="V321" i="1"/>
  <c r="V175" i="1"/>
  <c r="V206" i="1"/>
  <c r="V153" i="1"/>
  <c r="V340" i="1"/>
  <c r="V7" i="1"/>
  <c r="V64" i="1"/>
  <c r="V170" i="1"/>
  <c r="V292" i="1"/>
  <c r="V135" i="1"/>
  <c r="V131" i="1"/>
  <c r="V49" i="1"/>
  <c r="V328" i="1"/>
  <c r="V204" i="1"/>
  <c r="V185" i="1"/>
  <c r="V140" i="1"/>
  <c r="V65" i="1"/>
  <c r="V244" i="1"/>
  <c r="V277" i="1"/>
  <c r="V197" i="1"/>
  <c r="V247" i="1"/>
  <c r="V320" i="1"/>
  <c r="V285" i="1"/>
  <c r="V242" i="1"/>
  <c r="V217" i="1"/>
  <c r="V255" i="1"/>
  <c r="V301" i="1"/>
  <c r="V240" i="1"/>
  <c r="V236" i="1"/>
  <c r="V229" i="1"/>
  <c r="V345" i="1"/>
  <c r="V336" i="1"/>
  <c r="V291" i="1"/>
  <c r="V139" i="1"/>
  <c r="V223" i="1"/>
  <c r="V209" i="1"/>
  <c r="V136" i="1"/>
  <c r="V177" i="1"/>
  <c r="V50" i="1"/>
  <c r="V112" i="1"/>
  <c r="V202" i="1"/>
  <c r="V101" i="1"/>
  <c r="V207" i="1"/>
  <c r="V107" i="1"/>
  <c r="V81" i="1"/>
  <c r="V241" i="1"/>
  <c r="V160" i="1"/>
  <c r="V351" i="1"/>
  <c r="V138" i="1"/>
  <c r="V364" i="1"/>
  <c r="V166" i="1"/>
  <c r="V199" i="1"/>
  <c r="V13" i="1"/>
  <c r="V218" i="1"/>
  <c r="V72" i="1"/>
  <c r="V186" i="1"/>
  <c r="V182" i="1"/>
  <c r="V116" i="1"/>
  <c r="V134" i="1"/>
  <c r="V315" i="1"/>
  <c r="V294" i="1"/>
  <c r="V280" i="1"/>
  <c r="V183" i="1"/>
  <c r="V92" i="1"/>
  <c r="V155" i="1"/>
  <c r="V165" i="1"/>
  <c r="V184" i="1"/>
  <c r="V281" i="1"/>
  <c r="V110" i="1"/>
  <c r="V144" i="1"/>
  <c r="V248" i="1"/>
  <c r="V159" i="1"/>
  <c r="V192" i="1"/>
  <c r="V43" i="1"/>
  <c r="V77" i="1"/>
  <c r="V143" i="1"/>
  <c r="V344" i="1"/>
  <c r="V173" i="1"/>
  <c r="V329" i="1"/>
  <c r="V86" i="1"/>
  <c r="V286" i="1"/>
  <c r="V141" i="1"/>
  <c r="V83" i="1"/>
  <c r="V343" i="1"/>
  <c r="V66" i="1"/>
  <c r="V109" i="1"/>
  <c r="V323" i="1"/>
  <c r="V120" i="1"/>
  <c r="V168" i="1"/>
  <c r="V196" i="1"/>
  <c r="V93" i="1"/>
  <c r="V198" i="1"/>
  <c r="V16" i="1"/>
  <c r="V269" i="1"/>
  <c r="V365" i="1"/>
  <c r="V367" i="1"/>
  <c r="U147" i="2"/>
  <c r="U317" i="1"/>
  <c r="U6" i="1"/>
  <c r="U10" i="1"/>
  <c r="U339" i="1"/>
  <c r="U96" i="1"/>
  <c r="U313" i="1"/>
  <c r="U266" i="1"/>
  <c r="U235" i="1"/>
  <c r="U237" i="1"/>
  <c r="U283" i="1"/>
  <c r="U230" i="1"/>
  <c r="U331" i="1"/>
  <c r="U41" i="1"/>
  <c r="U176" i="1"/>
  <c r="U243" i="1"/>
  <c r="U335" i="1"/>
  <c r="U249" i="1"/>
  <c r="U311" i="1"/>
  <c r="U325" i="1"/>
  <c r="U288" i="1"/>
  <c r="U149" i="1"/>
  <c r="U324" i="1"/>
  <c r="U275" i="1"/>
  <c r="U282" i="1"/>
  <c r="U56" i="1"/>
  <c r="U258" i="1"/>
  <c r="U261" i="1"/>
  <c r="U302" i="1"/>
  <c r="U309" i="1"/>
  <c r="U122" i="1"/>
  <c r="U264" i="1"/>
  <c r="U327" i="1"/>
  <c r="U213" i="1"/>
  <c r="U245" i="1"/>
  <c r="U194" i="1"/>
  <c r="U210" i="1"/>
  <c r="U276" i="1"/>
  <c r="U290" i="1"/>
  <c r="U259" i="1"/>
  <c r="U359" i="1"/>
  <c r="U253" i="1"/>
  <c r="U263" i="1"/>
  <c r="U189" i="1"/>
  <c r="U123" i="1"/>
  <c r="U316" i="1"/>
  <c r="U254" i="1"/>
  <c r="U260" i="1"/>
  <c r="U252" i="1"/>
  <c r="U267" i="1"/>
  <c r="U293" i="1"/>
  <c r="U273" i="1"/>
  <c r="U257" i="1"/>
  <c r="U251" i="1"/>
  <c r="U203" i="1"/>
  <c r="U227" i="1"/>
  <c r="U342" i="1"/>
  <c r="U279" i="1"/>
  <c r="U265" i="1"/>
  <c r="U238" i="1"/>
  <c r="U354" i="1"/>
  <c r="U304" i="1"/>
  <c r="U224" i="1"/>
  <c r="U118" i="1"/>
  <c r="U278" i="1"/>
  <c r="U246" i="1"/>
  <c r="U307" i="1"/>
  <c r="U298" i="1"/>
  <c r="U300" i="1"/>
  <c r="U219" i="1"/>
  <c r="U321" i="1"/>
  <c r="U175" i="1"/>
  <c r="U206" i="1"/>
  <c r="U153" i="1"/>
  <c r="U340" i="1"/>
  <c r="U7" i="1"/>
  <c r="U64" i="1"/>
  <c r="U170" i="1"/>
  <c r="U292" i="1"/>
  <c r="U135" i="1"/>
  <c r="U131" i="1"/>
  <c r="U49" i="1"/>
  <c r="U328" i="1"/>
  <c r="U204" i="1"/>
  <c r="U185" i="1"/>
  <c r="U140" i="1"/>
  <c r="U65" i="1"/>
  <c r="U244" i="1"/>
  <c r="U277" i="1"/>
  <c r="U197" i="1"/>
  <c r="U247" i="1"/>
  <c r="U320" i="1"/>
  <c r="U285" i="1"/>
  <c r="U242" i="1"/>
  <c r="U217" i="1"/>
  <c r="U255" i="1"/>
  <c r="U301" i="1"/>
  <c r="U240" i="1"/>
  <c r="U236" i="1"/>
  <c r="U229" i="1"/>
  <c r="U345" i="1"/>
  <c r="U336" i="1"/>
  <c r="U291" i="1"/>
  <c r="U139" i="1"/>
  <c r="U223" i="1"/>
  <c r="U209" i="1"/>
  <c r="U136" i="1"/>
  <c r="U177" i="1"/>
  <c r="U50" i="1"/>
  <c r="U112" i="1"/>
  <c r="U202" i="1"/>
  <c r="U101" i="1"/>
  <c r="U207" i="1"/>
  <c r="U107" i="1"/>
  <c r="U81" i="1"/>
  <c r="U241" i="1"/>
  <c r="U160" i="1"/>
  <c r="U351" i="1"/>
  <c r="U138" i="1"/>
  <c r="U364" i="1"/>
  <c r="U166" i="1"/>
  <c r="U199" i="1"/>
  <c r="U13" i="1"/>
  <c r="U218" i="1"/>
  <c r="U72" i="1"/>
  <c r="U186" i="1"/>
  <c r="U182" i="1"/>
  <c r="U116" i="1"/>
  <c r="U134" i="1"/>
  <c r="U315" i="1"/>
  <c r="U294" i="1"/>
  <c r="U280" i="1"/>
  <c r="U183" i="1"/>
  <c r="U92" i="1"/>
  <c r="U155" i="1"/>
  <c r="U165" i="1"/>
  <c r="U184" i="1"/>
  <c r="U281" i="1"/>
  <c r="U110" i="1"/>
  <c r="U144" i="1"/>
  <c r="U248" i="1"/>
  <c r="U159" i="1"/>
  <c r="U192" i="1"/>
  <c r="U43" i="1"/>
  <c r="U77" i="1"/>
  <c r="U143" i="1"/>
  <c r="U344" i="1"/>
  <c r="U173" i="1"/>
  <c r="U329" i="1"/>
  <c r="U86" i="1"/>
  <c r="U286" i="1"/>
  <c r="U141" i="1"/>
  <c r="U83" i="1"/>
  <c r="U343" i="1"/>
  <c r="U66" i="1"/>
  <c r="U109" i="1"/>
  <c r="U323" i="1"/>
  <c r="U120" i="1"/>
  <c r="U168" i="1"/>
  <c r="U196" i="1"/>
  <c r="U93" i="1"/>
  <c r="U198" i="1"/>
  <c r="U16" i="1"/>
  <c r="U269" i="1"/>
  <c r="U367" i="1"/>
  <c r="K65" i="1"/>
  <c r="K258" i="1"/>
  <c r="K192" i="1"/>
  <c r="K83" i="1"/>
  <c r="K316" i="1"/>
  <c r="K49" i="1"/>
  <c r="K322" i="1"/>
  <c r="K93" i="1"/>
  <c r="K224" i="1"/>
  <c r="G216" i="1"/>
  <c r="G181" i="1"/>
  <c r="G214" i="1"/>
  <c r="G167" i="1"/>
  <c r="G357" i="1"/>
  <c r="G114" i="1"/>
  <c r="G111" i="1"/>
  <c r="K85" i="3" l="1"/>
  <c r="K103" i="3"/>
  <c r="K62" i="3"/>
  <c r="K13" i="3"/>
  <c r="K98" i="3"/>
  <c r="G96" i="3"/>
  <c r="G89" i="3"/>
  <c r="G50" i="2"/>
  <c r="G171" i="1"/>
  <c r="G256" i="1"/>
  <c r="G3" i="3"/>
  <c r="K25" i="3"/>
  <c r="K111" i="3"/>
  <c r="K33" i="3"/>
  <c r="U3" i="3"/>
  <c r="G107" i="3"/>
  <c r="K57" i="3"/>
  <c r="G68" i="3"/>
  <c r="K91" i="3"/>
  <c r="G66" i="3"/>
  <c r="K32" i="3"/>
  <c r="G122" i="3"/>
  <c r="K74" i="3"/>
  <c r="K46" i="3"/>
  <c r="G49" i="3"/>
  <c r="G84" i="3"/>
  <c r="K59" i="3"/>
  <c r="G79" i="3"/>
  <c r="K117" i="3"/>
  <c r="K115" i="3"/>
  <c r="G76" i="3"/>
  <c r="K48" i="3"/>
  <c r="G80" i="3"/>
  <c r="K104" i="3"/>
  <c r="G72" i="3"/>
  <c r="K42" i="3"/>
  <c r="G73" i="3"/>
  <c r="K29" i="3"/>
  <c r="G100" i="3"/>
  <c r="K35" i="3"/>
  <c r="G119" i="3"/>
  <c r="G91" i="3"/>
  <c r="K45" i="3"/>
  <c r="G23" i="3"/>
  <c r="K4" i="3"/>
  <c r="G115" i="3"/>
  <c r="G39" i="3"/>
  <c r="K100" i="3"/>
  <c r="G92" i="3"/>
  <c r="K118" i="3"/>
  <c r="G61" i="3"/>
  <c r="K72" i="3"/>
  <c r="G7" i="3"/>
  <c r="K77" i="3"/>
  <c r="K82" i="3"/>
  <c r="G69" i="3"/>
  <c r="G102" i="3"/>
  <c r="K66" i="3"/>
  <c r="K106" i="3"/>
  <c r="G45" i="3"/>
  <c r="K108" i="3"/>
  <c r="K55" i="3"/>
  <c r="K10" i="3"/>
  <c r="G94" i="3"/>
  <c r="K71" i="3"/>
  <c r="G60" i="3"/>
  <c r="K17" i="3"/>
  <c r="K87" i="3"/>
  <c r="G42" i="3"/>
  <c r="K31" i="3"/>
  <c r="G57" i="3"/>
  <c r="G71" i="3"/>
  <c r="K79" i="3"/>
  <c r="K123" i="3"/>
  <c r="G78" i="3"/>
  <c r="K38" i="3"/>
  <c r="G43" i="3"/>
  <c r="K41" i="3"/>
  <c r="G33" i="3"/>
  <c r="K20" i="3"/>
  <c r="G21" i="3"/>
  <c r="K70" i="3"/>
  <c r="G31" i="3"/>
  <c r="K67" i="3"/>
  <c r="G109" i="3"/>
  <c r="K78" i="3"/>
  <c r="G29" i="3"/>
  <c r="G48" i="3"/>
  <c r="K43" i="3"/>
  <c r="G67" i="3"/>
  <c r="K86" i="3"/>
  <c r="K97" i="3"/>
  <c r="G55" i="3"/>
  <c r="K44" i="3"/>
  <c r="K101" i="3"/>
  <c r="G87" i="3"/>
  <c r="K102" i="3"/>
  <c r="G56" i="3"/>
  <c r="K76" i="3"/>
  <c r="G108" i="3"/>
  <c r="G58" i="3"/>
  <c r="K61" i="3"/>
  <c r="G63" i="3"/>
  <c r="K94" i="3"/>
  <c r="G77" i="3"/>
  <c r="K125" i="3"/>
  <c r="G59" i="3"/>
  <c r="K112" i="3"/>
  <c r="G110" i="3"/>
  <c r="G99" i="3"/>
  <c r="K107" i="3"/>
  <c r="G10" i="3"/>
  <c r="K49" i="3"/>
  <c r="G44" i="3"/>
  <c r="K56" i="3"/>
  <c r="G74" i="3"/>
  <c r="K109" i="3"/>
  <c r="G46" i="3"/>
  <c r="K50" i="3"/>
  <c r="G86" i="3"/>
  <c r="K7" i="3"/>
  <c r="G20" i="3"/>
  <c r="K99" i="3"/>
  <c r="G4" i="3"/>
  <c r="K122" i="3"/>
  <c r="K113" i="3"/>
  <c r="G81" i="3"/>
  <c r="K69" i="3"/>
  <c r="G19" i="3"/>
  <c r="K84" i="3"/>
  <c r="K80" i="3"/>
  <c r="G114" i="3"/>
  <c r="K16" i="3"/>
  <c r="G117" i="3"/>
  <c r="K58" i="3"/>
  <c r="G54" i="3"/>
  <c r="K96" i="3"/>
  <c r="G112" i="3"/>
  <c r="K110" i="3"/>
  <c r="G32" i="3"/>
  <c r="K114" i="3"/>
  <c r="G104" i="3"/>
  <c r="K126" i="3"/>
  <c r="G38" i="3"/>
  <c r="G82" i="3"/>
  <c r="K63" i="3"/>
  <c r="G17" i="3"/>
  <c r="K127" i="3"/>
  <c r="G93" i="3"/>
  <c r="K21" i="3"/>
  <c r="G16" i="3"/>
  <c r="K54" i="3"/>
  <c r="G25" i="3"/>
  <c r="K60" i="3"/>
  <c r="G123" i="3"/>
  <c r="K89" i="3"/>
  <c r="G50" i="3"/>
  <c r="K119" i="3"/>
  <c r="G125" i="3"/>
  <c r="K37" i="3"/>
  <c r="G70" i="3"/>
  <c r="K81" i="3"/>
  <c r="G41" i="3"/>
  <c r="K28" i="3"/>
  <c r="G35" i="3"/>
  <c r="K73" i="3"/>
  <c r="G101" i="3"/>
  <c r="G53" i="3"/>
  <c r="K24" i="3"/>
  <c r="G37" i="3"/>
  <c r="K22" i="3"/>
  <c r="G97" i="3"/>
  <c r="K30" i="3"/>
  <c r="G113" i="3"/>
  <c r="K19" i="3"/>
  <c r="G22" i="3"/>
  <c r="K53" i="3"/>
  <c r="G116" i="3"/>
  <c r="K39" i="3"/>
  <c r="G24" i="3"/>
  <c r="K92" i="3"/>
  <c r="G127" i="3"/>
  <c r="K26" i="3"/>
  <c r="G28" i="3"/>
  <c r="T28" i="3"/>
  <c r="U28" i="3"/>
  <c r="G30" i="3"/>
  <c r="K6" i="3"/>
  <c r="T30" i="3"/>
  <c r="U30" i="3"/>
  <c r="G126" i="3"/>
  <c r="K3" i="3"/>
  <c r="G111" i="3"/>
  <c r="K23" i="3"/>
  <c r="T111" i="3"/>
  <c r="U111" i="3"/>
  <c r="G26" i="3"/>
  <c r="U26" i="3"/>
  <c r="G118" i="3"/>
  <c r="K116" i="3"/>
  <c r="G51" i="3"/>
  <c r="K68" i="3"/>
  <c r="U51" i="3"/>
  <c r="G106" i="3"/>
  <c r="K93" i="3"/>
  <c r="G6" i="3"/>
  <c r="K51" i="3"/>
  <c r="U6" i="3"/>
  <c r="J2" i="5"/>
  <c r="T67" i="2" l="1"/>
  <c r="U67" i="2"/>
  <c r="T14" i="2"/>
  <c r="U14" i="2"/>
  <c r="T6" i="2"/>
  <c r="U6" i="2"/>
  <c r="T20" i="2"/>
  <c r="U20" i="2"/>
  <c r="G20" i="2"/>
  <c r="G6" i="2"/>
  <c r="K149" i="1"/>
  <c r="K239" i="1"/>
  <c r="K359" i="1"/>
  <c r="K60" i="1"/>
  <c r="K216" i="1"/>
  <c r="K134" i="1"/>
  <c r="K237" i="1"/>
  <c r="K244" i="1"/>
  <c r="K333" i="1"/>
  <c r="K328" i="1"/>
  <c r="K360" i="1"/>
  <c r="K220" i="1"/>
  <c r="K312" i="1"/>
  <c r="K207" i="1"/>
  <c r="K368" i="1"/>
  <c r="K288" i="1"/>
  <c r="K200" i="1"/>
  <c r="K201" i="1"/>
  <c r="K7" i="1"/>
  <c r="K304" i="1"/>
  <c r="K339" i="1"/>
  <c r="K120" i="1"/>
  <c r="K257" i="1"/>
  <c r="K238" i="1"/>
  <c r="K324" i="1"/>
  <c r="K261" i="1"/>
  <c r="K194" i="1"/>
  <c r="K199" i="1"/>
  <c r="K309" i="1"/>
  <c r="K66" i="1"/>
  <c r="K14" i="1"/>
  <c r="K116" i="1"/>
  <c r="K296" i="1"/>
  <c r="K362" i="1"/>
  <c r="K266" i="1"/>
  <c r="K294" i="1"/>
  <c r="K243" i="1"/>
  <c r="K213" i="1"/>
  <c r="K173" i="1"/>
  <c r="K354" i="1"/>
  <c r="K77" i="1"/>
  <c r="K269" i="1"/>
  <c r="K164" i="1"/>
  <c r="K329" i="1"/>
  <c r="K254" i="1"/>
  <c r="K101" i="1"/>
  <c r="K277" i="1"/>
  <c r="K181" i="1"/>
  <c r="K166" i="1"/>
  <c r="K72" i="1"/>
  <c r="K343" i="1"/>
  <c r="K182" i="1"/>
  <c r="K310" i="1"/>
  <c r="K320" i="1"/>
  <c r="K367" i="1"/>
  <c r="K197" i="1"/>
  <c r="K193" i="1"/>
  <c r="K286" i="1"/>
  <c r="K273" i="1"/>
  <c r="K260" i="1"/>
  <c r="K245" i="1"/>
  <c r="K44" i="1"/>
  <c r="K219" i="1"/>
  <c r="K170" i="1"/>
  <c r="K255" i="1"/>
  <c r="K70" i="1"/>
  <c r="K118" i="1"/>
  <c r="K290" i="1"/>
  <c r="K96" i="1"/>
  <c r="K122" i="1"/>
  <c r="K361" i="1"/>
  <c r="K248" i="1"/>
  <c r="K195" i="1"/>
  <c r="K171" i="1"/>
  <c r="K336" i="1"/>
  <c r="K315" i="1"/>
  <c r="K87" i="1"/>
  <c r="K263" i="1"/>
  <c r="K141" i="1"/>
  <c r="K189" i="1"/>
  <c r="K30" i="1"/>
  <c r="K179" i="1"/>
  <c r="K228" i="1"/>
  <c r="K340" i="1"/>
  <c r="K57" i="1"/>
  <c r="K56" i="1"/>
  <c r="K318" i="1"/>
  <c r="K112" i="1"/>
  <c r="K264" i="1"/>
  <c r="K86" i="1"/>
  <c r="K265" i="1"/>
  <c r="K198" i="1"/>
  <c r="K202" i="1"/>
  <c r="K331" i="1"/>
  <c r="K351" i="1"/>
  <c r="K196" i="1"/>
  <c r="K267" i="1"/>
  <c r="K249" i="1"/>
  <c r="K13" i="1"/>
  <c r="K276" i="1"/>
  <c r="K282" i="1"/>
  <c r="K140" i="1"/>
  <c r="K110" i="1"/>
  <c r="K334" i="1"/>
  <c r="K251" i="1"/>
  <c r="K208" i="1"/>
  <c r="K275" i="1"/>
  <c r="K153" i="1"/>
  <c r="K291" i="1"/>
  <c r="K10" i="1"/>
  <c r="K143" i="1"/>
  <c r="K144" i="1"/>
  <c r="K278" i="1"/>
  <c r="K206" i="1"/>
  <c r="K81" i="1"/>
  <c r="K227" i="1"/>
  <c r="K185" i="1"/>
  <c r="K317" i="1"/>
  <c r="K183" i="1"/>
  <c r="K321" i="1"/>
  <c r="K231" i="1"/>
  <c r="K242" i="1"/>
  <c r="K327" i="1"/>
  <c r="K43" i="1"/>
  <c r="K247" i="1"/>
  <c r="K253" i="1"/>
  <c r="K292" i="1"/>
  <c r="K217" i="1"/>
  <c r="K186" i="1"/>
  <c r="K285" i="1"/>
  <c r="K349" i="1"/>
  <c r="K241" i="1"/>
  <c r="K204" i="1"/>
  <c r="K298" i="1"/>
  <c r="K252" i="1"/>
  <c r="K184" i="1"/>
  <c r="K177" i="1"/>
  <c r="K302" i="1"/>
  <c r="K246" i="1"/>
  <c r="K203" i="1"/>
  <c r="K154" i="1"/>
  <c r="K293" i="1"/>
  <c r="K50" i="1"/>
  <c r="K335" i="1"/>
  <c r="K64" i="1"/>
  <c r="K300" i="1"/>
  <c r="K176" i="1"/>
  <c r="K230" i="1"/>
  <c r="K279" i="1"/>
  <c r="K301" i="1"/>
  <c r="K111" i="1"/>
  <c r="K165" i="1"/>
  <c r="K16" i="1"/>
  <c r="K167" i="1"/>
  <c r="K218" i="1"/>
  <c r="K233" i="1"/>
  <c r="K259" i="1"/>
  <c r="K172" i="1"/>
  <c r="K155" i="1"/>
  <c r="K345" i="1"/>
  <c r="K283" i="1"/>
  <c r="K138" i="1"/>
  <c r="K41" i="1"/>
  <c r="K139" i="1"/>
  <c r="K223" i="1"/>
  <c r="K168" i="1"/>
  <c r="K29" i="1"/>
  <c r="K284" i="1"/>
  <c r="K342" i="1"/>
  <c r="K131" i="1"/>
  <c r="K135" i="1"/>
  <c r="K307" i="1"/>
  <c r="K68" i="1"/>
  <c r="K236" i="1"/>
  <c r="K325" i="1"/>
  <c r="K365" i="1"/>
  <c r="K256" i="1"/>
  <c r="K311" i="1"/>
  <c r="K229" i="1"/>
  <c r="K209" i="1"/>
  <c r="K323" i="1"/>
  <c r="K364" i="1"/>
  <c r="K214" i="1"/>
  <c r="K159" i="1"/>
  <c r="G123" i="1"/>
  <c r="G286" i="1"/>
  <c r="G354" i="1"/>
  <c r="G255" i="1"/>
  <c r="G323" i="1"/>
  <c r="G223" i="1"/>
  <c r="G280" i="1"/>
  <c r="G219" i="1"/>
  <c r="G285" i="1"/>
  <c r="G16" i="1"/>
  <c r="J18" i="5"/>
  <c r="K80" i="5"/>
  <c r="G122" i="1"/>
  <c r="G180" i="1"/>
  <c r="G281" i="1"/>
  <c r="G170" i="1"/>
  <c r="J28" i="5"/>
  <c r="J29" i="5"/>
  <c r="K30" i="5"/>
  <c r="J36" i="5"/>
  <c r="K37" i="5"/>
  <c r="K38" i="5"/>
  <c r="K44" i="5"/>
  <c r="K45" i="5"/>
  <c r="K52" i="5"/>
  <c r="J53" i="5"/>
  <c r="K54" i="5"/>
  <c r="J61" i="5"/>
  <c r="K62" i="5"/>
  <c r="J67" i="5"/>
  <c r="K68" i="5"/>
  <c r="K69" i="5"/>
  <c r="K75" i="5"/>
  <c r="K76" i="5"/>
  <c r="K83" i="5"/>
  <c r="K88" i="5"/>
  <c r="J91" i="5"/>
  <c r="J92" i="5"/>
  <c r="K93" i="5"/>
  <c r="J99" i="5"/>
  <c r="K100" i="5"/>
  <c r="K101" i="5"/>
  <c r="K104" i="5"/>
  <c r="K107" i="5"/>
  <c r="K108" i="5"/>
  <c r="K112" i="5"/>
  <c r="J115" i="5"/>
  <c r="J116" i="5"/>
  <c r="K117" i="5"/>
  <c r="K120" i="5"/>
  <c r="J124" i="5"/>
  <c r="K125" i="5"/>
  <c r="K127" i="5"/>
  <c r="J131" i="5"/>
  <c r="K132" i="5"/>
  <c r="K138" i="5"/>
  <c r="J139" i="5"/>
  <c r="K143" i="5"/>
  <c r="K146" i="5"/>
  <c r="K149" i="5"/>
  <c r="J152" i="5"/>
  <c r="K153" i="5"/>
  <c r="K154" i="5"/>
  <c r="J160" i="5"/>
  <c r="K161" i="5"/>
  <c r="K163" i="5"/>
  <c r="J164" i="5"/>
  <c r="K165" i="5"/>
  <c r="K168" i="5"/>
  <c r="K169" i="5"/>
  <c r="K173" i="5"/>
  <c r="K175" i="5"/>
  <c r="J176" i="5"/>
  <c r="K177" i="5"/>
  <c r="K180" i="5"/>
  <c r="K181" i="5"/>
  <c r="J184" i="5"/>
  <c r="K185" i="5"/>
  <c r="K191" i="5"/>
  <c r="K192" i="5"/>
  <c r="K193" i="5"/>
  <c r="K196" i="5"/>
  <c r="K199" i="5"/>
  <c r="K200" i="5"/>
  <c r="K202" i="5"/>
  <c r="K206" i="5"/>
  <c r="K207" i="5"/>
  <c r="K209" i="5"/>
  <c r="K210" i="5"/>
  <c r="K213" i="5"/>
  <c r="J214" i="5"/>
  <c r="K217" i="5"/>
  <c r="K221" i="5"/>
  <c r="K222" i="5"/>
  <c r="K223" i="5"/>
  <c r="K226" i="5"/>
  <c r="K228" i="5"/>
  <c r="K230" i="5"/>
  <c r="K231" i="5"/>
  <c r="J235" i="5"/>
  <c r="K236" i="5"/>
  <c r="K238" i="5"/>
  <c r="K239" i="5"/>
  <c r="K242" i="5"/>
  <c r="J243" i="5"/>
  <c r="K246" i="5"/>
  <c r="K249" i="5"/>
  <c r="K252" i="5"/>
  <c r="K254" i="5"/>
  <c r="J255" i="5"/>
  <c r="K258" i="5"/>
  <c r="K260" i="5"/>
  <c r="J266" i="5"/>
  <c r="J267" i="5"/>
  <c r="J273" i="5"/>
  <c r="K278" i="5"/>
  <c r="K281" i="5"/>
  <c r="K284" i="5"/>
  <c r="J285" i="5"/>
  <c r="K288" i="5"/>
  <c r="J292" i="5"/>
  <c r="K295" i="5"/>
  <c r="K299" i="5"/>
  <c r="K308" i="5"/>
  <c r="K316" i="5"/>
  <c r="J317" i="5"/>
  <c r="K318" i="5"/>
  <c r="K321" i="5"/>
  <c r="J323" i="5"/>
  <c r="K324" i="5"/>
  <c r="K325" i="5"/>
  <c r="J327" i="5"/>
  <c r="K328" i="5"/>
  <c r="J331" i="5"/>
  <c r="J333" i="5"/>
  <c r="K334" i="5"/>
  <c r="K336" i="5"/>
  <c r="K337" i="5"/>
  <c r="K340" i="5"/>
  <c r="J341" i="5"/>
  <c r="K343" i="5"/>
  <c r="K345" i="5"/>
  <c r="J347" i="5"/>
  <c r="K349" i="5"/>
  <c r="J350" i="5"/>
  <c r="J352" i="5"/>
  <c r="K353" i="5"/>
  <c r="K354" i="5"/>
  <c r="J355" i="5"/>
  <c r="J356" i="5"/>
  <c r="K358" i="5"/>
  <c r="J359" i="5"/>
  <c r="K360" i="5"/>
  <c r="K361" i="5"/>
  <c r="K20" i="5"/>
  <c r="J4" i="5"/>
  <c r="J6" i="5"/>
  <c r="J10" i="5"/>
  <c r="K11" i="5"/>
  <c r="J12" i="5"/>
  <c r="J14" i="5"/>
  <c r="K3" i="5" l="1"/>
  <c r="J3" i="5"/>
  <c r="K269" i="5"/>
  <c r="K78" i="5"/>
  <c r="J55" i="5"/>
  <c r="J47" i="5"/>
  <c r="K302" i="5"/>
  <c r="K276" i="5"/>
  <c r="J257" i="5"/>
  <c r="K162" i="5"/>
  <c r="K141" i="5"/>
  <c r="J70" i="5"/>
  <c r="J39" i="5"/>
  <c r="K294" i="5"/>
  <c r="J262" i="5"/>
  <c r="K245" i="5"/>
  <c r="K216" i="5"/>
  <c r="K178" i="5"/>
  <c r="J287" i="5"/>
  <c r="J237" i="5"/>
  <c r="K155" i="5"/>
  <c r="K303" i="5"/>
  <c r="K63" i="5"/>
  <c r="K31" i="5"/>
  <c r="J307" i="5"/>
  <c r="K268" i="5"/>
  <c r="K251" i="5"/>
  <c r="J224" i="5"/>
  <c r="J208" i="5"/>
  <c r="J201" i="5"/>
  <c r="K186" i="5"/>
  <c r="J133" i="5"/>
  <c r="K126" i="5"/>
  <c r="K118" i="5"/>
  <c r="J110" i="5"/>
  <c r="J102" i="5"/>
  <c r="K94" i="5"/>
  <c r="K86" i="5"/>
  <c r="J17" i="5"/>
  <c r="J9" i="5"/>
  <c r="K25" i="5"/>
  <c r="J16" i="5"/>
  <c r="J8" i="5"/>
  <c r="J311" i="5"/>
  <c r="K18" i="5"/>
  <c r="J15" i="5"/>
  <c r="J7" i="5"/>
  <c r="K23" i="5"/>
  <c r="J74" i="5"/>
  <c r="J66" i="5"/>
  <c r="J59" i="5"/>
  <c r="J51" i="5"/>
  <c r="J43" i="5"/>
  <c r="J35" i="5"/>
  <c r="J27" i="5"/>
  <c r="K320" i="5"/>
  <c r="J315" i="5"/>
  <c r="K310" i="5"/>
  <c r="J298" i="5"/>
  <c r="K291" i="5"/>
  <c r="K283" i="5"/>
  <c r="J277" i="5"/>
  <c r="K272" i="5"/>
  <c r="J265" i="5"/>
  <c r="K253" i="5"/>
  <c r="J248" i="5"/>
  <c r="J220" i="5"/>
  <c r="J212" i="5"/>
  <c r="J198" i="5"/>
  <c r="J190" i="5"/>
  <c r="J167" i="5"/>
  <c r="J151" i="5"/>
  <c r="J137" i="5"/>
  <c r="J130" i="5"/>
  <c r="J106" i="5"/>
  <c r="J90" i="5"/>
  <c r="J65" i="5"/>
  <c r="J50" i="5"/>
  <c r="J42" i="5"/>
  <c r="J13" i="5"/>
  <c r="J5" i="5"/>
  <c r="J339" i="5"/>
  <c r="K335" i="5"/>
  <c r="K330" i="5"/>
  <c r="K314" i="5"/>
  <c r="K305" i="5"/>
  <c r="J297" i="5"/>
  <c r="K290" i="5"/>
  <c r="J282" i="5"/>
  <c r="K271" i="5"/>
  <c r="K264" i="5"/>
  <c r="J247" i="5"/>
  <c r="J233" i="5"/>
  <c r="J227" i="5"/>
  <c r="J204" i="5"/>
  <c r="J189" i="5"/>
  <c r="J174" i="5"/>
  <c r="J166" i="5"/>
  <c r="J144" i="5"/>
  <c r="J129" i="5"/>
  <c r="J113" i="5"/>
  <c r="J105" i="5"/>
  <c r="J81" i="5"/>
  <c r="K57" i="5"/>
  <c r="K49" i="5"/>
  <c r="K41" i="5"/>
  <c r="K2" i="5"/>
  <c r="K43" i="5"/>
  <c r="J320" i="5"/>
  <c r="J264" i="5"/>
  <c r="K282" i="5"/>
  <c r="K248" i="5"/>
  <c r="K113" i="5"/>
  <c r="J254" i="5"/>
  <c r="J143" i="5"/>
  <c r="K105" i="5"/>
  <c r="J314" i="5"/>
  <c r="J104" i="5"/>
  <c r="K102" i="5"/>
  <c r="J149" i="5"/>
  <c r="J305" i="5"/>
  <c r="J252" i="5"/>
  <c r="J94" i="5"/>
  <c r="K247" i="5"/>
  <c r="K90" i="5"/>
  <c r="J303" i="5"/>
  <c r="J226" i="5"/>
  <c r="J44" i="5"/>
  <c r="K66" i="5"/>
  <c r="J299" i="5"/>
  <c r="J210" i="5"/>
  <c r="K212" i="5"/>
  <c r="K65" i="5"/>
  <c r="J272" i="5"/>
  <c r="J209" i="5"/>
  <c r="K152" i="5"/>
  <c r="K55" i="5"/>
  <c r="J271" i="5"/>
  <c r="J196" i="5"/>
  <c r="K297" i="5"/>
  <c r="K144" i="5"/>
  <c r="J276" i="5"/>
  <c r="J155" i="5"/>
  <c r="K262" i="5"/>
  <c r="K164" i="5"/>
  <c r="J358" i="5"/>
  <c r="J216" i="5"/>
  <c r="J100" i="5"/>
  <c r="J52" i="5"/>
  <c r="K257" i="5"/>
  <c r="K224" i="5"/>
  <c r="K160" i="5"/>
  <c r="K350" i="5"/>
  <c r="K287" i="5"/>
  <c r="J268" i="5"/>
  <c r="J86" i="5"/>
  <c r="J291" i="5"/>
  <c r="J242" i="5"/>
  <c r="J138" i="5"/>
  <c r="J83" i="5"/>
  <c r="J23" i="5"/>
  <c r="K347" i="5"/>
  <c r="K323" i="5"/>
  <c r="K277" i="5"/>
  <c r="K201" i="5"/>
  <c r="K139" i="5"/>
  <c r="K39" i="5"/>
  <c r="K327" i="5"/>
  <c r="J249" i="5"/>
  <c r="J31" i="5"/>
  <c r="J353" i="5"/>
  <c r="J328" i="5"/>
  <c r="J283" i="5"/>
  <c r="J239" i="5"/>
  <c r="J191" i="5"/>
  <c r="J126" i="5"/>
  <c r="J78" i="5"/>
  <c r="K315" i="5"/>
  <c r="K137" i="5"/>
  <c r="K36" i="5"/>
  <c r="J340" i="5"/>
  <c r="J281" i="5"/>
  <c r="J260" i="5"/>
  <c r="J180" i="5"/>
  <c r="J118" i="5"/>
  <c r="J63" i="5"/>
  <c r="K311" i="5"/>
  <c r="K273" i="5"/>
  <c r="K235" i="5"/>
  <c r="K189" i="5"/>
  <c r="K74" i="5"/>
  <c r="K28" i="5"/>
  <c r="J318" i="5"/>
  <c r="K208" i="5"/>
  <c r="J349" i="5"/>
  <c r="J228" i="5"/>
  <c r="J175" i="5"/>
  <c r="J112" i="5"/>
  <c r="J57" i="5"/>
  <c r="K266" i="5"/>
  <c r="K167" i="5"/>
  <c r="K115" i="5"/>
  <c r="K67" i="5"/>
  <c r="K27" i="5"/>
  <c r="K332" i="5"/>
  <c r="J332" i="5"/>
  <c r="K306" i="5"/>
  <c r="J306" i="5"/>
  <c r="K275" i="5"/>
  <c r="J275" i="5"/>
  <c r="K244" i="5"/>
  <c r="J244" i="5"/>
  <c r="K215" i="5"/>
  <c r="J215" i="5"/>
  <c r="K77" i="5"/>
  <c r="J77" i="5"/>
  <c r="K46" i="5"/>
  <c r="J46" i="5"/>
  <c r="J322" i="5"/>
  <c r="K322" i="5"/>
  <c r="K300" i="5"/>
  <c r="J300" i="5"/>
  <c r="J279" i="5"/>
  <c r="K279" i="5"/>
  <c r="K292" i="5"/>
  <c r="K184" i="5"/>
  <c r="J19" i="5"/>
  <c r="K19" i="5"/>
  <c r="K225" i="5"/>
  <c r="J225" i="5"/>
  <c r="K195" i="5"/>
  <c r="J195" i="5"/>
  <c r="J187" i="5"/>
  <c r="K187" i="5"/>
  <c r="J179" i="5"/>
  <c r="K179" i="5"/>
  <c r="J172" i="5"/>
  <c r="K172" i="5"/>
  <c r="J156" i="5"/>
  <c r="K156" i="5"/>
  <c r="J148" i="5"/>
  <c r="K148" i="5"/>
  <c r="J142" i="5"/>
  <c r="K142" i="5"/>
  <c r="J134" i="5"/>
  <c r="K134" i="5"/>
  <c r="J127" i="5"/>
  <c r="J119" i="5"/>
  <c r="K119" i="5"/>
  <c r="J361" i="5"/>
  <c r="J337" i="5"/>
  <c r="J295" i="5"/>
  <c r="J246" i="5"/>
  <c r="J200" i="5"/>
  <c r="J163" i="5"/>
  <c r="J125" i="5"/>
  <c r="K214" i="5"/>
  <c r="K92" i="5"/>
  <c r="K301" i="5"/>
  <c r="J301" i="5"/>
  <c r="K261" i="5"/>
  <c r="J261" i="5"/>
  <c r="K85" i="5"/>
  <c r="J85" i="5"/>
  <c r="J24" i="5"/>
  <c r="K24" i="5"/>
  <c r="K229" i="5"/>
  <c r="J229" i="5"/>
  <c r="J84" i="5"/>
  <c r="K84" i="5"/>
  <c r="J26" i="5"/>
  <c r="K26" i="5"/>
  <c r="J194" i="5"/>
  <c r="K194" i="5"/>
  <c r="J171" i="5"/>
  <c r="K171" i="5"/>
  <c r="J360" i="5"/>
  <c r="J354" i="5"/>
  <c r="J336" i="5"/>
  <c r="J330" i="5"/>
  <c r="J321" i="5"/>
  <c r="J294" i="5"/>
  <c r="J253" i="5"/>
  <c r="J245" i="5"/>
  <c r="J230" i="5"/>
  <c r="J213" i="5"/>
  <c r="J199" i="5"/>
  <c r="J178" i="5"/>
  <c r="J161" i="5"/>
  <c r="J141" i="5"/>
  <c r="J120" i="5"/>
  <c r="J101" i="5"/>
  <c r="J80" i="5"/>
  <c r="J62" i="5"/>
  <c r="J41" i="5"/>
  <c r="J20" i="5"/>
  <c r="K359" i="5"/>
  <c r="K352" i="5"/>
  <c r="K339" i="5"/>
  <c r="K298" i="5"/>
  <c r="K265" i="5"/>
  <c r="K233" i="5"/>
  <c r="K190" i="5"/>
  <c r="K166" i="5"/>
  <c r="K116" i="5"/>
  <c r="K91" i="5"/>
  <c r="K42" i="5"/>
  <c r="K346" i="5"/>
  <c r="J346" i="5"/>
  <c r="K140" i="5"/>
  <c r="J140" i="5"/>
  <c r="K109" i="5"/>
  <c r="J109" i="5"/>
  <c r="K61" i="5"/>
  <c r="J183" i="5"/>
  <c r="K183" i="5"/>
  <c r="J123" i="5"/>
  <c r="K123" i="5"/>
  <c r="J60" i="5"/>
  <c r="K60" i="5"/>
  <c r="J345" i="5"/>
  <c r="J335" i="5"/>
  <c r="J325" i="5"/>
  <c r="J310" i="5"/>
  <c r="J302" i="5"/>
  <c r="J290" i="5"/>
  <c r="J278" i="5"/>
  <c r="J269" i="5"/>
  <c r="J251" i="5"/>
  <c r="J238" i="5"/>
  <c r="J223" i="5"/>
  <c r="J207" i="5"/>
  <c r="J192" i="5"/>
  <c r="J173" i="5"/>
  <c r="J153" i="5"/>
  <c r="J132" i="5"/>
  <c r="J93" i="5"/>
  <c r="J75" i="5"/>
  <c r="J54" i="5"/>
  <c r="K356" i="5"/>
  <c r="K341" i="5"/>
  <c r="K333" i="5"/>
  <c r="K307" i="5"/>
  <c r="K243" i="5"/>
  <c r="K227" i="5"/>
  <c r="K204" i="5"/>
  <c r="K131" i="5"/>
  <c r="K106" i="5"/>
  <c r="K81" i="5"/>
  <c r="K29" i="5"/>
  <c r="K342" i="5"/>
  <c r="J342" i="5"/>
  <c r="K286" i="5"/>
  <c r="J286" i="5"/>
  <c r="K256" i="5"/>
  <c r="J256" i="5"/>
  <c r="K170" i="5"/>
  <c r="J170" i="5"/>
  <c r="J38" i="5"/>
  <c r="J147" i="5"/>
  <c r="K147" i="5"/>
  <c r="J193" i="5"/>
  <c r="J154" i="5"/>
  <c r="J117" i="5"/>
  <c r="J76" i="5"/>
  <c r="J37" i="5"/>
  <c r="K22" i="5"/>
  <c r="J22" i="5"/>
  <c r="J241" i="5"/>
  <c r="K241" i="5"/>
  <c r="J234" i="5"/>
  <c r="K234" i="5"/>
  <c r="J205" i="5"/>
  <c r="K205" i="5"/>
  <c r="J182" i="5"/>
  <c r="K182" i="5"/>
  <c r="J159" i="5"/>
  <c r="K159" i="5"/>
  <c r="J145" i="5"/>
  <c r="K145" i="5"/>
  <c r="J122" i="5"/>
  <c r="K122" i="5"/>
  <c r="J114" i="5"/>
  <c r="K114" i="5"/>
  <c r="J98" i="5"/>
  <c r="K98" i="5"/>
  <c r="J82" i="5"/>
  <c r="K82" i="5"/>
  <c r="J334" i="5"/>
  <c r="J288" i="5"/>
  <c r="J222" i="5"/>
  <c r="J206" i="5"/>
  <c r="J169" i="5"/>
  <c r="J69" i="5"/>
  <c r="J30" i="5"/>
  <c r="K355" i="5"/>
  <c r="K176" i="5"/>
  <c r="K130" i="5"/>
  <c r="K53" i="5"/>
  <c r="K326" i="5"/>
  <c r="J326" i="5"/>
  <c r="K293" i="5"/>
  <c r="J293" i="5"/>
  <c r="K250" i="5"/>
  <c r="J250" i="5"/>
  <c r="J177" i="5"/>
  <c r="J21" i="5"/>
  <c r="K21" i="5"/>
  <c r="J240" i="5"/>
  <c r="K240" i="5"/>
  <c r="J219" i="5"/>
  <c r="K219" i="5"/>
  <c r="J211" i="5"/>
  <c r="K211" i="5"/>
  <c r="J197" i="5"/>
  <c r="K197" i="5"/>
  <c r="J181" i="5"/>
  <c r="J158" i="5"/>
  <c r="K158" i="5"/>
  <c r="J150" i="5"/>
  <c r="K150" i="5"/>
  <c r="J136" i="5"/>
  <c r="K136" i="5"/>
  <c r="J121" i="5"/>
  <c r="K121" i="5"/>
  <c r="J97" i="5"/>
  <c r="K97" i="5"/>
  <c r="J89" i="5"/>
  <c r="K89" i="5"/>
  <c r="J73" i="5"/>
  <c r="K73" i="5"/>
  <c r="J58" i="5"/>
  <c r="K58" i="5"/>
  <c r="J34" i="5"/>
  <c r="K34" i="5"/>
  <c r="J343" i="5"/>
  <c r="J316" i="5"/>
  <c r="J308" i="5"/>
  <c r="J258" i="5"/>
  <c r="J236" i="5"/>
  <c r="J221" i="5"/>
  <c r="J202" i="5"/>
  <c r="J186" i="5"/>
  <c r="J168" i="5"/>
  <c r="J162" i="5"/>
  <c r="J108" i="5"/>
  <c r="J88" i="5"/>
  <c r="J68" i="5"/>
  <c r="J49" i="5"/>
  <c r="K331" i="5"/>
  <c r="K317" i="5"/>
  <c r="K285" i="5"/>
  <c r="K255" i="5"/>
  <c r="K237" i="5"/>
  <c r="K151" i="5"/>
  <c r="K129" i="5"/>
  <c r="K357" i="5"/>
  <c r="J357" i="5"/>
  <c r="K312" i="5"/>
  <c r="J312" i="5"/>
  <c r="K280" i="5"/>
  <c r="J280" i="5"/>
  <c r="J274" i="5"/>
  <c r="K274" i="5"/>
  <c r="K351" i="5"/>
  <c r="J351" i="5"/>
  <c r="K348" i="5"/>
  <c r="J348" i="5"/>
  <c r="K344" i="5"/>
  <c r="J344" i="5"/>
  <c r="K338" i="5"/>
  <c r="J338" i="5"/>
  <c r="K329" i="5"/>
  <c r="J329" i="5"/>
  <c r="K313" i="5"/>
  <c r="J313" i="5"/>
  <c r="K309" i="5"/>
  <c r="J309" i="5"/>
  <c r="K304" i="5"/>
  <c r="J304" i="5"/>
  <c r="K296" i="5"/>
  <c r="J296" i="5"/>
  <c r="K289" i="5"/>
  <c r="J289" i="5"/>
  <c r="K270" i="5"/>
  <c r="J270" i="5"/>
  <c r="K263" i="5"/>
  <c r="J263" i="5"/>
  <c r="K259" i="5"/>
  <c r="J259" i="5"/>
  <c r="K232" i="5"/>
  <c r="J232" i="5"/>
  <c r="K218" i="5"/>
  <c r="J218" i="5"/>
  <c r="K203" i="5"/>
  <c r="J203" i="5"/>
  <c r="K188" i="5"/>
  <c r="J188" i="5"/>
  <c r="K157" i="5"/>
  <c r="J157" i="5"/>
  <c r="K135" i="5"/>
  <c r="J135" i="5"/>
  <c r="K128" i="5"/>
  <c r="J128" i="5"/>
  <c r="K96" i="5"/>
  <c r="J96" i="5"/>
  <c r="K72" i="5"/>
  <c r="J72" i="5"/>
  <c r="K64" i="5"/>
  <c r="J64" i="5"/>
  <c r="K33" i="5"/>
  <c r="J33" i="5"/>
  <c r="J324" i="5"/>
  <c r="J284" i="5"/>
  <c r="J231" i="5"/>
  <c r="J217" i="5"/>
  <c r="J185" i="5"/>
  <c r="J165" i="5"/>
  <c r="J146" i="5"/>
  <c r="J107" i="5"/>
  <c r="J45" i="5"/>
  <c r="J25" i="5"/>
  <c r="K267" i="5"/>
  <c r="K220" i="5"/>
  <c r="K198" i="5"/>
  <c r="K174" i="5"/>
  <c r="K124" i="5"/>
  <c r="K99" i="5"/>
  <c r="K50" i="5"/>
  <c r="K51" i="5"/>
  <c r="K110" i="5"/>
  <c r="K47" i="5"/>
  <c r="K35" i="5"/>
  <c r="J111" i="5"/>
  <c r="K111" i="5"/>
  <c r="J103" i="5"/>
  <c r="K103" i="5"/>
  <c r="J95" i="5"/>
  <c r="K95" i="5"/>
  <c r="J87" i="5"/>
  <c r="K87" i="5"/>
  <c r="J79" i="5"/>
  <c r="K79" i="5"/>
  <c r="J71" i="5"/>
  <c r="K71" i="5"/>
  <c r="J56" i="5"/>
  <c r="K56" i="5"/>
  <c r="J48" i="5"/>
  <c r="K48" i="5"/>
  <c r="J40" i="5"/>
  <c r="K40" i="5"/>
  <c r="J32" i="5"/>
  <c r="K32" i="5"/>
  <c r="K133" i="5"/>
  <c r="K70" i="5"/>
  <c r="K59" i="5"/>
  <c r="J11" i="5"/>
  <c r="K17" i="5"/>
  <c r="K13" i="5"/>
  <c r="K9" i="5"/>
  <c r="K5" i="5"/>
  <c r="K15" i="5"/>
  <c r="K7" i="5"/>
  <c r="K16" i="5"/>
  <c r="K14" i="5"/>
  <c r="K12" i="5"/>
  <c r="K10" i="5"/>
  <c r="K8" i="5"/>
  <c r="K6" i="5"/>
  <c r="K4" i="5"/>
  <c r="G68" i="2" l="1"/>
  <c r="T68" i="2"/>
  <c r="U68" i="2"/>
  <c r="T89" i="2"/>
  <c r="U89" i="2"/>
  <c r="T117" i="2"/>
  <c r="U117" i="2"/>
  <c r="T16" i="2"/>
  <c r="U16" i="2"/>
  <c r="T7" i="2"/>
  <c r="G68" i="1"/>
  <c r="G367" i="1"/>
  <c r="G368" i="1"/>
  <c r="T55" i="2"/>
  <c r="U32" i="2"/>
  <c r="T131" i="2"/>
  <c r="T105" i="2"/>
  <c r="T119" i="2"/>
  <c r="T100" i="2"/>
  <c r="T79" i="2"/>
  <c r="T28" i="2"/>
  <c r="T83" i="2"/>
  <c r="T101" i="2"/>
  <c r="T116" i="2"/>
  <c r="T26" i="2"/>
  <c r="T30" i="2"/>
  <c r="T66" i="2"/>
  <c r="T41" i="2"/>
  <c r="T120" i="2"/>
  <c r="T127" i="2"/>
  <c r="T97" i="2"/>
  <c r="T62" i="2"/>
  <c r="T146" i="2"/>
  <c r="T121" i="2"/>
  <c r="T73" i="2"/>
  <c r="T45" i="2"/>
  <c r="T128" i="2"/>
  <c r="T103" i="2"/>
  <c r="T114" i="2"/>
  <c r="T76" i="2"/>
  <c r="T8" i="2"/>
  <c r="T123" i="2"/>
  <c r="T72" i="2"/>
  <c r="T75" i="2"/>
  <c r="T52" i="2"/>
  <c r="T59" i="2"/>
  <c r="T104" i="2"/>
  <c r="T139" i="2"/>
  <c r="T99" i="2"/>
  <c r="T93" i="2"/>
  <c r="T65" i="2"/>
  <c r="T96" i="2"/>
  <c r="T82" i="2"/>
  <c r="T22" i="2"/>
  <c r="T33" i="2"/>
  <c r="T78" i="2"/>
  <c r="T106" i="2"/>
  <c r="T71" i="2"/>
  <c r="T40" i="2"/>
  <c r="T115" i="2"/>
  <c r="T38" i="2"/>
  <c r="T5" i="2"/>
  <c r="T149" i="2"/>
  <c r="T74" i="2"/>
  <c r="T61" i="2"/>
  <c r="T80" i="2"/>
  <c r="T53" i="2"/>
  <c r="T11" i="2"/>
  <c r="U25" i="2"/>
  <c r="T29" i="2"/>
  <c r="T108" i="2"/>
  <c r="T112" i="2"/>
  <c r="T125" i="2"/>
  <c r="T98" i="2"/>
  <c r="T91" i="2"/>
  <c r="T35" i="2"/>
  <c r="T58" i="2"/>
  <c r="T144" i="2"/>
  <c r="T36" i="2"/>
  <c r="T113" i="2"/>
  <c r="T43" i="2"/>
  <c r="T21" i="2"/>
  <c r="T77" i="2"/>
  <c r="T3" i="2"/>
  <c r="T147" i="2"/>
  <c r="T12" i="2"/>
  <c r="T111" i="2"/>
  <c r="T54" i="2"/>
  <c r="T141" i="2"/>
  <c r="T109" i="2"/>
  <c r="T143" i="2"/>
  <c r="T133" i="2"/>
  <c r="T69" i="2"/>
  <c r="T132" i="2"/>
  <c r="T137" i="2"/>
  <c r="T126" i="2"/>
  <c r="T44" i="2"/>
  <c r="T122" i="2"/>
  <c r="T102" i="2"/>
  <c r="T46" i="2"/>
  <c r="T135" i="2"/>
  <c r="T13" i="2"/>
  <c r="T110" i="2"/>
  <c r="G13" i="2"/>
  <c r="G126" i="2"/>
  <c r="G122" i="2"/>
  <c r="G7" i="2"/>
  <c r="G21" i="2"/>
  <c r="G108" i="2"/>
  <c r="G29" i="2"/>
  <c r="G53" i="2"/>
  <c r="G80" i="2"/>
  <c r="G61" i="2"/>
  <c r="G115" i="2"/>
  <c r="G40" i="2"/>
  <c r="G71" i="2"/>
  <c r="G106" i="2"/>
  <c r="G22" i="2"/>
  <c r="G93" i="2"/>
  <c r="G83" i="2"/>
  <c r="G127" i="2"/>
  <c r="G97" i="2"/>
  <c r="G62" i="2"/>
  <c r="G121" i="2"/>
  <c r="G73" i="2"/>
  <c r="G75" i="2"/>
  <c r="G59" i="2"/>
  <c r="G104" i="2"/>
  <c r="G139" i="2"/>
  <c r="G213" i="1"/>
  <c r="U7" i="2" l="1"/>
  <c r="U75" i="2"/>
  <c r="U119" i="2"/>
  <c r="U46" i="2"/>
  <c r="U144" i="2"/>
  <c r="U101" i="2"/>
  <c r="U125" i="2"/>
  <c r="U133" i="2"/>
  <c r="U11" i="2"/>
  <c r="U29" i="2"/>
  <c r="U113" i="2"/>
  <c r="U65" i="2"/>
  <c r="U116" i="2"/>
  <c r="U61" i="2"/>
  <c r="U100" i="2"/>
  <c r="U103" i="2"/>
  <c r="U8" i="2"/>
  <c r="U22" i="2"/>
  <c r="U12" i="2"/>
  <c r="U146" i="2"/>
  <c r="U110" i="2"/>
  <c r="U13" i="2"/>
  <c r="U28" i="2"/>
  <c r="T32" i="2"/>
  <c r="U139" i="2"/>
  <c r="U59" i="2"/>
  <c r="U54" i="2"/>
  <c r="U78" i="2"/>
  <c r="U93" i="2"/>
  <c r="U60" i="2"/>
  <c r="U127" i="2"/>
  <c r="U73" i="2"/>
  <c r="U112" i="2"/>
  <c r="U38" i="2"/>
  <c r="U104" i="2"/>
  <c r="U83" i="2"/>
  <c r="U91" i="2"/>
  <c r="U53" i="2"/>
  <c r="U66" i="2"/>
  <c r="U45" i="2"/>
  <c r="U128" i="2"/>
  <c r="U3" i="2"/>
  <c r="U108" i="2"/>
  <c r="U131" i="2"/>
  <c r="U102" i="2"/>
  <c r="U43" i="2"/>
  <c r="U135" i="2"/>
  <c r="U40" i="2"/>
  <c r="U120" i="2"/>
  <c r="U69" i="2"/>
  <c r="U109" i="2"/>
  <c r="U121" i="2"/>
  <c r="U111" i="2"/>
  <c r="U97" i="2"/>
  <c r="U126" i="2"/>
  <c r="U79" i="2"/>
  <c r="U141" i="2"/>
  <c r="U62" i="2"/>
  <c r="U98" i="2"/>
  <c r="U41" i="2"/>
  <c r="U143" i="2"/>
  <c r="U149" i="2"/>
  <c r="U26" i="2"/>
  <c r="U5" i="2"/>
  <c r="U105" i="2"/>
  <c r="T25" i="2"/>
  <c r="T155" i="2" s="1"/>
  <c r="U55" i="2"/>
  <c r="U21" i="2"/>
  <c r="U106" i="2"/>
  <c r="U34" i="2"/>
  <c r="U137" i="2"/>
  <c r="U96" i="2"/>
  <c r="U123" i="2"/>
  <c r="U76" i="2"/>
  <c r="U115" i="2"/>
  <c r="U30" i="2"/>
  <c r="U82" i="2"/>
  <c r="U71" i="2"/>
  <c r="U99" i="2"/>
  <c r="U33" i="2"/>
  <c r="U52" i="2"/>
  <c r="U122" i="2"/>
  <c r="U77" i="2"/>
  <c r="U58" i="2"/>
  <c r="U80" i="2"/>
  <c r="U72" i="2"/>
  <c r="U114" i="2"/>
  <c r="U74" i="2"/>
  <c r="U36" i="2"/>
  <c r="U35" i="2"/>
  <c r="U132" i="2"/>
  <c r="U44" i="2"/>
  <c r="G302" i="1"/>
  <c r="G309" i="1"/>
  <c r="G185" i="1"/>
  <c r="G244" i="1"/>
  <c r="G10" i="1"/>
  <c r="G56" i="1"/>
  <c r="G248" i="1"/>
  <c r="G118" i="1"/>
  <c r="G218" i="1"/>
  <c r="G210" i="1"/>
  <c r="G144" i="1"/>
  <c r="G282" i="1"/>
  <c r="G265" i="1"/>
  <c r="G336" i="1"/>
  <c r="G259" i="1"/>
  <c r="G365" i="1"/>
  <c r="G304" i="1"/>
  <c r="G261" i="1"/>
  <c r="G243" i="1"/>
  <c r="G192" i="1"/>
  <c r="G195" i="1"/>
  <c r="G249" i="1"/>
  <c r="G275" i="1"/>
  <c r="G263" i="1"/>
  <c r="G240" i="1"/>
  <c r="G153" i="1"/>
  <c r="G342" i="1"/>
  <c r="G199" i="1"/>
  <c r="G284" i="1"/>
  <c r="G220" i="1"/>
  <c r="G267" i="1"/>
  <c r="G194" i="1"/>
  <c r="G50" i="1"/>
  <c r="G189" i="1"/>
  <c r="G131" i="1"/>
  <c r="G20" i="1"/>
  <c r="G320" i="1"/>
  <c r="G141" i="1"/>
  <c r="G257" i="1"/>
  <c r="G251" i="1"/>
  <c r="G92" i="1"/>
  <c r="G359" i="1"/>
  <c r="G293" i="1"/>
  <c r="G165" i="1"/>
  <c r="G175" i="1"/>
  <c r="G288" i="1"/>
  <c r="G186" i="1"/>
  <c r="G155" i="1"/>
  <c r="G30" i="1"/>
  <c r="G29" i="1"/>
  <c r="G325" i="1"/>
  <c r="G264" i="1"/>
  <c r="G273" i="1"/>
  <c r="G60" i="1"/>
  <c r="G65" i="1"/>
  <c r="G138" i="1"/>
  <c r="G149" i="1"/>
  <c r="G197" i="1"/>
  <c r="G277" i="1"/>
  <c r="G7" i="1"/>
  <c r="G176" i="1"/>
  <c r="G93" i="1"/>
  <c r="G72" i="1"/>
  <c r="G204" i="1"/>
  <c r="G241" i="1"/>
  <c r="G112" i="1"/>
  <c r="G236" i="1"/>
  <c r="G168" i="1"/>
  <c r="G227" i="1"/>
  <c r="G116" i="1"/>
  <c r="G327" i="1"/>
  <c r="G182" i="1"/>
  <c r="G3" i="1"/>
  <c r="G340" i="1"/>
  <c r="G86" i="1"/>
  <c r="G120" i="1"/>
  <c r="G83" i="1"/>
  <c r="G300" i="1"/>
  <c r="G260" i="1"/>
  <c r="G252" i="1"/>
  <c r="G279" i="1"/>
  <c r="G328" i="1"/>
  <c r="G266" i="1"/>
  <c r="G351" i="1"/>
  <c r="G44" i="1"/>
  <c r="G311" i="1"/>
  <c r="G324" i="1"/>
  <c r="G315" i="1"/>
  <c r="G41" i="1"/>
  <c r="G81" i="1"/>
  <c r="G344" i="1"/>
  <c r="G206" i="1"/>
  <c r="G239" i="1"/>
  <c r="G109" i="1"/>
  <c r="G159" i="1"/>
  <c r="G110" i="1"/>
  <c r="G290" i="1"/>
  <c r="G49" i="1"/>
  <c r="G313" i="1"/>
  <c r="G246" i="1"/>
  <c r="G242" i="1"/>
  <c r="G312" i="1"/>
  <c r="G136" i="1"/>
  <c r="G329" i="1"/>
  <c r="G6" i="1"/>
  <c r="G101" i="1"/>
  <c r="G43" i="1"/>
  <c r="G96" i="1"/>
  <c r="G77" i="1"/>
  <c r="G349" i="1"/>
  <c r="G294" i="1"/>
  <c r="G166" i="1"/>
  <c r="G107" i="1"/>
  <c r="G135" i="1"/>
  <c r="G143" i="1"/>
  <c r="G235" i="1"/>
  <c r="G269" i="1"/>
  <c r="G173" i="1"/>
  <c r="G224" i="1"/>
  <c r="G230" i="1"/>
  <c r="G334" i="1"/>
  <c r="G361" i="1"/>
  <c r="G207" i="1"/>
  <c r="G139" i="1"/>
  <c r="G339" i="1"/>
  <c r="G66" i="1"/>
  <c r="G345" i="1"/>
  <c r="G364" i="1"/>
  <c r="G317" i="1"/>
  <c r="G283" i="1"/>
  <c r="G69" i="1"/>
  <c r="G203" i="1"/>
  <c r="G301" i="1"/>
  <c r="G229" i="1"/>
  <c r="G184" i="1"/>
  <c r="G253" i="1"/>
  <c r="G254" i="1"/>
  <c r="G322" i="1"/>
  <c r="G335" i="1"/>
  <c r="G217" i="1"/>
  <c r="G321" i="1"/>
  <c r="G331" i="1"/>
  <c r="G209" i="1"/>
  <c r="G307" i="1"/>
  <c r="G238" i="1"/>
  <c r="G247" i="1"/>
  <c r="G13" i="1"/>
  <c r="G316" i="1"/>
  <c r="G198" i="1"/>
  <c r="G196" i="1"/>
  <c r="G202" i="1"/>
  <c r="G245" i="1"/>
  <c r="G291" i="1"/>
  <c r="G343" i="1"/>
  <c r="G298" i="1"/>
  <c r="G237" i="1"/>
  <c r="G177" i="1"/>
  <c r="G134" i="1"/>
  <c r="G258" i="1"/>
  <c r="G140" i="1"/>
  <c r="G278" i="1"/>
  <c r="G292" i="1"/>
  <c r="G276" i="1"/>
  <c r="G160" i="1"/>
  <c r="G64" i="1"/>
  <c r="G142" i="2" l="1"/>
  <c r="K344" i="1"/>
  <c r="AC45" i="2"/>
</calcChain>
</file>

<file path=xl/sharedStrings.xml><?xml version="1.0" encoding="utf-8"?>
<sst xmlns="http://schemas.openxmlformats.org/spreadsheetml/2006/main" count="6138" uniqueCount="1679">
  <si>
    <t>Spend</t>
  </si>
  <si>
    <t>Ad Sales</t>
  </si>
  <si>
    <t>Spend Difference</t>
  </si>
  <si>
    <t>Total Sales</t>
  </si>
  <si>
    <t>Title</t>
  </si>
  <si>
    <t>Row Labels</t>
  </si>
  <si>
    <t>Sum of Units Ordered</t>
  </si>
  <si>
    <t>Consistency</t>
  </si>
  <si>
    <t>Diff 10-11</t>
  </si>
  <si>
    <t>Diff %</t>
  </si>
  <si>
    <t>Oct</t>
  </si>
  <si>
    <t>NOV</t>
  </si>
  <si>
    <t>Ad Sales 11</t>
  </si>
  <si>
    <t>Diff</t>
  </si>
  <si>
    <t>Nov</t>
  </si>
  <si>
    <t>CL</t>
  </si>
  <si>
    <t>ZY</t>
  </si>
  <si>
    <t>TW</t>
  </si>
  <si>
    <t>JC</t>
  </si>
  <si>
    <t>KC</t>
  </si>
  <si>
    <t>Natural Astaxanthin 12mg, 90 Softgels, 3 Month Supply, Premium Astaxanthin Supplements (MicroAlgae), Supports Eye, Joint, Internal Circulation Health and Antioxidant, Easy to Swallow</t>
  </si>
  <si>
    <t>B08MWZQ4S6</t>
  </si>
  <si>
    <t>Oil of Oregano 6000mg 150 count</t>
  </si>
  <si>
    <t>B0DK7XKTM6</t>
  </si>
  <si>
    <t>大包庫存量不足, 小包廣告加上FB的仿品投放</t>
  </si>
  <si>
    <t xml:space="preserve">Vitamin D3K2 10,000IU 180 count </t>
  </si>
  <si>
    <t>B0D2SRGD76</t>
  </si>
  <si>
    <t>小包產品嘗試add to cart audience投放, KW加上clicked brand audience 40%, PT 30%看看轉化</t>
  </si>
  <si>
    <t>上调PT的Budget 下调VEV和自己的bid 在主要竞品上多尝试出单  增加clicked or add to cart 30%</t>
  </si>
  <si>
    <t>Micro Ingredients Oil of Oregano Softgels 6000mg Per Serving, 300 Count | with Black Seed Oil, 4X Strength Carvacrol &amp; Thymoquinone | Plant Based, Non-GMO | Antioxidant &amp; Immune Support</t>
  </si>
  <si>
    <t>B0BXYKQBDC</t>
  </si>
  <si>
    <t>Micro Ingredients Odorless Garlic 7500mg Per Servings, 300 Softgels | 2 Years Aged Garlic Extract, Grown Allium Sativum Bulb | Potent Antioxidant Supplement, Immune Support, and Heart Health</t>
  </si>
  <si>
    <t>B0812DJRSK</t>
  </si>
  <si>
    <t>广告关掉暂时等货</t>
  </si>
  <si>
    <t xml:space="preserve">Supreme Omega-3 rTG Fish Oil 1300mg (700mg EPA + 500mg DHA) with Vitamin D3 1000IU Softgels 60 counts </t>
  </si>
  <si>
    <t>B0FN26WGH8</t>
  </si>
  <si>
    <t>Liposomal NAD+ Ultimate 1000mg</t>
  </si>
  <si>
    <t>B0F8FZSPTY</t>
  </si>
  <si>
    <t>小幅度下调头部liposomal nad的bid提高PT top到120， top kw目前表现比较稳定可以接受, 持续增长 跟R&amp;D沟通做120粒的capsules 增加性价比和推广可能性以及总销量上涨</t>
  </si>
  <si>
    <t>Organic Beet Root Powder, 4 Pounds | Cold Pressed, Water Soluble, High Concentrated Raw Beet Supplement | Superfood Drink Mix | Non-GMO, Vegan Friendly, Plant Based</t>
  </si>
  <si>
    <t>B01N20ON39</t>
  </si>
  <si>
    <t xml:space="preserve">Black Seed Oil 3000mg with Oregano Oil </t>
  </si>
  <si>
    <t>B0F3G35G6W</t>
  </si>
  <si>
    <t>上调KW的budget继续增加投放 钱不够花往上走 权重已经有明显提升了</t>
  </si>
  <si>
    <t>Pure Magnesium Citrate 500mg with Vitamin C</t>
  </si>
  <si>
    <t>B0DLLJ7HTQ</t>
  </si>
  <si>
    <t>Deal表现的确不错但是权重没有明显上升，需要在deal后稳定库存的同时尝试广告提升自然权重 强相关词占比也并不高，提高500mg相关词的bid</t>
  </si>
  <si>
    <t>Organic Pomegranate Juice Powder, 1 Pound (91 Serving), Freeze Dried &amp; Cold Pressed, Natural Vitamin C (Immune Vitamin), Support Immune System, Organic Flavor for Smoothie &amp; Beverage, Vegan Friendly</t>
  </si>
  <si>
    <t>B01HN63W4Y</t>
  </si>
  <si>
    <t>整体下调0.1除了juice和单pomegranate,下调PT头部2个IS较高产品的BID,B087QVV6Y1/B00M1X5DH4</t>
  </si>
  <si>
    <t>Organic Mega 10 Mushroom Powder 5oz</t>
  </si>
  <si>
    <t>B0D2S5M4DK</t>
  </si>
  <si>
    <t>11月初做了deal 后面销量往上走 现在一天卖80多</t>
  </si>
  <si>
    <t xml:space="preserve">Pure Turmeric Curcumin 95% 1000mg </t>
  </si>
  <si>
    <t>B0DS6LCFRH</t>
  </si>
  <si>
    <t>主要靠著deal長了銷量但整體廣告花費不高, 加強了PT及TOP KW兩個廣告力度, SB加大投放NTB客群</t>
  </si>
  <si>
    <t>Omega 3 Fish Oil 4200mg 120 Softgels</t>
  </si>
  <si>
    <t>B0CS56P75L</t>
  </si>
  <si>
    <t>Pure D-Mannose 1300mg with cranberry</t>
  </si>
  <si>
    <t>B0DLLMC7DS</t>
  </si>
  <si>
    <t>Pure Methylated Multivitamin for Men 240 Capsules</t>
  </si>
  <si>
    <t>B0F8FX9SXY</t>
  </si>
  <si>
    <t>10月份都還在等貨, 11月跑了一次deal+BFCM效果好最多可以賣到100+之後跑deal會需要備多一些貨</t>
  </si>
  <si>
    <t xml:space="preserve">Pumpkin Seed Oil Softgels 150 count </t>
  </si>
  <si>
    <t>B0F3B84SDQ</t>
  </si>
  <si>
    <t>廣告力度偏低上調廣告力度找找top更多展示, KW加上added to cart 40%, PT加上high interest 20%</t>
  </si>
  <si>
    <t>Micro Ingredients Organic Lions Mane Mushroom Supplement Powder, 16 Ounce | Sustainably US Grown, Nootropic for Mental Clarity, Energy, &amp; Immune Support | Non-GMO, Vegan</t>
  </si>
  <si>
    <t>B07P2CWWVV</t>
  </si>
  <si>
    <t>Organic Chia Seeds 4lb</t>
  </si>
  <si>
    <t>B0F3GFTM5J</t>
  </si>
  <si>
    <t>外部有流量把我們也一起帶起來了, 但我們目前FBA快沒貨了先關廣告PT, 留AUTO跟KW, 等inbound中</t>
  </si>
  <si>
    <t xml:space="preserve">Vitamin D3K2 5000IU Golden Passion Fruit Flavor Gummies 120 count </t>
  </si>
  <si>
    <t>B0DS6MBN7J</t>
  </si>
  <si>
    <t xml:space="preserve">Organic Ceylon Cinnamon Powder 8oz </t>
  </si>
  <si>
    <t>B0FGF3F9H4</t>
  </si>
  <si>
    <t>新品9.99, 貨不是很足, 目前穩定60+一天</t>
  </si>
  <si>
    <t xml:space="preserve">Super Enzymes+ with Prebiotics + Probiotics vegetarian capsules 240 count </t>
  </si>
  <si>
    <t>B0DX44RL58</t>
  </si>
  <si>
    <t>Organic Black Seed Oil Bottle 16 fl oz (473mL)</t>
  </si>
  <si>
    <t>B0CVR6MX33</t>
  </si>
  <si>
    <t>Magnesium Glycinate 400mg Gummies Grape Blueberry Flavor, 120 count</t>
  </si>
  <si>
    <t>B0F7NR5HSH</t>
  </si>
  <si>
    <t xml:space="preserve">TUDCA 2000mg Complex capsules 240 count </t>
  </si>
  <si>
    <t>B0F4HH894D</t>
  </si>
  <si>
    <t>Creatine Monohydrate 5000mg Gummies Strawberry Raspberry Flavor, 120 count</t>
  </si>
  <si>
    <t>B0DS6KG42Q</t>
  </si>
  <si>
    <t>10月底才上, 9.99賣DC</t>
  </si>
  <si>
    <t>2 Pack Vitamin D3 5000IU Plus K2, 2 in 1 Formula, Vitamin D3 Liquid with Vitamin K2, 300 Soft-Gels, Immune Vitamin Complex with Virgin Sunflower Seed Oil, Support Your Heart, Teeth &amp; Joint Health</t>
  </si>
  <si>
    <t>B07VF2S2LC</t>
  </si>
  <si>
    <t>Organic MCT Oil Powder with Prebiotic Fiber,1 Pound(16 Ounce), Fast Fuel for Body and Brain, C8 MCT Oil for Coffee Creamer, Delicious for Tea, Smoothie, Drink and Beverage, No GMOs, Keto Diet, Vegan</t>
  </si>
  <si>
    <t>B07T5X85N9</t>
  </si>
  <si>
    <t xml:space="preserve">Organic Ceremonial Matcha Powder 100g </t>
  </si>
  <si>
    <t>B0F3GD9TWT</t>
  </si>
  <si>
    <t>Omega-3 Fish Oil 1200mg</t>
  </si>
  <si>
    <t>B0DGRNC1VW</t>
  </si>
  <si>
    <t xml:space="preserve">Milk Thistle 6000mg with Grape Seed Oil softgels 360 count </t>
  </si>
  <si>
    <t>B0F5S4X7L6</t>
  </si>
  <si>
    <t>11月份做了兩次deal, 漲價後權重小掉, 先往Rest跑廣告, Rest上提到50, 補點詞, PT多打一點detox類產品, 純milk thistle降點力度</t>
  </si>
  <si>
    <t>Berberine 3000mg vegetarian capsules 240 count</t>
  </si>
  <si>
    <t>B0DW192P2Z</t>
  </si>
  <si>
    <t xml:space="preserve">Resveratrol Complex 3000mg </t>
  </si>
  <si>
    <t>B0DVMN2XB5</t>
  </si>
  <si>
    <t xml:space="preserve">Vitamin B1 500mg with Benfotiamine with MCT Oil Softgels 240 counts </t>
  </si>
  <si>
    <t>B0F5M8Z61H</t>
  </si>
  <si>
    <t xml:space="preserve">Instant Whey Protein Powder 2lb </t>
  </si>
  <si>
    <t>B0FJ4KZL8M</t>
  </si>
  <si>
    <t>Tart Cherry+ with Black Seed Oil Softgels 300 count </t>
  </si>
  <si>
    <t>B0FJ4DSJ36</t>
  </si>
  <si>
    <t>Glutathione reduced 1000mg</t>
  </si>
  <si>
    <t>B0DWD6PXP2</t>
  </si>
  <si>
    <t xml:space="preserve">NMN 200mg vegetarian capsules 120 count </t>
  </si>
  <si>
    <t>B0FV26F161</t>
  </si>
  <si>
    <t>Organic Matcha Green Tea Powder, 2 Pound (32 Ounce), Culinary Grade - Unflavored - First Harvest Authentic Japanese Origin, 100% Pure Matcha for Smoothies, Latte and Baking, Non-GMO, Non-Irradiation</t>
  </si>
  <si>
    <t>B09TG3RDGS</t>
  </si>
  <si>
    <t xml:space="preserve">2pack Multi-Collagen Complex Capsules 240 count </t>
  </si>
  <si>
    <t>B0F6ZJ1NXP</t>
  </si>
  <si>
    <t>Micro Ingredients Antarctic Krill Oil Supplement, 2,000mg Per Serving, 240 Softgels, Triple Strength, Rich in Omega-3s EPA, DHA &amp; Natural Astaxanthin, Supports Immune System &amp; Brain Health</t>
  </si>
  <si>
    <t>B0C35GYDV3</t>
  </si>
  <si>
    <t>Organic Ground Ginger Powder, 2 Pounds (32 Ounce), Great Flavor and Highly Aromatic, Fine Loose Powder for Better Mixing without Settling, Best for Cooking, Baking, Tea &amp; More, Product of India</t>
  </si>
  <si>
    <t>B08TBBBJK8</t>
  </si>
  <si>
    <t>Nitric Oxide Booster 3600mg 240 tablets</t>
  </si>
  <si>
    <t>B0DK6684NK</t>
  </si>
  <si>
    <t>Apple Cider Vinegar Capsules</t>
  </si>
  <si>
    <t>B0DX4GZDW9</t>
  </si>
  <si>
    <t>11月份deal效果明顯比10月份做的來得好, 12.59能賣到120+一天, match iherb price後價格有點偏高了, 類目裡大多單價都在20內, KW降TOP跑Rest, 結構調整成90/40, PT調整成100/10</t>
  </si>
  <si>
    <t xml:space="preserve">Pure L-Lysine 2000mg </t>
  </si>
  <si>
    <t>B0DVM9M4DS</t>
  </si>
  <si>
    <t>KW調整結構, TOP/Rest上提到100/30, 主要搶搶這幾個詞lysine, 1000mg capsules l lysine, l-lysine的占比, PT TOP上提到120, 移20預算給KW多出一點</t>
  </si>
  <si>
    <t xml:space="preserve">Niacin (Vitamin B3) 500mg capsules 400 count </t>
  </si>
  <si>
    <t>B0DLLJLMKD</t>
  </si>
  <si>
    <t>Monk Fruit Sweetener with Allulose, 2 lbs | No Erythritol | No Aftertaste, 1:1 White Sugar Substitute, Keto &amp; Vegan Friendly, Zero Calorie | Great for Drinks, Coffee, Tea, Cookies | Non-GMO</t>
  </si>
  <si>
    <t>B0BR4N7C2F</t>
  </si>
  <si>
    <t>Micro Ingredients Organic Lemon Juice Powder, 10 Ounce, Cold Pressed Concentrated Powder, Filler Free, Rich in Natural Vitamin C for Immune System Booster, Great Flavor for Soda, Baking and Cooking, Vegan Friendly</t>
  </si>
  <si>
    <t>B07NY4MF5Y</t>
  </si>
  <si>
    <t>Alpha Lipoic Acid (ALA) 600mg</t>
  </si>
  <si>
    <t>B0DVMNZ1HR</t>
  </si>
  <si>
    <t>NMN 1000mg 120 Capsules</t>
  </si>
  <si>
    <t>B0FXJ8YYX4</t>
  </si>
  <si>
    <t>Vitamin D3K2 5000IU with sunflower oil 180 count</t>
  </si>
  <si>
    <t>B0D2S6DMDS</t>
  </si>
  <si>
    <t>Vitamin D3K2 5000IU sunflower 180 count</t>
  </si>
  <si>
    <t>Pure Allulose Sweetener Sachets 300 ct</t>
  </si>
  <si>
    <t>B0F7NBHZ52</t>
  </si>
  <si>
    <t>Micro Ingredients Organic Beet Root Juice Powder, 1 Pound -Superfood Drink Mix | Non-GMO</t>
  </si>
  <si>
    <t>B01N32M7BR</t>
  </si>
  <si>
    <t>Organic Blue Spirulina 30g</t>
  </si>
  <si>
    <t>B0DDW2L4YM</t>
  </si>
  <si>
    <t>Bariatric Multivitamin with 45mg Iron 240 Veggie Capsules</t>
  </si>
  <si>
    <t>B0F6H61S1J</t>
  </si>
  <si>
    <t>Beet Root 3000mg with grape seed &amp; CoQ10</t>
  </si>
  <si>
    <t>B0DK65FRV2</t>
  </si>
  <si>
    <t>Micro Ingredients Organic Coconut Milk Powder, 2 Pound (32 Ounce), Plant-Based Creamer, Perfect for Coffee, Tea and Smoothie, Non-GMO and Keto Friendly</t>
  </si>
  <si>
    <t>B07X37D16H</t>
  </si>
  <si>
    <t>Micro Ingredients 2 Pack Liver Detox, 480 Capsules</t>
  </si>
  <si>
    <t>B0FMBVXBNV</t>
  </si>
  <si>
    <t xml:space="preserve">5-HTP+ 300mg with Hemp Seed Oil Softgels 240 count </t>
  </si>
  <si>
    <t>B0FJ477YCV</t>
  </si>
  <si>
    <t xml:space="preserve">Organic Castor Oil 32 fl oz </t>
  </si>
  <si>
    <t>B0CVRWSVRY</t>
  </si>
  <si>
    <t>Organic Black Cumin Seed (Nigella Sativa), 2lbs | Premium Grade Whole Black Seed from Egypt | Rich in Healthy Black Seed Oil | Raw Seeds for Baking, Seasoning, and Cooking | Non-GMO</t>
  </si>
  <si>
    <t>B0CG7S11B6</t>
  </si>
  <si>
    <t>Monk Fruit Sweetener with Erythritol Granules, 4 Pounds, No After Taste, 1:1 White Sugar Substitute, Keto Diet Friendly, Zero Calorie, Natural Sweetener for Drinks, Coffee, Tea, Cookies, No-GMO, Vegan</t>
  </si>
  <si>
    <t>B07X4BL4GC</t>
  </si>
  <si>
    <t>Whole Milk Powder, 4lbs | rBST Hormone Free, Pasture Raised Source, Premium Grade Dry Powdered Form | Great for Baking | Rich in Protein | Non-GMO</t>
  </si>
  <si>
    <t>B0CLFXDX4Z</t>
  </si>
  <si>
    <t>Organic Sunflower Seeds (Kernels) 4lb</t>
  </si>
  <si>
    <t>B0CLFLQ8DJ</t>
  </si>
  <si>
    <t>Micro Ingredients Organic Spirulina Powder, 16 Ounce, Raw Spirulina (Arthrospira Platensis), The Richest Sources of 70% Vegan Protein, Containers Minerals, Vitamins, Non-GMO &amp; Non-Irradiation</t>
  </si>
  <si>
    <t>B01DPW5FWW</t>
  </si>
  <si>
    <t>Micro Ingredients Organic Spirulina Supplement, 3000MG Per Serving, 720 Tablets (4 Month Supply), No Filler &amp; Non-GMO, Rich in Vegan Protein, Vitamins &amp; Prebiotics, Premium Spirulina Pills Organic</t>
  </si>
  <si>
    <t>B01DPW5DC4</t>
  </si>
  <si>
    <t xml:space="preserve">Organic Instant Mushroom Coffee 14oz </t>
  </si>
  <si>
    <t>B0CWN8C5KR</t>
  </si>
  <si>
    <t xml:space="preserve">HMB 1000mg with coconut oil softgels 240 count </t>
  </si>
  <si>
    <t>B0F5M5HXC3</t>
  </si>
  <si>
    <t>Micro Ingredients Vitamin E 1000 IU, 240 Softgels | Pure Vitamin E Oil Pills | Antioxidant Supplements for Skin, Face, &amp; Immune Health | Non-GMO, Gluten Free</t>
  </si>
  <si>
    <t>B0845QRGV5</t>
  </si>
  <si>
    <t>CoQ10 200mg with MCT Oil</t>
  </si>
  <si>
    <t>B0DGRK52HZ</t>
  </si>
  <si>
    <t>Grape Seed Extract 36000mg with Resveratrol</t>
  </si>
  <si>
    <t>B0DX3W24CJ</t>
  </si>
  <si>
    <t xml:space="preserve">Pure Vitamin C 2000mg vegetarian capsules 240 count </t>
  </si>
  <si>
    <t>B0F3GV9QWR</t>
  </si>
  <si>
    <t>在liposomal vitamin c上搶不到量, 下調base給其他詞花, 多打打vitamina c 1000mg, vit c這兩個詞拿占比, PT上提TOP到140, 競品降liposmal的vit c主要搶一般型式的維c</t>
  </si>
  <si>
    <t>L Tyrosine Supplement 500mg with Omega-3</t>
  </si>
  <si>
    <t>B0F5S28X8S</t>
  </si>
  <si>
    <t>Micro Ingredients North American Grown, Pea Protein Powder, 5 Pounds | Plant Based, Unflavored | Complete Vegan Protein Source – 27g Serving | Rich in BCAAs &amp; EAAs | Non-GMO, Keto Friendly</t>
  </si>
  <si>
    <t>B0C35LNMRF</t>
  </si>
  <si>
    <t>Electrolyte Powder Strawberry &amp; Kiwi Flavor 2lb</t>
  </si>
  <si>
    <t>B0FGKJCC9X</t>
  </si>
  <si>
    <t xml:space="preserve">Bromelain 500mg with Quercetin &amp; MCT Oil </t>
  </si>
  <si>
    <t>B0F5M2HRX9</t>
  </si>
  <si>
    <t>Nattokinase 4,000 FU Equivalent 240 Softgels with MCT Oil</t>
  </si>
  <si>
    <t>B0F5MHP4Q8</t>
  </si>
  <si>
    <t>Creatine Monohydrate Powder 500 Grams (1.1 LBS), 5000mg Per Serv, Micronized Creatine Powder, Unflavored, Pure, No Filler, Keto &amp; Vegan, Easy Dissolve Pre Workout Creatine for Women and Men</t>
  </si>
  <si>
    <t>B09TNMZBQ5</t>
  </si>
  <si>
    <t xml:space="preserve">Melatonin 10mg tablets strawberry flavor 400 count </t>
  </si>
  <si>
    <t>B0DX4D8Q84</t>
  </si>
  <si>
    <t>Micro Ingredients Biotin 10,000mcg w/Hyaluronic Acid 25mg | 360 Virgin Coconut Oil Softgels, Fast Release, One Year Supply, Supports Healthy Hair, Skin &amp; Nails, Non-GMO &amp; No Gluten</t>
  </si>
  <si>
    <t>B08MX3DD8G</t>
  </si>
  <si>
    <t xml:space="preserve">Liposomal Vitamin C 1000mg 40 packets </t>
  </si>
  <si>
    <t>B0F3GDQTLS</t>
  </si>
  <si>
    <t xml:space="preserve">Mega Omega-3 Krill &amp; Fish Oil 2000mg (350mg EPA + 230mg DHA) Complex Softgels 240 count </t>
  </si>
  <si>
    <t>B0F4HPY7D5</t>
  </si>
  <si>
    <t>Omega 3 Fish Oil DHA Supplements 1000mg with EPA 500mg, 200 Softgels – Lemon Flavored, Burpless (Enteric Coated) | Deep Sea Fresh Fish, Wild Caught from Norwegian Waters | Mercury Free</t>
  </si>
  <si>
    <t>B08MX16TYC</t>
  </si>
  <si>
    <t>Moringa 6000mg capsules</t>
  </si>
  <si>
    <t>B0DDWPH39G</t>
  </si>
  <si>
    <t xml:space="preserve">Pure KSM-66 Ashwagandha 1000mg vegetarian capsules 120 count </t>
  </si>
  <si>
    <t>B0F7NM5CXF</t>
  </si>
  <si>
    <t>match iherb price後權重掉很多, 廣告有點打不太出去, 先往Rest多打一點, KW上提Rest到40,</t>
  </si>
  <si>
    <t xml:space="preserve">Sport Electrolytes Powder Pineapple (Pina Colada) Flavor 2lb </t>
  </si>
  <si>
    <t>B0FGL1QZJF</t>
  </si>
  <si>
    <t>Cranbery 400mg Vitamin C &amp; MCT 300 Softgel</t>
  </si>
  <si>
    <t>B0F5RKBCJJ</t>
  </si>
  <si>
    <t>L-Theanine 400mg 400 Softgels</t>
  </si>
  <si>
    <t>B0F5S2PCLD</t>
  </si>
  <si>
    <t>Ultra Omega 3-6-9 3600mg Perserv, 300 Burpless Softgels | Lemon Flavor – Blend of Fish, Flaxseed, Borage Oils | Bioavailable Source, Non-GMO, No Gluten, Mercury Free</t>
  </si>
  <si>
    <t>B07RD8T952</t>
  </si>
  <si>
    <t>Micro Ingredients Lutein &amp; Zeaxanthin 40mg Softgels, 240 Count, with Astaxanthin, Omega-3s, &amp; Phospholipids | Eye + Vision Health Vitamins | Third Party Tested, Non-GMO, Gluten Free</t>
  </si>
  <si>
    <t>B0812QPT4J</t>
  </si>
  <si>
    <t>Blood Booster 60 Capsules</t>
  </si>
  <si>
    <t>B0F8XQDMXS</t>
  </si>
  <si>
    <t xml:space="preserve">Premium Vital Wheat Gluten Powder 6lb </t>
  </si>
  <si>
    <t>B0DK7WV3MS</t>
  </si>
  <si>
    <t>Agar Agar Powder, 1lb | Vegan Substitute for Beef Gelatin, Unflavored Thickening Agent, Plant Based Red Algae | Great for Desserts or Baked Plates | Non-GMO, Sugar Free</t>
  </si>
  <si>
    <t>B0C35H321V</t>
  </si>
  <si>
    <t>Melatonin Gummies 20mg</t>
  </si>
  <si>
    <t>B0F7NYGQ58</t>
  </si>
  <si>
    <t xml:space="preserve">Vitality Fiber Prebiotic Powder 1lb </t>
  </si>
  <si>
    <t>B0DK69WWNQ</t>
  </si>
  <si>
    <t>Kids Magnesium Calm Gummies</t>
  </si>
  <si>
    <t>B0FGKW135S</t>
  </si>
  <si>
    <t>NAD+ with resveratrol</t>
  </si>
  <si>
    <t>B0DS6NNCP9</t>
  </si>
  <si>
    <t>Beef Gelatin Powder | Grass Fed, 2lbs | Unflavored Thickening Agent, Pasture Raised Source, Rich in Natural Protein | Great for Cooking &amp; Baking | Non-GMO</t>
  </si>
  <si>
    <t>B0C35DQQM9</t>
  </si>
  <si>
    <t>Lions Mane Capsules</t>
  </si>
  <si>
    <t>B0D68FCQVT</t>
  </si>
  <si>
    <t>Pure Liposomal NAD+ 9000mg for women</t>
  </si>
  <si>
    <t>B0F8FP7F8T</t>
  </si>
  <si>
    <t xml:space="preserve">Pure Methylated Multivitamin 2pk </t>
  </si>
  <si>
    <t>B0FMBGZZM1</t>
  </si>
  <si>
    <t>Pure Methylated Multivitamin for Women</t>
  </si>
  <si>
    <t>B0F8FWJN2Q</t>
  </si>
  <si>
    <t>Pure Potassium Magnesium with Vitamin C</t>
  </si>
  <si>
    <t>B0DLLLB5TL</t>
  </si>
  <si>
    <t>Taurine Powder Supplement | 1 KG, 2000mg Per Serving | Unflavored | 100% Pure, Easily Absorbed Free Form | Essential Amino Acids for Exercise, Energy, &amp; Heart Support</t>
  </si>
  <si>
    <t>B0C88H675D</t>
  </si>
  <si>
    <t>KSM-66 Ashwagandha Gummies</t>
  </si>
  <si>
    <t>B0F3B3Y86P</t>
  </si>
  <si>
    <t>Creatine Monohydrate 5,000mg, 500 Capsules | Pure Creatine Pills – Micronized + Unflavored Powder Source, Easy Absorption | Pre Workout &amp; Muscle Health Support | Keto, Non-GMO</t>
  </si>
  <si>
    <t>B0B9289VLY</t>
  </si>
  <si>
    <t>Organic Non-Fortified Nutritional Yeast Flakes, 2 Pounds | Rich in Vegan Protein, B Vitamins &amp; Beta-glucans | Keto Friendly, Dairy Free Cheese Substitute, Non-GMO, Gluten Free</t>
  </si>
  <si>
    <t>B0BCMNBZPR</t>
  </si>
  <si>
    <t>Vitamin K Complex with coconut oil softgels</t>
  </si>
  <si>
    <t>B0C9PNMGR3</t>
  </si>
  <si>
    <t>市場均價不高, BFCM降價到17有100多單</t>
  </si>
  <si>
    <t>Micro Ingredients Full Spectrum Vitamin K2 MK-4 + MK-7 Supplement, 150 mcg, 300 Coconut Oil Softgles | Easily Absorbed, Active Menaquinone Complex | Immune, Joint, &amp; Heart Support | Non-GMO</t>
  </si>
  <si>
    <t>B087DZKHVW</t>
  </si>
  <si>
    <t xml:space="preserve">Sport Electrolytes Powder Berry Punch Flavor 2lb </t>
  </si>
  <si>
    <t>B0FGKCLXQ4</t>
  </si>
  <si>
    <t>Electrolyte Powder 1lb</t>
  </si>
  <si>
    <t>B0CS4VV8MD</t>
  </si>
  <si>
    <t>Biotin 5000mcg with coconut oil</t>
  </si>
  <si>
    <t>B0DK64NZS8</t>
  </si>
  <si>
    <t>Micro Ingredients Quercetin with Vitamin C and Zinc, 240 Capsules | Quercetin 500mg, Vitamin C 500mg, Zinc 50mg (Picolinate, Citrate, Glycinate, Gluconate) | Complete Immune Support Supplements</t>
  </si>
  <si>
    <t>B087Z8PSW6</t>
  </si>
  <si>
    <t xml:space="preserve">Krill Oil 2000mg Softgels 120 count </t>
  </si>
  <si>
    <t>B0FGFQKC2T</t>
  </si>
  <si>
    <t>Organic Barley Grass Powder, 16 Ounces | US Grown | Rich in Vitamins, Minerals, Fibers, &amp; Antioxidants | Superfood Greens Mix for Immune Health and Digestion Support | Non-GMO</t>
  </si>
  <si>
    <t>B01NCTM200</t>
  </si>
  <si>
    <t xml:space="preserve">Astaxanthin 24mg Softgels 60 count </t>
  </si>
  <si>
    <t>B0F4M8Y6V6</t>
  </si>
  <si>
    <t>Micro Ingredients Vitamin B12 5000mcg | Methyl B12 Active Form – 180 Chewable Tablets | Fast Dissolve, Natural Strawberry Flavor, Support Energy, Metabolism Health | Vegan, Non-GMO, &amp; No Gluten</t>
  </si>
  <si>
    <t>B08MX1ZWB4</t>
  </si>
  <si>
    <t>Super greens Superfood Powder 1lb</t>
  </si>
  <si>
    <t>B0DK7WVQQY</t>
  </si>
  <si>
    <t>Organic Arrowroot Powder, 5lbs | Food Grade, All Purpose Flour, Corn Starch Substitute</t>
  </si>
  <si>
    <t>B0CLFXD4XS</t>
  </si>
  <si>
    <t>Pure Organic Stevia Powder, 1lb</t>
  </si>
  <si>
    <t>B0D2LYMLJT</t>
  </si>
  <si>
    <t>CoQ10 100mg with MCT Oil</t>
  </si>
  <si>
    <t>B0DK69D35M</t>
  </si>
  <si>
    <t>Chlorophyll Complex 2000mg 240 Veg Caps</t>
  </si>
  <si>
    <t>B0DX44D7FF</t>
  </si>
  <si>
    <t xml:space="preserve">Maca Root Complex 5000mg </t>
  </si>
  <si>
    <t>B0DW1M7VQK</t>
  </si>
  <si>
    <t>Sport Electrolytes Powder Watermelon Lime Flavor 2lb</t>
  </si>
  <si>
    <t>B0FGKXX19D</t>
  </si>
  <si>
    <t xml:space="preserve">Multi-Collagen Peptides Powder 8oz </t>
  </si>
  <si>
    <t>B0D2S5S6D7</t>
  </si>
  <si>
    <t>Magnesium Glycinate Powder 12oz</t>
  </si>
  <si>
    <t>B0DG3QT3M2</t>
  </si>
  <si>
    <t>Pure Saffron Extract 88.5mg</t>
  </si>
  <si>
    <t>B0DWDGKDMC</t>
  </si>
  <si>
    <t>Organic Turkey Tail Mushroom Powder (50:1 Extract), 8 Ounce | Sustainably US Grown, Freeze Dried with Active Polysaccharides, Supports Immune Response &amp; Cellular Level, Pet Friendly</t>
  </si>
  <si>
    <t>B07P2BWC78</t>
  </si>
  <si>
    <t xml:space="preserve">Sport Electrolytes Powder Passionfruit and Citrus Flavor 2lb </t>
  </si>
  <si>
    <t>B0FGL1SQML</t>
  </si>
  <si>
    <t>Psyllium Husk 3000mg veg caps</t>
  </si>
  <si>
    <t>B0DWDVSHZW</t>
  </si>
  <si>
    <t>Micro Ingredients Organic Camu Camu Powder, 12 oz | High Natural Vitamin C Level | Fresh Freeze-Dried Berries Source | Supports Energy and Immune Health | No GMOs, Vegan Friendly</t>
  </si>
  <si>
    <t>B01L2TGRFO</t>
  </si>
  <si>
    <t>Golden Monk Fruit Sweetener with Allulose, 2 lbs | No Erythritol, No Aftertaste, 1:1 Brown Sugar Substitute | Zero Calorie, Great for Drinks, Coffee, Tea, Cookies | Keto, Vegan, Non-GMO</t>
  </si>
  <si>
    <t>B0C9P7L7YJ</t>
  </si>
  <si>
    <t>Citric Acid 6 Pounds, Food Grade, Fine Granular Powder | 100% Pure, Concentrated Anhydrous Form | Natural Preservative + Great for Cooking, Cleaning, &amp; DIY Bath Bombs | Non-GMO</t>
  </si>
  <si>
    <t>B0BXYCL8KP</t>
  </si>
  <si>
    <t>Calm Powder 1lb</t>
  </si>
  <si>
    <t>B0FH5PPJVM</t>
  </si>
  <si>
    <t>2 Pack Micro Ingredients Organic Lemon Juice Powder, 10 Ounce, Rich in Natural Vitamin C (Immune Vitamins) for Immune System, Great Flavor for Drinks, Smoothie &amp; Beverages, Vegan</t>
  </si>
  <si>
    <t>B07XGDGNH9</t>
  </si>
  <si>
    <t>Vitamin B1 Benfotiamine 600mg Per Serving, 240 Coconut Oil Softgels | Essential B Vitamins Supplement, Fat Soluble | Supports Metabolism &amp; Healthy Nervous System | Non-GMO, Easy to Swallow</t>
  </si>
  <si>
    <t>B0CG7ZTT7B</t>
  </si>
  <si>
    <t>Maximum Strength Organic Pure Horny Goat Weed with Active Icariins for Men and Women, 100 Grams, Organic Epimedium Powder for Energy and Immune System Booster, Filler Free and Vegan Friendly</t>
  </si>
  <si>
    <t>B01L2TGSVM</t>
  </si>
  <si>
    <t>Organic Freeze-Dried Dragon Fruit Powder (Pink Pitaya/Pitahaya), 10 Ounce, Perfect for Shakes, Baking &amp; Smoothie, Non-GMO, No Gluten, Vegan Friendly</t>
  </si>
  <si>
    <t>B07P4M1YGN</t>
  </si>
  <si>
    <t>Vitamin D3 10,000IU Softgels 400 counts</t>
  </si>
  <si>
    <t>B0DK67ZTSP</t>
  </si>
  <si>
    <t>Organic Whole Rainbow Peppercorn Blend, 2lbs | Black, Green, Pink, &amp; White Fresh Peppercorns for Easy Grinder Refill | Multi Purpose Seasoning for Cooking or Baking | Non-GMO</t>
  </si>
  <si>
    <t>B0C9PGG2WV</t>
  </si>
  <si>
    <t>Pure Acerola Cherry Powder Organic, Natural Organic Vitamin C for Immune System Booster, 8 Ounce, Best Superfoods for Beverage, Smoothie and Drinks, Vegan Friendly, Brazil Origin</t>
  </si>
  <si>
    <t>B06XC72G8G</t>
  </si>
  <si>
    <t xml:space="preserve">Glycine 2000mg 240 count </t>
  </si>
  <si>
    <t>B0DW1BXPMV</t>
  </si>
  <si>
    <t xml:space="preserve">Pure Methylated B Complex 2 Pack </t>
  </si>
  <si>
    <t>B0FMC1W6ZH</t>
  </si>
  <si>
    <t>L-Arginine1600mg + L-Citrulline 800mg bisected tablets 240 count </t>
  </si>
  <si>
    <t>B0DWD26MMF</t>
  </si>
  <si>
    <t xml:space="preserve">Organic Instant Coffee 1lb </t>
  </si>
  <si>
    <t>B0DGSDQ2XG</t>
  </si>
  <si>
    <t>Organic Dried Red Raspberry Leaf, 2lbs | Raw from Germany, Cut &amp; Sifted Whole Leaves | Makes Traditional Herbal Tea | Great for Refilling Tea Bags | Non-GMO, Vegan, Gluten Free</t>
  </si>
  <si>
    <t>B07YQBYZ75</t>
  </si>
  <si>
    <t xml:space="preserve">Krill Oil 1000mg Softgels 150 count </t>
  </si>
  <si>
    <t>B0FGFNMVJ3</t>
  </si>
  <si>
    <t xml:space="preserve">Pure Methylated Prenatal Vitamins for Women 240 Veggie Capsules </t>
  </si>
  <si>
    <t>B0F8FYNB8X</t>
  </si>
  <si>
    <t>Vitamin D3 2000IU with coconut oil softgels</t>
  </si>
  <si>
    <t>B0DS6L2MFW</t>
  </si>
  <si>
    <t>Sustainably Canada Grown, Organic Blueberry Extract 50:1 Concentrated Powder, 6 Ounce, Wild Grown and Freeze Dried, Natural Flavor for Beverage, Smoothie and Baking, No GMOs</t>
  </si>
  <si>
    <t>B07CY1TLH2</t>
  </si>
  <si>
    <t>Indian Healing Clay Powder 2lb</t>
  </si>
  <si>
    <t>B0DDWH3NNX</t>
  </si>
  <si>
    <t>Pure Birch Xylitol Sweetener (Xylitol Sugar Crystal Powder), 6 Pounds (96 Ounce &amp; 680 Serving), Natural Sweetener, 1:1 Brown Sugar Substitute and Low Calorie, Best for Baking and Cooking, No After Taste, Keto Friendly and Product of USA</t>
  </si>
  <si>
    <t>B07T5WW8LF</t>
  </si>
  <si>
    <t>L-Theanine + Magnesium Glycinate</t>
  </si>
  <si>
    <t>B0DK65BMV7</t>
  </si>
  <si>
    <t>Electrolyte tablets tubes 40 tablets</t>
  </si>
  <si>
    <t>B0DK68J877</t>
  </si>
  <si>
    <t>Turmeric Ginger Peach Mango Flavor Gummies</t>
  </si>
  <si>
    <t>B0FXBQDB38</t>
  </si>
  <si>
    <t>Organic Instant 10 in 1 Mushroom Coffee Powder, 28 Ounce (317 Servings) | Premium Arabica Coffee with Lion’s Mane, Chaga, Reishi, &amp; More | Smooth Medium Roast, Clean Energy, &amp; Immune Support</t>
  </si>
  <si>
    <t>B0BCMKNMZB</t>
  </si>
  <si>
    <t>Smoked Paprika Powder, 4lbs | Spanish Origin, Fine Ground, Oak Wood Smoked, Raw Sweet &amp; Spicy Flavor | Spice Rack Seasoning | Great for Chicken, Steak, or Vegetables | Additive Free, Non-GMO</t>
  </si>
  <si>
    <t>B0CLFZ81GG</t>
  </si>
  <si>
    <t xml:space="preserve">Selenium 200mcg with coconut oil 500 count </t>
  </si>
  <si>
    <t>B0F3GKVDHY</t>
  </si>
  <si>
    <t>Organic Spirulina Powder 2lb</t>
  </si>
  <si>
    <t>B0F3G992L6</t>
  </si>
  <si>
    <t xml:space="preserve">Hyaluronic Acid Serum 4fl oz (118 mL) </t>
  </si>
  <si>
    <t>B0F3GF9G1H</t>
  </si>
  <si>
    <t xml:space="preserve">Peanut Powder 4lb </t>
  </si>
  <si>
    <t>B0DGRPBBZY</t>
  </si>
  <si>
    <t>Micro Ingredients Melatonin 20mg Tablets, 400 Counts, Natural Strawberry Flavor, Fast Dissolve | No Drug, Vegetarian Friendly, Non-GMO &amp; No Gluten</t>
  </si>
  <si>
    <t>B07RY554K5</t>
  </si>
  <si>
    <t>Organic Hibiscus Tea Bags, 200 Count | Caffeine Free, Loose Leaf Flower Source | Eco-Friendly Hemp Paper Bags | Great for Iced or Hot Brewed Tea | Non-GMO, No Sugar</t>
  </si>
  <si>
    <t>B0C35TKL3M</t>
  </si>
  <si>
    <t>Instant Bovine Colostrum Powder 8oz</t>
  </si>
  <si>
    <t>B0D3SNSJ47</t>
  </si>
  <si>
    <t>Magnesium Glycinate 400mg with Vitamin C - 200 Capsules, Elemental Magnesium 400mg Supplement, 100% Chelated, Support Healthy Muscle, Bones &amp; Mood</t>
  </si>
  <si>
    <t>B087F4HLJ3</t>
  </si>
  <si>
    <t>Vegan Omega-7 Sea Buckthorn Oil 6000mg</t>
  </si>
  <si>
    <t>B0DS6MT295</t>
  </si>
  <si>
    <t>Organic Shredded Coconut Flakes, 4lbs</t>
  </si>
  <si>
    <t>B0CLFYHSV2</t>
  </si>
  <si>
    <t xml:space="preserve">Organic Butterfly Pea Flowers, 8oz </t>
  </si>
  <si>
    <t>B0CLFQJ9V2</t>
  </si>
  <si>
    <t>Vitamin B12 1000mcg</t>
  </si>
  <si>
    <t>B0DK64ZGK4</t>
  </si>
  <si>
    <t>Organic Hibiscus Flowers, 2lbs | Loose Leaf Flower Source for Tea Bags | Cut &amp; Sifted Dried Leaves | Great for Iced or Hot Brewed Herbal Tea | Caffeine Free, Non-GMO, No Sugar</t>
  </si>
  <si>
    <t>B0C9PGR822</t>
  </si>
  <si>
    <t>L Methylfolate 15mg with B6 Plus Methyl B12</t>
  </si>
  <si>
    <t>B0F5S1V6ZQ</t>
  </si>
  <si>
    <t>Micro Ingredients Red Panax Ginseng 1200mg Per Serving, 200 Softgels | High Potency Korean Ginseng Extract with Active Ginsenosides, Non-GMO &amp; No Gluten</t>
  </si>
  <si>
    <t>B07S17DJS3</t>
  </si>
  <si>
    <t>Pure Trans-Resveratrol Powder with Natural Vitamin E, 5 Ounce, 2 in 1 Formula, Micronized Powder for Better Absorption, Premium Resveratrol Supplement, Super Antioxidant, Vegan Friendly</t>
  </si>
  <si>
    <t>B0812F3JGG</t>
  </si>
  <si>
    <t>Micro Ingredients Organic Chlorella Powder, 10 Ounce, Broken Cell Wall, Rich in Vegan Proteins &amp; Vitamins, Raw, Bulk Premium Chlorella Supplement, Vegan Friendly, Non-Irradiation</t>
  </si>
  <si>
    <t>B01L2TGOEI</t>
  </si>
  <si>
    <t>Pure Methylated Multivitamin 240 count</t>
  </si>
  <si>
    <t>B0DLLG833V</t>
  </si>
  <si>
    <t xml:space="preserve">Myo &amp; D-Chiro Inositol Powder 1lb </t>
  </si>
  <si>
    <t>B0DGRG846L</t>
  </si>
  <si>
    <t>Brewers Yeast Powder for Lactation, 3lbs</t>
  </si>
  <si>
    <t>B0CLFRYPPT</t>
  </si>
  <si>
    <t>Organic Collagen Peptides Powder 12oz</t>
  </si>
  <si>
    <t>B0D3SH3DVW</t>
  </si>
  <si>
    <t>Micro Ingredients Vitamin B3 Nicotinamide 1,000mg Per Serving, 400 Capsules | Flush Free Niacin, Essential B Vitamin Supplement | Skin Care Health &amp; Energy Support | Non-GMO, Gluten Free</t>
  </si>
  <si>
    <t>B08C9MWZD9</t>
  </si>
  <si>
    <t>Organic Soluble Prebiotics Fiber Supplement (Inulin, Acacia, Psyllium Husk), 2 Pounds, 3 in 1 Fiber Formula, Daily Fiber, Unflavored, for Digestive Health, Hunger Control, Vegan</t>
  </si>
  <si>
    <t>B07RG8M2XB</t>
  </si>
  <si>
    <t>Pure Organic Stevia Powder, 8 Ounces, 1418 Serving, High Grade Stevia Green Leaf Extract Reb-A, Reduced Bitter Aftertaste, 0 Calorie, Natural Sweetener, Sugar Alternative, Keto Friendly</t>
  </si>
  <si>
    <t>B01DPW5H84</t>
  </si>
  <si>
    <t>Micro Ingredients Organic Barley Grass Juice Powder, 10 Ounce, Cold Pressed, US Grown, Rich in Immune Vitamin, Fibers, Minerals, Antioxidants and Protein, Support Immune System and Digestion, Vegan</t>
  </si>
  <si>
    <t>B01MT7T5XX</t>
  </si>
  <si>
    <t>Potassium Chloride Powder, 1 Kg (2.2 Pounds), Salt Substitute &amp; Electrolyte Powder, Pure Potassium Chloride Supplement, Essential Mineral, Filler Free and Dissolve Easily</t>
  </si>
  <si>
    <t>B07T1LZ4D2</t>
  </si>
  <si>
    <t xml:space="preserve">Ceylon Cinnamon 600mg  300 count </t>
  </si>
  <si>
    <t>B0F5RHY51V</t>
  </si>
  <si>
    <t xml:space="preserve">Mega Mushroom with ashwagandha gummies raspberry and pomegranate flavor 120 count </t>
  </si>
  <si>
    <t>B0FGKJD22C</t>
  </si>
  <si>
    <t>Micro Ingredients Organic Papaya Fruit Powder, 8 Ounce, Freeze Dried, Naturally Rich in Papaya Enzyme, Supports Antioxidant and Digestive Function, No GMOs &amp; Vegan Friendly</t>
  </si>
  <si>
    <t>B07NY5GKYG</t>
  </si>
  <si>
    <t>Organic Turmeric Powder 5lb</t>
  </si>
  <si>
    <t>B0DGYLR7W1</t>
  </si>
  <si>
    <t>Psyllium Husk 500mg capsules 500 count</t>
  </si>
  <si>
    <t>B0DF425DGX</t>
  </si>
  <si>
    <t>Micro Ingredients Maximum Strength Organic Korean Ginseng Root 200:1 Powder, 4 Ounce, Red Panax Ginseng Powder, Active Ginsenosides, Vegan Friendly</t>
  </si>
  <si>
    <t>B079MNQXLF</t>
  </si>
  <si>
    <t>Omega-3 Fish Oil 1000mg 300 count</t>
  </si>
  <si>
    <t>B0DK69SLY9</t>
  </si>
  <si>
    <t>Sustainably US Grown, Kale Powder Organic, 1 Pound (454 Servings), Freeze Dried, Most Nutrient-Dense Food on the Planet, Green Superfood for Kale Tea and Kale Drink, No GMOs and Vegan Friendly</t>
  </si>
  <si>
    <t>B07L46RH6P</t>
  </si>
  <si>
    <t>Micro Ingredients Sustainably US Grown, Organic Dandelion Root Tea Powder, Pure Dandelion Supplement, 1 Pound (16 Ounce, 1 Year Supply)</t>
  </si>
  <si>
    <t>B079MTDMK8</t>
  </si>
  <si>
    <t>Micro Ingredients Antarctic Krill Oil Supplement, 1000mg Per Serving, 300 Soft-Gels, Rich in Omega-3s EPA, DHA &amp; Natural Astaxanthin, Supports Immune System &amp; Brain Health, Easy to Swallow</t>
  </si>
  <si>
    <t>B01JNNAN4C</t>
  </si>
  <si>
    <t>Organic Dried Lavender Flowers, 2lbs | Raw from France, Extra Grade Loose Lavender Buds | Great for Herbal Tea or Culinary Baking | Rich in Antioxidants &amp; Essential Oil | Non-GMO</t>
  </si>
  <si>
    <t>B07YQCX5WR</t>
  </si>
  <si>
    <t>Organic Maca Root Powder, 2 Pound, Gelatinized for Better Absorption, Rich in Antioxidants, Help Energy, Stamina, Endurance, Strength and Immune System, No GMOs, Vegan Friendly and Peru Origin</t>
  </si>
  <si>
    <t>B01JNM6NTW</t>
  </si>
  <si>
    <t>Sustainably US Grown, Organic Cranberry Juice Powder (Wild Cranberry Supplements Cold Pressed), 8 Ounce, Enhance Urinary Tract Cleanse &amp; Prostate Health, Water Soluble and Pet Friendly</t>
  </si>
  <si>
    <t>B07G3L5SX7</t>
  </si>
  <si>
    <t>Electrolyte Powder Pineapple Flavor 2lb</t>
  </si>
  <si>
    <t>B0D3T8WHH4</t>
  </si>
  <si>
    <t xml:space="preserve">Organic Butterfly Pea Powder 8oz </t>
  </si>
  <si>
    <t>B0D3ST21FG</t>
  </si>
  <si>
    <t>Micro Ingredients Sustainably US Grown, Organic Reishi Mushroom Powder, 8 Ounce, Pure Reishi Supplement 100:1 Extract (Reishi Mushroom)</t>
  </si>
  <si>
    <t>B01JNNAQVW</t>
  </si>
  <si>
    <t>Pure Inositol Powder, Myo-Inositol B8 Powder, 1KG (2.2 Pounds), Strongly Supports Liver Health &amp; Antioxidant, Super Inositol for Hair and Inositol for Sleep, Non-GMO and Vegan Friendly</t>
  </si>
  <si>
    <t>B01DPW5E46</t>
  </si>
  <si>
    <t>Organic Celery Juice Powder, 20 Ounce (1.25 Pound), 71 Serving, Celery Detox and Cold Pressed, Boosts Immune System, Energy and Supports Gut Health, Rich in Immune Vitamin C and Minerals, Vegan</t>
  </si>
  <si>
    <t>B0846SDQZG</t>
  </si>
  <si>
    <t>NMN 1000mg 240 Capsules</t>
  </si>
  <si>
    <t>B0FXJ959VH</t>
  </si>
  <si>
    <t>Fadogia Agrestis 600mg Per Serving, 50:1 Extract Powder, 4 Ounce, Highly Purified and Bioavailable, USA Third Party Tested, Maximum Strength, No Filler, No Additives, Non-GMO &amp; No Gluten</t>
  </si>
  <si>
    <t>B0B22T88RH</t>
  </si>
  <si>
    <t>Organic French Chicory Root, 2lbs | Roasted Chicory Granule for Chicory Coffee | Brews like Regular Coffee | Caffeine Free Coffee Substitute | Rich in Prebiotic Fiber | Non-GMO</t>
  </si>
  <si>
    <t>B0CG7VSS1Z</t>
  </si>
  <si>
    <t>Vegan omega 3</t>
  </si>
  <si>
    <t>B0D3T51D3C</t>
  </si>
  <si>
    <t>Organic Chlorella Tablets, 500mg Per Tablet, 720 Tabs (360 Grams), 4 Months Supply, Broken Cell Wall, Rich in Vegan Protein &amp; Vitamins, No Filler, No Additives &amp; Non-GMO | Pure Green Algae Superfood</t>
  </si>
  <si>
    <t>B01FMWFG86</t>
  </si>
  <si>
    <t>Micro Ingredients Sustainably US Grown, Organic Wheat Grass Powder (100% Whole-Leaf), 16 Ounce, Rich in Immune Vitamins, Fibers and Minerals, Support Digestion Function, Vegan Friendly</t>
  </si>
  <si>
    <t>B01NH4ZI46</t>
  </si>
  <si>
    <t xml:space="preserve">Glucosamine Chondroitin 4000mg </t>
  </si>
  <si>
    <t>B0DK683WHV</t>
  </si>
  <si>
    <t>Magnesium Glycinate 350mg</t>
  </si>
  <si>
    <t>B0DWDHJZ4T</t>
  </si>
  <si>
    <t>US Origin Pure Magnesium Citrate Powder, 2 Pounds (32 Ounce), Pure and Filler Free, Relaxation and Nutrient Utilization, Vegan</t>
  </si>
  <si>
    <t>B01BHF3GMK</t>
  </si>
  <si>
    <t xml:space="preserve">Cod Liver Oil 2000mg </t>
  </si>
  <si>
    <t>B0D3T12XYP</t>
  </si>
  <si>
    <t xml:space="preserve">Turmeric Ginger Peach Mango Flavor Gummies 120 count </t>
  </si>
  <si>
    <t>B0FGKN2XZX</t>
  </si>
  <si>
    <t>Organic Tomato Powder 2lb</t>
  </si>
  <si>
    <t>B0CLFZXMRB</t>
  </si>
  <si>
    <t>Micro Ingredients Evening Primrose Oil 1300mg Perserving, 240 Softgels | Enhanced with 40mg Black Cohosh Extract, Cold Pressed – 10% Active GLA, Non-GMO, No Gluten, Easy to Swallow</t>
  </si>
  <si>
    <t>B01DPW5LR6</t>
  </si>
  <si>
    <t>Micro Ingredients Organic Chlorella Powder, 20 Ounces | Broken Cell Wall for Complete Absorption | Raw Superfood Supplement, Rich in Protein &amp; Vitamins | Non-GMO, Vegan, Non-Irradiated</t>
  </si>
  <si>
    <t>B01NCTZSPF</t>
  </si>
  <si>
    <t>Lutein &amp; Zeaxanthin 20mg Softgels, 400 Coun</t>
  </si>
  <si>
    <t>B0CVTTDTP9</t>
  </si>
  <si>
    <t>Triple Strength Omega 3 Fish Oil Supplements 3000mg, 200 Softgels - Lemon Flavored - Burpless (Enteric-Coated) | EPA 1200mg + DHA 900mg | Deep Sea Fish, Wild Caught from Norwegian Waters</t>
  </si>
  <si>
    <t>B07L45XQBR</t>
  </si>
  <si>
    <t>Kids Methylated Multivitamins Orange Flavor Gummies 120 count</t>
  </si>
  <si>
    <t>B0FGKQ3X48</t>
  </si>
  <si>
    <t xml:space="preserve">Saw Palmetto 4800mg with Pumpkin Seed Oil softgels 240 count </t>
  </si>
  <si>
    <t>B0F5M6PZSY</t>
  </si>
  <si>
    <t>Organic Bamboo Fiber Powder, 2lbs</t>
  </si>
  <si>
    <t>B0CVTJKVFQ</t>
  </si>
  <si>
    <t>Organic Freeze Dried Strawberries Sliced, 6.4oz | Fresh Raw Fruit Slices, Great Healthy Snacks or as a Garnish for Chocolate, Shortcake, and Smoothies | Non-GMO, 0 Sugar Added</t>
  </si>
  <si>
    <t>B0C9PLML31</t>
  </si>
  <si>
    <t xml:space="preserve">Hyaluronic Acid Powder 50g </t>
  </si>
  <si>
    <t>B0F3BH66BZ</t>
  </si>
  <si>
    <t xml:space="preserve">CoQ10 400mg with MCT Oil Softgels 240 count </t>
  </si>
  <si>
    <t>B0F3FXTP4V</t>
  </si>
  <si>
    <t>Magnesium Citrate 400mg with Vitamin D3 1000IU &amp; B6, 240 Capsules | Elemental Mineral &amp; Vitamins Complex | Combats Constipation, Supports Muscle, Heart, &amp; Bone Health – Non-GMO</t>
  </si>
  <si>
    <t>B087F7DTR7</t>
  </si>
  <si>
    <t>Vitamin D3 5000IU with coconut oil</t>
  </si>
  <si>
    <t>B0DGRWCTN8</t>
  </si>
  <si>
    <t>Pure Organic Stevia Powder, 4 Ounces, 706 Serving, Highest Grade Stevia Green Leaf Extract Reb-A, Reduced Bitter Aftertaste, 0 Calorie, Natural Sweetener, Sugar Alternative, Keto Friendly</t>
  </si>
  <si>
    <t>B01DPW5GRG</t>
  </si>
  <si>
    <t>Organic 10 in 1 Ground Mushroom Coffee Powder, 24 Ounce | Premium Arabica Coffee with Lion’s Mane, Chaga, Reishi, &amp; More | Smooth Medium Roast, Clean Energy, &amp; Immune Support</t>
  </si>
  <si>
    <t>B0C9PNDL22</t>
  </si>
  <si>
    <t>Calcium 1200mg with Vitamin D3K2 1000IU</t>
  </si>
  <si>
    <t>B0DDWNT45S</t>
  </si>
  <si>
    <t>Organic Dandelion Root Powder 8oz</t>
  </si>
  <si>
    <t>B0D2S4DZ7L</t>
  </si>
  <si>
    <t>Hair Vitamins Complex 240 capsules</t>
  </si>
  <si>
    <t>B0DLDXLQ4B</t>
  </si>
  <si>
    <t>Organic Whole Cinnamon Stick, 2lbs | 2 ¾” Stick Size | Raw Cinnamon Spice Flavor &amp; Aroma | Great for Tea, Desserts, or Cooking | Non-GMO, Vegan Friendly, Bulk Supply</t>
  </si>
  <si>
    <t>B0C9PGM2LW</t>
  </si>
  <si>
    <t>Folic Acid 1,000 mcg, 500 Coconut Oil Softgels (1mg) | Essential Prenatal Vitamins (Vitamin B9) | 1,667 mcg DFE | Third Party Tested, No Artificial Colors or Flavors | Non-GMO, Gluten Free</t>
  </si>
  <si>
    <t>B087F3WYNW</t>
  </si>
  <si>
    <t>Moringa Powder Organic (Moringa Oleifera Leaf Powder), 2 Pounds, Rich in Antioxidants and Immune Vitamin, Great Superfoods for Moringa Tea, Moringa Drink, Moringa Powder for Hair, India Grown, Vegan</t>
  </si>
  <si>
    <t>B01L2TGLTG</t>
  </si>
  <si>
    <t>Pure L Citrulline Malate 2:1 Powder, 500 Grams, Filler Free, Vegan Citrulline Supplement and Citrulline Nitrate, Supports Muscle Performance, Endurance and Strength, Unflavored, Dissolve Easily</t>
  </si>
  <si>
    <t>B01HFOBO7Q</t>
  </si>
  <si>
    <t>Organic Blue Spirulina Powder (Phycocyanin Extract), 50 Servings - No Fishy Smell, 100% Vegan Protein from Blue-Green Algae, Natural Luminous Blue Food Coloring for Smoothies, Baking, Drinks &amp; Cooking</t>
  </si>
  <si>
    <t>B0B2379WMW</t>
  </si>
  <si>
    <t>Micro Ingredients Organic Chaga Mushroom Extract 100:1 Powder, 6 Ounce | Sustainably Maine Grown, Wild Harvest, Chaga Tea, Superfood for Beverage and Smoothie, Vegan Friendly</t>
  </si>
  <si>
    <t>B07CY1LGVZ</t>
  </si>
  <si>
    <t>Micro Ingredients Maximum Strength Vitamin A 25000 IU | 500 Softgels with Coconut Oil for Better Absorption | Essential Vitamins for Vision, Growth, &amp; Reproduction | Non-GMO, Easy to Swallow</t>
  </si>
  <si>
    <t>B087DVF12V</t>
  </si>
  <si>
    <t>Organic Garlic Powder, 3lbs | Culinary Grade | Freshly Harvested Raw Allium Sativum Bulb | Natural Herbal Spice | Great for Seasonings, Meats, or Vegetables | Non-GMO</t>
  </si>
  <si>
    <t>B0BXYB635P</t>
  </si>
  <si>
    <t>Micro Ingredients Sustainably US Grown, Organic Slippery Elm Bark Powder, 1 Pound (645 Servings), Helps Soothe The Throat and Coughing, No Irradiated, No Contaminated, No GMOs, Pet Friendly</t>
  </si>
  <si>
    <t>B075VFCQBC</t>
  </si>
  <si>
    <t>Sustainably US Grown, Organic Sunflower Lecithin Powder, 1 Pound, Sustainable Farmed, Cold Pressed, Rich in Phosphatidyl Choline and Protein, Making Liposomal Vitamin C, Lactation Supplement, Non-GMO</t>
  </si>
  <si>
    <t>B01N02YNF5</t>
  </si>
  <si>
    <t>Turmeric Extract 95% Curcuminoids (Natural Turmeric Extract and Turmeric Supplements), 100 Grams, Rich in Antioxidants for Joint &amp; Immune Support, No GMOs, Vegan Friendly, India Origin</t>
  </si>
  <si>
    <t>B01JNPEPOE</t>
  </si>
  <si>
    <t>Xanthan Gum Powder 2lb - Premium Food Grade for Cooking, Keto Baking, Thickening Soups &amp; Sauces, Dressings, Vegan Friendly, Non-GMO, Gluten Free</t>
  </si>
  <si>
    <t>B0BXY6BMHQ</t>
  </si>
  <si>
    <t>Micro Ingredients Pure Vitamin C Crystal Powder (Water Soluble Vitamin C 1000mg Per Serving), 1 KG (2.2 Pounds), Immune Vitamins and Strong Antioxidant, Pure Ascorbic Acid Powder Supplement</t>
  </si>
  <si>
    <t>B01HFOJBG2</t>
  </si>
  <si>
    <t>Micro Ingredients Organic Ashwagandha Root Powder | 2 Pound, No Filler, No Additives, Highly Purified | Active Withanolides, Adaptogenic Ayurvedic Herbal Supplements, No GMO, Gluten Free, India Origin</t>
  </si>
  <si>
    <t>B01N3U3WO4</t>
  </si>
  <si>
    <t>Pure Pine Pollen Powder, 6 Ounce, Wild Harvest an Broken Cell Wall, Supports Immune System Health, Boosts Energy, Antioxidant &amp; Androgenic, No GMOs, Vegan Friendly</t>
  </si>
  <si>
    <t>B079N44L9C</t>
  </si>
  <si>
    <t>Myo + D-Chiro Inositol Blend Powder 2lb</t>
  </si>
  <si>
    <t>B0F1QXFLBK</t>
  </si>
  <si>
    <t>Micro Ingredients Organic European Black Elderberry Juice Powder, 4 Ounce, Cold Pressed, Flash Pasteurized for Safety, Supports Immune System, Energy and Vascular Health, No GMOs, Vegan Friendly</t>
  </si>
  <si>
    <t>B07QTCDMBW</t>
  </si>
  <si>
    <t>Micro Ingredients L Citrulline Capsules, 1500mg Per Serving, 360 Counts, Citrulline Pre-Workout Supplement, Non-GMO</t>
  </si>
  <si>
    <t>B08N3BG2SR</t>
  </si>
  <si>
    <t>Micro Ingredients Organic Boswellia Serrata Extract Powder, 8 Ounce, Pure Boswellia Supplement with 65% Boswellic Acid, Supports Joints, Knees and Bones Health, Non-GMO, Pet Friendly, India Origin</t>
  </si>
  <si>
    <t>B01DPW5I6U</t>
  </si>
  <si>
    <t>Pure Quercetin Dihydrate Powder, Quercetin 500mg Per Serving, 100 Grams, Most Bioavailable Grade and Filler Free, Powerful Antioxidant Supports Energy, Immune System , No GMOs and Vegan</t>
  </si>
  <si>
    <t>B01DPW5IWY</t>
  </si>
  <si>
    <t>Vitamin D3 1,000 iu Plus K2 (MK-7) 25 mcg, 300 Virgin Coconut Oil Softgels</t>
  </si>
  <si>
    <t>B0CVTRSWQ1</t>
  </si>
  <si>
    <t>Hair Vitamins Complex, 120 Capsules</t>
  </si>
  <si>
    <t>B0CVTRS7KJ</t>
  </si>
  <si>
    <t>Organic Broccoli Powder, 1 Pound, Freeze Dried, Contains Natural DIM (Diindolylmethane), and Rich in Fiber and Immune Vitamin C, Green Superfood for Smoothie &amp; Drinks, Vegan Friendly</t>
  </si>
  <si>
    <t>B07QQ3HTM5</t>
  </si>
  <si>
    <t>Organic Milk Thistle Extract, 3.5 Ounces, Pure Milk Thistle Powder Organic, Milk Thistle Tea, Contains 80% Active Silymarin, Strongly Supports Liver Health and Antioxidant, Vegan Friendly</t>
  </si>
  <si>
    <t>B01L2TGS30</t>
  </si>
  <si>
    <t>Pure Green Coffee Bean Extract, 4 Ounce, Filler Free with Natural Caffeine, Green Coffee Bean Fat Burn Supplement with 50% Chlorogenic Acid, Supports Metabolism and Weight Management, Vegan Friendly</t>
  </si>
  <si>
    <t>B074WGLHFM</t>
  </si>
  <si>
    <t>Double Strength Yohimbine Supplements for Men and Women, 10mg Per Serving, 300 Softgels, Yohimbine HCL with Virgin Sunflower Seed Oil for Better Absorption, Supports Energy Production, African Raw</t>
  </si>
  <si>
    <t>B08MX72C55</t>
  </si>
  <si>
    <t>Micro Ingredients Organic Marshmallow Root Powder, 8 Ounce, Filler Free and Traditionally Used, Supports Digestive Gastrointestinal Health, Non-Irradiated and No GMOs, Vegan Friendly</t>
  </si>
  <si>
    <t>B074WLN3WN</t>
  </si>
  <si>
    <t>Omega-3 for Kids 240 Chewable Veggie Softgel</t>
  </si>
  <si>
    <t>B0F4HHCGGC</t>
  </si>
  <si>
    <t>Organic Strawberry Freeze Dried Powder, 12 Ounce (56 Serving), Strawberry Powder for Baking, Best Super Foods for Smoothie &amp; Beverage Blend, Non-GMO, Vegan</t>
  </si>
  <si>
    <t>B07CXZBRZP</t>
  </si>
  <si>
    <t>Micro Ingredients Sustainably US Grown, Organic Spinach Powder, 1 Pound, Freeze Dried from Whole Leaf, Rich in Beneficial Thylakoids and Chlorophyll, Contains Multivitamins, Non-GMO, Vegan Friendly</t>
  </si>
  <si>
    <t>B07WH4DXVX</t>
  </si>
  <si>
    <t>Organic He Shou Wu, Pure Fo Ti Extract Powder, 6 Ounce, Prepared Foti Steaming with Black Bean, Traditional Anti Aging Herb, Promotes Hair Health and Antioxidant, Filler Free and No GMOs</t>
  </si>
  <si>
    <t>B06XKV2PK3</t>
  </si>
  <si>
    <t>Micro Ingredients Ground Cayenne Pepper Powder Bulk, 6 Pounds - 60,000 Heat Units, Spicy and Filler Free, Garden Protection from Wildlife, No Gluten, No GMOs, Vegan Friendly</t>
  </si>
  <si>
    <t>B08TB8F5LL</t>
  </si>
  <si>
    <t>Sustainably US Grown, Organic Freeze Dried Raspberry Juice Powder, 8 Ounce, Contains Immune Vitamin C for Immune System Booster, Rich in Raspberry Ketones, Fatty Acids, Minerals and Antioxidant, Vegan</t>
  </si>
  <si>
    <t>B07L466GW8</t>
  </si>
  <si>
    <t>Beet Root 300mg with MCT Oil 360 softgels</t>
  </si>
  <si>
    <t>B0F5LZYS78</t>
  </si>
  <si>
    <t>Pure Magnesium Flakes, 6lbs | Great for Foot &amp; Body Bath Soaks | Natural Magnesium Chloride Minerals | Better Absorption Over Epsom Salt | Relaxation &amp; Skin Hydration Support</t>
  </si>
  <si>
    <t>B0C9PGM325</t>
  </si>
  <si>
    <t xml:space="preserve">Organic Spirulina Chlorella Mixed Mini-Tablets 2500 count </t>
  </si>
  <si>
    <t>B0F3GG32FF</t>
  </si>
  <si>
    <t>Women’s Probiotics 40 strains 100 bullion CFU</t>
  </si>
  <si>
    <t>B0DW1K3367</t>
  </si>
  <si>
    <t>R Alpha Lipoic Acid 600mg 120 Softgels</t>
  </si>
  <si>
    <t>B0F5LP6MH6</t>
  </si>
  <si>
    <t>Sustainably US Grown, Organic Saw Palmetto Powder, 4 Ounce, with Active Fatty Acid, Pure Saw Palmetto Prostate &amp; Hair Growth Supplement, Healthy Urination Frequency &amp; Hair Loss Blocker Supplement</t>
  </si>
  <si>
    <t>B07WLMT9FS</t>
  </si>
  <si>
    <t>Red Yeast Rice 1200mg with CoQ10 100mg 240 Veggie Capsules</t>
  </si>
  <si>
    <t>B0F7NQ81NX</t>
  </si>
  <si>
    <t>Micro Ingredients Organic Bamboo Extract Powder, 8 Ounce (1 Year Supply), Rich in Silica and Minerals, Supports Healthy Skin, Nail, Hair, Joints and Bones, Non-GMO and Vegan Friendly</t>
  </si>
  <si>
    <t>B07CXK6M1G</t>
  </si>
  <si>
    <t>Micro Ingredients Organic Triphala Powder, 2 Pounds (Amla + Haritaki + Bibhitaki) | India Origin, Herbal Adaptogen Supplement, Supports Colon &amp; Immune Health | Vegan, No GMOS</t>
  </si>
  <si>
    <t>B01L2U1RHG</t>
  </si>
  <si>
    <t>Glutathione Supplement, Pure Glutathione Reduced Powder with Inositol, 5 Ounce (9 Months Supply), 2 in 1 Formula, Powerful Ingredients for Antioxidants, Supports Liver Function, Vegan</t>
  </si>
  <si>
    <t>B0812D49XG</t>
  </si>
  <si>
    <t>2 Pack of Pure USDA Organic Acerola Cherry Powder, Natural and Organic Vitamin C for Immune System, 8 Ounce, No GMO, No Gluten, Brazil Origin</t>
  </si>
  <si>
    <t>B01L2TGTK2</t>
  </si>
  <si>
    <t>Sustainably US Grown, Organic Shiitake Mushrooms Powder, 8 Ounce, Made from The Finest Dried Shiitake Mushroom, Stronger Umami Flavor Than Fresh Mushrooms, Great for Sauce, Soup and Pasta</t>
  </si>
  <si>
    <t>B08PXYB6RH</t>
  </si>
  <si>
    <t>MiracleMag Magnesium Supplement, 2lbs</t>
  </si>
  <si>
    <t>B0CVT7ZLLH</t>
  </si>
  <si>
    <t>Organic Whole Yellow Mustard Seed, 4lbs</t>
  </si>
  <si>
    <t>B0CLFJ81NC</t>
  </si>
  <si>
    <t>Organic Goji Powder, Freeze Dried Goji Berry Powder, 1 Pound (16 Ounce), Sulfate Free, Pure Goji Supplement, Natural Booster for Energy, Eye Health, and Super Immune Vitamin C for Antioxidant, Non-GMO</t>
  </si>
  <si>
    <t>B06XKJQVZ8</t>
  </si>
  <si>
    <t>Hyaluronic Acid Serum Powder, High Molecular Weight, Cosmetics Grade, 30 Gram, Support Hydration and Moisture, Water Soluble (Within 2 Hours), Vegan Friendly</t>
  </si>
  <si>
    <t>B01DPW5C5W</t>
  </si>
  <si>
    <t>Organic Schisandra Extract Powder, 8 Ounce, Traditional Adaptogen and Filler Free, Pure Schisandra Supplement, Supports Liver Detox and Cognitive Health, No GMOs</t>
  </si>
  <si>
    <t>B07GF4QLJJ</t>
  </si>
  <si>
    <t>Sunflower Lecithin 1,600mg Per Serving, 300 Softgels</t>
  </si>
  <si>
    <t>B0CVTMQBGR</t>
  </si>
  <si>
    <t>Marine Collagen Protein Powder, 1lb</t>
  </si>
  <si>
    <t>B0CVTQ4G5Z</t>
  </si>
  <si>
    <t>Multi-Collagen Powder Chocolate Flavor 2lb</t>
  </si>
  <si>
    <t>B0D68JXS1L</t>
  </si>
  <si>
    <t>Erythritol Granules, 6 Pounds (96 Ounce), 1:1 Sugar Substitute, No After Taste, 0 Calorie, Natural Sweetener, Erythritol Keto Sugar Substitute, Non-GMO, Vegan</t>
  </si>
  <si>
    <t>B07SZHV7RN</t>
  </si>
  <si>
    <t>Vitamin B2 Riboflavin 400mg</t>
  </si>
  <si>
    <t>B0F5M2GGC3</t>
  </si>
  <si>
    <t>Golden Monk Fruit Sweetener with Erythritol, 4 Pounds - No After Taste - Brown Sugar Substitute, Keto Diet Friendly, Zero Calorie, Natural Sweetener for Drinks, Coffee, Tea, Cookies, No-GMO, Vegan</t>
  </si>
  <si>
    <t>B0BCN5XPBX</t>
  </si>
  <si>
    <t>US Origin Potassium Citrate Powder, 1 KG (35 Ounce), Essential Electrolyte Supplement, Supports Mineral Balance, Heart Health and Immune System, Vegan Friendly</t>
  </si>
  <si>
    <t>B01KFALQ34</t>
  </si>
  <si>
    <t>Micro Ingredients Raw Organic Ginkgo Biloba Powder, 8 Ounce (18 Months Supply), Filler Free, Supports Brain Function and Mental Alertness, No GMOs and Vegan Friendly</t>
  </si>
  <si>
    <t>B01L2TGUHO</t>
  </si>
  <si>
    <t>Micro Ingredients Water Soluble COQ10 Supplement (COQ10 200mg Per Serving in Powder Form), 50 Grams (8 Months Supply), Extra Absorption, Support Heart Health and Energy Production, Vegan Friendly</t>
  </si>
  <si>
    <t>B07RH9L848</t>
  </si>
  <si>
    <t>Organic Fortified Nutritional Yeast Flakes, 2LB | Rich in Vegan Protein, B Vitamins, &amp; Beta-Glucans | Keto Friendly, Dairy Free Cheese Substitute, Non-GMO, Gluten Free</t>
  </si>
  <si>
    <t>B0C35PK9GJ</t>
  </si>
  <si>
    <t xml:space="preserve">Ginkgo Ginseng Complex 5600mg </t>
  </si>
  <si>
    <t>B0DVMLWR97</t>
  </si>
  <si>
    <t>Magnesium Oxide 400mg</t>
  </si>
  <si>
    <t>B0DDWD83GF</t>
  </si>
  <si>
    <t>10月有做deal, 11月BFCM取消</t>
  </si>
  <si>
    <t>Triple Magnesium Complex (Glycinate + Malate + Taurate) 400mg capsules 300 count</t>
  </si>
  <si>
    <t>B0DLLHGKDM</t>
  </si>
  <si>
    <t>Micro Ingredients Tongkat Ali Extract 200:1 (Longjack) Powder, 100 Grams, Grown in Indonesia, 100% Pure Eurycoma Longifolia Root Extract, Bitter Taste - No Filler, No Additive, Non-GMO</t>
  </si>
  <si>
    <t>B01L2TFQHY</t>
  </si>
  <si>
    <t>Pure Myo &amp; D-Chiro Inositol 2050mg caps</t>
  </si>
  <si>
    <t>B0F4HQ6C1C</t>
  </si>
  <si>
    <t>Micro Ingredients Pantothenic Acid Vitamin B5 Supplement, Vitamin B5 500mg Per Count, 365 Capsules (1 Year Supply), B-Complex Vitamin, Support Energy Production and Nervous System, Non-GMO</t>
  </si>
  <si>
    <t>B08MX59VV3</t>
  </si>
  <si>
    <t>Pure L-Theanine Powder, 100 Grams (1 Year Supply), Filler Free, No GMOs and Vegan Friendly</t>
  </si>
  <si>
    <t>B01DPW5F5O</t>
  </si>
  <si>
    <t>Micro Ingredients Glycine Powder, 1KG (2.2 Pounds), Glycine 1000mg Per Serving, Supports Restful Sleep and Neurotransmitter, Water Soluble and Products of USA</t>
  </si>
  <si>
    <t>B01LBILPCG</t>
  </si>
  <si>
    <t>NAC 600mg with NAD+ with coconut oil softgels 150 count</t>
  </si>
  <si>
    <t>B0F6J2MW5T</t>
  </si>
  <si>
    <t>Sustainably US Grown, Organic Cordyceps Mushroom Extract Powder 100:1 | 6 Ounce, 30% Polysaccharides and Cordycepic Acid, From Fruit Body and Mycelium, Supports Energy &amp; Immune Health</t>
  </si>
  <si>
    <t>B074WL37DN</t>
  </si>
  <si>
    <t>Goat Milk Powder 1lb</t>
  </si>
  <si>
    <t>B0D2S64JP2</t>
  </si>
  <si>
    <t>L Glutamine Powder Gut Health, 1Kg, 100% Pure, Free Form - Unflavored- Vegan Friendly, No Filler, No additives, Supports Muscle Recovery, Post Workout | Non-GMO &amp; Gluten-Free</t>
  </si>
  <si>
    <t>B01HFN37MC</t>
  </si>
  <si>
    <t>Organic Moringa Powder 1lb</t>
  </si>
  <si>
    <t>B0DW17X7XS</t>
  </si>
  <si>
    <t>Organic Kelp Powder Supplement, 2lbs | Sustainably US Grown, Raw Ascophyllum Nodosum Source | Rich in Iodine for Thyroid Support, Body Scrubs, &amp; Skin Care | Non-GMO, Vegan</t>
  </si>
  <si>
    <t>B01LFPNJ8S</t>
  </si>
  <si>
    <t>Magnesium Glycinate 400mg</t>
  </si>
  <si>
    <t>B0DGRNP1ZL</t>
  </si>
  <si>
    <t>Micro Ingredients Organic Acacia Senegal Powder, 2 Pounds (32 Ounce), Instant Soluble Fiber Powder, Plant-Based Prebiotic Superfood for Gut Health, Non-GMO, No Gluten, Vegan</t>
  </si>
  <si>
    <t>B09NQVBGQK</t>
  </si>
  <si>
    <t>Organic Goji Berries 2lbs, Large Whole Sun-Dried Berries | Sulfate Free, Natural Antioxidant | Raw Superfood Berry for Energy, Eye, &amp; Immune Health | Non-GMO</t>
  </si>
  <si>
    <t>B0BXYB91BJ</t>
  </si>
  <si>
    <t>10月prime day有做deal</t>
  </si>
  <si>
    <t>Micro Ingredients Pure Bee Pollen Granules, 2lbs | Fresh Harvest, Natural Superfood, Raw Sweet Flavor | Rich in B Vitamins, Minerals, Protein, &amp; Antioxidants | Keto, Non-GMO</t>
  </si>
  <si>
    <t>B0BV3DFDK5</t>
  </si>
  <si>
    <t xml:space="preserve">Vitamin E 400IU Softgels 300 count </t>
  </si>
  <si>
    <t>B0F3G6VH73</t>
  </si>
  <si>
    <t>Organic Freeze-Dried Acai Powder 8oz, Sustainably Grown in Brazilian Amazon, 100% Pure Berry Pulp, Raw, Bulk, No Filler, No additives, Great for Acai Bowls, Yogurt, Smoothies, and More</t>
  </si>
  <si>
    <t>B09TG36LYR</t>
  </si>
  <si>
    <t>Pure D Ribose Powder, 1 KG (2.2 Pound and 200 Servings), Natural Simple Sugar, Dissolves Clear, Pharmaceutical Grade, Filler Free, No GMOs, No Gluten. and Water Soluble</t>
  </si>
  <si>
    <t>B01JNFGDUI</t>
  </si>
  <si>
    <t>Multi Collagen Protein Powder, 2 Pounds – Type I,II,III,V,X with Biotin 10000mcg, Hyaluronic Acid, Vitamin C – Unflavored Collagen Peptides – Keto &amp; Paleo Friendly, Easy Dissolve, Non-GMO</t>
  </si>
  <si>
    <t>B01BHF3OMW</t>
  </si>
  <si>
    <t>2lb PT在vev身上拿到70%IS小幅下調找找其他競品IS, 現在展示位不高上調top130, rest20跑跑展示位, 補產品</t>
  </si>
  <si>
    <t xml:space="preserve">Multi Collagen Peptides Packets 40-count </t>
  </si>
  <si>
    <t>B0D3FQWRV4</t>
  </si>
  <si>
    <t xml:space="preserve">Turmeric Curcumin 3000mg with MCT Oil </t>
  </si>
  <si>
    <t>B0DK66NCWL</t>
  </si>
  <si>
    <t>Organic Daily Prebiotic Dietary Fiber Supplement Powder, (Inulin Fiber from Chicory Root), 10 Ounce, Highly Promote Intestinal Colon, Gut Health and Digestive Function, Vegan Friendly</t>
  </si>
  <si>
    <t>B07P3GKXKK</t>
  </si>
  <si>
    <t>Flaxseed Oil 1400mg Softgels, 300 Counts | w/ 700mg ALA Omega 3, Cold Pressed, Rich in Fatty Acids, Alpha Linolenic Acid, Support Heart Health &amp; Immune System | Non-GMO, No Gluten - 300 Servings</t>
  </si>
  <si>
    <t>B01DPW5TXW</t>
  </si>
  <si>
    <t>Organic Chlorella Spirulina Tablets, 3000mg Per Serving, 720 Counts, 4 Months Supply, 50/50 Blend Superfood, No Filler, No Additives, Cracked Cell Wall, Rich in Vegan Protein &amp; Chlorophyll</t>
  </si>
  <si>
    <t>B01DPW5JSW</t>
  </si>
  <si>
    <t>Bovine Collagen Protein Powder, 1 Pound</t>
  </si>
  <si>
    <t>B0D16G8C8P</t>
  </si>
  <si>
    <t>10月做了兩次deal, 11月BFCM期間有漲價</t>
  </si>
  <si>
    <t>Stevia Sweetener Powder with Plant-based Erythritol, 4 Pounds (64 Ounces) | Keto, 0 Calorie, Low Carb, 4:1 Sugar Substitute, Natural Sweetener, Bitterless, Reb-A Stevia Leaf Extract, Non-GMO, Vegan</t>
  </si>
  <si>
    <t>B09NQXJHYQ</t>
  </si>
  <si>
    <t>Micro Ingredients Organic Pineapple Powder, 8 Ounce, Freeze Dried, Rich in Bromelain and Immune Vitamin C for Immune System Booster, Great Flavor for Drinks, Baking and Cooking, Non-GMO</t>
  </si>
  <si>
    <t>B07W9B5K1R</t>
  </si>
  <si>
    <t>Multi-Collagen Gummies 120 count</t>
  </si>
  <si>
    <t>B0DDWNGRKL</t>
  </si>
  <si>
    <t>Micro Ingredients Riboflavin Vitamin B2, 400mg Per Serving, 180 Mini Tablets, Premium Vitamin B2 400mg Riboflavin Supplements, Easy to Swallow, Non-GMO</t>
  </si>
  <si>
    <t>B08C7BCJPM</t>
  </si>
  <si>
    <t>Allulose Sweetener, 3 Pounds (48 Ounces), Zero Calorie, Plant Based Sugar Alternative, No After Taste, Best for Coffee, Drinks, Tea, Cooking and Baking, Keto Diet and Vegan Friendly</t>
  </si>
  <si>
    <t>B08PY5ZJTX</t>
  </si>
  <si>
    <t>上調廣告力度, 有便宜竟品來了, durelife評分好轉還拿著BS, 加了很多size</t>
  </si>
  <si>
    <t>Goat Milk Powder, 2lbs | Grass Fed Source, Australian Farm Derived, Unadulterated Formula, Easily Digested | Rich in Protein, Calcium, &amp; Probiotics | Non-GMO, Gluten Free, Pet Friendly</t>
  </si>
  <si>
    <t>B0BXYDSGC4</t>
  </si>
  <si>
    <t>Magnesium Glycinate 1500mg</t>
  </si>
  <si>
    <t>B0DWCQGFWP</t>
  </si>
  <si>
    <t>North America Grown, Organic Pea Protein Powder, 1KG (2.2 Pounds), Plant-Based Vegan Protein Organic, Rich in Branched Chain Amino Acids, Flavonoids and Minerals, No GMOs &amp; Vegan Friendly</t>
  </si>
  <si>
    <t>B01DWUEQ7C</t>
  </si>
  <si>
    <t xml:space="preserve">Organic MCT Liquid Oil 32 fl oz (946mL) </t>
  </si>
  <si>
    <t>B0C325P6Z4</t>
  </si>
  <si>
    <t xml:space="preserve">Electrolyte Powder Grape Flavor 2lb </t>
  </si>
  <si>
    <t>B0D3T248FJ</t>
  </si>
  <si>
    <t>Vitamin D3 5000 iu Plus K2 (MK-7) 100 mcg, 300 Virgin Coconut Oil Softgels | 2 in 1 Vitamins D &amp; K Complex | Supports Calcium Absorption, Bone, Immune, &amp; Heart Health – Easy to Swallow</t>
  </si>
  <si>
    <t>B0CG7M9HWP</t>
  </si>
  <si>
    <t>Micro Ingredients Organic Rhodiola Rosea Root Extract, 50g Powder | Adaptogenic Herb Based Supplement with Active Rosavins &amp; Salidrosides | Supports Energy &amp; Relaxation | No GMOs, Filler Free</t>
  </si>
  <si>
    <t>B01DPW5LN0</t>
  </si>
  <si>
    <t>Organic Amla Powder (Amalaki) | 32oz, India Origin Gooseberry Powder | Rich in Vitamin C, Antioxidants, Supports Immune, Digestive &amp; Skin Health, Non-GMO, Vegan &amp; Keto Friendly</t>
  </si>
  <si>
    <t>B06XKYNFY1</t>
  </si>
  <si>
    <t>Mega Probiotics 40 strains 200 billion CFU</t>
  </si>
  <si>
    <t>B0DVN41167</t>
  </si>
  <si>
    <t>Liposomal Vitamin C 2500mg</t>
  </si>
  <si>
    <t>B0DW142NNT</t>
  </si>
  <si>
    <t>Organic Bee Pollen Granules, 1lb | Pure Fresh Harvest, Natural Superfood, Raw Sweet Flavor | Rich in B Vitamins, Minerals, Protein, &amp; Antioxidants | Keto, Non-GMO</t>
  </si>
  <si>
    <t>B0CLFGBK2B</t>
  </si>
  <si>
    <t>DIM Active Supplement, DIM 300mg, 240 Veggie Capsules (8-Month Supply), 2 in 1 Formula, Estrogen Metabolism, Premium DIM-Plus Broccoli Extract Supplement With Black Pepper for Better Absorption</t>
  </si>
  <si>
    <t>B08MX153BT</t>
  </si>
  <si>
    <t>Organic Ceylon Cinnamon Powder 1lb</t>
  </si>
  <si>
    <t>B0D2S665WK</t>
  </si>
  <si>
    <t>11月有一大半广告消耗少 11月初launch小包 广告花费减少 后面提高了力度</t>
  </si>
  <si>
    <t>Micro Ingredients Organic Tart Cherry Powder, 4 Ounce, Sustainably US Grown, Uric Acid Cleanse, Antioxidant and Flavonoids, Enhance Joint Health, Sleep Cycles &amp; Immune System</t>
  </si>
  <si>
    <t>B07G3KLNM7</t>
  </si>
  <si>
    <t>D Mannose Powder, 8.8 Ounce, Pure Mannose Supplement, Quick Water Soluble, Support Urinary Tract Cleanse &amp; Bladder Health, Premium Mannose for Women and Men, Vegan Friendly</t>
  </si>
  <si>
    <t>B01L2TFP1Q</t>
  </si>
  <si>
    <t>Creatine Monohydrate Powder 1 kg (2.2 Lbs), 5000mg Per Serv, Micronized Creatine Powder, Unflavored, Pure, No Filler, Keto &amp; Vegan Friendly, Easy Dissolve Pre Workout Creatine for Women and Men</t>
  </si>
  <si>
    <t>B09YFHGK3F</t>
  </si>
  <si>
    <t>prime day差距, 平時銷量還是比較穩定也不常做deal, 比較重, 廣告正常調整PT根據1kg以上竟品往top找找</t>
  </si>
  <si>
    <t>Organic Ceylon Cinnamon Powder | 2 Lb - [Sourced from Sri Lanka] - Inner Bark Cinnamomum Verum, Delicate Flavor and Aroma, Third Party Tested for Purity, Vegan, Non-GMO &amp; Gluten Free</t>
  </si>
  <si>
    <t>B01BHF3IXM</t>
  </si>
  <si>
    <t>10月一波熱度關廣告等貨, 重啟廣告後花費比較穩定, 回到之前水平</t>
  </si>
  <si>
    <t xml:space="preserve">Oregano Oil with Black Seed Oil Drop 4 fl oz (118mL) </t>
  </si>
  <si>
    <t>B0DS6MGRHD</t>
  </si>
  <si>
    <t>10月做過8.99低價deal能賣100+/day,  11月的$12 deal效果就沒有那麼好, 改看看organic增加產品競爭力看看效果</t>
  </si>
  <si>
    <t xml:space="preserve">Green Tea 9000mg capsules 300 count </t>
  </si>
  <si>
    <t>B0DVMFPFJ1</t>
  </si>
  <si>
    <t>10月有做deal8.99 11月没deal 日销在10个左右 头部NB很便宜 会降到$5卖</t>
  </si>
  <si>
    <t>Organic Pumpkin Seeds 4lb</t>
  </si>
  <si>
    <t>B0CLFY72DS</t>
  </si>
  <si>
    <t>deal差距原價銷量回到之前水平, NOW(B001395NZ4)降價後暴漲一波搶了BS, 竟品都被搶量, 賣斷貨了拉一拉廣告銷量往上走</t>
  </si>
  <si>
    <t>Vitamin D3 50,000 IU Plus K2 (MK-7) 200 mcg, 240 Virgin Coconut Oil Softgels | 2 in 1 Vitamins D &amp; K Complex | Supports Calcium Absorption, Bone, Immune, &amp; Heart Health | Easy to Swallow</t>
  </si>
  <si>
    <t>B0C35N273V</t>
  </si>
  <si>
    <t>Ashwagandha 6000mg with MCT Oil Softgels</t>
  </si>
  <si>
    <t>B0DK6596L8</t>
  </si>
  <si>
    <t>看看能不能跑deal boost一下權重, 轉SKU+listing被關有受到影響</t>
  </si>
  <si>
    <t>Micro Ingredients Black Seed Oil 2000 mg with Vitamin D3 1000 IU, 240 Softgels | Cold Pressed - Nigella Sativa Pills from Egypt, Virgin Oil, Odorless, Non-GMO &amp; No Gluten</t>
  </si>
  <si>
    <t>B08TB8VX8P</t>
  </si>
  <si>
    <t>Pure Magnesium Glycinate 1000mg with Vitamin C</t>
  </si>
  <si>
    <t>B0DLLLZD5K</t>
  </si>
  <si>
    <t>deal差距10月分deal長了很多, 結束後還是能賣100+近期有上漲趨勢, rergularly deal boost效果顯著</t>
  </si>
  <si>
    <t xml:space="preserve">Organic Whole Psyllium Husks Powder 3lb </t>
  </si>
  <si>
    <t>B0DS6MHM6Z</t>
  </si>
  <si>
    <t>斷貨</t>
  </si>
  <si>
    <t>Vitamin D3 2,000 iu Plus K2 (MK-7) 50 mcg, 300 Virgin Coconut Oil Softgels</t>
  </si>
  <si>
    <t>B0CVTDBXW5</t>
  </si>
  <si>
    <t>prime day差距, 平時銷量比較穩定, 偶爾會受採購波動</t>
  </si>
  <si>
    <t>2 Pack Pure Turmeric Curcumin</t>
  </si>
  <si>
    <t>B0FBP4NMKK</t>
  </si>
  <si>
    <t xml:space="preserve">NAC+NAD with MCT Oil softgels </t>
  </si>
  <si>
    <t>B0DK65J8YX</t>
  </si>
  <si>
    <t>換ASIN賣</t>
  </si>
  <si>
    <t>Organic Lion's Mane Powder 8oz</t>
  </si>
  <si>
    <t>B0D2S6H23L</t>
  </si>
  <si>
    <t>deal差距, 10月份做了近半個月的deal, 在powder大詞上大小包占比還是保持20-25%, 近期大包做比較多deal小包分了佔比過去</t>
  </si>
  <si>
    <t>Hair, Skin &amp; Nails softgels 400 Count</t>
  </si>
  <si>
    <t>B0F4HSLBW8</t>
  </si>
  <si>
    <t>還在持續缺貨中, 這產品做deal效果顯著</t>
  </si>
  <si>
    <t>Sustainably US Grown, Organic Mega Mushroom 10 in 1 Complex Formula Powder for Immune System Booster, 10 Ounce (284 Days Supply), Chaga, Lions Mane, Cordyceps, Reishi &amp; More, Filler Free, Vegan</t>
  </si>
  <si>
    <t>B07RG8MMXW</t>
  </si>
  <si>
    <t>deal差距接prime day, 主詞占比還是比較穩定</t>
  </si>
  <si>
    <t>Organic Matcha Green Tea Powder, 1 Pound (16 Ounce), Culinary Grade, First Harvest Authentic Japanese Origin, 100% Pure Matcha for Smoothies, Latte and Baking, Unflavored, Non-Irradiation</t>
  </si>
  <si>
    <t>B08PY3Q8XS</t>
  </si>
  <si>
    <t>Microingredients Hydration Electrolyte Powder, Lemon Raspberry, 2 Lbs - High Potassium (1000mg), 0 Calorie, Sugar-Free, Hydration Drink Mix with Real Lemon Juice - Keto, Paleo, Non-GMO</t>
  </si>
  <si>
    <t>B0CG7TB55T</t>
  </si>
  <si>
    <t>deal差距10月參加prime day + 比較長時間的deal, 有拿到BS, 近期廣告嘗試投放high interest人群轉化不錯, 上調多跑跑預算沒花完</t>
  </si>
  <si>
    <t>Multi Collagen Peptides Powder, 16 Oz - Hydrolyzed Protein Peptides | Type I,II,III,V,X with Hyaluronic Acid, Biotin 10,000mcg &amp; Vitamin C - Unflavored - Keto &amp; Paleo Friendly, Ez Mix in Drinks</t>
  </si>
  <si>
    <t>B0BKK4X56L</t>
  </si>
  <si>
    <t>PT上調VEV看看轉化, 黑五過後VEV權重上去了, 我們占比下滑明顯, brand purchaser上調到40%; 展示位不高, KW rest上提30多跑跑, audeince改成high interest 40%</t>
  </si>
  <si>
    <t>Pure Methylated B Complex with Vitamin C</t>
  </si>
  <si>
    <t>B0DLLHRVLY</t>
  </si>
  <si>
    <t>deal差距, 平時銷量還是比較穩定, PT針對強勁品找IS, 近期銷量及花費上漲</t>
  </si>
  <si>
    <t>Pumpkin Seed Oil with Saw Palmetto, 3,000mg Per Serving, 300 Softgels | Cold Pressed, Pure Virgin Oil, Herbal Supplement | Supports Urinary, Bladder &amp; Prostate Health | Non-GMO</t>
  </si>
  <si>
    <t>B01BHF3KRG</t>
  </si>
  <si>
    <t>deal差距+listing被關受影響, 剛好10月做deal銷量上漲但被關了listing, 開回來後原價還是能賣600+, 廣告預算內持續爭取競品IS, pumpkin seed oil仿品上了很多, 上調了小size的廣告力度</t>
  </si>
  <si>
    <t>小size的产品可以更激进的投放,NYNY的时候把badge拿回来, 目前我们仅次于now在主词占比上面</t>
  </si>
  <si>
    <t>Organic Inulin FOS Powder (Jerusalem Artichoke), 2.2 Pounds (35 Ounce), Quick Water Soluble, Prebiotic Intestinal Support for Colon and Gut Health, Natural Fibers for Smoothie &amp; Drinks, Vegan Friendly</t>
  </si>
  <si>
    <t>B074WKCPS4</t>
  </si>
  <si>
    <t>市場熱度影響, 11月主詞搜索排名掉了近1W位, 日銷現在200-300, PT不再OOB回調力度, 上調top40找找更多出單, fiber powder有轉化ber powder有轉化</t>
  </si>
  <si>
    <t>之前主要是berg帮忙带了流量</t>
  </si>
  <si>
    <t>Multi-Collagen Capsules</t>
  </si>
  <si>
    <t>B0D16FNPY5</t>
  </si>
  <si>
    <t>考虑上SB了 增加展示的placements买更多的位置</t>
  </si>
  <si>
    <t>Micro Ingredients Vitamin D3 5000 IU with K2 100 mcg, 300 Soft-Gels | K2 MK-7 with D3 Vitamin Supplement, 2 in 1 Support Immune, Heart, Joint, Teeth &amp; Bone Health - Easy to Swallow</t>
  </si>
  <si>
    <t>B07RX4P4RL</t>
  </si>
  <si>
    <t>10月份的长promotion拉开了一点差距，提高了dr berg的bid 目前在他身上出现较多，这些产品我们都要准备往上拉SB了 SP已经做不出什么比较显著的增长了</t>
  </si>
  <si>
    <t>Vitamin D3 10000 iu Plus K2 (MK-7) 200 mcg, 300 Virgin Coconut Oil Softgels| 2 in 1 Vitamins D &amp; K Complex | Supports Calcium Absorption, Bone, Immune, &amp; Heart Health – Easy to Swallow</t>
  </si>
  <si>
    <t>B07YMJLTR6</t>
  </si>
  <si>
    <t>deal差距我们在10月份，我们10月run了超过20天的deal并且中途还有prime day的加持,增加了brand defense的SB跑一跑上面的流量</t>
  </si>
  <si>
    <t>Total Unit</t>
  </si>
  <si>
    <t>Diff Unit</t>
  </si>
  <si>
    <t>Total Spend</t>
  </si>
  <si>
    <t>Total Ad</t>
  </si>
  <si>
    <t>Total Diff</t>
  </si>
  <si>
    <t>ACOS</t>
  </si>
  <si>
    <t>Tcos</t>
  </si>
  <si>
    <t>November</t>
  </si>
  <si>
    <t>HL</t>
  </si>
  <si>
    <t>GP</t>
  </si>
  <si>
    <t>Magnesium Complex Supplement 500mg, 300 Capsules | 10 Active Forms – Glycinate, Citrate, Taurate, Plus More | 100% Chelated &amp; Purified | Bone, Heart, &amp; Muscle Support | Non-GMO</t>
  </si>
  <si>
    <t>B0C2SLBPRK</t>
  </si>
  <si>
    <t>Liposomal Vitamin C 2000mg capsules</t>
  </si>
  <si>
    <t>B0D85XBLCH</t>
  </si>
  <si>
    <t>NatureBell Vitamin D3 5000 K2 (MK7) with Virgin Coconut Oil, 240 Softgels, 100mcg, 2 in 1 Support, Duo-Ack | 8 Months Supply | Third Party Tested, Non GMO &amp; No Gluten</t>
  </si>
  <si>
    <t>B09MJYVXX9</t>
  </si>
  <si>
    <t xml:space="preserve">Magnesium Taurate 1500mg 240 Capsules </t>
  </si>
  <si>
    <t>B0CWK143JD</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</si>
  <si>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</si>
  <si>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</si>
  <si>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</si>
  <si>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2 Pack Magnesium Glycinate 500mg, 480 Capsules – 100% Chelated for Max Absorption – Bioavailable Mineral Supplement for Muscle, Joint, Enzyme, &amp; Heart Health</t>
  </si>
  <si>
    <t>B07RD4DFNZ</t>
  </si>
  <si>
    <t>CoQ10 100mg with Omega-3</t>
  </si>
  <si>
    <t>B0DJWWMBTF</t>
  </si>
  <si>
    <t xml:space="preserve">Boron 10mg with MCT Oil softgels 300 counts </t>
  </si>
  <si>
    <t>B0F11Z2BLQ</t>
  </si>
  <si>
    <t>NatureBell Melatonin 20mg, 365 Fast Dissolve Tablets - Natural Strawberry Flavor - Vegetarian Chewable Lozenges for 1 Year Supply, High Potency | Non-GMO, No Gluten</t>
  </si>
  <si>
    <t>B0B92XZZPJ</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</si>
  <si>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</si>
  <si>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</si>
  <si>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</si>
  <si>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NatureBell Oregano Oil with Black Seed Oil 7,500mg, 360 Softgels | Wild Harvested, 50:1 Fresh Oregano Extract – Retains Carvacrol &amp; Thymoquinone – Essential Oils for Immune Health – Non-GMO</t>
  </si>
  <si>
    <t>B0CFPQN4J1</t>
  </si>
  <si>
    <t>Vitamin E 400iu</t>
  </si>
  <si>
    <t>B0CWKDYC5Q</t>
  </si>
  <si>
    <t xml:space="preserve">Psyllium Husk 2000mg capsules 360 counts </t>
  </si>
  <si>
    <t>B0F11QQ8ND</t>
  </si>
  <si>
    <t>CoQ10 (Ubiquinone) 300mg with Omega 3 Fatty Acids, 240 Capsules</t>
  </si>
  <si>
    <t>B0CMK3LBGJ</t>
  </si>
  <si>
    <t>Organic Inulin Powder Jar 1lb</t>
  </si>
  <si>
    <t>B0F11HLBFC</t>
  </si>
  <si>
    <t xml:space="preserve">Vegan Omega-3 Algae Oil 1250mg vegetarian softgels 120 counts </t>
  </si>
  <si>
    <t>B0FCVZQMT1</t>
  </si>
  <si>
    <t xml:space="preserve">Electrolyte Jar Grape Flavor 500g </t>
  </si>
  <si>
    <t>B0DJWX4ZNQ</t>
  </si>
  <si>
    <t>Magnesium Malate 1500mg capsules 240 count</t>
  </si>
  <si>
    <t>B0CWMWHRFC</t>
  </si>
  <si>
    <t>NatureBell Resveratrol Supplement 1000mg Per Serving, 180 Veggie Capsules, 99% Pure Trans-Resveratrol, Antioxidant for Healthy Aging, Brain, &amp; Heart Support – Non-GMO</t>
  </si>
  <si>
    <t>B0C2SCVL8Z</t>
  </si>
  <si>
    <t>NatureBell Astaxanthin 12mg, 240 Softgels, Made with Astax (Max Strength from MicroAlgae), Natural Antioxidant for Skin &amp; Eye Health – Non-GMO &amp; No Gluten, 4 Month Supply</t>
  </si>
  <si>
    <t>B0923B4XLX</t>
  </si>
  <si>
    <t xml:space="preserve">Potassium Citrate 99mg capsules 500 count </t>
  </si>
  <si>
    <t>B0DDCTG43B</t>
  </si>
  <si>
    <t>Valerian Root Complex 5000mg</t>
  </si>
  <si>
    <t>B0F11D462D</t>
  </si>
  <si>
    <t>NatureBell Alpha Lipoic Acid 600mg Per Serving | 300 Capsules - with Vitamin B1 Complex | 4 in 1 - [R-ALA | S-ALA | Thiamine | Benfotiamine] - High Bioavailability, Third Party Tested | Non-GMO</t>
  </si>
  <si>
    <t>B0BB53JDMF</t>
  </si>
  <si>
    <t>NatureBell Hyaluronic Acid Supplements 250mg | 240 Capsules, with Biotin 5000mcg &amp; Vitamin C 25mg, 3 in 1 Support - Skin Hydration, Joint Lubrication, Hair and Eye Health</t>
  </si>
  <si>
    <t>B076FH7639</t>
  </si>
  <si>
    <t>pattern</t>
  </si>
  <si>
    <t xml:space="preserve">Advanced Electrolyte hydration capsules </t>
  </si>
  <si>
    <t>B0DDCW84F6</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</si>
  <si>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</si>
  <si>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</si>
  <si>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</si>
  <si>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NatureBell Magnesium Glycinate 400mg (Elemental), 270 Capsules – 100% Chelated for Max Absorption | Non-GMO &amp; No Gluten, Bioavailable Mineral Supplement for Muscle, Joint, Enzyme, &amp; Heart Health</t>
  </si>
  <si>
    <t>B0BJ198K28</t>
  </si>
  <si>
    <t>2 Pack Magnesium Citrate 500mg, 480 Capsules | High Purity Elemental Form – Extra Strength | Essential Mineral for Heart, Muscle, &amp; Digestion Support – Non-GMO &amp; No Gluten</t>
  </si>
  <si>
    <t>B07755F5YT</t>
  </si>
  <si>
    <t xml:space="preserve">Taurine 1000mg capsules 500 count </t>
  </si>
  <si>
    <t>B0D87LZF99</t>
  </si>
  <si>
    <t>NatureBell 2 Pack Hyaluronic Acid Supplements 2000mg | 480 Total Capsules, with MSM &amp; Multi Collagen – 3 in 1 Support – Skin Hydration, Joint Lubrication, Hair, and Eye Health</t>
  </si>
  <si>
    <t>B01FL9DFR4</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</si>
  <si>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</si>
  <si>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</si>
  <si>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</si>
  <si>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</si>
  <si>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</si>
  <si>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2 Pack Berberine Supplement 1500mg Per Serving, 480 Veggie Capsules | Plus 1200mg True Ceylon Cinnamon, 97% Berberine HCL, Plant-Based, Vegan, Non-GMO, Gluten Free</t>
  </si>
  <si>
    <t>B01L2TFPNE</t>
  </si>
  <si>
    <t>NatureBell Vitamin B2 Riboflavin 400mg Per Serving, 240 Capsules | Essential Daily B Vitamin, Easily Absorbed Form – Supports Energy, Skin, and Cellular Health – Non-GMO, Gluten Free</t>
  </si>
  <si>
    <t>B0BSP461K1</t>
  </si>
  <si>
    <t>準備轉給pattern</t>
  </si>
  <si>
    <t>Antarctic Krill Oil 2000mg Supplement, 240 Softgels, 3X Strength Natural Source of Omega-3s, EPA 240mg + DHA 160mg + Astaxanthin 800mcg – No Fishy Aftertaste – Mercury Free &amp; Non-GMO</t>
  </si>
  <si>
    <t>B0BSP5TBP3</t>
  </si>
  <si>
    <t>Organic Mushroom Coffee with MCT Oil</t>
  </si>
  <si>
    <t>B0DS6Q88VS</t>
  </si>
  <si>
    <t>NatureBell PQQ 40mg with CoQ10, 180 Veggie Capsules | Active Pyrroloquinoline Quinone, Highly Bioavailable ZenPQQ+ Formula – Promotes Heart, Brain, &amp; Mitochondrial Health – Non-GMO</t>
  </si>
  <si>
    <t>B09KTDRCYD</t>
  </si>
  <si>
    <t>Creatine Monohydrate 5000mg capsules</t>
  </si>
  <si>
    <t>B0DDB5BWYP</t>
  </si>
  <si>
    <t>TUDCA 500mg with Black Pepper Extract, 60 Capsules – High Absorption Livamate Formula, Natural Bitter Taste | Bile Salt Supplement | Third Party Tested</t>
  </si>
  <si>
    <t>B09KTBBYLQ</t>
  </si>
  <si>
    <t>Huperzine A 400mcg Per Serving, 180 Capsules, (Huperzine A Supplement), Supports Focus, Cognition, Memory and Learning Ability, Premium Brain Health Supplement, No GMOs</t>
  </si>
  <si>
    <t>B07BKSH9GW</t>
  </si>
  <si>
    <t>Creatine Monohydrate Jar 1kg</t>
  </si>
  <si>
    <t>B0DJWVMRR9</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</si>
  <si>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</si>
  <si>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</si>
  <si>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</si>
  <si>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</si>
  <si>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NatureBell Digestive Enzymes with Prebiotics | 240 Veggie Capsules - 20 Enzyme &amp; 5 Prebiotic Complex – Support Gut Health, Bloating Relief for Women &amp; Men, Non-GMO, Vegan Friendly</t>
  </si>
  <si>
    <t>B0CJK5JRPV</t>
  </si>
  <si>
    <t>NatureBell Ceylon Cinnamon 1800mg Per Serving, 180 Capsules, Made with Organic Sri Lanka Ceylon Cinnamon and Bitter Melon, 2 in 1 Support, Non-GMO, No Gluten</t>
  </si>
  <si>
    <t>B07MTVDV6Y</t>
  </si>
  <si>
    <t>NatureBell Organic Myco Guardians 10 in 1 Mushroom Powder, 10oz | Fresh Superfood Mushrooms Complex – Lions Mane, Turkey Tail, 8 More | Immune Booster &amp; Brain Health Supplement | No Fillers</t>
  </si>
  <si>
    <t>B0C485JWYV</t>
  </si>
  <si>
    <t>Liver Cleanse Detox &amp; Repair Supplement, 240 Veggie Capsules</t>
  </si>
  <si>
    <t>B0CWN5QQ8V</t>
  </si>
  <si>
    <t xml:space="preserve">Magnesium Oxide 400mg capsules 400 counts </t>
  </si>
  <si>
    <t>B0F11PGHN9</t>
  </si>
  <si>
    <t xml:space="preserve">Magnesium Citrate Calm Powder Jar 1lb </t>
  </si>
  <si>
    <t>B0FCVC7LKV</t>
  </si>
  <si>
    <t>calm最近幾個產品都漲價上調PT廣告力度試試, B093WD7JBF漲價+掉了buybox上調多一些打打</t>
  </si>
  <si>
    <t>Magnesium Glycinate 200mg with Valerian Root, 300 Capsules</t>
  </si>
  <si>
    <t>B0CWNDCY6V</t>
  </si>
  <si>
    <t>Magnesium Glycinate Powder Peach-Mango Flavor Jar 1lb</t>
  </si>
  <si>
    <t>B0DLXM7ZTC</t>
  </si>
  <si>
    <t>2 Pack Olive Leaf Extract 30000mg, 480 Total Capsules | 40% Active Oleuropein, 50:1 Herbal Equivalent – Rich in Polyphenol &amp; Flavonoid Antioxidants for Immune &amp; Heart Health – Non-GMO</t>
  </si>
  <si>
    <t>B07VNJ97G1</t>
  </si>
  <si>
    <t>NatureBell Quercetin 500mg Per Serving | 300 Capsules, Ultra Strength Quercetin Supplement | Bioflavonoids for Healthy Immune Support, Third Party Tested, Non-GMO &amp; No Gluten</t>
  </si>
  <si>
    <t>B0B8TJLSSP</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</si>
  <si>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</si>
  <si>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</si>
  <si>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</si>
  <si>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</si>
  <si>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Lutein 40mg and Zeaxanthin 1,600mcg Per Serving, 360 Softgels | 4 in 1 with Omega-3s, Astaxanthin, &amp; Phospholipids – Marigold Flower Extract – Eye Antioxidant Vitamins – Non-GMO</t>
  </si>
  <si>
    <t>B0C2S5MC6J</t>
  </si>
  <si>
    <t>Choline 500mg with Omega-3 capsules 240 count</t>
  </si>
  <si>
    <t>B0D85V6X3G</t>
  </si>
  <si>
    <t>Ginger Root with MCT Oil</t>
  </si>
  <si>
    <t>B0F11MGDGT</t>
  </si>
  <si>
    <t>Omega 3 Fish Oil 4,200mg, 180 Burpless Softgels, Highly Purified EPA 1,200mg &amp; DHA 900mg | Lemon Flavored | Premium Wild Caught Fish from Deep Sea – Heart &amp; Brain Support – Mercury Free &amp; Non-GMO</t>
  </si>
  <si>
    <t>B0BSP4P38R</t>
  </si>
  <si>
    <t>Advanced Turkey Tail Quercetin Supplements, Turkey Tail (Coriolus Versicolor) with Quercetin 1100mg Per Serving, 180 Counts, 2 in 1 Formula, Immune System Booster, Daily Mushroom Mycelium Supplement</t>
  </si>
  <si>
    <t>B07YF52935</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</si>
  <si>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</si>
  <si>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</si>
  <si>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</si>
  <si>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</si>
  <si>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</si>
  <si>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NatureBell Psyllium Husk Powder, 3 Lbs(48 Oz), 9000mg Per Serving - Unflavored | No Fillers, No Additives, Gluten Free, Soluble Fiber, Great for Gut Health, Keto Baking, Mixing Shakes, Juices &amp; More</t>
  </si>
  <si>
    <t>B09ZPVMQ9F</t>
  </si>
  <si>
    <t>St John's Wort Supplement, 1500mg Per Serving with 2250mcg Hypericin, 2 in 1 Formula St John's Wort Complex, 200 Capsules, Promote Emotional Balance, Joyful Mood &amp; Stress Response</t>
  </si>
  <si>
    <t>B07H9JTLWY</t>
  </si>
  <si>
    <t>Dihydroberberine 500mg</t>
  </si>
  <si>
    <t>B0DDMM94BF</t>
  </si>
  <si>
    <t xml:space="preserve">Colostrum 1000mg capsules 240 count </t>
  </si>
  <si>
    <t>B0DJTVL9H4</t>
  </si>
  <si>
    <t>NatureBell 2 Pack Ceylon Cinnamon 9000mg Per Serving, 480 Capsules, Made with Organic Ceylon Cinnamon Plus Bitter Melon, Non-GMO</t>
  </si>
  <si>
    <t>B08DK1M6FL</t>
  </si>
  <si>
    <t>NatureBell Antarctic Krill Oil 1000mg Supplement, 180 Softgels, Natural Source of Omega-3s, EPA, DHA and Astaxanthin - No Aftertaste - Support Heart Health, Mercury Free &amp; Non-GMO</t>
  </si>
  <si>
    <t>B07BKN8S81</t>
  </si>
  <si>
    <t>DHEA 50mg</t>
  </si>
  <si>
    <t>B0CX3MJQKM</t>
  </si>
  <si>
    <t>NatureBell Everyday Fruits and Vegetables Supplements, 480 Total Vegetarian Capsules</t>
  </si>
  <si>
    <t>B0CMK41YYD</t>
  </si>
  <si>
    <t>Xylitol Sweetener, 5lbs | Natural Birch Crystal Source – 1:1 Sugar Substitute – Sweet Flavor with No Erythritol – Low Calorie &amp; Glycemic Impact – Sugar Free, No Aftertaste, Non-GMO</t>
  </si>
  <si>
    <t>B0CFPJ5BRM</t>
  </si>
  <si>
    <t>Organic Lion's Mane Powder</t>
  </si>
  <si>
    <t>B0CFP9DF3C</t>
  </si>
  <si>
    <t>Naturebell Ginkgo Biloba Extract 500mg Per Serving, 300 Capsules | GinkoVida | Extra Strength Ginko Biloba Supplement - Promote Memory, Focus and Brain Health</t>
  </si>
  <si>
    <t>B09F4ML3FF</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</si>
  <si>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</si>
  <si>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</si>
  <si>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</si>
  <si>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</si>
  <si>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Mucuna Pruriens Capsules, Triple Strength 1500mg Per Serving, 2 in 1 Formula, Made with Mucuna and Ashwagandha, 240 Capsules, Potent Seed Extract, Positive Mood, Relaxation &amp; Restoration Support</t>
  </si>
  <si>
    <t>B07K6Z195K</t>
  </si>
  <si>
    <t>NatureBell Fadogia Agrestis 600mg Complexed with Tongkat Ali 400mg, 180 Capsules, Optimal Dosage for Enhanced Bioavailability, 20:1 Fadogia Argrestis Extract Indonesia Tongkat-Ali (Longjack)</t>
  </si>
  <si>
    <t>B09WJV9D1Y</t>
  </si>
  <si>
    <t>High Potency Zinc Picolinate 100mg - 240 Capsules, Bioavailable Form of Zinc for Immune Support and Skin Health - Non-GMO and Gluten- Zinc Supplements</t>
  </si>
  <si>
    <t>B07VC1M3S3</t>
  </si>
  <si>
    <t>NatureBell 2 Pack Cranberry Pills 36,000mg with Acerola, 480 Veggie Capsules | 100:1 Fresh Cranberries Extract – Organic Ingredients – Supports Urinary Tract Health – Sugar Free</t>
  </si>
  <si>
    <t>B07RD4CKP4</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</si>
  <si>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</si>
  <si>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</si>
  <si>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</si>
  <si>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</si>
  <si>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</si>
  <si>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</si>
  <si>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</si>
  <si>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</si>
  <si>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NatureBell D Mannose Powder, 12oz | Instantized for Max Absorption – Fast Acting Cleanse – Urinary Tract &amp; Bladder Health Support – Flush UTI Impurities – Non-GMO, Vegan</t>
  </si>
  <si>
    <t>B075G4N2K1</t>
  </si>
  <si>
    <t>NatureBell Biotin 10000mcg + Hyaluronic Acid 25mg | 250 Coconut Oil Softgels, Premium Biotin Vitamins for Hair Skin and Nails, Highly Purified and Bioavailable, Quick Release</t>
  </si>
  <si>
    <t>B0B34CDHNS</t>
  </si>
  <si>
    <t>Organic Hibiscus Tea Bags</t>
  </si>
  <si>
    <t>B0C6WP15YQ</t>
  </si>
  <si>
    <t>NatureBell Cold Pressed Black Seed Oil 3,000mg Per Serving with Vitamin D3 2,000IU, 180 Softgels | Egyptian Nigella Sativa, Odorless Black Cumin Seed, Virgin Liquid Oil Capsules – Non-GMO</t>
  </si>
  <si>
    <t>B09238QQ52</t>
  </si>
  <si>
    <t>NatureBell Double Strength Triphala Supplement (Made with Organic Amla, Bibhitaki, Haritaki Fruit Complex), 1200mg Per Serving, 180 Capsules, 3 in 1 Formula, Supports Digestive Health, Non-GMO</t>
  </si>
  <si>
    <t>B076B5V4RQ</t>
  </si>
  <si>
    <t>Magnesium Glycinate 500mg vegetarian</t>
  </si>
  <si>
    <t>B0DNVCPMYW</t>
  </si>
  <si>
    <t xml:space="preserve">Turmeric Curcumin with MCT Oil Softgels 240 count </t>
  </si>
  <si>
    <t>B0FNYD1SVT</t>
  </si>
  <si>
    <t xml:space="preserve">Sport Electrolyte Powder Jar Passion Fruit and Mango Flavor 500g (1.1lb) </t>
  </si>
  <si>
    <t>B0FNTFHXM1</t>
  </si>
  <si>
    <t xml:space="preserve">Sport Electrolyte Powder Jar Pineapple Flavor 500g (1.1lb) </t>
  </si>
  <si>
    <t>B0FNTCT8CL</t>
  </si>
  <si>
    <t>Organic Matcha Powder Jar 1lb</t>
  </si>
  <si>
    <t>B0FQM6R1ZF</t>
  </si>
  <si>
    <t>NatureBell Bromelain, 1,000mg Per Serving, 240 Veggie Capsules</t>
  </si>
  <si>
    <t>B0CMK9SWBJ</t>
  </si>
  <si>
    <t>R-Alpha Lipoic Acid (R-ALA) 1200mg</t>
  </si>
  <si>
    <t>B0DJWWQSPX</t>
  </si>
  <si>
    <t>Magnesium Complex 400mg Supplement, 300 Capsules | Magnesium Glycinate + Citrate Elemental Forms – Essential Minerals for Heart, Muscle, &amp; Digestion Support – Non-GMO &amp; No Gluten</t>
  </si>
  <si>
    <t>B0BSP3CD3N</t>
  </si>
  <si>
    <t>TMG (Trimethylglycine) 1500mg capsules</t>
  </si>
  <si>
    <t>B0D883PXW4</t>
  </si>
  <si>
    <t>Pregnenolone 100mg, 200 Capsules | 99%+ Purity, Micronized Grade for Higher Absorption, Plant Based – Hormone*, Cognitive, &amp; Immune Health Supplement – Non-GMO, Soy Free</t>
  </si>
  <si>
    <t>B087CMV1PD</t>
  </si>
  <si>
    <t>Allulose Sweetener 5lb</t>
  </si>
  <si>
    <t>B0DDCVSPP5</t>
  </si>
  <si>
    <t>Colostrum with probiotics Powder 12oz</t>
  </si>
  <si>
    <t>B0DJWWQVHC</t>
  </si>
  <si>
    <t>L Tyrosine Supplement, 1,500mg Per Serving, 240 Capsules | Essential Amino Acids – Brain Health Support for Memory, Cognitive Health, and Mental Alertness – Non-GMO</t>
  </si>
  <si>
    <t>B08X6JSZ69</t>
  </si>
  <si>
    <t>NatureBell P5P Vitamin B6 100mg Per Serving, 240 Capsules | Activated Pyridoxal 5 Phosphate Supplements – Essential B Vitamins for Brain &amp; Memory Health – Non-GMO</t>
  </si>
  <si>
    <t>B07GCBWP2M</t>
  </si>
  <si>
    <t>Tongkat Ali 200:1 (Longjack) Extract for Men, 2000mg Per Serving, Indonesia Origin, Eurycoma Longifolia | with Panax Ginseng for Energy, Stamina, &amp; Male Health Support (150 Count (Pack of 2))</t>
  </si>
  <si>
    <t>B0BMF3TMWZ</t>
  </si>
  <si>
    <t>2 Pack NAC Supplement (N-Acetyl Cysteine) with Quercetin, 1,200mg Per Serving, 480 Capsules | Double Strength Antioxidant Support for Immune, Liver, &amp; Lung Health – Non-GMO</t>
  </si>
  <si>
    <t>B086QBQ7X4</t>
  </si>
  <si>
    <t>Ultra Strength Phosphatidylserine Supplement 500mg Per Serving, 240 Capsules | Soy Free, Derived from Sunflower Lecithin – Supports Cognitive Health and Brain Function – Non-GMO</t>
  </si>
  <si>
    <t>B074R8XH2Q</t>
  </si>
  <si>
    <t>Olive Leaf Extract 30000mg, 240 Capsules | 40% Active Oleuropein, 50:1 Herbal Equivalent – Rich in Polyphenol &amp; Flavonoid Antioxidants for Immune &amp; Heart Health – Non-GMO</t>
  </si>
  <si>
    <t>B076B7TYL7</t>
  </si>
  <si>
    <t>NatureBell Irish Sea Moss Capsules, 3,000mg Per Serving, 240 Veggie Pills | Made with Organic Raw Powder – 3 in 1 Plus Bladderwrack &amp; Burdock Root – Immune &amp; Thyroid Superfood Support – Non-GMO</t>
  </si>
  <si>
    <t>B0CP2YGSCZ</t>
  </si>
  <si>
    <t>NatureBell D-Mannose 2000mg with Cranberry Extract 400mg, 240 Veggie Capsules, Double Strength | Fast Acting Urinary Tract Health Pills, Flush Impurities, Ultra UTI Support for Women &amp; Men</t>
  </si>
  <si>
    <t>B07QBVHK8H</t>
  </si>
  <si>
    <t>Zinc Quercetin 1300mg with Vitamin D3 5000IU, 120 Capsules, 4 in 1 Formula, Zinc 50mg, Vitamin C 250mg, Vitamin D3 5000 IU - Advanced Immune Defense, Non-GMO</t>
  </si>
  <si>
    <t>B085WGFPYS</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</si>
  <si>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</si>
  <si>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</si>
  <si>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</si>
  <si>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L-Lysine 1000mg + Quercetin 250mg Supplement, 240 Capsules, Free Form, 4-in-1 Lysine Complex, Quercetin with Vitamin C and Zinc | Immune Support | Promote Lips &amp; Skin Health</t>
  </si>
  <si>
    <t>B09F4GYTDQ</t>
  </si>
  <si>
    <t>Vaginal Probiotics 10 Billion 120 Veggie Capsules</t>
  </si>
  <si>
    <t>B0DJWW2B1L</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</si>
  <si>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</si>
  <si>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</si>
  <si>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</si>
  <si>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Benfotiamine 300mg with Thiamine 100mg Per Serving | 240 Veggie Capsules, Essential Vitamin B1 Benfotiamine Supplement, Bioavailable Fat &amp; Water Soluble Forms – Energy &amp; Nerve Support – Non-GMO</t>
  </si>
  <si>
    <t>B0C6YKYN2B</t>
  </si>
  <si>
    <t>NatureBell Hyaluronic Acid Supplements 2000mg Per Serving | 240 Capsules, with MSM &amp; Multi Collagen – 3 in 1 Support – Skin Hydration, Joint Lubrication, Hair, and Eye Health</t>
  </si>
  <si>
    <t>B01DPW5BNA</t>
  </si>
  <si>
    <t>NatureBell Evening Primrose Oil with Black Cohosh, 1,300mg Per Serving, 300 Mini-Softgels | Cold Pressed Seeds, Retains 130mg GLA for Womens Health &amp; Skin Care Support – Hexane Free, Non-GMO</t>
  </si>
  <si>
    <t>B0C6WN52Q9</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</si>
  <si>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</si>
  <si>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</si>
  <si>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</si>
  <si>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</si>
  <si>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</si>
  <si>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NatureBell 2 Pack Creatine Monohydrate Powder 500 Grams, 5000mg Per Serving, Pure Unflavored Creatine Powder - Micronized - Pre Workout | Keto | Vegan | Dissolves Easy | Filler Free</t>
  </si>
  <si>
    <t>B0BT2V8YK4</t>
  </si>
  <si>
    <t>NatureBell Full Spectrum Vitamin K2 Supplement with MK-7 &amp; MK-4, 200 mcg, 240 Capsules | 2 in 1 Formula, K Vitamins Complex – Supports Bone, Joint, and Heart Health – Non-GMO</t>
  </si>
  <si>
    <t>B07R8JTQSZ</t>
  </si>
  <si>
    <t>NatureBell Glutathione Supplement 1000mg, 180 Veggie Capsules | 98%+ Purity Verified, Bioavailable Reduced Glutathione Pills, Active Form, Master Antioxidant – Vegan Friendly &amp; Non-GMO</t>
  </si>
  <si>
    <t>B09KTCYFZ7</t>
  </si>
  <si>
    <t>NatureBell Cranberry Pills 36,000mg with Acerola, 240 Veggie Capsules | 100:1 Fresh Cranberries Extract – Made with Organic Ingredients – Supports Urinary Tract Health – Sugar Free</t>
  </si>
  <si>
    <t>B076BFRPNS</t>
  </si>
  <si>
    <t>Vitamin B Complex for Women, 240 Veggie Capsules</t>
  </si>
  <si>
    <t>B0CMK1YPQN</t>
  </si>
  <si>
    <t xml:space="preserve">Electrolyte Powder Lemon &amp; Raspberry Flavor 500g </t>
  </si>
  <si>
    <t>B0CX3GYCNN</t>
  </si>
  <si>
    <t>NatureBell DHEA 100mg, 240 Capsules | Extra Strength, Micronized Grade for Better Absorption, Supports Energy Level, Metabolism and Healthy Aging for Men and Women, No GMOs and Made in U.S.A</t>
  </si>
  <si>
    <t>B074Q2KK6Z</t>
  </si>
  <si>
    <t>NatureBell 2 Pack Plant Based Hyaluronic Acid Supplements 250mg with 25mg Vitamin C &amp; Biotin 5000mcg, 480 Total Capsules | Essential for Hair Growth, Joint Support, &amp; Hydrating Skin | Non-GMO</t>
  </si>
  <si>
    <t>B07GBMPZKD</t>
  </si>
  <si>
    <t>NatureBell Virgin Pumpkin Seed Oil 3,000mg Per Serving with Saw Palmetto, 240 Softgel Capsules | Cold Pressed – Rich in Omega 6 &amp; 9 Essential Fatty Acids – Prostate &amp; Bladder Supplements, Non-GMO</t>
  </si>
  <si>
    <t>B07K6XGYPL</t>
  </si>
  <si>
    <t>NatureBell Lions Mane Supplement 9,000mg Per Serving, 240 Veggie Capsules | Made with Organic Lion’s Mane Powder Extract – Cognitive Brain Nootropic &amp; Immune Health Mushroom – Non-GMO</t>
  </si>
  <si>
    <t>B0CJK6YZYX</t>
  </si>
  <si>
    <t>NatureBell L Tryptophan 1500mg with L Theanine 200mg, 300 Capsules | Active Free Form, Plant Based Supplement – Calm Formula, Supports Relaxation – Non-GMO &amp; No Gluten</t>
  </si>
  <si>
    <t>B07V8LRWZK</t>
  </si>
  <si>
    <t>Citrus Bergamot 5000mg</t>
  </si>
  <si>
    <t>B0CFPBNWCF</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</si>
  <si>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</si>
  <si>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</si>
  <si>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</si>
  <si>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</si>
  <si>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Nattokinase Supplement 8,000 FU Per Serving, 240 Veggie Capsules | Traditional Natto Extract Source – Max Strength Enzyme &amp; Heart Health Support – Non-GMO</t>
  </si>
  <si>
    <t>B0CJK4JF1V</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</si>
  <si>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</si>
  <si>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</si>
  <si>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</si>
  <si>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Korean Red Ginseng 2,250mg Per Serving, 240 Softgels | Panax Ginseng Root, Standardized to 10% Ginsenosides, Non-GMO, Support Energy, Male Performance, &amp; Immune System</t>
  </si>
  <si>
    <t>B07MTW3QDD</t>
  </si>
  <si>
    <t>Organic Matcha Green Tea Powder Jar, 2lbs</t>
  </si>
  <si>
    <t>B0DT2NH3V9</t>
  </si>
  <si>
    <t xml:space="preserve">Advanced Glucosamine </t>
  </si>
  <si>
    <t>B0D85XVGMQ</t>
  </si>
  <si>
    <t>Triple Complex Magnesium Supplement, 240 Capsules | Magnesium Glycinate 500mg with Citrate &amp; Malate | Chelated &amp; Purified | Bone, Heart, &amp; Muscle Support | Non-GMO</t>
  </si>
  <si>
    <t>B0CMK2Z12X</t>
  </si>
  <si>
    <t>NatureBell Red Yeast Rice 2,400mg with CoQ10 100mg | 240 Veggie Capsules (1,200mg Per Capsule) – Max Strength Herbal Supplement – Antioxidant Support for Energy &amp; Heart Health – Non-GMO</t>
  </si>
  <si>
    <t>B0CFPLT75L</t>
  </si>
  <si>
    <t>Magnesium Glycinate Supplement 1,000mg | 500mg Per Capsule, 240 Pills | 100% Chelated &amp; Purified – Non-GMO &amp; Gluten Free</t>
  </si>
  <si>
    <t>B0CFPG9M5K</t>
  </si>
  <si>
    <t>L-Theanine 400mg capsules 400 count</t>
  </si>
  <si>
    <t>B0DDCW97QV</t>
  </si>
  <si>
    <t>NatureBell CoQ10 (Ubiquinone) 200mg with PQQ, 240 Veggie Capsules | Stable High Absorption Form – Antioxidant Support for Brain, Heart, &amp; Energy Health – Extra Strength Coenzyme Q10 Supplement</t>
  </si>
  <si>
    <t>B0CFPMHB25</t>
  </si>
  <si>
    <t>Methylated Multivitamin 240 Capsules</t>
  </si>
  <si>
    <t>B0FCW45JZF</t>
  </si>
  <si>
    <t>10月初有做deal 19.99之後11月BFCM有取消, 調整廣告先跑跑rest跟中部詞, 加上競品其他var打打; throne缺貨</t>
  </si>
  <si>
    <t>NatureBell L Methylfolate 15mg (5-MTHF) with Methyl B12 1,000mcg, 240 Vegetarian Capsules | High Potency Dual Action for Energy &amp; Cognitive Support, Active Folic Acid – Methyl Folate Supplement</t>
  </si>
  <si>
    <t>B0CHX3CST7</t>
  </si>
  <si>
    <t xml:space="preserve">Multi Collagen Complex capsules 300 count </t>
  </si>
  <si>
    <t>B0F11WDDHF</t>
  </si>
  <si>
    <t>NAC Supplement (N-Acetyl Cysteine) with Quercetin, 1,200mg Per Serving, 240 Capsules | Double Strength Antioxidant Support for Immune, Liver, &amp; Lung Health – Non-GMO</t>
  </si>
  <si>
    <t>B0866BQP63</t>
  </si>
  <si>
    <t>Ashwagandha 12,500mg with black pepper</t>
  </si>
  <si>
    <t>B0DDM8LQMS</t>
  </si>
  <si>
    <t>沒做BFCM直接降價19.99賣, 加強廣告力度, PT加category</t>
  </si>
  <si>
    <t>prime day後接續做14天deal, 原價後, 廣告權重掉了, PT top很高還是花不出錢, 把top降下來給了rest40, 針對單價較高但沒出廣告的產品上調bid</t>
  </si>
  <si>
    <t>Vitamin D3 K2 (10,000 IU Vitamin D + 200mcg Vitamin K MK-7) 240 Softgels with Coconut Oil for Complete Absorption | Bone, Heart, Immune, &amp; Calcium Support | One a Day, Non-GMO</t>
  </si>
  <si>
    <t>B0C6WY48KJ</t>
  </si>
  <si>
    <t>NatureBell Moringa Oleifera 8000mg Per Serving | 240 Capsules, Made with Organic Moringa Leaf Powder, Non-GMO, Gluten Free, Superfood Antioxidant, Skin Health &amp; Immune Support</t>
  </si>
  <si>
    <t>B07MTTBMD1</t>
  </si>
  <si>
    <t>競爭力不強, 10月份做了很長時間的deal + 11月轉SKU權重下滑, 競品都在漲價, PT在rosabella旁邊轉化不好, 漲價後給了很高的coupon沒有掉量, 目前算下來subscribe單價還是非常吸引的人的, 加碼20% coupon</t>
  </si>
  <si>
    <t>Berberine Supplement 500mg | 300 Veggie Capsules, 97% Pure Berberine HCL, 5:1 Root Extract – Healthy Glucose Metabolism &amp; Immune Support – Plant Based, Vegan, Non-GMO</t>
  </si>
  <si>
    <t>B0C7FF131K</t>
  </si>
  <si>
    <t>CoQ10 (Ubiquinone) 400mg with Omega 3 Fatty Acids, 240 Capsules | Stable High Absorption Form – Antioxidant Support for Heart &amp; Energy Health – Extra Strength Coenzyme Q10 Supplement</t>
  </si>
  <si>
    <t>B0BSP5GTMQ</t>
  </si>
  <si>
    <t xml:space="preserve">NAD+ 1500mg vegetarian capsules 240 count </t>
  </si>
  <si>
    <t>B0D85VVNF7</t>
  </si>
  <si>
    <t>沒做BFCM</t>
  </si>
  <si>
    <t>NatureBell Quercetin 1000mg Per Serving | 240 Capsules, Ultra Strength Quercetin Supplement | Bioflavonoids for Healthy Immune Support, Third Party Tested, Non-GMO &amp; No Gluten</t>
  </si>
  <si>
    <t>B07H9LGDPM</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</si>
  <si>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</si>
  <si>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</si>
  <si>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</si>
  <si>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 xml:space="preserve">Probiotics+ 200 billion CFU 40 </t>
  </si>
  <si>
    <t>B0DDCWYPWR</t>
  </si>
  <si>
    <t>10月PED結束後還做了一次deal, 11月份沒跑BFCM權重掉了</t>
  </si>
  <si>
    <t>10月prime day後接了14天deal, 平時銷量比較穩定120上下, 需要定期deal boost權重及評論的產品</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</si>
  <si>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</si>
  <si>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</si>
  <si>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</si>
  <si>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</si>
  <si>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creatine在10月分連做了兩次deal, 後續11月只跑了BFCM, 本身產品競爭力不強 把貨出了準備轉給pattern, 1kg的可以繼續嘗試, 產品競爭力比較大</t>
  </si>
  <si>
    <t>Total Ad Sales</t>
  </si>
  <si>
    <t>HB</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</si>
  <si>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</si>
  <si>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</si>
  <si>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</si>
  <si>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Magnesium Glycinate 400mg | Elemental Magnesium - 300 Capsules | Chelated for Easy Absorption | Highly Purified Essential Trace Mineral for Muscle, Joint, Heart, &amp; Immune Support</t>
  </si>
  <si>
    <t>B0BKRPXKWD</t>
  </si>
  <si>
    <t xml:space="preserve">Electrolyte Powder Lemon Lime Flavor Jar </t>
  </si>
  <si>
    <t>B0DJWN567H</t>
  </si>
  <si>
    <t>Nitric Oxide Booster 3,000mg Per Serving, 300 Capsules</t>
  </si>
  <si>
    <t>B0CZGHL1TW</t>
  </si>
  <si>
    <t>Ginkgo Biloba 500mg Per Serving, 300 Capsules, 5 Month Supply – Grown in Northern Asia – Extra Strength, Non-GMO, No Gluten</t>
  </si>
  <si>
    <t>B081NW5N61</t>
  </si>
  <si>
    <t xml:space="preserve">Goat Milk 1lb </t>
  </si>
  <si>
    <t>B0F2L2SQT8</t>
  </si>
  <si>
    <t xml:space="preserve">Organic Mushroom Coffee Jar 10oz </t>
  </si>
  <si>
    <t>B0DJWQN3G7</t>
  </si>
  <si>
    <t>Eagleshine Vitamins Phosphatidylserine Supplement, 400mg Per Serving, 240 Capsules – Soy Free Sunflower Lecithin Source – Retains 20% Active PS – Nootropic Brain Health Support – Non-GMO</t>
  </si>
  <si>
    <t>B0971RLCR2</t>
  </si>
  <si>
    <t>CoQ10 600mg with DHA</t>
  </si>
  <si>
    <t>B0F1CC797J</t>
  </si>
  <si>
    <t xml:space="preserve">CoQ10 300mg with Omega-3 capsules 240 count </t>
  </si>
  <si>
    <t>B0F1C28KV6</t>
  </si>
  <si>
    <t>Organic Beet Root Powder 3lb</t>
  </si>
  <si>
    <t>B0C2XJ92Y6</t>
  </si>
  <si>
    <t xml:space="preserve">Norwegian Cod Liver Oil 2000mg softgels 240 count </t>
  </si>
  <si>
    <t>B0FCVRCJ2S</t>
  </si>
  <si>
    <t>Creatine Monohydrate 5000mg Powder 1.2kg</t>
  </si>
  <si>
    <t>B0FCVJZRMF</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</si>
  <si>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</si>
  <si>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</si>
  <si>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</si>
  <si>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DEAL SUPPLEMENT Quercetin 1,000mg Per Serving, 300 Capsules – Healthy Immune Support Supplements, High Bioavailable Flavonoids, Natural Antioxidant – Non-GMO, Soy Free, No Gluten</t>
  </si>
  <si>
    <t>B07XW8BXDS</t>
  </si>
  <si>
    <t>2 Pack Magnesium Complex 500mg</t>
  </si>
  <si>
    <t>B0FMBTVDK2</t>
  </si>
  <si>
    <t>Apigenin, 100mg Per Serving, 240 Capsules – Plant Extract from Chamomile Flower – Active Bioflavonoids &amp; Antioxidants – Sleep &amp; Relaxation Supplement</t>
  </si>
  <si>
    <t>B09LFFGQXM</t>
  </si>
  <si>
    <t>DEAL SUPPLEMENT Citicoline CDP Choline, 1,000mg Per Serving, 120 Capsules – Extra Strength Choline Supplements – Nootropic B Vitamin Properties – Promotes Brain Health, Memory, &amp; Focus – Non-GMO</t>
  </si>
  <si>
    <t>B0C2WY5ZN1</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</si>
  <si>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</si>
  <si>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</si>
  <si>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</si>
  <si>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</si>
  <si>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</si>
  <si>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</si>
  <si>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Myo-Inositol &amp; D-Chiro Inositol (40:1) 2,050mg Per Serving, 240 Veggie Capsules – with Folate, Vitamin D3, &amp; Vitex Complex – Hormonal, Ovarian, &amp; Liver Support Supplement</t>
  </si>
  <si>
    <t>B0BWGKT1PJ</t>
  </si>
  <si>
    <t>Vitamin K2 (MK-7) 200mcg, 240 Virgin Coconut Oil Softgels | Premium Menaquinone-7 Form, Easily Absorbed Vitamin K Supplement – Bone, Joint, &amp; Immune Support – Non-GMO</t>
  </si>
  <si>
    <t>B088B4L5WB</t>
  </si>
  <si>
    <t>DEAL SUPPLEMENT Premium K Complete - High Potency Vitamin K1, K2 MK-7 &amp; MK-4 Complex, 200 Coconut Oil Infused Softgels - Full Spectrum Triple Vitamin K, Optimal Bone &amp; Heart Health Support</t>
  </si>
  <si>
    <t>B0BWH7QPX6</t>
  </si>
  <si>
    <t>Unscented Magnesium Flakes, 10lbs</t>
  </si>
  <si>
    <t>B0CZFY5HHJ</t>
  </si>
  <si>
    <t>Moringa 9,000mg capsules 240 count</t>
  </si>
  <si>
    <t>B0DJWPJ2MX</t>
  </si>
  <si>
    <t>DEAL SUPPLEMENT Ultra Strength HMB Supplements 3,000mg Per Serving, 240 Capsules | Third Party Tested | Supports Muscle Growth, Retention &amp; Lean Muscle Mass | Fast Workout Recovery</t>
  </si>
  <si>
    <t>B0C8M8X8PG</t>
  </si>
  <si>
    <t>Korean Red Panax Ginseng Root Extract, 7,500mg Per Serving, 240 Softgels – 150mg Active Ginsenosides, 5:1 Max Strength Extract – Energy &amp; Immune Health Supplement – Non-GMO</t>
  </si>
  <si>
    <t>B08517K5QY</t>
  </si>
  <si>
    <t>Psyllium Husk Fiber, 300 Capsules | 1500mg Per Serving, Complexed with Inulin &amp; Acacia – Natural Soluble Fiber Supplement, Plant Based, Non-GMO | Supports Digestive and Colon Health for Men and Women</t>
  </si>
  <si>
    <t>B0BKR4ZNH1</t>
  </si>
  <si>
    <t>9.9低價產品</t>
  </si>
  <si>
    <t>Multi Collagen Protein Powder,1Lb - Type I, II, III, V, X Collagen Peptides with Biotin 10000mcg, Vitamin C &amp; Hyaluronic Acid - Unflavored - Keto &amp; Paleo Friendly, Great for Hair, Skin, Nails &amp; Joints</t>
  </si>
  <si>
    <t>B0BL1NMB59</t>
  </si>
  <si>
    <t>Bitter Melon 15,000mg Per Serving | 300 Capsules, with Berberine HCL | 15:1 Wild Bitter Melon Fruit Extract | Third Party Tested | Plant Based, Non-GMO &amp; No Gluten</t>
  </si>
  <si>
    <t>B081ZH92R6</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</si>
  <si>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</si>
  <si>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</si>
  <si>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</si>
  <si>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 xml:space="preserve">Astaxanthin 24mg softgels 120 count </t>
  </si>
  <si>
    <t>B0DNRKCZGT</t>
  </si>
  <si>
    <t>Ultra Strength CLA 3000mg | 240 Softgels, Active Conjugated Linoleic Acid from Non-GMO Safflower Oil, Non-Stimulating, Supports Weight Management | Lean Muscle Mass</t>
  </si>
  <si>
    <t>B07WWK3SMQ</t>
  </si>
  <si>
    <t>Whole milk powder 3lb</t>
  </si>
  <si>
    <t>B0DJWTBLGH</t>
  </si>
  <si>
    <t>Unsweetened Organic Coconut Milk Powder, 3lbs – Dairy Free Creamer Alternative – Sugar Free Raw Flavor – Rich Source of MCT Oil – Great for Coffee or Tea – Non-GMO, Plant Based, Keto</t>
  </si>
  <si>
    <t>B0CF3HYSHR</t>
  </si>
  <si>
    <t>DHA Supplements | 240 Softgels, Burpless, Lemon Flavor, DHA 1000mg + EPA 500mg, Wild Caught Fish, Rich in Omega-3s, Mercury Free, Non-GMO, Support Brain Heart &amp; Joint Health</t>
  </si>
  <si>
    <t>B08WHZZP5F</t>
  </si>
  <si>
    <t>Tongkat Ali Extract 300:1 400mg &amp; Maca Root 400mg | 300 Capsules, Ultra Strength Longjack (Eurycoma Longifolia) + Peru Maca – Non-GMO, Herbal Supplement for Men Health, Performance, &amp; Energy</t>
  </si>
  <si>
    <t>B0C2WG9NLL</t>
  </si>
  <si>
    <t xml:space="preserve">Organic Matcha Green Tea Powder Jar 1lb </t>
  </si>
  <si>
    <t>B0DJWSLKQS</t>
  </si>
  <si>
    <t>DEAL SUPPLEMENT Psyllium Husk Powder 3 lbs, 9,000mg Per Serving – Unflavored, Plant Based, Soluble Dietary Fiber – Great for Baking &amp; Cooking – Keto Friendly, Gluten Free, Non-GMO</t>
  </si>
  <si>
    <t>B0C3NM9959</t>
  </si>
  <si>
    <t>DEAL SUPPLEMENT High Potency Vitamin A 25000 IU, 500 Coconut Oil Softgels | Easily Absorbed, Natural Fish Liver Oil Source – Vitamins for Eye, Immune, &amp; Skin Health – Easy to Swallow, Non-GMO</t>
  </si>
  <si>
    <t>B0BKR14XL3</t>
  </si>
  <si>
    <t>DEAL SUPPLEMENT Folic Acid 1000 mcg (1 mg), 500 Coconut Oil Softgels | Bioavailable Prenatal Vitamins (Vitamin B9) – 1,667 mcg DFE – Easy to Swallow, Non-GMO, &amp; No Gluten</t>
  </si>
  <si>
    <t>B09F2NL4H6</t>
  </si>
  <si>
    <t>Alpha Lipoic Acid 1,000mg, 180 Veggie Capsules – 50/50 R-ALA &amp; S-ALA for Max Bioavailability – Antioxidant Supplement – Energy &amp; Nervous System Support – Non-GMO</t>
  </si>
  <si>
    <t>B0BWHLHMHY</t>
  </si>
  <si>
    <t>DEAL SUPPLEMENT Methyl B-12 Vitamins 5000 mcg, 240 Chewable Tablets | Active Form - Strawberry Flavored - Energy Support &amp; Brain Health Function - Vegetarian &amp; GMO Free</t>
  </si>
  <si>
    <t>B0BKR522Q9</t>
  </si>
  <si>
    <t>2 Pack Deal Supplement Vitamin D3 K2 Softgel, 250 Count, 2-1 Complex, Vitamin D3 5000 IU &amp; Vitamin K2 MK7, Promotes Heart, Bone &amp; Teeth Health – Very Easy to Swallow</t>
  </si>
  <si>
    <t>B08LMTG54X</t>
  </si>
  <si>
    <t>Allulose Sweetener 6 Pounds</t>
  </si>
  <si>
    <t>B0F2L717LV</t>
  </si>
  <si>
    <t>DEAL SUPPLEMENT Vitamin E Supplements, 1,000 IU Per Serving, 240 Softgels – Extra Strength Antioxidant Protection – Bioavailable Stable Form – Skin, Heart, Brain, &amp; Immune Support – Non-GMO</t>
  </si>
  <si>
    <t>B0C2X2BW68</t>
  </si>
  <si>
    <t>Organic Lemon Powder, 1lb – Real Freeze-Dried Lemon Source – Rich in Essential Vitamin C – Natural Immune Support – Raw Lemon Juice Flavor &amp; Aroma – Non-GMO, Filler Free, No Sugar</t>
  </si>
  <si>
    <t>B0CF3RZQCZ</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</si>
  <si>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</si>
  <si>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</si>
  <si>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</si>
  <si>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Berberine 500mg with Yohimbine</t>
  </si>
  <si>
    <t>B0CZGQN3Y4</t>
  </si>
  <si>
    <t>Allulose Sweetener Powder 4lb</t>
  </si>
  <si>
    <t>B0DCKRMSJ8</t>
  </si>
  <si>
    <t>Ultra Strength HMB Supplements 1000mg Per Serving, 300 Capsules | Third Party Tested | Supports Muscle Growth, Retention &amp; Lean Muscle Mass | Fast Workout Recovery</t>
  </si>
  <si>
    <t>B0971W4PSN</t>
  </si>
  <si>
    <t>L Methylfolate 15mg Per Serving, 240 Veggie Capsules – Active Folic Acid Form (5-MTHF), Bioavailable Methylated Folate – Prenatal, Energy, &amp; Brain Support Supplement – Non-GMO</t>
  </si>
  <si>
    <t>B0C7SNQ62P</t>
  </si>
  <si>
    <t>应该是涨价丢了Buybox又降价拿回来了 现在每天出单10几个 继续上调广告保持budget 找找量 too low</t>
  </si>
  <si>
    <t>DEAL SUPPLEMENT 2 Pack of Ultra Strength HMB Supplements 1000mg Per Serving, 600 Capsules | Third Party Tested | Supports Muscle Growth, Retention &amp; Lean Muscle Mass | Fast Workout Recover</t>
  </si>
  <si>
    <t>B0B7CMR12N</t>
  </si>
  <si>
    <t>Red Yeast Rice 1,200mg Per Serving with CoQ10 100mg, 300 Capsules – Heart Health Supplement &amp; Antioxidant Support – Pure Monascus Purpureus Powder Source – Citrinin Free, Non-GMO</t>
  </si>
  <si>
    <t>B07WV6898X</t>
  </si>
  <si>
    <t>2 Pack of Tongkat Ali Extract 300:1 Enhanced with Horny Goat, 1100mg Per Serving, 180 Capsules, 2-1 Formula, Indonesia Origin Eurycoma Longifolia (Longjack), Max Strength Tongkat Ali for Men</t>
  </si>
  <si>
    <t>B0BMDPLQ3K</t>
  </si>
  <si>
    <t>Kava Kava Supplement 750mg, 180 Capsules, 3 Months Supply, Kava Kava Root Extract, Promotes Stress &amp; Anxiety Relief, Mental Calmness and Restful Sleep</t>
  </si>
  <si>
    <t>B07XVS9MS3</t>
  </si>
  <si>
    <t>Magnesium Citrate Powder 500mg, 3lbs – Unflavored, Easily Absorbed – Purified Trace Mineral for Muscle, Heart, &amp; Digestive Support – One a Day, Non-GMO, Filler Free</t>
  </si>
  <si>
    <t>B0C8M1F4V7</t>
  </si>
  <si>
    <t>Quercetin 1000mg Per Serving (2 Pack) | 300 Capsules, High Bioavailable Flavonoids, Third Party Tested, Supports Healthy Immune System, Non-GMO, No Gluten</t>
  </si>
  <si>
    <t>B08M23CLN5</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</si>
  <si>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</si>
  <si>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</si>
  <si>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</si>
  <si>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Cayenne Pepper 5lb</t>
  </si>
  <si>
    <t>B0CDDY9DJL</t>
  </si>
  <si>
    <t>CoQ10 200mg &amp; PQQ 200mcg, 240 Veggie Capsules – 2 in 1 Coenzyme Q10 Supplement for Better Absorption – Antioxidant Support for Energy, Brain, &amp; Heart Health – Non-GMO</t>
  </si>
  <si>
    <t>B0C2WV9FGF</t>
  </si>
  <si>
    <t>KSM-66 Ashwagandha 1200mg</t>
  </si>
  <si>
    <t>B0DJWP1442</t>
  </si>
  <si>
    <t xml:space="preserve">Saccaromyces Boulardii + FOS </t>
  </si>
  <si>
    <t>B0DJWTDKW3</t>
  </si>
  <si>
    <t>Multi Collagen Pills with Hyaluronic Acid, Vitamin C &amp; Biotin 5000mcg, 300 Capsules - Type I, II, III, V, X Collagen Supplements for Women or Men - Hair, Skin, Nail, &amp; Joint Health - Unflavored, Keto</t>
  </si>
  <si>
    <t>B0C2WPPTNM</t>
  </si>
  <si>
    <t>Eagleshine Vitamins 2 Pack NAC Supplement (N-Acetyl Cysteine) 1,000mg Per Serving with Reduced Glutathione, 480 Total Capsules – Antioxidant Support for Immune Health, Lung, &amp; Liver Function</t>
  </si>
  <si>
    <t>B08M245LZF</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</si>
  <si>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</si>
  <si>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</si>
  <si>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</si>
  <si>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Organic Lions Mane Mushroom Powder Supplement, 1,500mg Per Serving, 1lb – Active Fruiting Body &amp; Mycelium Extract – Natural Brain Nootropic &amp; Immune System Booster – Non-GMO</t>
  </si>
  <si>
    <t>B0C8LTR6L1</t>
  </si>
  <si>
    <t>Zinc 50mg with Selenium 200mcg + Copper, 240 Capsules, 8 Month Supply, 3 in 1 Mineral Formula, Zinc Picolinate Complex Supplement, Supports Healthy Immune System for Adults and Kid</t>
  </si>
  <si>
    <t>B08FXYT1RT</t>
  </si>
  <si>
    <t>Eagle Shine Vitamins 2 Pack Antarctic Krill Oil, 1,000mg Per Serving, 480 Softgels – Mercury Free, No Fishy Taste – Rich in Omega-3s, EPA, DHA, Astaxanthin, &amp; Phospholipids – Non-GMO, No Gluten</t>
  </si>
  <si>
    <t>B08X63BXLZ</t>
  </si>
  <si>
    <t>Essential Amino Acids (EAA) 2000mg Per Serving, 300 Capsules – Unflavored - 9 in 1, All BCAAs (Branched-Chain Aminos) – Lean Muscle Support &amp; Natural Pre Workout Supplement</t>
  </si>
  <si>
    <t>B0BWH3JMNB</t>
  </si>
  <si>
    <t>Vitamin B3 Nicotinamide 1,000mg Per Serving – 500 Capsules, Flush Free Niacin, Essential B3 Vitamin Supplement – Supports Healthy Skin &amp; Energy Production – Non-GMO</t>
  </si>
  <si>
    <t>B0C2X6VR58</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</si>
  <si>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</si>
  <si>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</si>
  <si>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</si>
  <si>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 xml:space="preserve">Fruits &amp; Veggies 240 caps </t>
  </si>
  <si>
    <t>B0DJWV79NT</t>
  </si>
  <si>
    <t>Vitamin K2 Supplement 600mcg, 180 Virgin Coconut Oil Softgels – Full Spectrum MK-7 &amp; MK-4 Forms, High Absorption, Triple Strength K Vitamins – Bone, Joint, &amp; Immune Support – Non-GMO</t>
  </si>
  <si>
    <t>B0CF3N7PNY</t>
  </si>
  <si>
    <t>Vitamin B2 400mg (Riboflavin) | with Magnesium Glycinate 400mg, 240 Capsules – 2 in 1 Support Healthy Nervous System, Mood, Blood &amp; Energy Production, Non-GMO</t>
  </si>
  <si>
    <t>B085PZLP29</t>
  </si>
  <si>
    <t>2 Pack Creatine Monohydrate Powder 600 Grams (21.2oz), Unflavored | Pure | Micronized Creatine Powder, 5000mg Per Serving, 4 Month Supply, Vegan | Keto, Non-GMO, No Filler, No Additives - 120 Servings</t>
  </si>
  <si>
    <t>B0BGR22RG6</t>
  </si>
  <si>
    <t>DEAL SUPPLEMENT Slippery Elm Capsules, 6,000mg Per Serving – 300 Pills, Made with Organic Inner Bark Powder Extract – Natural Herb for Soothing Throat &amp; Digestive Support – Non-GMO</t>
  </si>
  <si>
    <t>B0C2XJGG1H</t>
  </si>
  <si>
    <t>DEAL SUPPLEMENT Odorless Aged Garlic Pills, 6,000mg Per Serving, 500 Softgels – 24:1 Garlic Oil Extract – Fresh Allium Sativum Bulb Source – Heart &amp; Immune Antioxidant Supplements – Non-GMO</t>
  </si>
  <si>
    <t>B0CF3CTC2V</t>
  </si>
  <si>
    <t>Allulose Sweetener 2 Pounds – Natural Sugar Subsitutes, No Aftertaste - Keto Friendly, Vegan, Zero Net Carb, Zero Calorie, Great for Cooking &amp; Baking</t>
  </si>
  <si>
    <t>B0BL1R1T8Y</t>
  </si>
  <si>
    <t>DEAL SUPPLEMENT Lutein and Zeaxanthin Supplements, 40mg Per Serving, 300 Softgels – Plus Astaxanthin, Omega-3s, &amp; Phospholipids – Essential Eye Vitamins &amp; Vision Health Support – Non-GMO</t>
  </si>
  <si>
    <t>B0C2XFMKWL</t>
  </si>
  <si>
    <t>Myo-Inositol &amp; D-Chiro Inositol Supplement for Women 40:1</t>
  </si>
  <si>
    <t>B0FCWBBR9Z</t>
  </si>
  <si>
    <t>DEAL SUPPLEMENT Vitamin D3 50,000 IU + K2 MK7 200 mcg,240 Softgels | Virgin Coconut Oil, Max Strength Vitamin D &amp; K, Promotes Heart, Bone, &amp; Teeth Health – One Softgel Weekly, Easy to Swallow</t>
  </si>
  <si>
    <t>B0C8LR3L5M</t>
  </si>
  <si>
    <t>Dihydroberberine 100mg</t>
  </si>
  <si>
    <t>B0DCKRBV9T</t>
  </si>
  <si>
    <t>2 Pack Magnesium Glycinate 500mg, 480 Veggie Capsules | Chelated for Easy Absorption | Highly Purified Essential Trace Mineral for Muscle, Joint, Heart, &amp; Digestive Health</t>
  </si>
  <si>
    <t>B0C6V5K27L</t>
  </si>
  <si>
    <t>DEAL SUPPLEMENT D Mannose Veggie Capsules, 2,000mg Per Serving, 240 Pills – Fast Acting Water-Soluble Form – Extra Strength Urinary Tract (UTI) Health Support – Non-GMO, Vegan Friendly</t>
  </si>
  <si>
    <t>B0C2SSC3XZ</t>
  </si>
  <si>
    <t>NAD+ 1000mg</t>
  </si>
  <si>
    <t>B0DJWRXKPX</t>
  </si>
  <si>
    <t>Irish Sea Moss 7,000mg Per Serving, 240 Veggie Capsules</t>
  </si>
  <si>
    <t>B0CZFZYXN3</t>
  </si>
  <si>
    <t xml:space="preserve">Organic Stevia Extract Powder 12oz </t>
  </si>
  <si>
    <t>B0CF3K9R3G</t>
  </si>
  <si>
    <t>Nattokinase 4,000 FU Per Serving, 240 Veggie Capsules – Bromelain, Turmeric Curcumin, with Black Pepper Complex – Heart Health &amp; Digestive Enzymes Supplement – Non-GMO, Vegan</t>
  </si>
  <si>
    <t>B0CF3HM62X</t>
  </si>
  <si>
    <t>Ceylon Cinnamon 6000mg with Chromium 1000mcg, 240 Capsules | Active Inner Bark Extract, True Sri Lanka Source | Natural Cinnamon Supplements</t>
  </si>
  <si>
    <t>B084Z9VQ2Q</t>
  </si>
  <si>
    <t>Organic Peruvian Maca Root Powder, 3lbs</t>
  </si>
  <si>
    <t>B0CF3MT9NR</t>
  </si>
  <si>
    <t>R Alpha Lipoic Acid 600mg with Benfotiamine 300mg Per Serving, 120 Veggie Capsules – 200mg R-ALA Per Capsule – Antioxidant Supplement for Energy &amp; Nervous System Support</t>
  </si>
  <si>
    <t>B0CF3P11B1</t>
  </si>
  <si>
    <t xml:space="preserve">Beef Gelatin Powder 1lb </t>
  </si>
  <si>
    <t>B0F1C28MLR</t>
  </si>
  <si>
    <t>Lions Mane Mushroom Supplement, 7,500mg Per Serving, 240 Capsules – Active Fruiting Body &amp; Mycelium 10:1 Extract – Natural Brain Nootropic &amp; Immune System Booster – Non-GMO</t>
  </si>
  <si>
    <t>B09KZ1VNPF</t>
  </si>
  <si>
    <t>Berberine Max Supplement, 5,000mg Per Serving, 240 Veggie Capsules – 97% Pure Berberine HCL – 25:1 Root Extract – Glucose Metabolism &amp; Weight Management Support– Non-GMO</t>
  </si>
  <si>
    <t>B0C7FPF4TT</t>
  </si>
  <si>
    <t>Vitamin D3K2 5,000IU with coconut oil</t>
  </si>
  <si>
    <t>B0CZFY5H2J</t>
  </si>
  <si>
    <t>5-HTP 200mg Per Serving, 240 Capsules, 98% African Derived Griffonia Seed Extract | 4 in 1 Formula Plus Active L-Theanine, L-Tryptophan &amp; GABA, Complete Support for Positive Mood, Relaxation</t>
  </si>
  <si>
    <t>B08WHFZQSJ</t>
  </si>
  <si>
    <t>Mullein Leaf 20,000mg, 240 Veggie Capsules – 20:1 Max Strength Leaf Extract – Natural Soothing Herb for Lungs – Supports Respiratory &amp; Immune Health – Non-GMO, Vegan</t>
  </si>
  <si>
    <t>B0C8LYLM61</t>
  </si>
  <si>
    <t>Glutathione Supplement 1000mg Per Serving, 98% Purity | Plus Vitamin C 500mg, Active Reduced Form (GSH) | 60 Capsules - Intracellular Antioxidant, Detoxification* Support, Immune &amp; Skin Whitening</t>
  </si>
  <si>
    <t>B09BDNFL58</t>
  </si>
  <si>
    <t>Bioactive Vitamin B Complex | 240 Veggie Capsules - Methylated B Vitamins &amp; Esterified Vitamin C, High Potency &amp; Easy Absorption – Immune, Energy, &amp; Metabolism Supplement – Non-GMO, Vegan</t>
  </si>
  <si>
    <t>B0BWGKFVS9</t>
  </si>
  <si>
    <t xml:space="preserve">Vitamin D3K2 2000IU with coconut oil </t>
  </si>
  <si>
    <t>B0DCJ6L37S</t>
  </si>
  <si>
    <t>Vitamin B1 500mg with Benfotiamine, 240 Capsules – 2 in 1 Enhanced Formula – Fat &amp; Water Soluble Thiamine B1 Supplement – Third Party Tested, Non-GMO, No Gluten</t>
  </si>
  <si>
    <t>B081ZJQYVK</t>
  </si>
  <si>
    <t>Resveratrol Complex 2000mg</t>
  </si>
  <si>
    <t>B0DJWR8MZ3</t>
  </si>
  <si>
    <t>Creatine Monohydrate Powder 600 Grams (1.32lb), Unflavored | Pure | Micronized Creatine Powder, 5000mg(5g) Per Serving, 4 Month Supply, Vegan | Keto, Non-GMO, No Filler, No Additives - 120 Servings</t>
  </si>
  <si>
    <t>B0B2FF7XN9</t>
  </si>
  <si>
    <t>Vitamin D3 10,000 IU + K2 MK7 200 mcg, Infused with Virgin Coconut Oil, 250 Softgels, Double Strength Vitamin D &amp; K, Promotes Heart, Bone &amp; Teeth Health - Very Easy to Swallow</t>
  </si>
  <si>
    <t>B08FXX6WSZ</t>
  </si>
  <si>
    <t>Omega 3 Fish Oil Supplements, 3,000mg Per Serving, 240 Softgels – EPA 1,200mg + DHA 900mg – Burpless Pills, Lemon Flavored, Wild Caught – Brain &amp; Heart Support – Mercury Free, Non-GMO</t>
  </si>
  <si>
    <t>B0CF38KTZQ</t>
  </si>
  <si>
    <t>Bromelain Supplement 2,000mg Per Serving, 240 Capsules – Natural Proteolytic Enzymes from Fresh Pineapple – Supports Nutrient Digestion</t>
  </si>
  <si>
    <t>B09BDHTR2H</t>
  </si>
  <si>
    <t>整体水平没有变化只是primeday多出了一些</t>
  </si>
  <si>
    <t>DEAL SUPPLEMENT Unflavored Pea Protein Powder, 5lbs – Premium North American Grown Peas – Easily Digested Isolate Form – Great for Shakes, Bars, or Snacks – 27g Protein Serving, Soy Free, Vegan</t>
  </si>
  <si>
    <t>B0C2WJHQLT</t>
  </si>
  <si>
    <t>DEAL SUPPLEMENT Oil of Oregano Softgels with Black Seed Oil, 9,000mg Per Serving, 300 Count – 30:1 Extract, Active Carvacrol &amp; Thymoquinone – Antioxidant Immune Health Support – Plant Based, Non-GMO</t>
  </si>
  <si>
    <t>B0BWGY19D1</t>
  </si>
  <si>
    <t>DEAL SUPPLEMENT Alpha GPC 600mg Per Serving, 240 Capsules – Bioavailable Choline Replenishment –Nootropic Brain Health Supplements for Memory and Focus – Non-GMO, Gluten Free</t>
  </si>
  <si>
    <t>B0C2X5QQRR</t>
  </si>
  <si>
    <t>Hyaluronic Acid Supplements 1,500mg – 240 Capsules, with MSM &amp; Vitamin C – Pure 95% | Non-GMO + Plant Based HA – Supports Healthy Joints, Bones, Connective Tissue, &amp; Skin Hydration</t>
  </si>
  <si>
    <t>B091G5YF1J</t>
  </si>
  <si>
    <t>Max Strength Magnesium Glycinate 500mg Per Serving, 240 Capsules | Chelated, Highly Purified, Essential Mineral | Magnesium Supplement for Muscle, Joint, &amp; Heart Health</t>
  </si>
  <si>
    <t>B0CF3JV16Q</t>
  </si>
  <si>
    <t>DEAL SUPPLEMENT Rhodiola Rosea with Ashwagandha 5,000mg Per Serving, 240 Veggie Capsules – Max Strength 10:1 Root Extract – Adaptogenic Supplements for Relaxation, Energy, &amp; Brain Health – Non-GMO</t>
  </si>
  <si>
    <t>B0C8PVGKSK</t>
  </si>
  <si>
    <t>Organic Matcha Green Tea Powder, 2lbs (907g) | Zero Sugar, First Harvest | Culinary Grade, Cafe Mix, Keto Friendly, Genuine Japanese Source, Non-GMO, Vegetarian</t>
  </si>
  <si>
    <t>B0BY3V6ZR7</t>
  </si>
  <si>
    <t>價格比較高了現在KW有點沒力, KW TOP拉到140, 往上拉點詞的bid, PT一樣往上拉力度, PT補點產品, 抹茶這個品類新的競品很多</t>
  </si>
  <si>
    <t>Mushroom Supplement, 8,000mg Per Serving, 240 Capsules – 10 in 1 Defense Formula</t>
  </si>
  <si>
    <t>B0BWH9RWC9</t>
  </si>
  <si>
    <t>DIM Supplement 300mg, 240 Veggie Caps, 4 Months Supply, Diindolylmethane DIM Plus Black Pepper Extract, Estrogen Balance, Supports Acne &amp; PCOS Relief</t>
  </si>
  <si>
    <t>B07WV689LY</t>
  </si>
  <si>
    <t>Magnesium Citrate 400mg Per Serving, 300 Veggie Capsules – Chelated for Easy Absorption – Purified Trace Mineral – Supports Muscle, Heart, &amp; Digestive Health – Non-GMO</t>
  </si>
  <si>
    <t>B0BWGPJNTR</t>
  </si>
  <si>
    <t>B0F1BWQL3C</t>
  </si>
  <si>
    <t>主要是10月初做過deal, 日銷量能賣到翻倍, 目前穩定20一天, KW多往400mg主詞打, 拿占比, 目前IS拿到8%, 先往PT多跑一點轉化,</t>
  </si>
  <si>
    <t xml:space="preserve">Omega 3-6-9 3600mg 240 count </t>
  </si>
  <si>
    <t>B0F1C8CM23</t>
  </si>
  <si>
    <t>主要是10月deal做的日期比較久導致銷量變化,</t>
  </si>
  <si>
    <t>CoQ10 100mg, 240 Capsules – with Omega 3 Fatty Acid 100mg – Bioavailable Coenzyme Q10 Supplements – Heart, Energy, &amp; Brain Health Antioxidant Support – Non-GMO, One A Day</t>
  </si>
  <si>
    <t>B0CF3M3Y1M</t>
  </si>
  <si>
    <t>Benfotiamine 600mg Per Serving, 180 Veggie Capsules (300mg Per Cap), Fat Soluble Vitamin B1 Thiamine Supplement – Supports Energy &amp; Nervous System Health – 3rd Party Tested, Non-GMO, Gluten Free</t>
  </si>
  <si>
    <t>B0BWH53V3J</t>
  </si>
  <si>
    <t>10月份有做過deal, 目前廣告費差不多1元/unit, 小幅上調KW Rest到30縮減Page花費, 多拿一點主詞Benfotiamine占比, 目前拿了4%</t>
  </si>
  <si>
    <t>Pumpkin Seed Oil 3,000mg with Saw Palmetto, 240 Softgels</t>
  </si>
  <si>
    <t>B0FCW9DX6Y</t>
  </si>
  <si>
    <t>新品, 11月份沒有做deal日銷維持10左右, 調整廣告結構, KW調整成60/20, 在pumpkin seed oil capsules這個大詞上轉化很差, 嘗試先只打PT跟AUTO, KW轉化太差, 先跑PT轉化,</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</si>
  <si>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</si>
  <si>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</si>
  <si>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</si>
  <si>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10月份做了2週的deal, 11月份</t>
  </si>
  <si>
    <t>Creatine Monohydrate Powder 300 Grams (60 Servings), Unflavored | Pure | Micronized Creatine Powder, 5000mg(5g) Per Serving, 2 Month Supply, Vegan | Keto, Non-GMO, No Filler, No Additives</t>
  </si>
  <si>
    <t>B09YX7G6JJ</t>
  </si>
  <si>
    <t>HEARTHY FOODS(B0DX7846R5)補貨後降價把量又捲回去了, 也是低價10.99 creatine, 權重跑上去了500-600日銷競爭力很強, 廣告轉化不好, PT在頭部競品沒有轉化, 小幅下調base回調合格, 補產品針對低價但競爭力比較差的竟品</t>
  </si>
  <si>
    <t>Magnesium Complex Supplement 500mg, 240 Veggie Capsules – 10 in 1 Blend with Glycinate, Citrate, Malate, &amp; More – Chelated for Easy Absorption – Muscle, Joint, &amp; Relaxation Support</t>
  </si>
  <si>
    <t>B07WS2TFP1</t>
  </si>
  <si>
    <t>10月份有做deal, 11月份沒有做deal導致銷量變化, 廣告花不多, 目前0.6/unit, 拉拉PT跟KW的力度, 上提magnesium complex for women, magnesium complex詞0.1, PT上提TOP/Rest力度到120/40,</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</si>
  <si>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</si>
  <si>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</si>
  <si>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</si>
  <si>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</si>
  <si>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</si>
  <si>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</si>
  <si>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</si>
  <si>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</si>
  <si>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</si>
  <si>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</si>
  <si>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</si>
  <si>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</si>
  <si>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</si>
  <si>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</si>
  <si>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</si>
  <si>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</si>
  <si>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</si>
  <si>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</si>
  <si>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</si>
  <si>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</si>
  <si>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</si>
  <si>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</si>
  <si>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</si>
  <si>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</si>
  <si>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</si>
  <si>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</si>
  <si>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</si>
  <si>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</si>
  <si>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2025-04</t>
  </si>
  <si>
    <t>2025-05</t>
  </si>
  <si>
    <t>2025-06</t>
  </si>
  <si>
    <t>2025-07</t>
  </si>
  <si>
    <t>2025-08</t>
  </si>
  <si>
    <t>2025-09</t>
  </si>
  <si>
    <t>2025-10</t>
  </si>
  <si>
    <t>2025-11</t>
  </si>
  <si>
    <t>2025-12</t>
  </si>
  <si>
    <t>Year to Date</t>
  </si>
  <si>
    <t>MI</t>
  </si>
  <si>
    <t>NB</t>
  </si>
  <si>
    <t>DS</t>
  </si>
  <si>
    <t>Total</t>
  </si>
  <si>
    <t>$ Ad Sales</t>
  </si>
  <si>
    <t>$ Spend</t>
  </si>
  <si>
    <t>a</t>
  </si>
  <si>
    <t>Acos</t>
  </si>
  <si>
    <t>%</t>
  </si>
  <si>
    <t>Asin</t>
  </si>
  <si>
    <t>Brand</t>
  </si>
  <si>
    <t>B0BR4NQGSC</t>
  </si>
  <si>
    <t>B01JNNAGEY</t>
  </si>
  <si>
    <t>B0CG7C5X2F</t>
  </si>
  <si>
    <t>B09TG497BW</t>
  </si>
  <si>
    <t>B07L44PJYM</t>
  </si>
  <si>
    <t>B0B239F6JW</t>
  </si>
  <si>
    <t>B0BCMY5TBJ</t>
  </si>
  <si>
    <t>B0CG7M7PRM</t>
  </si>
  <si>
    <t>B07P3HDQD9</t>
  </si>
  <si>
    <t>B087F1HYB7</t>
  </si>
  <si>
    <t>B01N91404L</t>
  </si>
  <si>
    <t>B01DPW5EIM</t>
  </si>
  <si>
    <t>B07CRQ7NJ5</t>
  </si>
  <si>
    <t>B01DPW5MJI</t>
  </si>
  <si>
    <t>B09SBP5D35</t>
  </si>
  <si>
    <t>B01MTLG2HR</t>
  </si>
  <si>
    <t>B07RD8TVDG</t>
  </si>
  <si>
    <t>B01N02YD5I</t>
  </si>
  <si>
    <t>B01BHF3J4K</t>
  </si>
  <si>
    <t>B01M3YCOJ4</t>
  </si>
  <si>
    <t>B08X6N1YBK</t>
  </si>
  <si>
    <t>B08MX256RL</t>
  </si>
  <si>
    <t>B08C73K1PR</t>
  </si>
  <si>
    <t>B08C9JP3L2</t>
  </si>
  <si>
    <t>B08MX453B9</t>
  </si>
  <si>
    <t>B08C77PT4J</t>
  </si>
  <si>
    <t>B07P3H1872</t>
  </si>
  <si>
    <t>B01DPW5DD8</t>
  </si>
  <si>
    <t>B07L47VZ1Z</t>
  </si>
  <si>
    <t>B0C35H2G42</t>
  </si>
  <si>
    <t>B07W86RNBX</t>
  </si>
  <si>
    <t>B07P3HRXK4</t>
  </si>
  <si>
    <t>B0CLFG8QLY</t>
  </si>
  <si>
    <t>B0B43XFX6P</t>
  </si>
  <si>
    <t>B0CG2L2N1J</t>
  </si>
  <si>
    <t>B0BSP1W5JW</t>
  </si>
  <si>
    <t>B0BSP38B2S</t>
  </si>
  <si>
    <t>B076B63VJC</t>
  </si>
  <si>
    <t>B0C88PXW63</t>
  </si>
  <si>
    <t>B0C2SCGYD4</t>
  </si>
  <si>
    <t>B09WXLZZRX</t>
  </si>
  <si>
    <t>B07R8FQG58</t>
  </si>
  <si>
    <t>B0C2SH4J85</t>
  </si>
  <si>
    <t>B087CMLT8J</t>
  </si>
  <si>
    <t>B086M6FBG4</t>
  </si>
  <si>
    <t>B076XMGV8M</t>
  </si>
  <si>
    <t>B0CFPQWQNC</t>
  </si>
  <si>
    <t>B07W8XG27G</t>
  </si>
  <si>
    <t>B092373KF3</t>
  </si>
  <si>
    <t>B0872L4YZS</t>
  </si>
  <si>
    <t>B07Y8Y19GR</t>
  </si>
  <si>
    <t>B08QDRP99J</t>
  </si>
  <si>
    <t>B08QDZLP2G</t>
  </si>
  <si>
    <t>B07G8GGRNT</t>
  </si>
  <si>
    <t>B0B9HVBQ4F</t>
  </si>
  <si>
    <t>B085WGL72X</t>
  </si>
  <si>
    <t>B0C6X5CZ98</t>
  </si>
  <si>
    <t>B0BSJ4RLWX</t>
  </si>
  <si>
    <t>B0923BYLMS</t>
  </si>
  <si>
    <t>B0BFJVZYN5</t>
  </si>
  <si>
    <t>B07MTTWGWJ</t>
  </si>
  <si>
    <t>B0BJ1BRV7Z</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</si>
  <si>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</si>
  <si>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</si>
  <si>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</si>
  <si>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</si>
  <si>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</si>
  <si>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</si>
  <si>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</si>
  <si>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</si>
  <si>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</si>
  <si>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</si>
  <si>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</si>
  <si>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</si>
  <si>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</si>
  <si>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</si>
  <si>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</si>
  <si>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</si>
  <si>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</si>
  <si>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</si>
  <si>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</si>
  <si>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</si>
  <si>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</si>
  <si>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</si>
  <si>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</si>
  <si>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</si>
  <si>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</si>
  <si>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</si>
  <si>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Sum of Units Ordered (2/1-2/28)</t>
  </si>
  <si>
    <t>Sum of Session (2/1-2/28)</t>
  </si>
  <si>
    <t>Sum of Units Ordered (3/1-3/31)</t>
  </si>
  <si>
    <t>Sum of Session (3/1-3/31)</t>
  </si>
  <si>
    <t>Sum of Units Ordered (4/1-4/28)</t>
  </si>
  <si>
    <t>Sum of Session (4/1-4/28)</t>
  </si>
  <si>
    <t>B07G7YPJSJ</t>
  </si>
  <si>
    <t>B07WTXS4BL</t>
  </si>
  <si>
    <t>B081NWFC6W</t>
  </si>
  <si>
    <t>B085176YLP</t>
  </si>
  <si>
    <t>B08C4NZQYY</t>
  </si>
  <si>
    <t>B08WHGBYD3</t>
  </si>
  <si>
    <t>B08WHPNJTT</t>
  </si>
  <si>
    <t>B0BWH9Y7PZ</t>
  </si>
  <si>
    <t>B0C2SKQBDB</t>
  </si>
  <si>
    <t>B0C2W734WL</t>
  </si>
  <si>
    <t>B0C6VXPZTS</t>
  </si>
  <si>
    <t>B0C6W3MPRS</t>
  </si>
  <si>
    <t>B0C6WK3P6H</t>
  </si>
  <si>
    <t>B0C6WRVJQV</t>
  </si>
  <si>
    <t>B0C6WZJ2K6</t>
  </si>
  <si>
    <t>B0C8LWRXVV</t>
  </si>
  <si>
    <t>B0C8LXD8F2</t>
  </si>
  <si>
    <t>B0C8M8MQMR</t>
  </si>
  <si>
    <t>B0C8QZLF18</t>
  </si>
  <si>
    <t>B0CVTNMFSK</t>
  </si>
  <si>
    <t>B0CXGX8QTQ</t>
  </si>
  <si>
    <t>B0CYKDW4QQ</t>
  </si>
  <si>
    <t>B0D21244KR</t>
  </si>
  <si>
    <t>B0D2FGQB84</t>
  </si>
  <si>
    <t>B0D2FTRPL1</t>
  </si>
  <si>
    <t>B0D2MDHWT5</t>
  </si>
  <si>
    <t>B0D7B94P8D</t>
  </si>
  <si>
    <t>B0DCHGCFBS</t>
  </si>
  <si>
    <t>B0DCHJ1H44</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</si>
  <si>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</si>
  <si>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</si>
  <si>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</si>
  <si>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</si>
  <si>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</si>
  <si>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</si>
  <si>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</si>
  <si>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</si>
  <si>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</si>
  <si>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</si>
  <si>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</si>
  <si>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</si>
  <si>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</si>
  <si>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</si>
  <si>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</si>
  <si>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</si>
  <si>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</si>
  <si>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</si>
  <si>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</si>
  <si>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</si>
  <si>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</si>
  <si>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</si>
  <si>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</si>
  <si>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</si>
  <si>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</si>
  <si>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</si>
  <si>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</si>
  <si>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</si>
  <si>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</si>
  <si>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</si>
  <si>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</si>
  <si>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</si>
  <si>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JAN</t>
  </si>
  <si>
    <t>FEB</t>
  </si>
  <si>
    <t>MAR</t>
  </si>
  <si>
    <t>APR</t>
  </si>
  <si>
    <t>MAY</t>
  </si>
  <si>
    <t>JUN</t>
  </si>
  <si>
    <t>JUL</t>
  </si>
  <si>
    <t>AUG</t>
  </si>
  <si>
    <t>SEP</t>
  </si>
  <si>
    <t>OCT</t>
  </si>
  <si>
    <t>DEC</t>
  </si>
  <si>
    <t>Jan</t>
  </si>
  <si>
    <t>Feb</t>
  </si>
  <si>
    <t>Mar</t>
  </si>
  <si>
    <t>Apr</t>
  </si>
  <si>
    <t>May</t>
  </si>
  <si>
    <t>June</t>
  </si>
  <si>
    <t>July</t>
  </si>
  <si>
    <t>August</t>
  </si>
  <si>
    <t>September</t>
  </si>
  <si>
    <t>October</t>
  </si>
  <si>
    <t>B0BFJXC2JN</t>
  </si>
  <si>
    <t>Name</t>
  </si>
  <si>
    <t>Units 30 Days</t>
  </si>
  <si>
    <t>Daily Units</t>
  </si>
  <si>
    <t>Actual Ad Spend</t>
  </si>
  <si>
    <t>Expected Budget</t>
  </si>
  <si>
    <t>1.2X</t>
  </si>
  <si>
    <t>Responsible</t>
  </si>
  <si>
    <t xml:space="preserve">Comments </t>
  </si>
  <si>
    <t xml:space="preserve">Review </t>
  </si>
  <si>
    <t>Micro Ingredients</t>
  </si>
  <si>
    <t>Vitamin D3 10000 iu Plus K2 (MK-7) 200 mcg, 180 Virgin Coconut Oil Softgels| 2 in 1 Vitamins D &amp; K Complex | Supports Calcium Absorption, Bone, Immune, &amp; Heart Health – Easy to Swallow</t>
  </si>
  <si>
    <t>NatureBell</t>
  </si>
  <si>
    <t>Deal Supplement</t>
  </si>
  <si>
    <t>我们头部share很高 竞品也少 只在跑KW 广告力度可以下调 base -0.1</t>
  </si>
  <si>
    <t>11月listing被關, 恢復後日銷量差不多70-80</t>
  </si>
  <si>
    <t>日銷差不多10個, 廣告沒怎麼打出去, 嘗試重新開PT試試, KW上提TOP/Rest到80/40</t>
  </si>
  <si>
    <t>沒流量, 關KW留AUTO就好</t>
  </si>
  <si>
    <t>跟1pack一起跑的, 當時1pack被關廣告費投注到2 pack身上</t>
  </si>
  <si>
    <t>評分差說難吃會苦, 廣告不激進效果一般, 廣告只跑KW就可以, 下調超標rest到15, top小幅上提80保持力度, 關閉其他廣告</t>
  </si>
  <si>
    <t>11月廣告力度太高有下調+把AUTO關閉</t>
  </si>
  <si>
    <t>需要投放比較大的廣告力度, 本身市場比較捲, 不會再漲預算了需要等deal boost評論, 近期PT上調庫存不夠的競品及SR, 補產品</t>
  </si>
  <si>
    <t>溢價29.99, KW top/rest調整到80/30跑rest</t>
  </si>
  <si>
    <t>大包的賣不出去單價太高了, 關閉PT只跑KW&amp;AUTO, 降了KW budget到30控制花費</t>
  </si>
  <si>
    <t>換asin</t>
  </si>
  <si>
    <t>換平台銷量沒回去之前水平, 占比被bulk降價後搶量了, nutricost也在上漲, 廣告花費偏高, KW下午OOB不加碼, 先縮減page花費下調主詞及IS足夠base, PT找找</t>
  </si>
  <si>
    <t>29.99太貴, 都是低單價競品, 也是高單價中PPU最貴的, 沒有優勢, 不打廣告了一天就賣5個</t>
  </si>
  <si>
    <t>溢價了還在等貨, 廣告暫時關閉了</t>
  </si>
  <si>
    <t>庫存剩3天, 先把廣告關閉</t>
  </si>
  <si>
    <t>買大size去了, 廣告費沒有落到自身銷量上, 目前吸引力不高</t>
  </si>
  <si>
    <t>KW OOB整體下調0.1, PT MI NAD下調到0.5</t>
  </si>
  <si>
    <t>有降價9.9</t>
  </si>
  <si>
    <t>KW繼續下調top/rest 80/10, 下調base 0.2, 9.99賣把PT打開試試, PT top下調到100, 整體下調到1.0</t>
  </si>
  <si>
    <t>KC/TW</t>
  </si>
  <si>
    <t>拉PT力度, TOP/Rest上提到60/20, 調整廣告結構KW給PT出</t>
  </si>
  <si>
    <t>關閉AUTO跟PT保留KW跑, 需要promo</t>
  </si>
  <si>
    <t>廣告下調</t>
  </si>
  <si>
    <t>這周做deal先緩緩</t>
  </si>
  <si>
    <t>進評論了1.0關PT, AUTO neg產品跟詞</t>
  </si>
  <si>
    <t>溢價26.99跟NOW一樣價錢搶不到量, 評論少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</si>
</sst>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409]* #,##0.00_);_([$$-409]* \(#,##0.00\);_([$$-409]* &quot;-&quot;??_);_(@_)"/>
  </numFmts>
  <fonts count="13">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family val="2"/>
      <charset val="1"/>
      <scheme val="minor"/>
    </font>
    <font>
      <b/>
      <sz val="11"/>
      <color rgb="FFFF0000"/>
      <name val="Calibri"/>
      <family val="2"/>
      <scheme val="minor"/>
    </font>
    <font>
      <sz val="8"/>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theme="7" tint="0.59999389629810485"/>
        <bgColor indexed="64"/>
      </patternFill>
    </fill>
  </fills>
  <borders count="34">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medium">
        <color rgb="FF000000"/>
      </left>
      <right style="medium">
        <color rgb="FF000000"/>
      </right>
      <top style="medium">
        <color rgb="FF000000"/>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57">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2" fillId="0" borderId="0" xfId="2" applyNumberFormat="1" applyFont="1" applyAlignment="1">
      <alignment horizontal="center"/>
    </xf>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0" fillId="4" borderId="0" xfId="0" applyFill="1"/>
    <xf numFmtId="0" fontId="0" fillId="5" borderId="0" xfId="0" applyFill="1"/>
    <xf numFmtId="0" fontId="0" fillId="2" borderId="0" xfId="0" applyFill="1"/>
    <xf numFmtId="0" fontId="0" fillId="6" borderId="0" xfId="0" applyFill="1"/>
    <xf numFmtId="0" fontId="0" fillId="7" borderId="0" xfId="0" applyFill="1"/>
    <xf numFmtId="0" fontId="0" fillId="8" borderId="0" xfId="0" applyFill="1"/>
    <xf numFmtId="10" fontId="0" fillId="4" borderId="0" xfId="1" applyNumberFormat="1" applyFont="1" applyFill="1"/>
    <xf numFmtId="10" fontId="0" fillId="5" borderId="0" xfId="1" applyNumberFormat="1" applyFont="1" applyFill="1"/>
    <xf numFmtId="10" fontId="0" fillId="2" borderId="0" xfId="1" applyNumberFormat="1" applyFont="1" applyFill="1"/>
    <xf numFmtId="10" fontId="0" fillId="6" borderId="0" xfId="1" applyNumberFormat="1" applyFont="1" applyFill="1"/>
    <xf numFmtId="10" fontId="0" fillId="7" borderId="0" xfId="1" applyNumberFormat="1" applyFont="1" applyFill="1"/>
    <xf numFmtId="10" fontId="0" fillId="8" borderId="0" xfId="1" applyNumberFormat="1" applyFont="1" applyFill="1"/>
    <xf numFmtId="0" fontId="0" fillId="9" borderId="0" xfId="0" applyFill="1"/>
    <xf numFmtId="10" fontId="0" fillId="9" borderId="0" xfId="1" applyNumberFormat="1" applyFont="1" applyFill="1"/>
    <xf numFmtId="0" fontId="7" fillId="0" borderId="0" xfId="0" applyFont="1" applyAlignment="1">
      <alignment vertical="justify"/>
    </xf>
    <xf numFmtId="0" fontId="10" fillId="0" borderId="0" xfId="0" applyFont="1" applyAlignment="1">
      <alignment vertical="center"/>
    </xf>
    <xf numFmtId="0" fontId="8" fillId="0" borderId="5" xfId="0" applyFont="1" applyBorder="1"/>
    <xf numFmtId="0" fontId="8" fillId="0" borderId="6" xfId="0" applyFont="1" applyBorder="1"/>
    <xf numFmtId="0" fontId="8" fillId="10" borderId="2" xfId="0" applyFont="1" applyFill="1" applyBorder="1"/>
    <xf numFmtId="8" fontId="9" fillId="10"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10" borderId="11" xfId="0" applyFont="1" applyFill="1" applyBorder="1"/>
    <xf numFmtId="8" fontId="9" fillId="10" borderId="12" xfId="0" applyNumberFormat="1" applyFont="1" applyFill="1" applyBorder="1"/>
    <xf numFmtId="0" fontId="8" fillId="11" borderId="13" xfId="0" applyFont="1" applyFill="1" applyBorder="1"/>
    <xf numFmtId="8" fontId="9" fillId="11" borderId="14" xfId="0" applyNumberFormat="1" applyFont="1" applyFill="1" applyBorder="1"/>
    <xf numFmtId="0" fontId="8" fillId="0" borderId="0" xfId="0" applyFont="1"/>
    <xf numFmtId="0" fontId="9" fillId="10" borderId="7" xfId="0" applyFont="1" applyFill="1" applyBorder="1"/>
    <xf numFmtId="0" fontId="9" fillId="0" borderId="10" xfId="0" applyFont="1" applyBorder="1"/>
    <xf numFmtId="0" fontId="9" fillId="10" borderId="12" xfId="0" applyFont="1" applyFill="1" applyBorder="1"/>
    <xf numFmtId="0" fontId="9" fillId="11" borderId="14" xfId="0" applyFont="1" applyFill="1" applyBorder="1"/>
    <xf numFmtId="0" fontId="8" fillId="10" borderId="15" xfId="0" applyFont="1" applyFill="1" applyBorder="1"/>
    <xf numFmtId="10" fontId="9" fillId="10" borderId="7" xfId="0" applyNumberFormat="1" applyFont="1" applyFill="1" applyBorder="1"/>
    <xf numFmtId="0" fontId="8" fillId="0" borderId="16" xfId="0" applyFont="1" applyBorder="1"/>
    <xf numFmtId="10" fontId="9" fillId="0" borderId="10" xfId="0" applyNumberFormat="1" applyFont="1" applyBorder="1"/>
    <xf numFmtId="0" fontId="8" fillId="10" borderId="17" xfId="0" applyFont="1" applyFill="1" applyBorder="1"/>
    <xf numFmtId="10" fontId="9" fillId="10" borderId="12" xfId="0" applyNumberFormat="1" applyFont="1" applyFill="1" applyBorder="1"/>
    <xf numFmtId="0" fontId="8" fillId="11" borderId="18" xfId="0" applyFont="1" applyFill="1" applyBorder="1"/>
    <xf numFmtId="10" fontId="9" fillId="11" borderId="14"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10" borderId="19" xfId="0" applyFont="1" applyFill="1" applyBorder="1"/>
    <xf numFmtId="3" fontId="9" fillId="10" borderId="20" xfId="0" applyNumberFormat="1" applyFont="1" applyFill="1" applyBorder="1"/>
    <xf numFmtId="0" fontId="8" fillId="0" borderId="21" xfId="0" applyFont="1" applyBorder="1"/>
    <xf numFmtId="3" fontId="9" fillId="0" borderId="22" xfId="0" applyNumberFormat="1" applyFont="1" applyBorder="1"/>
    <xf numFmtId="0" fontId="8" fillId="10" borderId="21" xfId="0" applyFont="1" applyFill="1" applyBorder="1"/>
    <xf numFmtId="3" fontId="9" fillId="10" borderId="22" xfId="0" applyNumberFormat="1" applyFont="1" applyFill="1" applyBorder="1"/>
    <xf numFmtId="0" fontId="8" fillId="11" borderId="21" xfId="0" applyFont="1" applyFill="1" applyBorder="1"/>
    <xf numFmtId="3" fontId="9" fillId="11" borderId="22" xfId="0" applyNumberFormat="1" applyFont="1" applyFill="1" applyBorder="1"/>
    <xf numFmtId="0" fontId="7" fillId="0" borderId="23" xfId="0" applyFont="1" applyBorder="1"/>
    <xf numFmtId="0" fontId="7" fillId="0" borderId="24" xfId="0" applyFont="1" applyBorder="1"/>
    <xf numFmtId="9" fontId="7" fillId="0" borderId="24" xfId="0" applyNumberFormat="1" applyFont="1" applyBorder="1"/>
    <xf numFmtId="8" fontId="9" fillId="10" borderId="2" xfId="0" applyNumberFormat="1" applyFont="1" applyFill="1" applyBorder="1"/>
    <xf numFmtId="8" fontId="9" fillId="0" borderId="9" xfId="0" applyNumberFormat="1" applyFont="1" applyBorder="1"/>
    <xf numFmtId="8" fontId="9" fillId="10" borderId="11" xfId="0" applyNumberFormat="1" applyFont="1" applyFill="1" applyBorder="1"/>
    <xf numFmtId="8" fontId="9" fillId="11" borderId="13" xfId="0" applyNumberFormat="1" applyFont="1" applyFill="1" applyBorder="1"/>
    <xf numFmtId="10" fontId="9" fillId="10" borderId="2" xfId="0" applyNumberFormat="1" applyFont="1" applyFill="1" applyBorder="1"/>
    <xf numFmtId="10" fontId="9" fillId="0" borderId="9" xfId="0" applyNumberFormat="1" applyFont="1" applyBorder="1"/>
    <xf numFmtId="10" fontId="9" fillId="10" borderId="11" xfId="0" applyNumberFormat="1" applyFont="1" applyFill="1" applyBorder="1"/>
    <xf numFmtId="10" fontId="9" fillId="11" borderId="13" xfId="0" applyNumberFormat="1" applyFont="1" applyFill="1" applyBorder="1"/>
    <xf numFmtId="3" fontId="9" fillId="10" borderId="25" xfId="0" applyNumberFormat="1" applyFont="1" applyFill="1" applyBorder="1"/>
    <xf numFmtId="3" fontId="9" fillId="0" borderId="26" xfId="0" applyNumberFormat="1" applyFont="1" applyBorder="1"/>
    <xf numFmtId="3" fontId="9" fillId="10" borderId="26" xfId="0" applyNumberFormat="1" applyFont="1" applyFill="1" applyBorder="1"/>
    <xf numFmtId="3" fontId="9" fillId="11" borderId="26" xfId="0" applyNumberFormat="1" applyFont="1" applyFill="1" applyBorder="1"/>
    <xf numFmtId="9" fontId="7" fillId="0" borderId="27" xfId="0" applyNumberFormat="1" applyFont="1" applyBorder="1"/>
    <xf numFmtId="3" fontId="9" fillId="10" borderId="28" xfId="0" applyNumberFormat="1" applyFont="1" applyFill="1" applyBorder="1"/>
    <xf numFmtId="3" fontId="9" fillId="10" borderId="29" xfId="0" applyNumberFormat="1" applyFont="1" applyFill="1" applyBorder="1"/>
    <xf numFmtId="3" fontId="9" fillId="0" borderId="30" xfId="0" applyNumberFormat="1" applyFont="1" applyBorder="1"/>
    <xf numFmtId="3" fontId="9" fillId="10" borderId="30" xfId="0" applyNumberFormat="1" applyFont="1" applyFill="1" applyBorder="1"/>
    <xf numFmtId="3" fontId="9" fillId="11" borderId="30" xfId="0" applyNumberFormat="1" applyFont="1" applyFill="1" applyBorder="1"/>
    <xf numFmtId="9" fontId="7" fillId="0" borderId="31" xfId="0" applyNumberFormat="1" applyFont="1" applyBorder="1"/>
    <xf numFmtId="9" fontId="7" fillId="0" borderId="32" xfId="0" applyNumberFormat="1" applyFont="1" applyBorder="1"/>
    <xf numFmtId="164" fontId="4" fillId="0" borderId="0" xfId="2" applyNumberFormat="1" applyFont="1"/>
    <xf numFmtId="164" fontId="11"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0" applyNumberFormat="1"/>
    <xf numFmtId="0" fontId="4" fillId="0" borderId="0" xfId="0" applyFont="1"/>
    <xf numFmtId="0" fontId="11" fillId="2" borderId="0" xfId="0" applyFont="1" applyFill="1" applyAlignment="1">
      <alignment horizontal="center"/>
    </xf>
    <xf numFmtId="0" fontId="4" fillId="0" borderId="0" xfId="0" applyFont="1" applyAlignment="1">
      <alignment horizontal="left" vertical="top"/>
    </xf>
    <xf numFmtId="0" fontId="4" fillId="12" borderId="0" xfId="0" applyFont="1" applyFill="1"/>
    <xf numFmtId="167" fontId="7" fillId="0" borderId="0" xfId="3" applyNumberFormat="1" applyFont="1" applyAlignment="1">
      <alignment vertical="center"/>
    </xf>
    <xf numFmtId="4" fontId="4" fillId="0" borderId="0" xfId="2" applyNumberFormat="1" applyFont="1"/>
    <xf numFmtId="4" fontId="11" fillId="0" borderId="0" xfId="2" applyNumberFormat="1" applyFont="1"/>
    <xf numFmtId="0" fontId="2" fillId="3" borderId="0" xfId="0" applyFont="1" applyFill="1"/>
    <xf numFmtId="0" fontId="7" fillId="0" borderId="0" xfId="0" applyFont="1" applyAlignment="1">
      <alignment horizontal="left" vertical="justify"/>
    </xf>
    <xf numFmtId="44" fontId="0" fillId="0" borderId="0" xfId="2" applyFont="1"/>
    <xf numFmtId="0" fontId="0" fillId="13" borderId="0" xfId="0" applyFill="1"/>
    <xf numFmtId="10" fontId="0" fillId="13" borderId="0" xfId="1" applyNumberFormat="1" applyFont="1" applyFill="1"/>
    <xf numFmtId="169" fontId="0" fillId="0" borderId="0" xfId="3" applyNumberFormat="1" applyFont="1"/>
    <xf numFmtId="44" fontId="2" fillId="2" borderId="0" xfId="2" applyFont="1" applyFill="1" applyAlignment="1">
      <alignment horizontal="center"/>
    </xf>
    <xf numFmtId="0" fontId="7" fillId="0" borderId="0" xfId="0" applyFont="1" applyAlignment="1">
      <alignment vertical="justify" wrapText="1"/>
    </xf>
    <xf numFmtId="169" fontId="2" fillId="0" borderId="0" xfId="2" applyNumberFormat="1" applyFont="1" applyAlignment="1">
      <alignment horizontal="center"/>
    </xf>
    <xf numFmtId="169" fontId="0" fillId="0" borderId="0" xfId="2" applyNumberFormat="1" applyFont="1"/>
    <xf numFmtId="169" fontId="0" fillId="0" borderId="0" xfId="0" applyNumberFormat="1"/>
    <xf numFmtId="169" fontId="2" fillId="0" borderId="0" xfId="2" applyNumberFormat="1" applyFont="1"/>
    <xf numFmtId="0" fontId="7" fillId="0" borderId="0" xfId="0" applyFont="1" applyAlignment="1">
      <alignment vertical="center" wrapText="1"/>
    </xf>
    <xf numFmtId="0" fontId="7" fillId="0" borderId="0" xfId="0" applyFont="1" applyAlignment="1">
      <alignment horizontal="left" vertical="center"/>
    </xf>
    <xf numFmtId="0" fontId="7" fillId="0" borderId="0" xfId="0" applyFont="1" applyAlignment="1">
      <alignment vertical="top"/>
    </xf>
    <xf numFmtId="0" fontId="7" fillId="0" borderId="0" xfId="0" applyFont="1" applyAlignment="1">
      <alignment horizontal="left" vertical="top"/>
    </xf>
    <xf numFmtId="0" fontId="8" fillId="0" borderId="33" xfId="0" applyFont="1" applyBorder="1"/>
    <xf numFmtId="43" fontId="9" fillId="10" borderId="7" xfId="3" applyFont="1" applyFill="1" applyBorder="1"/>
    <xf numFmtId="43" fontId="9" fillId="0" borderId="10" xfId="3" applyFont="1" applyBorder="1"/>
    <xf numFmtId="43" fontId="9" fillId="10" borderId="12" xfId="3" applyFont="1" applyFill="1" applyBorder="1"/>
    <xf numFmtId="0" fontId="7" fillId="0" borderId="0" xfId="0" applyFont="1" applyAlignment="1">
      <alignment readingOrder="1"/>
    </xf>
    <xf numFmtId="0" fontId="7" fillId="0" borderId="0" xfId="0" applyFont="1" applyAlignment="1">
      <alignment horizontal="left"/>
    </xf>
    <xf numFmtId="164" fontId="4" fillId="0" borderId="0" xfId="2" applyNumberFormat="1" applyFont="1" applyBorder="1"/>
    <xf numFmtId="0" fontId="0" fillId="0" borderId="0" xfId="0" applyAlignment="1">
      <alignment horizontal="left" vertical="top"/>
    </xf>
    <xf numFmtId="0" fontId="2" fillId="0" borderId="0" xfId="0" applyFont="1" applyAlignment="1">
      <alignment horizontal="center"/>
    </xf>
    <xf numFmtId="17" fontId="2" fillId="0" borderId="0" xfId="0" applyNumberFormat="1" applyFont="1" applyAlignment="1">
      <alignment horizontal="center"/>
    </xf>
    <xf numFmtId="0" fontId="0" fillId="0" borderId="0" xfId="0" applyAlignment="1">
      <alignment horizontal="center"/>
    </xf>
    <xf numFmtId="164" fontId="2" fillId="0" borderId="0" xfId="2" applyNumberFormat="1" applyFont="1" applyAlignment="1">
      <alignment horizont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EC7C8F"/>
      <color rgb="FFFF0066"/>
      <color rgb="FFFFF3F3"/>
      <color rgb="FFFF993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253096339185256E-2"/>
          <c:y val="7.1500813835707958E-2"/>
          <c:w val="0.94334779700085036"/>
          <c:h val="0.79790631357952257"/>
        </c:manualLayout>
      </c:layout>
      <c:lineChart>
        <c:grouping val="standard"/>
        <c:varyColors val="0"/>
        <c:ser>
          <c:idx val="0"/>
          <c:order val="0"/>
          <c:tx>
            <c:strRef>
              <c:f>'ACOS &amp; TCOS'!$A$37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TCOS'!$B$37:$AG$37</c:f>
              <c:numCache>
                <c:formatCode>#,##0</c:formatCode>
                <c:ptCount val="32"/>
                <c:pt idx="0">
                  <c:v>206450</c:v>
                </c:pt>
                <c:pt idx="1">
                  <c:v>201966</c:v>
                </c:pt>
                <c:pt idx="2">
                  <c:v>232244</c:v>
                </c:pt>
                <c:pt idx="3">
                  <c:v>230500</c:v>
                </c:pt>
                <c:pt idx="4">
                  <c:v>228949</c:v>
                </c:pt>
                <c:pt idx="5">
                  <c:v>216548</c:v>
                </c:pt>
                <c:pt idx="6">
                  <c:v>229222</c:v>
                </c:pt>
                <c:pt idx="7">
                  <c:v>226692</c:v>
                </c:pt>
                <c:pt idx="8">
                  <c:v>230639</c:v>
                </c:pt>
                <c:pt idx="9">
                  <c:v>252280</c:v>
                </c:pt>
                <c:pt idx="10">
                  <c:v>264001</c:v>
                </c:pt>
                <c:pt idx="11">
                  <c:v>231198</c:v>
                </c:pt>
                <c:pt idx="12">
                  <c:v>301961</c:v>
                </c:pt>
                <c:pt idx="13">
                  <c:v>331009</c:v>
                </c:pt>
                <c:pt idx="14">
                  <c:v>369644</c:v>
                </c:pt>
                <c:pt idx="15">
                  <c:v>419338</c:v>
                </c:pt>
                <c:pt idx="16">
                  <c:v>403325</c:v>
                </c:pt>
                <c:pt idx="17">
                  <c:v>407084</c:v>
                </c:pt>
                <c:pt idx="18">
                  <c:v>446387</c:v>
                </c:pt>
                <c:pt idx="19">
                  <c:v>410269</c:v>
                </c:pt>
                <c:pt idx="20">
                  <c:v>413757</c:v>
                </c:pt>
                <c:pt idx="21">
                  <c:v>445439</c:v>
                </c:pt>
                <c:pt idx="22">
                  <c:v>453965</c:v>
                </c:pt>
                <c:pt idx="23">
                  <c:v>462128</c:v>
                </c:pt>
                <c:pt idx="24">
                  <c:v>572775</c:v>
                </c:pt>
                <c:pt idx="25">
                  <c:v>615883</c:v>
                </c:pt>
                <c:pt idx="26">
                  <c:v>604860</c:v>
                </c:pt>
                <c:pt idx="27">
                  <c:v>683843</c:v>
                </c:pt>
                <c:pt idx="28">
                  <c:v>636705</c:v>
                </c:pt>
                <c:pt idx="29">
                  <c:v>621195</c:v>
                </c:pt>
                <c:pt idx="30">
                  <c:v>689495</c:v>
                </c:pt>
                <c:pt idx="31">
                  <c:v>689517</c:v>
                </c:pt>
              </c:numCache>
            </c:numRef>
          </c:val>
          <c:smooth val="0"/>
          <c:extLst>
            <c:ext xmlns:c16="http://schemas.microsoft.com/office/drawing/2014/chart" uri="{C3380CC4-5D6E-409C-BE32-E72D297353CC}">
              <c16:uniqueId val="{00000000-03C5-4E34-BFB7-9A35A14DE10F}"/>
            </c:ext>
          </c:extLst>
        </c:ser>
        <c:ser>
          <c:idx val="1"/>
          <c:order val="1"/>
          <c:tx>
            <c:strRef>
              <c:f>'ACOS &amp; TCOS'!$A$38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TCOS'!$B$38:$AG$38</c:f>
              <c:numCache>
                <c:formatCode>#,##0</c:formatCode>
                <c:ptCount val="32"/>
                <c:pt idx="0">
                  <c:v>103070</c:v>
                </c:pt>
                <c:pt idx="1">
                  <c:v>98910</c:v>
                </c:pt>
                <c:pt idx="2">
                  <c:v>116062</c:v>
                </c:pt>
                <c:pt idx="3">
                  <c:v>116489</c:v>
                </c:pt>
                <c:pt idx="4">
                  <c:v>102286</c:v>
                </c:pt>
                <c:pt idx="5">
                  <c:v>110085</c:v>
                </c:pt>
                <c:pt idx="6">
                  <c:v>115702</c:v>
                </c:pt>
                <c:pt idx="7">
                  <c:v>120670</c:v>
                </c:pt>
                <c:pt idx="8">
                  <c:v>142446</c:v>
                </c:pt>
                <c:pt idx="9">
                  <c:v>136602</c:v>
                </c:pt>
                <c:pt idx="10">
                  <c:v>152488</c:v>
                </c:pt>
                <c:pt idx="11">
                  <c:v>144866</c:v>
                </c:pt>
                <c:pt idx="12">
                  <c:v>190333</c:v>
                </c:pt>
                <c:pt idx="13">
                  <c:v>179484</c:v>
                </c:pt>
                <c:pt idx="14">
                  <c:v>182162</c:v>
                </c:pt>
                <c:pt idx="15">
                  <c:v>182919</c:v>
                </c:pt>
                <c:pt idx="16">
                  <c:v>183923</c:v>
                </c:pt>
                <c:pt idx="17">
                  <c:v>173556</c:v>
                </c:pt>
                <c:pt idx="18">
                  <c:v>186892</c:v>
                </c:pt>
                <c:pt idx="19">
                  <c:v>171949</c:v>
                </c:pt>
                <c:pt idx="20">
                  <c:v>182461</c:v>
                </c:pt>
                <c:pt idx="21">
                  <c:v>199796</c:v>
                </c:pt>
                <c:pt idx="22">
                  <c:v>214586</c:v>
                </c:pt>
                <c:pt idx="23">
                  <c:v>215754</c:v>
                </c:pt>
                <c:pt idx="24">
                  <c:v>251772</c:v>
                </c:pt>
                <c:pt idx="25">
                  <c:v>247829</c:v>
                </c:pt>
                <c:pt idx="26">
                  <c:v>229484</c:v>
                </c:pt>
                <c:pt idx="27">
                  <c:v>226754</c:v>
                </c:pt>
                <c:pt idx="28">
                  <c:v>241827</c:v>
                </c:pt>
                <c:pt idx="29">
                  <c:v>238449</c:v>
                </c:pt>
                <c:pt idx="30">
                  <c:v>252691</c:v>
                </c:pt>
                <c:pt idx="31">
                  <c:v>248792</c:v>
                </c:pt>
              </c:numCache>
            </c:numRef>
          </c:val>
          <c:smooth val="0"/>
          <c:extLst>
            <c:ext xmlns:c16="http://schemas.microsoft.com/office/drawing/2014/chart" uri="{C3380CC4-5D6E-409C-BE32-E72D297353CC}">
              <c16:uniqueId val="{00000001-03C5-4E34-BFB7-9A35A14DE10F}"/>
            </c:ext>
          </c:extLst>
        </c:ser>
        <c:ser>
          <c:idx val="2"/>
          <c:order val="2"/>
          <c:tx>
            <c:strRef>
              <c:f>'ACOS &amp; TCOS'!$A$39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TCOS'!$B$39:$AG$39</c:f>
              <c:numCache>
                <c:formatCode>#,##0</c:formatCode>
                <c:ptCount val="32"/>
                <c:pt idx="0">
                  <c:v>65792</c:v>
                </c:pt>
                <c:pt idx="1">
                  <c:v>66921</c:v>
                </c:pt>
                <c:pt idx="2">
                  <c:v>80622</c:v>
                </c:pt>
                <c:pt idx="3">
                  <c:v>81286</c:v>
                </c:pt>
                <c:pt idx="4">
                  <c:v>88250</c:v>
                </c:pt>
                <c:pt idx="5">
                  <c:v>90033</c:v>
                </c:pt>
                <c:pt idx="6">
                  <c:v>103104</c:v>
                </c:pt>
                <c:pt idx="7">
                  <c:v>103860</c:v>
                </c:pt>
                <c:pt idx="8">
                  <c:v>124892</c:v>
                </c:pt>
                <c:pt idx="9">
                  <c:v>133302</c:v>
                </c:pt>
                <c:pt idx="10">
                  <c:v>140626</c:v>
                </c:pt>
                <c:pt idx="11">
                  <c:v>128870</c:v>
                </c:pt>
                <c:pt idx="12">
                  <c:v>159471</c:v>
                </c:pt>
                <c:pt idx="13">
                  <c:v>157686</c:v>
                </c:pt>
                <c:pt idx="14">
                  <c:v>154308</c:v>
                </c:pt>
                <c:pt idx="15">
                  <c:v>154291</c:v>
                </c:pt>
                <c:pt idx="16">
                  <c:v>162133</c:v>
                </c:pt>
                <c:pt idx="17">
                  <c:v>136127</c:v>
                </c:pt>
                <c:pt idx="18">
                  <c:v>146540</c:v>
                </c:pt>
                <c:pt idx="19">
                  <c:v>144576</c:v>
                </c:pt>
                <c:pt idx="20">
                  <c:v>153627</c:v>
                </c:pt>
                <c:pt idx="21">
                  <c:v>158313</c:v>
                </c:pt>
                <c:pt idx="22">
                  <c:v>155184</c:v>
                </c:pt>
                <c:pt idx="23">
                  <c:v>141383</c:v>
                </c:pt>
                <c:pt idx="24">
                  <c:v>167484</c:v>
                </c:pt>
                <c:pt idx="25">
                  <c:v>171660</c:v>
                </c:pt>
                <c:pt idx="26">
                  <c:v>168751</c:v>
                </c:pt>
                <c:pt idx="27">
                  <c:v>167429</c:v>
                </c:pt>
                <c:pt idx="28">
                  <c:v>154307</c:v>
                </c:pt>
                <c:pt idx="29">
                  <c:v>166411</c:v>
                </c:pt>
                <c:pt idx="30">
                  <c:v>170327</c:v>
                </c:pt>
                <c:pt idx="31">
                  <c:v>159080</c:v>
                </c:pt>
              </c:numCache>
            </c:numRef>
          </c:val>
          <c:smooth val="0"/>
          <c:extLst>
            <c:ext xmlns:c16="http://schemas.microsoft.com/office/drawing/2014/chart" uri="{C3380CC4-5D6E-409C-BE32-E72D297353CC}">
              <c16:uniqueId val="{00000002-03C5-4E34-BFB7-9A35A14DE10F}"/>
            </c:ext>
          </c:extLst>
        </c:ser>
        <c:ser>
          <c:idx val="3"/>
          <c:order val="3"/>
          <c:tx>
            <c:strRef>
              <c:f>'ACOS &amp; TCOS'!$A$40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'ACOS &amp; TCOS'!$B$36:$AG$36</c:f>
              <c:strCache>
                <c:ptCount val="32"/>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pt idx="24">
                  <c:v>2025-01</c:v>
                </c:pt>
                <c:pt idx="25">
                  <c:v>2025-02</c:v>
                </c:pt>
                <c:pt idx="26">
                  <c:v>2025-03</c:v>
                </c:pt>
                <c:pt idx="27">
                  <c:v>2025-04</c:v>
                </c:pt>
                <c:pt idx="28">
                  <c:v>2025-05</c:v>
                </c:pt>
                <c:pt idx="29">
                  <c:v>2025-06</c:v>
                </c:pt>
                <c:pt idx="30">
                  <c:v>2025-07</c:v>
                </c:pt>
                <c:pt idx="31">
                  <c:v>2025-08</c:v>
                </c:pt>
              </c:strCache>
            </c:strRef>
          </c:cat>
          <c:val>
            <c:numRef>
              <c:f>'ACOS &amp; TCOS'!$B$40:$AG$40</c:f>
              <c:numCache>
                <c:formatCode>#,##0</c:formatCode>
                <c:ptCount val="32"/>
                <c:pt idx="0">
                  <c:v>375312</c:v>
                </c:pt>
                <c:pt idx="1">
                  <c:v>367797</c:v>
                </c:pt>
                <c:pt idx="2">
                  <c:v>428928</c:v>
                </c:pt>
                <c:pt idx="3">
                  <c:v>428275</c:v>
                </c:pt>
                <c:pt idx="4">
                  <c:v>419485</c:v>
                </c:pt>
                <c:pt idx="5">
                  <c:v>416666</c:v>
                </c:pt>
                <c:pt idx="6">
                  <c:v>448028</c:v>
                </c:pt>
                <c:pt idx="7">
                  <c:v>451222</c:v>
                </c:pt>
                <c:pt idx="8">
                  <c:v>497977</c:v>
                </c:pt>
                <c:pt idx="9">
                  <c:v>522184</c:v>
                </c:pt>
                <c:pt idx="10">
                  <c:v>557115</c:v>
                </c:pt>
                <c:pt idx="11">
                  <c:v>504934</c:v>
                </c:pt>
                <c:pt idx="12">
                  <c:v>651765</c:v>
                </c:pt>
                <c:pt idx="13">
                  <c:v>668179</c:v>
                </c:pt>
                <c:pt idx="14">
                  <c:v>706114</c:v>
                </c:pt>
                <c:pt idx="15">
                  <c:v>756548</c:v>
                </c:pt>
                <c:pt idx="16">
                  <c:v>749381</c:v>
                </c:pt>
                <c:pt idx="17">
                  <c:v>716767</c:v>
                </c:pt>
                <c:pt idx="18">
                  <c:v>779819</c:v>
                </c:pt>
                <c:pt idx="19">
                  <c:v>726794</c:v>
                </c:pt>
                <c:pt idx="20">
                  <c:v>749845</c:v>
                </c:pt>
                <c:pt idx="21">
                  <c:v>803548</c:v>
                </c:pt>
                <c:pt idx="22">
                  <c:v>823735</c:v>
                </c:pt>
                <c:pt idx="23">
                  <c:v>819265</c:v>
                </c:pt>
                <c:pt idx="24">
                  <c:v>992031</c:v>
                </c:pt>
                <c:pt idx="25">
                  <c:v>1035372</c:v>
                </c:pt>
                <c:pt idx="26">
                  <c:v>1003095</c:v>
                </c:pt>
                <c:pt idx="27">
                  <c:v>1078026</c:v>
                </c:pt>
                <c:pt idx="28">
                  <c:v>1032839</c:v>
                </c:pt>
                <c:pt idx="29">
                  <c:v>1026055</c:v>
                </c:pt>
                <c:pt idx="30">
                  <c:v>1112513</c:v>
                </c:pt>
                <c:pt idx="31">
                  <c:v>1097389</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90549989066183E-2"/>
          <c:y val="8.1156557137424243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CVR!$A$432:$W$432</c:f>
              <c:strCache>
                <c:ptCount val="23"/>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June</c:v>
                </c:pt>
                <c:pt idx="18">
                  <c:v>July</c:v>
                </c:pt>
                <c:pt idx="19">
                  <c:v>August</c:v>
                </c:pt>
                <c:pt idx="20">
                  <c:v>September</c:v>
                </c:pt>
                <c:pt idx="21">
                  <c:v>October</c:v>
                </c:pt>
                <c:pt idx="22">
                  <c:v>November</c:v>
                </c:pt>
              </c:strCache>
            </c:strRef>
          </c:cat>
          <c:val>
            <c:numRef>
              <c:f>CVR!$A$433:$W$433</c:f>
              <c:numCache>
                <c:formatCode>0.00%</c:formatCode>
                <c:ptCount val="23"/>
                <c:pt idx="0">
                  <c:v>0.23766867074810491</c:v>
                </c:pt>
                <c:pt idx="1">
                  <c:v>0.23512254466103483</c:v>
                </c:pt>
                <c:pt idx="2">
                  <c:v>0.22321587377192004</c:v>
                </c:pt>
                <c:pt idx="3">
                  <c:v>0.22286411108917126</c:v>
                </c:pt>
                <c:pt idx="4">
                  <c:v>0.23518985959503899</c:v>
                </c:pt>
                <c:pt idx="5">
                  <c:v>0.2284846065729291</c:v>
                </c:pt>
                <c:pt idx="6">
                  <c:v>0.25431799544130079</c:v>
                </c:pt>
                <c:pt idx="7">
                  <c:v>0.25263021906879796</c:v>
                </c:pt>
                <c:pt idx="8">
                  <c:v>0.27559785699320583</c:v>
                </c:pt>
                <c:pt idx="9">
                  <c:v>0.28248952000158589</c:v>
                </c:pt>
                <c:pt idx="10">
                  <c:v>0.28460757844528012</c:v>
                </c:pt>
                <c:pt idx="11">
                  <c:v>0.26761354721576774</c:v>
                </c:pt>
                <c:pt idx="12">
                  <c:v>0.25655326446267845</c:v>
                </c:pt>
                <c:pt idx="13">
                  <c:v>0.26586442556975021</c:v>
                </c:pt>
                <c:pt idx="14">
                  <c:v>0.2691583864802044</c:v>
                </c:pt>
                <c:pt idx="15">
                  <c:v>0.2696972893725334</c:v>
                </c:pt>
                <c:pt idx="16">
                  <c:v>0.26180803845821882</c:v>
                </c:pt>
                <c:pt idx="17">
                  <c:v>0.27239999999999998</c:v>
                </c:pt>
                <c:pt idx="18">
                  <c:v>0.28406653769105228</c:v>
                </c:pt>
                <c:pt idx="19">
                  <c:v>0.26958061467591166</c:v>
                </c:pt>
                <c:pt idx="20">
                  <c:v>0.2873</c:v>
                </c:pt>
                <c:pt idx="21">
                  <c:v>0.30430000000000001</c:v>
                </c:pt>
                <c:pt idx="22">
                  <c:v>0.30509589003028526</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38660</xdr:colOff>
      <xdr:row>47</xdr:row>
      <xdr:rowOff>105332</xdr:rowOff>
    </xdr:from>
    <xdr:to>
      <xdr:col>23</xdr:col>
      <xdr:colOff>537883</xdr:colOff>
      <xdr:row>99</xdr:row>
      <xdr:rowOff>0</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1335238</xdr:colOff>
      <xdr:row>440</xdr:row>
      <xdr:rowOff>36024</xdr:rowOff>
    </xdr:from>
    <xdr:to>
      <xdr:col>11</xdr:col>
      <xdr:colOff>1027206</xdr:colOff>
      <xdr:row>472</xdr:row>
      <xdr:rowOff>124552</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87"/>
  <sheetViews>
    <sheetView zoomScaleNormal="100" workbookViewId="0">
      <pane xSplit="2" ySplit="2" topLeftCell="Q247" activePane="bottomRight" state="frozen"/>
      <selection pane="bottomRight" activeCell="A365" sqref="A365"/>
      <selection pane="bottomLeft" activeCell="A3" sqref="A3"/>
      <selection pane="topRight" activeCell="C1" sqref="C1"/>
    </sheetView>
  </sheetViews>
  <sheetFormatPr defaultRowHeight="15" customHeight="1"/>
  <cols>
    <col min="1" max="1" width="65.5703125" customWidth="1"/>
    <col min="2" max="2" width="14.28515625" customWidth="1"/>
    <col min="3" max="3" width="17.140625"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2.140625" style="127" customWidth="1"/>
    <col min="22" max="22" width="10.28515625" customWidth="1"/>
    <col min="23" max="23" width="15.85546875" customWidth="1"/>
    <col min="24" max="24" width="15.42578125" customWidth="1"/>
    <col min="25" max="25" width="9.7109375" customWidth="1"/>
  </cols>
  <sheetData>
    <row r="1" spans="1:30" ht="14.45" customHeight="1">
      <c r="B1" s="154">
        <v>45931</v>
      </c>
      <c r="C1" s="153"/>
      <c r="E1" s="154">
        <v>45962</v>
      </c>
      <c r="F1" s="153"/>
      <c r="J1" s="155"/>
      <c r="K1" s="155"/>
      <c r="M1" s="156" t="s">
        <v>0</v>
      </c>
      <c r="N1" s="156"/>
      <c r="O1" s="1"/>
      <c r="Q1" s="10" t="s">
        <v>1</v>
      </c>
      <c r="R1" s="1"/>
      <c r="U1" s="153" t="s">
        <v>2</v>
      </c>
      <c r="V1" s="153"/>
      <c r="W1" s="153" t="s">
        <v>3</v>
      </c>
      <c r="X1" s="153"/>
    </row>
    <row r="2" spans="1:30">
      <c r="A2" s="3" t="s">
        <v>4</v>
      </c>
      <c r="B2" s="3" t="s">
        <v>5</v>
      </c>
      <c r="C2" s="3" t="s">
        <v>6</v>
      </c>
      <c r="E2" s="3" t="s">
        <v>5</v>
      </c>
      <c r="F2" s="3" t="s">
        <v>6</v>
      </c>
      <c r="G2" t="s">
        <v>7</v>
      </c>
      <c r="J2" t="s">
        <v>8</v>
      </c>
      <c r="K2" t="s">
        <v>9</v>
      </c>
      <c r="M2" t="s">
        <v>10</v>
      </c>
      <c r="N2" t="s">
        <v>11</v>
      </c>
      <c r="Q2" s="5" t="s">
        <v>12</v>
      </c>
      <c r="U2" s="127" t="s">
        <v>13</v>
      </c>
      <c r="V2" t="s">
        <v>9</v>
      </c>
      <c r="W2" t="s">
        <v>10</v>
      </c>
      <c r="X2" t="s">
        <v>14</v>
      </c>
      <c r="Y2" t="s">
        <v>9</v>
      </c>
      <c r="Z2" t="s">
        <v>15</v>
      </c>
      <c r="AA2" t="s">
        <v>16</v>
      </c>
      <c r="AB2" t="s">
        <v>17</v>
      </c>
      <c r="AC2" t="s">
        <v>18</v>
      </c>
      <c r="AD2" t="s">
        <v>19</v>
      </c>
    </row>
    <row r="3" spans="1:30" ht="13.9" customHeight="1">
      <c r="A3" t="s">
        <v>20</v>
      </c>
      <c r="B3" t="s">
        <v>21</v>
      </c>
      <c r="C3" s="28">
        <v>9414</v>
      </c>
      <c r="E3" t="s">
        <v>21</v>
      </c>
      <c r="F3" s="28">
        <v>17138</v>
      </c>
      <c r="G3" t="b">
        <f>IF(B3=E3,TRUE,FALSE)</f>
        <v>1</v>
      </c>
      <c r="J3" s="25">
        <f>F3-C3</f>
        <v>7724</v>
      </c>
      <c r="K3" s="4">
        <f>F3/C3-1</f>
        <v>0.82048013596770764</v>
      </c>
      <c r="M3" s="5">
        <v>13209.02</v>
      </c>
      <c r="N3" s="5">
        <v>18976.759999999998</v>
      </c>
      <c r="Q3" s="139">
        <v>197926.38</v>
      </c>
      <c r="U3" s="127">
        <f>N3-M3</f>
        <v>5767.739999999998</v>
      </c>
      <c r="V3" s="4">
        <f>IF(M3=0,0,N3/M3-1)</f>
        <v>0.43665162139204861</v>
      </c>
      <c r="W3" s="18">
        <v>317823.8</v>
      </c>
      <c r="X3" s="18">
        <v>546707</v>
      </c>
      <c r="Y3" s="4">
        <f>X3/W3-1</f>
        <v>0.72015752124290255</v>
      </c>
    </row>
    <row r="4" spans="1:30" ht="13.9" customHeight="1">
      <c r="A4" s="37" t="s">
        <v>22</v>
      </c>
      <c r="B4" s="37" t="s">
        <v>23</v>
      </c>
      <c r="C4" s="28">
        <v>23966</v>
      </c>
      <c r="E4" s="37" t="s">
        <v>23</v>
      </c>
      <c r="F4" s="28">
        <v>31468</v>
      </c>
      <c r="G4" t="b">
        <f>IF(B4=E4,TRUE,FALSE)</f>
        <v>1</v>
      </c>
      <c r="J4" s="25">
        <f>F4-C4</f>
        <v>7502</v>
      </c>
      <c r="K4" s="4">
        <f>F4/C4-1</f>
        <v>0.31302678794959515</v>
      </c>
      <c r="M4" s="5">
        <v>20897.41</v>
      </c>
      <c r="N4" s="5">
        <v>33434.769999999997</v>
      </c>
      <c r="Q4" s="138">
        <v>236962.46</v>
      </c>
      <c r="U4" s="127">
        <f>N4-M4</f>
        <v>12537.359999999997</v>
      </c>
      <c r="V4" s="4">
        <f>IF(M4=0,0,N4/M4-1)</f>
        <v>0.59994803183743817</v>
      </c>
      <c r="W4" s="18">
        <v>588588.17000000004</v>
      </c>
      <c r="X4" s="18">
        <v>705213.38</v>
      </c>
      <c r="Y4" s="4">
        <f>X4/W4-1</f>
        <v>0.19814399259842408</v>
      </c>
      <c r="AD4" t="s">
        <v>24</v>
      </c>
    </row>
    <row r="5" spans="1:30">
      <c r="A5" s="54" t="s">
        <v>25</v>
      </c>
      <c r="B5" s="37" t="s">
        <v>26</v>
      </c>
      <c r="C5" s="19">
        <v>1889</v>
      </c>
      <c r="E5" s="37" t="s">
        <v>26</v>
      </c>
      <c r="F5" s="19">
        <v>8012</v>
      </c>
      <c r="G5" t="b">
        <f>IF(B5=E5,TRUE,FALSE)</f>
        <v>1</v>
      </c>
      <c r="J5" s="25">
        <f>F5-C5</f>
        <v>6123</v>
      </c>
      <c r="K5" s="4">
        <f>F5/C5-1</f>
        <v>3.2413975648491267</v>
      </c>
      <c r="M5" s="5">
        <v>1518.03</v>
      </c>
      <c r="N5" s="5">
        <v>5966.26</v>
      </c>
      <c r="Q5" s="138">
        <v>41639.019999999997</v>
      </c>
      <c r="U5" s="127">
        <f>N5-M5</f>
        <v>4448.2300000000005</v>
      </c>
      <c r="V5" s="4">
        <f>IF(M5=0,0,N5/M5-1)</f>
        <v>2.930264882775703</v>
      </c>
      <c r="W5">
        <v>47107.850000000006</v>
      </c>
      <c r="X5">
        <v>179062.25</v>
      </c>
      <c r="Y5" s="4">
        <f>X5/W5-1</f>
        <v>2.8011127657067765</v>
      </c>
      <c r="Z5" t="s">
        <v>27</v>
      </c>
      <c r="AC5" t="s">
        <v>28</v>
      </c>
    </row>
    <row r="6" spans="1:30" ht="13.9" customHeight="1">
      <c r="A6" t="s">
        <v>29</v>
      </c>
      <c r="B6" t="s">
        <v>30</v>
      </c>
      <c r="C6" s="28">
        <v>50328</v>
      </c>
      <c r="E6" t="s">
        <v>30</v>
      </c>
      <c r="F6" s="28">
        <v>54557</v>
      </c>
      <c r="G6" t="b">
        <f>IF(B6=E6,TRUE,FALSE)</f>
        <v>1</v>
      </c>
      <c r="J6" s="25">
        <f>F6-C6</f>
        <v>4229</v>
      </c>
      <c r="K6" s="4">
        <f>F6/C6-1</f>
        <v>8.4028771260530988E-2</v>
      </c>
      <c r="M6" s="5">
        <v>51058.950000000004</v>
      </c>
      <c r="N6" s="5">
        <v>65747.56</v>
      </c>
      <c r="Q6" s="139">
        <v>482782.08</v>
      </c>
      <c r="U6" s="127">
        <f>N6-M6</f>
        <v>14688.609999999993</v>
      </c>
      <c r="V6" s="4">
        <f>IF(M6=0,0,N6/M6-1)</f>
        <v>0.28767943719955058</v>
      </c>
      <c r="W6" s="18">
        <v>1716314.11</v>
      </c>
      <c r="X6" s="18">
        <v>1689399.81</v>
      </c>
      <c r="Y6" s="4">
        <f>X6/W6-1</f>
        <v>-1.5681453553976765E-2</v>
      </c>
    </row>
    <row r="7" spans="1:30" ht="14.45" customHeight="1">
      <c r="A7" t="s">
        <v>31</v>
      </c>
      <c r="B7" t="s">
        <v>32</v>
      </c>
      <c r="C7" s="28">
        <v>4138</v>
      </c>
      <c r="E7" t="s">
        <v>32</v>
      </c>
      <c r="F7" s="28">
        <v>8108</v>
      </c>
      <c r="G7" t="b">
        <f>IF(B7=E7,TRUE,FALSE)</f>
        <v>1</v>
      </c>
      <c r="J7" s="25">
        <f>F7-C7</f>
        <v>3970</v>
      </c>
      <c r="K7" s="4">
        <f>F7/C7-1</f>
        <v>0.95940067665538908</v>
      </c>
      <c r="M7" s="5">
        <v>4995.08</v>
      </c>
      <c r="N7" s="5">
        <v>8903.26</v>
      </c>
      <c r="Q7" s="139">
        <v>85021.91</v>
      </c>
      <c r="U7" s="127">
        <f>N7-M7</f>
        <v>3908.1800000000003</v>
      </c>
      <c r="V7" s="4">
        <f>IF(M7=0,0,N7/M7-1)</f>
        <v>0.78240588739319494</v>
      </c>
      <c r="W7" s="18">
        <v>111424.72</v>
      </c>
      <c r="X7" s="18">
        <v>218484.32</v>
      </c>
      <c r="Y7" s="4">
        <f>X7/W7-1</f>
        <v>0.96082449208757281</v>
      </c>
      <c r="AC7" t="s">
        <v>33</v>
      </c>
    </row>
    <row r="8" spans="1:30" ht="13.9" customHeight="1">
      <c r="A8" s="54" t="s">
        <v>34</v>
      </c>
      <c r="B8" s="37" t="s">
        <v>35</v>
      </c>
      <c r="C8" s="28">
        <v>1102</v>
      </c>
      <c r="E8" s="37" t="s">
        <v>35</v>
      </c>
      <c r="F8" s="28">
        <v>3875</v>
      </c>
      <c r="G8" t="b">
        <f>IF(B8=E8,TRUE,FALSE)</f>
        <v>1</v>
      </c>
      <c r="J8" s="25">
        <f>F8-C8</f>
        <v>2773</v>
      </c>
      <c r="K8" s="4">
        <f>F8/C8-1</f>
        <v>2.5163339382940109</v>
      </c>
      <c r="M8" s="5">
        <v>1416.64</v>
      </c>
      <c r="N8" s="5">
        <v>5068.88</v>
      </c>
      <c r="Q8" s="138">
        <v>45495.39</v>
      </c>
      <c r="U8" s="127">
        <f>N8-M8</f>
        <v>3652.24</v>
      </c>
      <c r="V8" s="4">
        <f>IF(M8=0,0,N8/M8-1)</f>
        <v>2.5781002936525863</v>
      </c>
      <c r="W8" s="18">
        <v>27491.65</v>
      </c>
      <c r="X8" s="18">
        <v>82257.84</v>
      </c>
      <c r="Y8" s="4">
        <f>X8/W8-1</f>
        <v>1.9921026929995103</v>
      </c>
    </row>
    <row r="9" spans="1:30" ht="13.9" customHeight="1">
      <c r="A9" t="s">
        <v>36</v>
      </c>
      <c r="B9" t="s">
        <v>37</v>
      </c>
      <c r="C9" s="28">
        <v>3814</v>
      </c>
      <c r="E9" t="s">
        <v>37</v>
      </c>
      <c r="F9" s="28">
        <v>6350</v>
      </c>
      <c r="G9" t="b">
        <f>IF(B9=E9,TRUE,FALSE)</f>
        <v>1</v>
      </c>
      <c r="J9" s="25">
        <f>F9-C9</f>
        <v>2536</v>
      </c>
      <c r="K9" s="4">
        <f>F9/C9-1</f>
        <v>0.66491872050340839</v>
      </c>
      <c r="M9" s="5">
        <v>5592.9</v>
      </c>
      <c r="N9" s="5">
        <v>8292.6200000000008</v>
      </c>
      <c r="Q9" s="139">
        <v>49544.71</v>
      </c>
      <c r="U9" s="127">
        <f>N9-M9</f>
        <v>2699.7200000000012</v>
      </c>
      <c r="V9" s="4">
        <f>IF(M9=0,0,N9/M9-1)</f>
        <v>0.48270485794489471</v>
      </c>
      <c r="W9" s="18">
        <v>95098.9</v>
      </c>
      <c r="X9" s="18">
        <v>141917.49</v>
      </c>
      <c r="Y9" s="4">
        <f>X9/W9-1</f>
        <v>0.49231473760474631</v>
      </c>
      <c r="AC9" t="s">
        <v>38</v>
      </c>
    </row>
    <row r="10" spans="1:30" ht="13.9" customHeight="1">
      <c r="A10" t="s">
        <v>39</v>
      </c>
      <c r="B10" t="s">
        <v>40</v>
      </c>
      <c r="C10" s="28">
        <v>6021</v>
      </c>
      <c r="E10" t="s">
        <v>40</v>
      </c>
      <c r="F10" s="28">
        <v>8524</v>
      </c>
      <c r="G10" t="b">
        <f>IF(B10=E10,TRUE,FALSE)</f>
        <v>1</v>
      </c>
      <c r="J10" s="25">
        <f>F10-C10</f>
        <v>2503</v>
      </c>
      <c r="K10" s="4">
        <f>F10/C10-1</f>
        <v>0.41571167580136192</v>
      </c>
      <c r="M10" s="5">
        <v>9736.11</v>
      </c>
      <c r="N10" s="5">
        <v>13172.97</v>
      </c>
      <c r="Q10" s="139">
        <v>91672.23</v>
      </c>
      <c r="U10" s="127">
        <f>N10-M10</f>
        <v>3436.8599999999988</v>
      </c>
      <c r="V10" s="4">
        <f>IF(M10=0,0,N10/M10-1)</f>
        <v>0.35300135269630251</v>
      </c>
      <c r="W10" s="18">
        <v>210397.55</v>
      </c>
      <c r="X10" s="18">
        <v>296970.2</v>
      </c>
      <c r="Y10" s="4">
        <f>X10/W10-1</f>
        <v>0.41147175905803102</v>
      </c>
    </row>
    <row r="11" spans="1:30" ht="13.9" customHeight="1">
      <c r="A11" t="s">
        <v>41</v>
      </c>
      <c r="B11" t="s">
        <v>42</v>
      </c>
      <c r="C11" s="28">
        <v>1871</v>
      </c>
      <c r="E11" t="s">
        <v>42</v>
      </c>
      <c r="F11" s="28">
        <v>3923</v>
      </c>
      <c r="G11" t="b">
        <f>IF(B11=E11,TRUE,FALSE)</f>
        <v>1</v>
      </c>
      <c r="J11" s="25">
        <f>F11-C11</f>
        <v>2052</v>
      </c>
      <c r="K11" s="4">
        <f>F11/C11-1</f>
        <v>1.0967397113842865</v>
      </c>
      <c r="M11" s="5">
        <v>3891.38</v>
      </c>
      <c r="N11" s="5">
        <v>5804.09</v>
      </c>
      <c r="Q11" s="139">
        <v>42524.88</v>
      </c>
      <c r="U11" s="127">
        <f>N11-M11</f>
        <v>1912.71</v>
      </c>
      <c r="V11" s="4">
        <f>IF(M11=0,0,N11/M11-1)</f>
        <v>0.49152485750556352</v>
      </c>
      <c r="W11" s="18">
        <v>54178.09</v>
      </c>
      <c r="X11" s="18">
        <v>102838.87</v>
      </c>
      <c r="Y11" s="4">
        <f>X11/W11-1</f>
        <v>0.89816344577669693</v>
      </c>
      <c r="AC11" t="s">
        <v>43</v>
      </c>
    </row>
    <row r="12" spans="1:30" ht="13.9" customHeight="1">
      <c r="A12" s="54" t="s">
        <v>44</v>
      </c>
      <c r="B12" s="37" t="s">
        <v>45</v>
      </c>
      <c r="C12" s="28">
        <v>804</v>
      </c>
      <c r="E12" s="37" t="s">
        <v>45</v>
      </c>
      <c r="F12" s="28">
        <v>2685</v>
      </c>
      <c r="G12" t="b">
        <f>IF(B12=E12,TRUE,FALSE)</f>
        <v>1</v>
      </c>
      <c r="J12" s="25">
        <f>F12-C12</f>
        <v>1881</v>
      </c>
      <c r="K12" s="4">
        <f>F12/C12-1</f>
        <v>2.33955223880597</v>
      </c>
      <c r="M12" s="5">
        <v>1261.4299999999998</v>
      </c>
      <c r="N12" s="5">
        <v>3126.43</v>
      </c>
      <c r="Q12" s="139">
        <v>14301.02</v>
      </c>
      <c r="U12" s="127">
        <f>N12-M12</f>
        <v>1865</v>
      </c>
      <c r="V12" s="4">
        <f>IF(M12=0,0,N12/M12-1)</f>
        <v>1.4784807718224555</v>
      </c>
      <c r="W12" s="18">
        <v>15568.89</v>
      </c>
      <c r="X12" s="18">
        <v>38908.910000000003</v>
      </c>
      <c r="Y12" s="4">
        <f>X12/W12-1</f>
        <v>1.4991447688306621</v>
      </c>
      <c r="AC12" t="s">
        <v>46</v>
      </c>
    </row>
    <row r="13" spans="1:30" ht="13.9" customHeight="1">
      <c r="A13" t="s">
        <v>47</v>
      </c>
      <c r="B13" t="s">
        <v>48</v>
      </c>
      <c r="C13" s="28">
        <v>3756</v>
      </c>
      <c r="E13" t="s">
        <v>48</v>
      </c>
      <c r="F13" s="28">
        <v>5243</v>
      </c>
      <c r="G13" t="b">
        <f>IF(B13=E13,TRUE,FALSE)</f>
        <v>1</v>
      </c>
      <c r="J13" s="25">
        <f>F13-C13</f>
        <v>1487</v>
      </c>
      <c r="K13" s="4">
        <f>F13/C13-1</f>
        <v>0.39589989350372745</v>
      </c>
      <c r="M13" s="5">
        <v>5213.67</v>
      </c>
      <c r="N13" s="5">
        <v>6121.85</v>
      </c>
      <c r="Q13" s="139">
        <v>57432.79</v>
      </c>
      <c r="U13" s="127">
        <f>N13-M13</f>
        <v>908.18000000000029</v>
      </c>
      <c r="V13" s="4">
        <f>IF(M13=0,0,N13/M13-1)</f>
        <v>0.17419207583142016</v>
      </c>
      <c r="W13" s="18">
        <v>112509.25</v>
      </c>
      <c r="X13" s="18">
        <v>150363.65</v>
      </c>
      <c r="Y13" s="4">
        <f>X13/W13-1</f>
        <v>0.3364558914044844</v>
      </c>
      <c r="AC13" t="s">
        <v>49</v>
      </c>
    </row>
    <row r="14" spans="1:30" ht="13.9" customHeight="1">
      <c r="A14" s="27" t="s">
        <v>50</v>
      </c>
      <c r="B14" s="27" t="s">
        <v>51</v>
      </c>
      <c r="C14" s="28">
        <v>1604</v>
      </c>
      <c r="D14" s="19"/>
      <c r="E14" s="27" t="s">
        <v>51</v>
      </c>
      <c r="F14" s="28">
        <v>3013</v>
      </c>
      <c r="G14" t="b">
        <f>IF(B14=E14,TRUE,FALSE)</f>
        <v>1</v>
      </c>
      <c r="H14" s="19"/>
      <c r="I14" s="19"/>
      <c r="J14" s="25">
        <f>F14-C14</f>
        <v>1409</v>
      </c>
      <c r="K14" s="4">
        <f>F14/C14-1</f>
        <v>0.87842892768079794</v>
      </c>
      <c r="M14" s="18">
        <v>2127.11</v>
      </c>
      <c r="N14" s="18">
        <v>3040.19</v>
      </c>
      <c r="O14" s="18"/>
      <c r="P14" s="18"/>
      <c r="Q14" s="139">
        <v>20061.77</v>
      </c>
      <c r="U14" s="127">
        <f>N14-M14</f>
        <v>913.07999999999993</v>
      </c>
      <c r="V14" s="4">
        <f>IF(M14=0,0,N14/M14-1)</f>
        <v>0.429258477464729</v>
      </c>
      <c r="W14" s="18">
        <v>35720.240000000005</v>
      </c>
      <c r="X14" s="18">
        <v>62658.18</v>
      </c>
      <c r="Y14" s="4">
        <f>X14/W14-1</f>
        <v>0.7541365903476569</v>
      </c>
      <c r="AA14" t="s">
        <v>52</v>
      </c>
    </row>
    <row r="15" spans="1:30" ht="13.9" customHeight="1">
      <c r="A15" s="54" t="s">
        <v>53</v>
      </c>
      <c r="B15" s="37" t="s">
        <v>54</v>
      </c>
      <c r="C15" s="28">
        <v>12481</v>
      </c>
      <c r="E15" s="37" t="s">
        <v>54</v>
      </c>
      <c r="F15" s="28">
        <v>13831</v>
      </c>
      <c r="G15" t="b">
        <f>IF(B15=E15,TRUE,FALSE)</f>
        <v>1</v>
      </c>
      <c r="J15" s="25">
        <f>F15-C15</f>
        <v>1350</v>
      </c>
      <c r="K15" s="4">
        <f>F15/C15-1</f>
        <v>0.10816440990305254</v>
      </c>
      <c r="M15" s="5">
        <v>21467.86</v>
      </c>
      <c r="N15" s="5">
        <v>17965.689999999999</v>
      </c>
      <c r="Q15" s="138">
        <v>121995.94</v>
      </c>
      <c r="U15" s="127">
        <f>N15-M15</f>
        <v>-3502.1700000000019</v>
      </c>
      <c r="V15" s="4">
        <f>IF(M15=0,0,N15/M15-1)</f>
        <v>-0.16313549650500803</v>
      </c>
      <c r="W15" s="18">
        <v>322179.92</v>
      </c>
      <c r="X15" s="18">
        <v>323201.27</v>
      </c>
      <c r="Y15" s="4">
        <f>X15/W15-1</f>
        <v>3.1701230790548429E-3</v>
      </c>
      <c r="Z15" t="s">
        <v>55</v>
      </c>
    </row>
    <row r="16" spans="1:30" ht="14.25" customHeight="1">
      <c r="A16" t="s">
        <v>56</v>
      </c>
      <c r="B16" t="s">
        <v>57</v>
      </c>
      <c r="C16" s="28">
        <v>1964</v>
      </c>
      <c r="E16" t="s">
        <v>57</v>
      </c>
      <c r="F16" s="28">
        <v>3306</v>
      </c>
      <c r="G16" t="b">
        <f>IF(B16=E16,TRUE,FALSE)</f>
        <v>1</v>
      </c>
      <c r="J16" s="25">
        <f>F16-C16</f>
        <v>1342</v>
      </c>
      <c r="K16" s="4">
        <f>F16/C16-1</f>
        <v>0.68329938900203668</v>
      </c>
      <c r="M16" s="5">
        <v>3108.52</v>
      </c>
      <c r="N16" s="5">
        <v>3478.52</v>
      </c>
      <c r="Q16" s="139">
        <v>27346.799999999999</v>
      </c>
      <c r="U16" s="127">
        <f>N16-M16</f>
        <v>370</v>
      </c>
      <c r="V16" s="4">
        <f>IF(M16=0,0,N16/M16-1)</f>
        <v>0.11902770450246414</v>
      </c>
      <c r="W16" s="18">
        <v>46478.89</v>
      </c>
      <c r="X16" s="18">
        <v>68564.39</v>
      </c>
      <c r="Y16" s="4">
        <f>X16/W16-1</f>
        <v>0.47517270743772055</v>
      </c>
    </row>
    <row r="17" spans="1:30" ht="13.9" customHeight="1">
      <c r="A17" s="54" t="s">
        <v>58</v>
      </c>
      <c r="B17" s="37" t="s">
        <v>59</v>
      </c>
      <c r="C17" s="28">
        <v>983</v>
      </c>
      <c r="E17" s="37" t="s">
        <v>59</v>
      </c>
      <c r="F17" s="28">
        <v>2320</v>
      </c>
      <c r="G17" t="b">
        <f>IF(B17=E17,TRUE,FALSE)</f>
        <v>1</v>
      </c>
      <c r="J17" s="25">
        <f>F17-C17</f>
        <v>1337</v>
      </c>
      <c r="K17" s="4">
        <f>F17/C17-1</f>
        <v>1.3601220752797558</v>
      </c>
      <c r="M17" s="5">
        <v>1263.9299999999998</v>
      </c>
      <c r="N17" s="5">
        <v>2063.9299999999998</v>
      </c>
      <c r="Q17" s="139">
        <v>9183.35</v>
      </c>
      <c r="U17" s="127">
        <f>N17-M17</f>
        <v>800</v>
      </c>
      <c r="V17" s="4">
        <f>IF(M17=0,0,N17/M17-1)</f>
        <v>0.63294644481893791</v>
      </c>
      <c r="W17" s="18">
        <v>20814.810000000001</v>
      </c>
      <c r="X17" s="18">
        <v>39046.71</v>
      </c>
      <c r="Y17" s="4">
        <f>X17/W17-1</f>
        <v>0.87590998908949902</v>
      </c>
    </row>
    <row r="18" spans="1:30" ht="13.9" customHeight="1">
      <c r="A18" s="143" t="s">
        <v>60</v>
      </c>
      <c r="B18" s="37" t="s">
        <v>61</v>
      </c>
      <c r="C18" s="28">
        <v>168</v>
      </c>
      <c r="E18" s="37" t="s">
        <v>61</v>
      </c>
      <c r="F18" s="28">
        <v>1472</v>
      </c>
      <c r="G18" t="b">
        <f>IF(B18=E18,TRUE,FALSE)</f>
        <v>1</v>
      </c>
      <c r="J18" s="25">
        <f>F18-C18</f>
        <v>1304</v>
      </c>
      <c r="K18" s="4">
        <f>F18/C18-1</f>
        <v>7.7619047619047628</v>
      </c>
      <c r="M18" s="5">
        <v>434.76</v>
      </c>
      <c r="N18" s="5">
        <v>1938.11</v>
      </c>
      <c r="Q18" s="138">
        <v>15419.53</v>
      </c>
      <c r="U18" s="127">
        <f>N18-M18</f>
        <v>1503.35</v>
      </c>
      <c r="V18" s="4">
        <f>IF(M18=0,0,N18/M18-1)</f>
        <v>3.4578848100101203</v>
      </c>
      <c r="W18" s="18">
        <v>5037.42</v>
      </c>
      <c r="X18" s="18">
        <v>32806.83</v>
      </c>
      <c r="Y18" s="4">
        <f>X18/W18-1</f>
        <v>5.5126255106780855</v>
      </c>
      <c r="AB18" t="s">
        <v>62</v>
      </c>
    </row>
    <row r="19" spans="1:30" ht="13.9" customHeight="1">
      <c r="A19" s="54" t="s">
        <v>63</v>
      </c>
      <c r="B19" s="37" t="s">
        <v>64</v>
      </c>
      <c r="C19" s="19">
        <v>5066</v>
      </c>
      <c r="E19" s="37" t="s">
        <v>64</v>
      </c>
      <c r="F19" s="19">
        <v>6277</v>
      </c>
      <c r="G19" t="b">
        <f>IF(B19=E19,TRUE,FALSE)</f>
        <v>1</v>
      </c>
      <c r="J19" s="25">
        <f>F19-C19</f>
        <v>1211</v>
      </c>
      <c r="K19" s="4">
        <f>F19/C19-1</f>
        <v>0.23904461113304376</v>
      </c>
      <c r="M19" s="5">
        <v>5732.01</v>
      </c>
      <c r="N19" s="5">
        <v>5452.02</v>
      </c>
      <c r="Q19" s="138">
        <v>48785.48</v>
      </c>
      <c r="U19" s="127">
        <f>N19-M19</f>
        <v>-279.98999999999978</v>
      </c>
      <c r="V19" s="4">
        <f>IF(M19=0,0,N19/M19-1)</f>
        <v>-4.8846739625367008E-2</v>
      </c>
      <c r="W19">
        <v>115486.45999999999</v>
      </c>
      <c r="X19">
        <v>156786.60999999999</v>
      </c>
      <c r="Y19" s="4">
        <f>X19/W19-1</f>
        <v>0.35761897974879475</v>
      </c>
      <c r="Z19" t="s">
        <v>65</v>
      </c>
    </row>
    <row r="20" spans="1:30" ht="13.9" customHeight="1">
      <c r="A20" t="s">
        <v>66</v>
      </c>
      <c r="B20" t="s">
        <v>67</v>
      </c>
      <c r="C20" s="28">
        <v>1810</v>
      </c>
      <c r="E20" t="s">
        <v>67</v>
      </c>
      <c r="F20" s="28">
        <v>2985</v>
      </c>
      <c r="G20" t="b">
        <f>IF(B20=E20,TRUE,FALSE)</f>
        <v>1</v>
      </c>
      <c r="J20" s="25">
        <f>F20-C20</f>
        <v>1175</v>
      </c>
      <c r="K20" s="4">
        <f>F20/C20-1</f>
        <v>0.649171270718232</v>
      </c>
      <c r="M20" s="5">
        <v>2083.83</v>
      </c>
      <c r="N20" s="5">
        <v>2111.7800000000002</v>
      </c>
      <c r="Q20" s="139">
        <v>11909.36</v>
      </c>
      <c r="U20" s="127">
        <f>N20-M20</f>
        <v>27.950000000000273</v>
      </c>
      <c r="V20" s="4">
        <f>IF(M20=0,0,N20/M20-1)</f>
        <v>1.3412802387910761E-2</v>
      </c>
      <c r="W20" s="18">
        <v>64644.28</v>
      </c>
      <c r="X20" s="18">
        <v>92567.77</v>
      </c>
      <c r="Y20" s="4">
        <f>X20/W20-1</f>
        <v>0.43195608335339197</v>
      </c>
    </row>
    <row r="21" spans="1:30" ht="13.9" customHeight="1">
      <c r="A21" t="s">
        <v>68</v>
      </c>
      <c r="B21" t="s">
        <v>69</v>
      </c>
      <c r="C21" s="28">
        <v>1863</v>
      </c>
      <c r="E21" t="s">
        <v>69</v>
      </c>
      <c r="F21" s="28">
        <v>3004</v>
      </c>
      <c r="G21" t="b">
        <f>IF(B21=E21,TRUE,FALSE)</f>
        <v>1</v>
      </c>
      <c r="J21" s="25">
        <f>F21-C21</f>
        <v>1141</v>
      </c>
      <c r="K21" s="4">
        <f>F21/C21-1</f>
        <v>0.61245303274288787</v>
      </c>
      <c r="M21" s="5">
        <v>4206.18</v>
      </c>
      <c r="N21" s="5">
        <v>6373.06</v>
      </c>
      <c r="Q21" s="139">
        <v>58131.73</v>
      </c>
      <c r="U21" s="127">
        <f>N21-M21</f>
        <v>2166.88</v>
      </c>
      <c r="V21" s="4">
        <f>IF(M21=0,0,N21/M21-1)</f>
        <v>0.51516577987627721</v>
      </c>
      <c r="W21" s="18">
        <v>46676.52</v>
      </c>
      <c r="X21" s="18">
        <v>81070.13</v>
      </c>
      <c r="Y21" s="4">
        <f>X21/W21-1</f>
        <v>0.73685034788368986</v>
      </c>
      <c r="AD21" t="s">
        <v>70</v>
      </c>
    </row>
    <row r="22" spans="1:30" ht="13.9" customHeight="1">
      <c r="A22" s="142" t="s">
        <v>71</v>
      </c>
      <c r="B22" s="37" t="s">
        <v>72</v>
      </c>
      <c r="C22" s="28">
        <v>313</v>
      </c>
      <c r="E22" s="37" t="s">
        <v>72</v>
      </c>
      <c r="F22" s="28">
        <v>1365</v>
      </c>
      <c r="G22" t="b">
        <f>IF(B22=E22,TRUE,FALSE)</f>
        <v>1</v>
      </c>
      <c r="J22" s="25">
        <f>F22-C22</f>
        <v>1052</v>
      </c>
      <c r="K22" s="4">
        <f>F22/C22-1</f>
        <v>3.3610223642172521</v>
      </c>
      <c r="M22" s="5">
        <v>709.58</v>
      </c>
      <c r="N22" s="5">
        <v>1151.92</v>
      </c>
      <c r="Q22" s="138">
        <v>4153.08</v>
      </c>
      <c r="U22" s="127">
        <f>N22-M22</f>
        <v>442.34000000000003</v>
      </c>
      <c r="V22" s="4">
        <f>IF(M22=0,0,N22/M22-1)</f>
        <v>0.62338284619070428</v>
      </c>
      <c r="W22" s="18">
        <v>5662.83</v>
      </c>
      <c r="X22" s="18">
        <v>14692.11</v>
      </c>
      <c r="Y22" s="4">
        <f>X22/W22-1</f>
        <v>1.5944819109879691</v>
      </c>
    </row>
    <row r="23" spans="1:30" ht="13.9" customHeight="1">
      <c r="A23" s="143" t="s">
        <v>73</v>
      </c>
      <c r="B23" s="143" t="s">
        <v>74</v>
      </c>
      <c r="C23" s="28">
        <v>0</v>
      </c>
      <c r="E23" s="143" t="s">
        <v>74</v>
      </c>
      <c r="F23" s="28">
        <v>994</v>
      </c>
      <c r="G23" t="b">
        <f>IF(B23=E23,TRUE,FALSE)</f>
        <v>1</v>
      </c>
      <c r="J23" s="25">
        <f>F23-C23</f>
        <v>994</v>
      </c>
      <c r="K23" s="4" t="e">
        <f>F23/C23-1</f>
        <v>#DIV/0!</v>
      </c>
      <c r="M23" s="5">
        <v>0</v>
      </c>
      <c r="N23" s="5">
        <v>2358.4699999999998</v>
      </c>
      <c r="Q23" s="138">
        <v>8139.84</v>
      </c>
      <c r="U23" s="127">
        <f>N23-M23</f>
        <v>2358.4699999999998</v>
      </c>
      <c r="V23" s="4">
        <f>IF(M23=0,0,N23/M23-1)</f>
        <v>0</v>
      </c>
      <c r="W23" s="18">
        <v>0</v>
      </c>
      <c r="X23" s="18">
        <v>9929.2599999999984</v>
      </c>
      <c r="Y23" s="4" t="e">
        <f>X23/W23-1</f>
        <v>#DIV/0!</v>
      </c>
      <c r="AD23" t="s">
        <v>75</v>
      </c>
    </row>
    <row r="24" spans="1:30" ht="13.9" customHeight="1">
      <c r="A24" s="54" t="s">
        <v>76</v>
      </c>
      <c r="B24" s="37" t="s">
        <v>77</v>
      </c>
      <c r="C24" s="28">
        <v>951</v>
      </c>
      <c r="E24" s="37" t="s">
        <v>77</v>
      </c>
      <c r="F24" s="28">
        <v>1942</v>
      </c>
      <c r="G24" t="b">
        <f>IF(B24=E24,TRUE,FALSE)</f>
        <v>1</v>
      </c>
      <c r="J24" s="25">
        <f>F24-C24</f>
        <v>991</v>
      </c>
      <c r="K24" s="4">
        <f>F24/C24-1</f>
        <v>1.0420609884332284</v>
      </c>
      <c r="M24" s="5">
        <v>1879.68</v>
      </c>
      <c r="N24" s="5">
        <v>2544.54</v>
      </c>
      <c r="Q24" s="138">
        <v>15642.15</v>
      </c>
      <c r="U24" s="127">
        <f>N24-M24</f>
        <v>664.8599999999999</v>
      </c>
      <c r="V24" s="4">
        <f>IF(M24=0,0,N24/M24-1)</f>
        <v>0.35370914198161385</v>
      </c>
      <c r="W24" s="18">
        <v>17673.990000000002</v>
      </c>
      <c r="X24" s="18">
        <v>30834.18</v>
      </c>
      <c r="Y24" s="4">
        <f>X24/W24-1</f>
        <v>0.74460775410645796</v>
      </c>
    </row>
    <row r="25" spans="1:30" ht="13.9" customHeight="1">
      <c r="A25" s="54" t="s">
        <v>78</v>
      </c>
      <c r="B25" s="37" t="s">
        <v>79</v>
      </c>
      <c r="C25" s="28">
        <v>798</v>
      </c>
      <c r="E25" s="37" t="s">
        <v>79</v>
      </c>
      <c r="F25" s="28">
        <v>1757</v>
      </c>
      <c r="G25" t="b">
        <f>IF(B25=E25,TRUE,FALSE)</f>
        <v>1</v>
      </c>
      <c r="J25" s="25">
        <f>F25-C25</f>
        <v>959</v>
      </c>
      <c r="K25" s="4">
        <f>F25/C25-1</f>
        <v>1.2017543859649122</v>
      </c>
      <c r="M25" s="5">
        <v>1901.4</v>
      </c>
      <c r="N25" s="5">
        <v>3175.04</v>
      </c>
      <c r="Q25" s="139">
        <v>15553.11</v>
      </c>
      <c r="U25" s="127">
        <f>N25-M25</f>
        <v>1273.6399999999999</v>
      </c>
      <c r="V25" s="4">
        <f>IF(M25=0,0,N25/M25-1)</f>
        <v>0.66984327337751126</v>
      </c>
      <c r="W25" s="18">
        <v>19866.05</v>
      </c>
      <c r="X25" s="18">
        <v>40990.74</v>
      </c>
      <c r="Y25" s="4">
        <f>X25/W25-1</f>
        <v>1.0633563290135681</v>
      </c>
    </row>
    <row r="26" spans="1:30" ht="13.9" customHeight="1">
      <c r="A26" s="54" t="s">
        <v>80</v>
      </c>
      <c r="B26" s="27" t="s">
        <v>81</v>
      </c>
      <c r="C26" s="28">
        <v>147</v>
      </c>
      <c r="E26" s="27" t="s">
        <v>81</v>
      </c>
      <c r="F26" s="28">
        <v>1072</v>
      </c>
      <c r="G26" t="b">
        <f>IF(B26=E26,TRUE,FALSE)</f>
        <v>1</v>
      </c>
      <c r="J26" s="25">
        <f>F26-C26</f>
        <v>925</v>
      </c>
      <c r="K26" s="4">
        <f>F26/C26-1</f>
        <v>6.2925170068027212</v>
      </c>
      <c r="M26" s="5">
        <v>348.53</v>
      </c>
      <c r="N26" s="5">
        <v>1242.01</v>
      </c>
      <c r="Q26" s="138">
        <v>4184.1400000000003</v>
      </c>
      <c r="U26" s="127">
        <f>N26-M26</f>
        <v>893.48</v>
      </c>
      <c r="V26" s="4">
        <f>IF(M26=0,0,N26/M26-1)</f>
        <v>2.5635669813215509</v>
      </c>
      <c r="W26" s="18">
        <v>2487.0100000000002</v>
      </c>
      <c r="X26" s="18">
        <v>11134.11</v>
      </c>
      <c r="Y26" s="4">
        <f>X26/W26-1</f>
        <v>3.4769060035946779</v>
      </c>
    </row>
    <row r="27" spans="1:30" ht="13.9" customHeight="1">
      <c r="A27" s="54" t="s">
        <v>82</v>
      </c>
      <c r="B27" s="37" t="s">
        <v>83</v>
      </c>
      <c r="C27" s="28">
        <v>415</v>
      </c>
      <c r="E27" s="37" t="s">
        <v>83</v>
      </c>
      <c r="F27" s="28">
        <v>1336</v>
      </c>
      <c r="G27" t="b">
        <f>IF(B27=E27,TRUE,FALSE)</f>
        <v>1</v>
      </c>
      <c r="J27" s="25">
        <f>F27-C27</f>
        <v>921</v>
      </c>
      <c r="K27" s="4">
        <f>F27/C27-1</f>
        <v>2.2192771084337348</v>
      </c>
      <c r="M27" s="5">
        <v>1214.42</v>
      </c>
      <c r="N27" s="5">
        <v>1584.5</v>
      </c>
      <c r="Q27" s="138">
        <v>11080.46</v>
      </c>
      <c r="U27" s="127">
        <f>N27-M27</f>
        <v>370.07999999999993</v>
      </c>
      <c r="V27" s="4">
        <f>IF(M27=0,0,N27/M27-1)</f>
        <v>0.30473806426112859</v>
      </c>
      <c r="W27" s="18">
        <v>11291.58</v>
      </c>
      <c r="X27" s="18">
        <v>27821.34</v>
      </c>
      <c r="Y27" s="4">
        <f>X27/W27-1</f>
        <v>1.4639014203503851</v>
      </c>
    </row>
    <row r="28" spans="1:30" ht="13.9" customHeight="1">
      <c r="A28" s="54" t="s">
        <v>84</v>
      </c>
      <c r="B28" s="37" t="s">
        <v>85</v>
      </c>
      <c r="C28" s="28">
        <v>72</v>
      </c>
      <c r="E28" s="37" t="s">
        <v>85</v>
      </c>
      <c r="F28" s="28">
        <v>982</v>
      </c>
      <c r="G28" t="b">
        <f>IF(B28=E28,TRUE,FALSE)</f>
        <v>1</v>
      </c>
      <c r="J28" s="25">
        <f>F28-C28</f>
        <v>910</v>
      </c>
      <c r="K28" s="4">
        <f>F28/C28-1</f>
        <v>12.638888888888889</v>
      </c>
      <c r="M28" s="5">
        <v>5.18</v>
      </c>
      <c r="N28" s="5">
        <v>1034.42</v>
      </c>
      <c r="Q28" s="138">
        <v>2725.28</v>
      </c>
      <c r="U28" s="127">
        <f>N28-M28</f>
        <v>1029.24</v>
      </c>
      <c r="V28" s="4">
        <f>IF(M28=0,0,N28/M28-1)</f>
        <v>198.69498069498073</v>
      </c>
      <c r="W28" s="18">
        <v>1798.78</v>
      </c>
      <c r="X28" s="18">
        <v>10419.09</v>
      </c>
      <c r="Y28" s="4">
        <f>X28/W28-1</f>
        <v>4.7923092318126734</v>
      </c>
      <c r="AB28" t="s">
        <v>86</v>
      </c>
    </row>
    <row r="29" spans="1:30" ht="13.9" customHeight="1">
      <c r="A29" t="s">
        <v>87</v>
      </c>
      <c r="B29" t="s">
        <v>88</v>
      </c>
      <c r="C29" s="28">
        <v>1882</v>
      </c>
      <c r="E29" t="s">
        <v>88</v>
      </c>
      <c r="F29" s="28">
        <v>2775</v>
      </c>
      <c r="G29" t="b">
        <f>IF(B29=E29,TRUE,FALSE)</f>
        <v>1</v>
      </c>
      <c r="J29" s="25">
        <f>F29-C29</f>
        <v>893</v>
      </c>
      <c r="K29" s="4">
        <f>F29/C29-1</f>
        <v>0.47449521785334747</v>
      </c>
      <c r="M29" s="5">
        <v>609.17999999999995</v>
      </c>
      <c r="N29" s="5">
        <v>689.02</v>
      </c>
      <c r="Q29" s="139">
        <v>15234.15</v>
      </c>
      <c r="U29" s="127">
        <f>N29-M29</f>
        <v>79.840000000000032</v>
      </c>
      <c r="V29" s="4">
        <f>IF(M29=0,0,N29/M29-1)</f>
        <v>0.1310614268360748</v>
      </c>
      <c r="W29" s="18">
        <v>80015.849999999991</v>
      </c>
      <c r="X29" s="18">
        <v>106215.72</v>
      </c>
      <c r="Y29" s="4">
        <f>X29/W29-1</f>
        <v>0.32743350223736933</v>
      </c>
    </row>
    <row r="30" spans="1:30" ht="13.9" customHeight="1">
      <c r="A30" t="s">
        <v>89</v>
      </c>
      <c r="B30" t="s">
        <v>90</v>
      </c>
      <c r="C30" s="28">
        <v>11490</v>
      </c>
      <c r="E30" t="s">
        <v>90</v>
      </c>
      <c r="F30" s="28">
        <v>12369</v>
      </c>
      <c r="G30" t="b">
        <f>IF(B30=E30,TRUE,FALSE)</f>
        <v>1</v>
      </c>
      <c r="J30" s="25">
        <f>F30-C30</f>
        <v>879</v>
      </c>
      <c r="K30" s="4">
        <f>F30/C30-1</f>
        <v>7.6501305483028803E-2</v>
      </c>
      <c r="M30" s="5">
        <v>9972</v>
      </c>
      <c r="N30" s="5">
        <v>9806.2000000000007</v>
      </c>
      <c r="Q30" s="139">
        <v>73817.7</v>
      </c>
      <c r="U30" s="127">
        <f>N30-M30</f>
        <v>-165.79999999999927</v>
      </c>
      <c r="V30" s="4">
        <f>IF(M30=0,0,N30/M30-1)</f>
        <v>-1.6626554352186074E-2</v>
      </c>
      <c r="W30" s="18">
        <v>334271.65999999997</v>
      </c>
      <c r="X30" s="18">
        <v>357559.12</v>
      </c>
      <c r="Y30" s="4">
        <f>X30/W30-1</f>
        <v>6.9666270840908373E-2</v>
      </c>
    </row>
    <row r="31" spans="1:30" ht="13.9" customHeight="1">
      <c r="A31" s="54" t="s">
        <v>91</v>
      </c>
      <c r="B31" s="37" t="s">
        <v>92</v>
      </c>
      <c r="C31" s="28">
        <v>656</v>
      </c>
      <c r="E31" s="37" t="s">
        <v>92</v>
      </c>
      <c r="F31" s="28">
        <v>1497</v>
      </c>
      <c r="G31" t="b">
        <f>IF(B31=E31,TRUE,FALSE)</f>
        <v>1</v>
      </c>
      <c r="J31" s="25">
        <f>F31-C31</f>
        <v>841</v>
      </c>
      <c r="K31" s="4">
        <f>F31/C31-1</f>
        <v>1.2820121951219514</v>
      </c>
      <c r="M31" s="5">
        <v>176.36</v>
      </c>
      <c r="N31" s="5">
        <v>2855.65</v>
      </c>
      <c r="Q31" s="138">
        <v>15538.84</v>
      </c>
      <c r="U31" s="127">
        <f>N31-M31</f>
        <v>2679.29</v>
      </c>
      <c r="V31" s="4">
        <f>IF(M31=0,0,N31/M31-1)</f>
        <v>15.192163755953729</v>
      </c>
      <c r="W31" s="18">
        <v>19668.04</v>
      </c>
      <c r="X31" s="18">
        <v>40478.78</v>
      </c>
      <c r="Y31" s="4">
        <f>X31/W31-1</f>
        <v>1.058099332724562</v>
      </c>
    </row>
    <row r="32" spans="1:30" ht="13.9" customHeight="1">
      <c r="A32" s="37" t="s">
        <v>93</v>
      </c>
      <c r="B32" s="37" t="s">
        <v>94</v>
      </c>
      <c r="C32" s="28">
        <v>706</v>
      </c>
      <c r="E32" s="37" t="s">
        <v>94</v>
      </c>
      <c r="F32" s="28">
        <v>1543</v>
      </c>
      <c r="G32" t="b">
        <f>IF(B32=E32,TRUE,FALSE)</f>
        <v>1</v>
      </c>
      <c r="J32" s="25">
        <f>F32-C32</f>
        <v>837</v>
      </c>
      <c r="K32" s="4">
        <f>F32/C32-1</f>
        <v>1.1855524079320112</v>
      </c>
      <c r="M32" s="5">
        <v>1963.1</v>
      </c>
      <c r="N32" s="5">
        <v>2166.14</v>
      </c>
      <c r="Q32" s="139">
        <v>12958.97</v>
      </c>
      <c r="U32" s="127">
        <f>N32-M32</f>
        <v>203.03999999999996</v>
      </c>
      <c r="V32" s="4">
        <f>IF(M32=0,0,N32/M32-1)</f>
        <v>0.10342825123529109</v>
      </c>
      <c r="W32" s="18">
        <v>13941.14</v>
      </c>
      <c r="X32" s="18">
        <v>26469.37</v>
      </c>
      <c r="Y32" s="4">
        <f>X32/W32-1</f>
        <v>0.89865176018603932</v>
      </c>
    </row>
    <row r="33" spans="1:30" ht="13.9" customHeight="1">
      <c r="A33" t="s">
        <v>95</v>
      </c>
      <c r="B33" t="s">
        <v>96</v>
      </c>
      <c r="C33" s="28">
        <v>876</v>
      </c>
      <c r="E33" t="s">
        <v>96</v>
      </c>
      <c r="F33" s="28">
        <v>1695</v>
      </c>
      <c r="G33" t="b">
        <f>IF(B33=E33,TRUE,FALSE)</f>
        <v>1</v>
      </c>
      <c r="J33" s="25">
        <f>F33-C33</f>
        <v>819</v>
      </c>
      <c r="K33" s="4">
        <f>F33/C33-1</f>
        <v>0.93493150684931514</v>
      </c>
      <c r="M33" s="5">
        <v>2175.54</v>
      </c>
      <c r="N33" s="5">
        <v>2423.44</v>
      </c>
      <c r="Q33" s="139">
        <v>17353.560000000001</v>
      </c>
      <c r="U33" s="127">
        <f>N33-M33</f>
        <v>247.90000000000009</v>
      </c>
      <c r="V33" s="4">
        <f>IF(M33=0,0,N33/M33-1)</f>
        <v>0.11394872077737017</v>
      </c>
      <c r="W33" s="18">
        <v>17010.439999999999</v>
      </c>
      <c r="X33" s="18">
        <v>26967.06</v>
      </c>
      <c r="Y33" s="4">
        <f>X33/W33-1</f>
        <v>0.58532407157016531</v>
      </c>
      <c r="AD33" t="s">
        <v>97</v>
      </c>
    </row>
    <row r="34" spans="1:30" ht="13.9" customHeight="1">
      <c r="A34" s="54" t="s">
        <v>98</v>
      </c>
      <c r="B34" s="37" t="s">
        <v>99</v>
      </c>
      <c r="C34" s="19">
        <v>1059</v>
      </c>
      <c r="E34" s="37" t="s">
        <v>99</v>
      </c>
      <c r="F34" s="19">
        <v>1857</v>
      </c>
      <c r="G34" t="b">
        <f>IF(B34=E34,TRUE,FALSE)</f>
        <v>1</v>
      </c>
      <c r="J34" s="25">
        <f>F34-C34</f>
        <v>798</v>
      </c>
      <c r="K34" s="4">
        <f>F34/C34-1</f>
        <v>0.7535410764872521</v>
      </c>
      <c r="M34" s="5">
        <v>2865.52</v>
      </c>
      <c r="N34" s="5">
        <v>3582.61</v>
      </c>
      <c r="Q34" s="138">
        <v>19751.36</v>
      </c>
      <c r="U34" s="127">
        <f>N34-M34</f>
        <v>717.09000000000015</v>
      </c>
      <c r="V34" s="4">
        <f>IF(M34=0,0,N34/M34-1)</f>
        <v>0.25024777352801597</v>
      </c>
      <c r="W34">
        <v>26987.51</v>
      </c>
      <c r="X34">
        <v>41257.65</v>
      </c>
      <c r="Y34" s="4">
        <f>X34/W34-1</f>
        <v>0.52876830800618513</v>
      </c>
    </row>
    <row r="35" spans="1:30" ht="13.9" customHeight="1">
      <c r="A35" s="54" t="s">
        <v>100</v>
      </c>
      <c r="B35" s="37" t="s">
        <v>101</v>
      </c>
      <c r="C35" s="28">
        <v>650</v>
      </c>
      <c r="E35" s="37" t="s">
        <v>101</v>
      </c>
      <c r="F35" s="28">
        <v>1447</v>
      </c>
      <c r="G35" t="b">
        <f>IF(B35=E35,TRUE,FALSE)</f>
        <v>1</v>
      </c>
      <c r="J35" s="25">
        <f>F35-C35</f>
        <v>797</v>
      </c>
      <c r="K35" s="4">
        <f>F35/C35-1</f>
        <v>1.2261538461538461</v>
      </c>
      <c r="M35" s="5">
        <v>1485.45</v>
      </c>
      <c r="N35" s="5">
        <v>2539.16</v>
      </c>
      <c r="Q35" s="138">
        <v>13779.88</v>
      </c>
      <c r="U35" s="127">
        <f>N35-M35</f>
        <v>1053.7099999999998</v>
      </c>
      <c r="V35" s="4">
        <f>IF(M35=0,0,N35/M35-1)</f>
        <v>0.70935406779090493</v>
      </c>
      <c r="W35" s="18">
        <v>16676.21</v>
      </c>
      <c r="X35" s="18">
        <v>29704</v>
      </c>
      <c r="Y35" s="4">
        <f>X35/W35-1</f>
        <v>0.78122007338597932</v>
      </c>
    </row>
    <row r="36" spans="1:30" ht="13.9" customHeight="1">
      <c r="A36" s="143" t="s">
        <v>102</v>
      </c>
      <c r="B36" s="37" t="s">
        <v>103</v>
      </c>
      <c r="C36" s="28">
        <v>233</v>
      </c>
      <c r="E36" s="37" t="s">
        <v>103</v>
      </c>
      <c r="F36" s="28">
        <v>1007</v>
      </c>
      <c r="G36" t="b">
        <f>IF(B36=E36,TRUE,FALSE)</f>
        <v>1</v>
      </c>
      <c r="J36" s="25">
        <f>F36-C36</f>
        <v>774</v>
      </c>
      <c r="K36" s="4">
        <f>F36/C36-1</f>
        <v>3.3218884120171674</v>
      </c>
      <c r="M36" s="5">
        <v>802.22</v>
      </c>
      <c r="N36" s="5">
        <v>1836.2</v>
      </c>
      <c r="Q36" s="138">
        <v>11302.85</v>
      </c>
      <c r="U36" s="127">
        <f>N36-M36</f>
        <v>1033.98</v>
      </c>
      <c r="V36" s="4">
        <f>IF(M36=0,0,N36/M36-1)</f>
        <v>1.2888983071975266</v>
      </c>
      <c r="W36" s="18">
        <v>5411.19</v>
      </c>
      <c r="X36" s="18">
        <v>21870.73</v>
      </c>
      <c r="Y36" s="4">
        <f>X36/W36-1</f>
        <v>3.0417597607919884</v>
      </c>
    </row>
    <row r="37" spans="1:30" ht="13.9" customHeight="1">
      <c r="A37" s="143" t="s">
        <v>104</v>
      </c>
      <c r="B37" s="143" t="s">
        <v>105</v>
      </c>
      <c r="C37" s="28">
        <v>5</v>
      </c>
      <c r="E37" s="143" t="s">
        <v>105</v>
      </c>
      <c r="F37" s="28">
        <v>768</v>
      </c>
      <c r="G37" t="b">
        <f>IF(B37=E37,TRUE,FALSE)</f>
        <v>1</v>
      </c>
      <c r="J37" s="25">
        <f>F37-C37</f>
        <v>763</v>
      </c>
      <c r="K37" s="4">
        <f>F37/C37-1</f>
        <v>152.6</v>
      </c>
      <c r="M37" s="5">
        <v>23.82</v>
      </c>
      <c r="N37" s="5">
        <v>1824.24</v>
      </c>
      <c r="Q37" s="138">
        <v>10439.219999999999</v>
      </c>
      <c r="U37" s="127">
        <f>N37-M37</f>
        <v>1800.42</v>
      </c>
      <c r="V37" s="4">
        <f>IF(M37=0,0,N37/M37-1)</f>
        <v>75.584382871536519</v>
      </c>
      <c r="W37" s="18">
        <v>189.65</v>
      </c>
      <c r="X37" s="18">
        <v>18146.53</v>
      </c>
      <c r="Y37" s="4">
        <f>X37/W37-1</f>
        <v>94.684313208542036</v>
      </c>
    </row>
    <row r="38" spans="1:30" ht="13.9" customHeight="1">
      <c r="A38" s="143" t="s">
        <v>106</v>
      </c>
      <c r="B38" s="143" t="s">
        <v>107</v>
      </c>
      <c r="C38" s="28">
        <v>0</v>
      </c>
      <c r="E38" s="143" t="s">
        <v>107</v>
      </c>
      <c r="F38" s="28">
        <v>731</v>
      </c>
      <c r="G38" t="b">
        <f>IF(B38=E38,TRUE,FALSE)</f>
        <v>1</v>
      </c>
      <c r="J38" s="25">
        <f>F38-C38</f>
        <v>731</v>
      </c>
      <c r="K38" s="4" t="e">
        <f>F38/C38-1</f>
        <v>#DIV/0!</v>
      </c>
      <c r="M38" s="5">
        <v>0</v>
      </c>
      <c r="N38" s="5">
        <v>1419.62</v>
      </c>
      <c r="Q38" s="138">
        <v>6769.27</v>
      </c>
      <c r="U38" s="127">
        <f>N38-M38</f>
        <v>1419.62</v>
      </c>
      <c r="V38" s="4">
        <f>IF(M38=0,0,N38/M38-1)</f>
        <v>0</v>
      </c>
      <c r="W38" s="18">
        <v>0</v>
      </c>
      <c r="X38" s="18">
        <v>8023.96</v>
      </c>
      <c r="Y38" s="4" t="e">
        <f>X38/W38-1</f>
        <v>#DIV/0!</v>
      </c>
    </row>
    <row r="39" spans="1:30" ht="13.9" customHeight="1">
      <c r="A39" s="54" t="s">
        <v>108</v>
      </c>
      <c r="B39" s="37" t="s">
        <v>109</v>
      </c>
      <c r="C39" s="19">
        <v>517</v>
      </c>
      <c r="E39" s="37" t="s">
        <v>109</v>
      </c>
      <c r="F39" s="19">
        <v>1245</v>
      </c>
      <c r="G39" t="b">
        <f>IF(B39=E39,TRUE,FALSE)</f>
        <v>1</v>
      </c>
      <c r="J39" s="25">
        <f>F39-C39</f>
        <v>728</v>
      </c>
      <c r="K39" s="4">
        <f>F39/C39-1</f>
        <v>1.4081237911025144</v>
      </c>
      <c r="M39" s="5">
        <v>1289.0999999999999</v>
      </c>
      <c r="N39" s="5">
        <v>1265.8599999999999</v>
      </c>
      <c r="Q39" s="138">
        <v>5439.8</v>
      </c>
      <c r="U39" s="127">
        <f>N39-M39</f>
        <v>-23.240000000000009</v>
      </c>
      <c r="V39" s="4">
        <f>IF(M39=0,0,N39/M39-1)</f>
        <v>-1.8028081607322943E-2</v>
      </c>
      <c r="W39">
        <v>11158.78</v>
      </c>
      <c r="X39">
        <v>19555.25</v>
      </c>
      <c r="Y39" s="4">
        <f>X39/W39-1</f>
        <v>0.75245412132867551</v>
      </c>
    </row>
    <row r="40" spans="1:30" ht="13.9" customHeight="1">
      <c r="A40" s="143" t="s">
        <v>110</v>
      </c>
      <c r="B40" s="143" t="s">
        <v>111</v>
      </c>
      <c r="C40" s="28">
        <v>35</v>
      </c>
      <c r="E40" s="143" t="s">
        <v>111</v>
      </c>
      <c r="F40" s="28">
        <v>760</v>
      </c>
      <c r="G40" t="b">
        <f>IF(B40=E40,TRUE,FALSE)</f>
        <v>1</v>
      </c>
      <c r="J40" s="25">
        <f>F40-C40</f>
        <v>725</v>
      </c>
      <c r="K40" s="4">
        <f>F40/C40-1</f>
        <v>20.714285714285715</v>
      </c>
      <c r="M40" s="5">
        <v>77.09</v>
      </c>
      <c r="N40" s="5">
        <v>1618.97</v>
      </c>
      <c r="Q40" s="138">
        <v>11082.66</v>
      </c>
      <c r="U40" s="127">
        <f>N40-M40</f>
        <v>1541.88</v>
      </c>
      <c r="V40" s="4">
        <f>IF(M40=0,0,N40/M40-1)</f>
        <v>20.001037748086652</v>
      </c>
      <c r="W40" s="18">
        <v>874.65</v>
      </c>
      <c r="X40" s="18">
        <v>12471.2</v>
      </c>
      <c r="Y40" s="4">
        <f>X40/W40-1</f>
        <v>13.258503401360546</v>
      </c>
    </row>
    <row r="41" spans="1:30" ht="13.9" customHeight="1">
      <c r="A41" t="s">
        <v>112</v>
      </c>
      <c r="B41" t="s">
        <v>113</v>
      </c>
      <c r="C41" s="28">
        <v>2696</v>
      </c>
      <c r="E41" t="s">
        <v>113</v>
      </c>
      <c r="F41" s="28">
        <v>3416</v>
      </c>
      <c r="G41" t="b">
        <f>IF(B41=E41,TRUE,FALSE)</f>
        <v>1</v>
      </c>
      <c r="J41" s="25">
        <f>F41-C41</f>
        <v>720</v>
      </c>
      <c r="K41" s="4">
        <f>F41/C41-1</f>
        <v>0.26706231454005924</v>
      </c>
      <c r="M41" s="5">
        <v>2018.8</v>
      </c>
      <c r="N41" s="5">
        <v>1603.35</v>
      </c>
      <c r="Q41" s="139">
        <v>15826.12</v>
      </c>
      <c r="U41" s="127">
        <f>N41-M41</f>
        <v>-415.45000000000005</v>
      </c>
      <c r="V41" s="4">
        <f>IF(M41=0,0,N41/M41-1)</f>
        <v>-0.2057905686546464</v>
      </c>
      <c r="W41" s="18">
        <v>115788.81</v>
      </c>
      <c r="X41" s="18">
        <v>139418.71000000002</v>
      </c>
      <c r="Y41" s="4">
        <f>X41/W41-1</f>
        <v>0.20407757882648614</v>
      </c>
    </row>
    <row r="42" spans="1:30" ht="13.9" customHeight="1">
      <c r="A42" s="54" t="s">
        <v>114</v>
      </c>
      <c r="B42" s="37" t="s">
        <v>115</v>
      </c>
      <c r="C42" s="19">
        <v>2169</v>
      </c>
      <c r="E42" s="37" t="s">
        <v>115</v>
      </c>
      <c r="F42" s="19">
        <v>2887</v>
      </c>
      <c r="G42" t="b">
        <f>IF(B42=E42,TRUE,FALSE)</f>
        <v>1</v>
      </c>
      <c r="J42" s="25">
        <f>F42-C42</f>
        <v>718</v>
      </c>
      <c r="K42" s="4">
        <f>F42/C42-1</f>
        <v>0.33102812355924383</v>
      </c>
      <c r="M42" s="5">
        <v>2182.59</v>
      </c>
      <c r="N42" s="5">
        <v>1894.36</v>
      </c>
      <c r="Q42" s="138">
        <v>14577.41</v>
      </c>
      <c r="U42" s="127">
        <f>N42-M42</f>
        <v>-288.23000000000025</v>
      </c>
      <c r="V42" s="4">
        <f>IF(M42=0,0,N42/M42-1)</f>
        <v>-0.13205870090122296</v>
      </c>
      <c r="W42">
        <v>83657.119999999995</v>
      </c>
      <c r="X42">
        <v>109633.13</v>
      </c>
      <c r="Y42" s="4">
        <f>X42/W42-1</f>
        <v>0.31050566885400799</v>
      </c>
    </row>
    <row r="43" spans="1:30" ht="13.9" customHeight="1">
      <c r="A43" t="s">
        <v>116</v>
      </c>
      <c r="B43" t="s">
        <v>117</v>
      </c>
      <c r="C43" s="28">
        <v>3124</v>
      </c>
      <c r="E43" t="s">
        <v>117</v>
      </c>
      <c r="F43" s="28">
        <v>3828</v>
      </c>
      <c r="G43" t="b">
        <f>IF(B43=E43,TRUE,FALSE)</f>
        <v>1</v>
      </c>
      <c r="J43" s="25">
        <f>F43-C43</f>
        <v>704</v>
      </c>
      <c r="K43" s="4">
        <f>F43/C43-1</f>
        <v>0.22535211267605626</v>
      </c>
      <c r="M43" s="5">
        <v>3221.61</v>
      </c>
      <c r="N43" s="5">
        <v>2936.94</v>
      </c>
      <c r="Q43" s="139">
        <v>20436.240000000002</v>
      </c>
      <c r="U43" s="127">
        <f>N43-M43</f>
        <v>-284.67000000000007</v>
      </c>
      <c r="V43" s="4">
        <f>IF(M43=0,0,N43/M43-1)</f>
        <v>-8.8362650972650392E-2</v>
      </c>
      <c r="W43" s="18">
        <v>93552.7</v>
      </c>
      <c r="X43" s="18">
        <v>108093.75</v>
      </c>
      <c r="Y43" s="4">
        <f>X43/W43-1</f>
        <v>0.1554316444100492</v>
      </c>
    </row>
    <row r="44" spans="1:30">
      <c r="A44" t="s">
        <v>118</v>
      </c>
      <c r="B44" t="s">
        <v>119</v>
      </c>
      <c r="C44" s="28">
        <v>2904</v>
      </c>
      <c r="E44" t="s">
        <v>119</v>
      </c>
      <c r="F44" s="28">
        <v>3602</v>
      </c>
      <c r="G44" t="b">
        <f>IF(B44=E44,TRUE,FALSE)</f>
        <v>1</v>
      </c>
      <c r="J44" s="25">
        <f>F44-C44</f>
        <v>698</v>
      </c>
      <c r="K44" s="4">
        <f>F44/C44-1</f>
        <v>0.24035812672176315</v>
      </c>
      <c r="M44" s="5">
        <v>5569.97</v>
      </c>
      <c r="N44" s="5">
        <v>5954.87</v>
      </c>
      <c r="Q44" s="139">
        <v>50022.79</v>
      </c>
      <c r="U44" s="127">
        <f>N44-M44</f>
        <v>384.89999999999964</v>
      </c>
      <c r="V44" s="4">
        <f>IF(M44=0,0,N44/M44-1)</f>
        <v>6.9102706118704393E-2</v>
      </c>
      <c r="W44" s="18">
        <v>70262.960000000006</v>
      </c>
      <c r="X44" s="18">
        <v>89971.99</v>
      </c>
      <c r="Y44" s="4">
        <f>X44/W44-1</f>
        <v>0.28050383872242213</v>
      </c>
    </row>
    <row r="45" spans="1:30">
      <c r="A45" s="55" t="s">
        <v>120</v>
      </c>
      <c r="B45" s="37" t="s">
        <v>121</v>
      </c>
      <c r="C45" s="28">
        <v>1604</v>
      </c>
      <c r="E45" s="37" t="s">
        <v>121</v>
      </c>
      <c r="F45" s="28">
        <v>2298</v>
      </c>
      <c r="G45" t="b">
        <f>IF(B45=E45,TRUE,FALSE)</f>
        <v>1</v>
      </c>
      <c r="J45" s="25">
        <f>F45-C45</f>
        <v>694</v>
      </c>
      <c r="K45" s="4">
        <f>F45/C45-1</f>
        <v>0.43266832917705744</v>
      </c>
      <c r="M45" s="5">
        <v>3040.84</v>
      </c>
      <c r="N45" s="5">
        <v>3619.5</v>
      </c>
      <c r="Q45" s="139">
        <v>28164.85</v>
      </c>
      <c r="U45" s="127">
        <f>N45-M45</f>
        <v>578.65999999999985</v>
      </c>
      <c r="V45" s="4">
        <f>IF(M45=0,0,N45/M45-1)</f>
        <v>0.19029610239275985</v>
      </c>
      <c r="W45" s="18">
        <v>33012.26</v>
      </c>
      <c r="X45" s="18">
        <v>43469.7</v>
      </c>
      <c r="Y45" s="4">
        <f>X45/W45-1</f>
        <v>0.31677443471001365</v>
      </c>
    </row>
    <row r="46" spans="1:30">
      <c r="A46" s="54" t="s">
        <v>122</v>
      </c>
      <c r="B46" s="37" t="s">
        <v>123</v>
      </c>
      <c r="C46" s="19">
        <v>1430</v>
      </c>
      <c r="E46" s="37" t="s">
        <v>123</v>
      </c>
      <c r="F46" s="19">
        <v>2120</v>
      </c>
      <c r="G46" t="b">
        <f>IF(B46=E46,TRUE,FALSE)</f>
        <v>1</v>
      </c>
      <c r="J46" s="25">
        <f>F46-C46</f>
        <v>690</v>
      </c>
      <c r="K46" s="4">
        <f>F46/C46-1</f>
        <v>0.4825174825174825</v>
      </c>
      <c r="M46" s="5">
        <v>2684.46</v>
      </c>
      <c r="N46" s="5">
        <v>2911.19</v>
      </c>
      <c r="Q46" s="138">
        <v>14669.66</v>
      </c>
      <c r="U46" s="127">
        <f>N46-M46</f>
        <v>226.73000000000002</v>
      </c>
      <c r="V46" s="4">
        <f>IF(M46=0,0,N46/M46-1)</f>
        <v>8.4460189386319717E-2</v>
      </c>
      <c r="W46">
        <v>23523.72</v>
      </c>
      <c r="X46">
        <v>29960.799999999999</v>
      </c>
      <c r="Y46" s="4">
        <f>X46/W46-1</f>
        <v>0.27364209402254391</v>
      </c>
      <c r="AD46" t="s">
        <v>124</v>
      </c>
    </row>
    <row r="47" spans="1:30" ht="13.5" customHeight="1">
      <c r="A47" s="54" t="s">
        <v>125</v>
      </c>
      <c r="B47" s="37" t="s">
        <v>126</v>
      </c>
      <c r="C47" s="28">
        <v>861</v>
      </c>
      <c r="E47" s="37" t="s">
        <v>126</v>
      </c>
      <c r="F47" s="28">
        <v>1541</v>
      </c>
      <c r="G47" t="b">
        <f>IF(B47=E47,TRUE,FALSE)</f>
        <v>1</v>
      </c>
      <c r="J47" s="25">
        <f>F47-C47</f>
        <v>680</v>
      </c>
      <c r="K47" s="4">
        <f>F47/C47-1</f>
        <v>0.78977932636469217</v>
      </c>
      <c r="M47" s="5">
        <v>1862.49</v>
      </c>
      <c r="N47" s="5">
        <v>2210.98</v>
      </c>
      <c r="Q47" s="138">
        <v>10762</v>
      </c>
      <c r="U47" s="127">
        <f>N47-M47</f>
        <v>348.49</v>
      </c>
      <c r="V47" s="4">
        <f>IF(M47=0,0,N47/M47-1)</f>
        <v>0.1871097294482118</v>
      </c>
      <c r="W47" s="18">
        <v>17118.400000000001</v>
      </c>
      <c r="X47" s="18">
        <v>24213.69</v>
      </c>
      <c r="Y47" s="4">
        <f>X47/W47-1</f>
        <v>0.41448324609776588</v>
      </c>
      <c r="AD47" t="s">
        <v>127</v>
      </c>
    </row>
    <row r="48" spans="1:30">
      <c r="A48" s="54" t="s">
        <v>128</v>
      </c>
      <c r="B48" s="37" t="s">
        <v>129</v>
      </c>
      <c r="C48" s="28">
        <v>833</v>
      </c>
      <c r="E48" s="37" t="s">
        <v>129</v>
      </c>
      <c r="F48" s="28">
        <v>1503</v>
      </c>
      <c r="G48" t="b">
        <f>IF(B48=E48,TRUE,FALSE)</f>
        <v>1</v>
      </c>
      <c r="J48" s="25">
        <f>F48-C48</f>
        <v>670</v>
      </c>
      <c r="K48" s="4">
        <f>F48/C48-1</f>
        <v>0.80432172869147656</v>
      </c>
      <c r="M48" s="5">
        <v>1512.85</v>
      </c>
      <c r="N48" s="5">
        <v>1799.65</v>
      </c>
      <c r="Q48" s="139">
        <v>8461.57</v>
      </c>
      <c r="U48" s="127">
        <f>N48-M48</f>
        <v>286.80000000000018</v>
      </c>
      <c r="V48" s="4">
        <f>IF(M48=0,0,N48/M48-1)</f>
        <v>0.18957596589219028</v>
      </c>
      <c r="W48" s="18">
        <v>12865.89</v>
      </c>
      <c r="X48" s="18">
        <v>18051.09</v>
      </c>
      <c r="Y48" s="4">
        <f>X48/W48-1</f>
        <v>0.40301914597435551</v>
      </c>
    </row>
    <row r="49" spans="1:25">
      <c r="A49" t="s">
        <v>130</v>
      </c>
      <c r="B49" t="s">
        <v>131</v>
      </c>
      <c r="C49" s="28">
        <v>2092</v>
      </c>
      <c r="E49" t="s">
        <v>131</v>
      </c>
      <c r="F49" s="28">
        <v>2761</v>
      </c>
      <c r="G49" t="b">
        <f>IF(B49=E49,TRUE,FALSE)</f>
        <v>1</v>
      </c>
      <c r="J49" s="25">
        <f>F49-C49</f>
        <v>669</v>
      </c>
      <c r="K49" s="4">
        <f>F49/C49-1</f>
        <v>0.3197896749521989</v>
      </c>
      <c r="M49" s="5">
        <v>4014.13</v>
      </c>
      <c r="N49" s="5">
        <v>4524.25</v>
      </c>
      <c r="Q49" s="139">
        <v>26784.57</v>
      </c>
      <c r="U49" s="127">
        <f>N49-M49</f>
        <v>510.11999999999989</v>
      </c>
      <c r="V49" s="4">
        <f>IF(M49=0,0,N49/M49-1)</f>
        <v>0.12708108606348079</v>
      </c>
      <c r="W49" s="18">
        <v>54613.9</v>
      </c>
      <c r="X49" s="18">
        <v>74395.990000000005</v>
      </c>
      <c r="Y49" s="4">
        <f>X49/W49-1</f>
        <v>0.36221712787403937</v>
      </c>
    </row>
    <row r="50" spans="1:25">
      <c r="A50" t="s">
        <v>132</v>
      </c>
      <c r="B50" t="s">
        <v>133</v>
      </c>
      <c r="C50" s="28">
        <v>1931</v>
      </c>
      <c r="E50" t="s">
        <v>133</v>
      </c>
      <c r="F50" s="28">
        <v>2598</v>
      </c>
      <c r="G50" t="b">
        <f>IF(B50=E50,TRUE,FALSE)</f>
        <v>1</v>
      </c>
      <c r="J50" s="25">
        <f>F50-C50</f>
        <v>667</v>
      </c>
      <c r="K50" s="4">
        <f>F50/C50-1</f>
        <v>0.34541688244432933</v>
      </c>
      <c r="M50" s="5">
        <v>2796.32</v>
      </c>
      <c r="N50" s="5">
        <v>3061.01</v>
      </c>
      <c r="Q50" s="139">
        <v>24671.74</v>
      </c>
      <c r="U50" s="127">
        <f>N50-M50</f>
        <v>264.69000000000005</v>
      </c>
      <c r="V50" s="4">
        <f>IF(M50=0,0,N50/M50-1)</f>
        <v>9.4656548606740332E-2</v>
      </c>
      <c r="W50" s="18">
        <v>45124.77</v>
      </c>
      <c r="X50" s="18">
        <v>54973.33</v>
      </c>
      <c r="Y50" s="4">
        <f>X50/W50-1</f>
        <v>0.21825174953800341</v>
      </c>
    </row>
    <row r="51" spans="1:25">
      <c r="A51" s="54" t="s">
        <v>134</v>
      </c>
      <c r="B51" s="37" t="s">
        <v>135</v>
      </c>
      <c r="C51" s="28">
        <v>605</v>
      </c>
      <c r="E51" s="37" t="s">
        <v>135</v>
      </c>
      <c r="F51" s="28">
        <v>1271</v>
      </c>
      <c r="G51" t="b">
        <f>IF(B51=E51,TRUE,FALSE)</f>
        <v>1</v>
      </c>
      <c r="J51" s="25">
        <f>F51-C51</f>
        <v>666</v>
      </c>
      <c r="K51" s="4">
        <f>F51/C51-1</f>
        <v>1.1008264462809918</v>
      </c>
      <c r="M51" s="5">
        <v>1541.22</v>
      </c>
      <c r="N51" s="5">
        <v>1878.89</v>
      </c>
      <c r="Q51" s="138">
        <v>11379.44</v>
      </c>
      <c r="U51" s="127">
        <f>N51-M51</f>
        <v>337.67000000000007</v>
      </c>
      <c r="V51" s="4">
        <f>IF(M51=0,0,N51/M51-1)</f>
        <v>0.21909266684834106</v>
      </c>
      <c r="W51" s="18">
        <v>15174.23</v>
      </c>
      <c r="X51" s="18">
        <v>27032.79</v>
      </c>
      <c r="Y51" s="4">
        <f>X51/W51-1</f>
        <v>0.78149336078338094</v>
      </c>
    </row>
    <row r="52" spans="1:25">
      <c r="A52" s="143" t="s">
        <v>136</v>
      </c>
      <c r="B52" s="143" t="s">
        <v>137</v>
      </c>
      <c r="C52" s="28">
        <v>0</v>
      </c>
      <c r="E52" s="143" t="s">
        <v>137</v>
      </c>
      <c r="F52" s="28">
        <v>660</v>
      </c>
      <c r="G52" t="b">
        <f>IF(B52=E52,TRUE,FALSE)</f>
        <v>1</v>
      </c>
      <c r="J52" s="25">
        <f>F52-C52</f>
        <v>660</v>
      </c>
      <c r="K52" s="4" t="e">
        <f>F52/C52-1</f>
        <v>#DIV/0!</v>
      </c>
      <c r="M52" s="5">
        <v>0</v>
      </c>
      <c r="N52" s="5">
        <v>620.62</v>
      </c>
      <c r="Q52" s="138">
        <v>5094.45</v>
      </c>
      <c r="U52" s="127">
        <f>N52-M52</f>
        <v>620.62</v>
      </c>
      <c r="V52" s="4">
        <f>IF(M52=0,0,N52/M52-1)</f>
        <v>0</v>
      </c>
      <c r="W52" s="18">
        <v>0</v>
      </c>
      <c r="X52" s="18">
        <v>14456.45</v>
      </c>
      <c r="Y52" s="4" t="e">
        <f>X52/W52-1</f>
        <v>#DIV/0!</v>
      </c>
    </row>
    <row r="53" spans="1:25">
      <c r="A53" s="54" t="s">
        <v>138</v>
      </c>
      <c r="B53" s="37" t="s">
        <v>139</v>
      </c>
      <c r="C53" s="28">
        <v>2386</v>
      </c>
      <c r="E53" s="37" t="s">
        <v>139</v>
      </c>
      <c r="F53" s="28">
        <v>3035</v>
      </c>
      <c r="G53" t="b">
        <f>IF(B53=E53,TRUE,FALSE)</f>
        <v>1</v>
      </c>
      <c r="J53" s="25">
        <f>F53-C53</f>
        <v>649</v>
      </c>
      <c r="K53" s="4">
        <f>F53/C53-1</f>
        <v>0.27200335289186928</v>
      </c>
      <c r="M53" s="5">
        <v>4205.0200000000004</v>
      </c>
      <c r="N53" s="5">
        <v>3675.22</v>
      </c>
      <c r="Q53" s="138">
        <v>22387.73</v>
      </c>
      <c r="U53" s="127">
        <f>N53-M53</f>
        <v>-529.80000000000064</v>
      </c>
      <c r="V53" s="4">
        <f>IF(M53=0,0,N53/M53-1)</f>
        <v>-0.12599226638636696</v>
      </c>
      <c r="W53" s="18">
        <v>47327.630000000005</v>
      </c>
      <c r="X53" s="18">
        <v>63688.47</v>
      </c>
      <c r="Y53" s="4">
        <f>X53/W53-1</f>
        <v>0.34569320289226391</v>
      </c>
    </row>
    <row r="54" spans="1:25">
      <c r="A54" s="143" t="s">
        <v>140</v>
      </c>
      <c r="B54" s="143" t="s">
        <v>139</v>
      </c>
      <c r="C54" s="28">
        <v>2386</v>
      </c>
      <c r="E54" s="143" t="s">
        <v>139</v>
      </c>
      <c r="F54" s="28">
        <v>3035</v>
      </c>
      <c r="G54" t="b">
        <f>IF(B54=E54,TRUE,FALSE)</f>
        <v>1</v>
      </c>
      <c r="J54" s="25">
        <f>F54-C54</f>
        <v>649</v>
      </c>
      <c r="K54" s="4">
        <f>F54/C54-1</f>
        <v>0.27200335289186928</v>
      </c>
      <c r="M54" s="5">
        <v>4205.0200000000004</v>
      </c>
      <c r="N54" s="5">
        <v>3675.22</v>
      </c>
      <c r="Q54" s="138">
        <v>22387.73</v>
      </c>
      <c r="U54" s="127">
        <f>N54-M54</f>
        <v>-529.80000000000064</v>
      </c>
      <c r="V54" s="4">
        <f>IF(M54=0,0,N54/M54-1)</f>
        <v>-0.12599226638636696</v>
      </c>
      <c r="W54" s="18">
        <v>47327.630000000005</v>
      </c>
      <c r="X54" s="18">
        <v>63688.47</v>
      </c>
      <c r="Y54" s="4">
        <f>X54/W54-1</f>
        <v>0.34569320289226391</v>
      </c>
    </row>
    <row r="55" spans="1:25">
      <c r="A55" s="143" t="s">
        <v>141</v>
      </c>
      <c r="B55" s="143" t="s">
        <v>142</v>
      </c>
      <c r="C55" s="28">
        <v>386</v>
      </c>
      <c r="E55" s="143" t="s">
        <v>142</v>
      </c>
      <c r="F55" s="28">
        <v>1011</v>
      </c>
      <c r="G55" t="b">
        <f>IF(B55=E55,TRUE,FALSE)</f>
        <v>1</v>
      </c>
      <c r="J55" s="25">
        <f>F55-C55</f>
        <v>625</v>
      </c>
      <c r="K55" s="4">
        <f>F55/C55-1</f>
        <v>1.6191709844559585</v>
      </c>
      <c r="M55" s="5">
        <v>927.3</v>
      </c>
      <c r="N55" s="5">
        <v>2512.17</v>
      </c>
      <c r="Q55" s="138">
        <v>16359.19</v>
      </c>
      <c r="U55" s="127">
        <f>N55-M55</f>
        <v>1584.8700000000001</v>
      </c>
      <c r="V55" s="4">
        <f>IF(M55=0,0,N55/M55-1)</f>
        <v>1.7091232610805567</v>
      </c>
      <c r="W55" s="18">
        <v>10343.719999999999</v>
      </c>
      <c r="X55" s="18">
        <v>22178.9</v>
      </c>
      <c r="Y55" s="4">
        <f>X55/W55-1</f>
        <v>1.1441899045991195</v>
      </c>
    </row>
    <row r="56" spans="1:25">
      <c r="A56" t="s">
        <v>143</v>
      </c>
      <c r="B56" t="s">
        <v>144</v>
      </c>
      <c r="C56" s="28">
        <v>1536</v>
      </c>
      <c r="E56" t="s">
        <v>144</v>
      </c>
      <c r="F56" s="28">
        <v>2156</v>
      </c>
      <c r="G56" t="b">
        <f>IF(B56=E56,TRUE,FALSE)</f>
        <v>1</v>
      </c>
      <c r="J56" s="25">
        <f>F56-C56</f>
        <v>620</v>
      </c>
      <c r="K56" s="4">
        <f>F56/C56-1</f>
        <v>0.40364583333333326</v>
      </c>
      <c r="M56" s="5">
        <v>2578.63</v>
      </c>
      <c r="N56" s="5">
        <v>4882.87</v>
      </c>
      <c r="Q56" s="139">
        <v>29290.11</v>
      </c>
      <c r="U56" s="127">
        <f>N56-M56</f>
        <v>2304.2399999999998</v>
      </c>
      <c r="V56" s="4">
        <f>IF(M56=0,0,N56/M56-1)</f>
        <v>0.89359078270244274</v>
      </c>
      <c r="W56" s="18">
        <v>43861.34</v>
      </c>
      <c r="X56" s="18">
        <v>61738.02</v>
      </c>
      <c r="Y56" s="4">
        <f>X56/W56-1</f>
        <v>0.40757259126146184</v>
      </c>
    </row>
    <row r="57" spans="1:25">
      <c r="A57" s="55" t="s">
        <v>145</v>
      </c>
      <c r="B57" s="37" t="s">
        <v>146</v>
      </c>
      <c r="C57" s="28">
        <v>1053</v>
      </c>
      <c r="E57" s="37" t="s">
        <v>146</v>
      </c>
      <c r="F57" s="28">
        <v>1667</v>
      </c>
      <c r="G57" t="b">
        <f>IF(B57=E57,TRUE,FALSE)</f>
        <v>1</v>
      </c>
      <c r="J57" s="25">
        <f>F57-C57</f>
        <v>614</v>
      </c>
      <c r="K57" s="4">
        <f>F57/C57-1</f>
        <v>0.58309591642924974</v>
      </c>
      <c r="M57" s="5">
        <v>1702.56</v>
      </c>
      <c r="N57" s="5">
        <v>2484.1999999999998</v>
      </c>
      <c r="Q57" s="139">
        <v>12006.4</v>
      </c>
      <c r="U57" s="127">
        <f>N57-M57</f>
        <v>781.63999999999987</v>
      </c>
      <c r="V57" s="4">
        <f>IF(M57=0,0,N57/M57-1)</f>
        <v>0.45909688939009485</v>
      </c>
      <c r="W57" s="18">
        <v>19416.63</v>
      </c>
      <c r="X57" s="18">
        <v>27989.25</v>
      </c>
      <c r="Y57" s="4">
        <f>X57/W57-1</f>
        <v>0.44150915993146067</v>
      </c>
    </row>
    <row r="58" spans="1:25">
      <c r="A58" s="142" t="s">
        <v>147</v>
      </c>
      <c r="B58" s="37" t="s">
        <v>148</v>
      </c>
      <c r="C58" s="28">
        <v>263</v>
      </c>
      <c r="E58" s="37" t="s">
        <v>148</v>
      </c>
      <c r="F58" s="28">
        <v>870</v>
      </c>
      <c r="G58" t="b">
        <f>IF(B58=E58,TRUE,FALSE)</f>
        <v>1</v>
      </c>
      <c r="J58" s="25">
        <f>F58-C58</f>
        <v>607</v>
      </c>
      <c r="K58" s="4">
        <f>F58/C58-1</f>
        <v>2.3079847908745248</v>
      </c>
      <c r="M58" s="5">
        <v>399.22</v>
      </c>
      <c r="N58" s="5">
        <v>1029.02</v>
      </c>
      <c r="Q58" s="138">
        <v>4027.3</v>
      </c>
      <c r="U58" s="127">
        <f>N58-M58</f>
        <v>629.79999999999995</v>
      </c>
      <c r="V58" s="4">
        <f>IF(M58=0,0,N58/M58-1)</f>
        <v>1.5775762737337806</v>
      </c>
      <c r="W58" s="18">
        <v>5027.37</v>
      </c>
      <c r="X58" s="18">
        <v>13149.3</v>
      </c>
      <c r="Y58" s="4"/>
    </row>
    <row r="59" spans="1:25">
      <c r="A59" s="37" t="s">
        <v>149</v>
      </c>
      <c r="B59" s="37" t="s">
        <v>150</v>
      </c>
      <c r="C59" s="28">
        <v>2031</v>
      </c>
      <c r="E59" s="37" t="s">
        <v>150</v>
      </c>
      <c r="F59" s="28">
        <v>2601</v>
      </c>
      <c r="G59" t="b">
        <f>IF(B59=E59,TRUE,FALSE)</f>
        <v>1</v>
      </c>
      <c r="J59" s="25">
        <f>F59-C59</f>
        <v>570</v>
      </c>
      <c r="K59" s="4">
        <f>F59/C59-1</f>
        <v>0.28064992614475637</v>
      </c>
      <c r="M59" s="5">
        <v>4037.29</v>
      </c>
      <c r="N59" s="5">
        <v>3915.36</v>
      </c>
      <c r="Q59" s="139">
        <v>27283.59</v>
      </c>
      <c r="U59" s="127">
        <f>N59-M59</f>
        <v>-121.92999999999984</v>
      </c>
      <c r="V59" s="4">
        <f>IF(M59=0,0,N59/M59-1)</f>
        <v>-3.0200951628443828E-2</v>
      </c>
      <c r="W59" s="18">
        <v>48843.63</v>
      </c>
      <c r="X59" s="18">
        <v>57119.05</v>
      </c>
      <c r="Y59" s="4">
        <f>X59/W59-1</f>
        <v>0.16942680140685717</v>
      </c>
    </row>
    <row r="60" spans="1:25">
      <c r="A60" t="s">
        <v>151</v>
      </c>
      <c r="B60" t="s">
        <v>152</v>
      </c>
      <c r="C60" s="28">
        <v>2842</v>
      </c>
      <c r="E60" t="s">
        <v>152</v>
      </c>
      <c r="F60" s="28">
        <v>3393</v>
      </c>
      <c r="G60" t="b">
        <f>IF(B60=E60,TRUE,FALSE)</f>
        <v>1</v>
      </c>
      <c r="J60" s="25">
        <f>F60-C60</f>
        <v>551</v>
      </c>
      <c r="K60" s="4">
        <f>F60/C60-1</f>
        <v>0.19387755102040827</v>
      </c>
      <c r="M60" s="5">
        <v>3942.42</v>
      </c>
      <c r="N60" s="5">
        <v>3498.23</v>
      </c>
      <c r="Q60" s="139">
        <v>25480.46</v>
      </c>
      <c r="U60" s="127">
        <f>N60-M60</f>
        <v>-444.19000000000005</v>
      </c>
      <c r="V60" s="4">
        <f>IF(M60=0,0,N60/M60-1)</f>
        <v>-0.11266937566266411</v>
      </c>
      <c r="W60" s="18">
        <v>82263.62</v>
      </c>
      <c r="X60" s="18">
        <v>98335.02</v>
      </c>
      <c r="Y60" s="4">
        <f>X60/W60-1</f>
        <v>0.19536460953213597</v>
      </c>
    </row>
    <row r="61" spans="1:25">
      <c r="A61" s="142" t="s">
        <v>153</v>
      </c>
      <c r="B61" s="142" t="s">
        <v>154</v>
      </c>
      <c r="C61" s="28">
        <v>822</v>
      </c>
      <c r="E61" s="142" t="s">
        <v>154</v>
      </c>
      <c r="F61" s="28">
        <v>1368</v>
      </c>
      <c r="G61" t="b">
        <f>IF(B61=E61,TRUE,FALSE)</f>
        <v>1</v>
      </c>
      <c r="J61" s="25">
        <f>F61-C61</f>
        <v>546</v>
      </c>
      <c r="K61" s="4">
        <f>F61/C61-1</f>
        <v>0.66423357664233573</v>
      </c>
      <c r="M61" s="5">
        <v>1322.23</v>
      </c>
      <c r="N61" s="5">
        <v>3878.77</v>
      </c>
      <c r="Q61" s="138">
        <v>19744.28</v>
      </c>
      <c r="U61" s="127">
        <f>N61-M61</f>
        <v>2556.54</v>
      </c>
      <c r="V61" s="4">
        <f>IF(M61=0,0,N61/M61-1)</f>
        <v>1.933506273492509</v>
      </c>
      <c r="W61" s="18">
        <v>28366.58</v>
      </c>
      <c r="X61" s="18">
        <v>54702.720000000001</v>
      </c>
      <c r="Y61" s="4"/>
    </row>
    <row r="62" spans="1:25">
      <c r="A62" s="143" t="s">
        <v>155</v>
      </c>
      <c r="B62" s="143" t="s">
        <v>156</v>
      </c>
      <c r="C62" s="28">
        <v>0</v>
      </c>
      <c r="E62" s="143" t="s">
        <v>156</v>
      </c>
      <c r="F62" s="28">
        <v>546</v>
      </c>
      <c r="G62" t="b">
        <f>IF(B62=E62,TRUE,FALSE)</f>
        <v>1</v>
      </c>
      <c r="J62" s="25">
        <f>F62-C62</f>
        <v>546</v>
      </c>
      <c r="K62" s="4" t="e">
        <f>F62/C62-1</f>
        <v>#DIV/0!</v>
      </c>
      <c r="M62" s="5">
        <v>0</v>
      </c>
      <c r="N62" s="5">
        <v>1384.24</v>
      </c>
      <c r="Q62" s="138">
        <v>7377.93</v>
      </c>
      <c r="U62" s="127">
        <f>N62-M62</f>
        <v>1384.24</v>
      </c>
      <c r="V62" s="4">
        <f>IF(M62=0,0,N62/M62-1)</f>
        <v>0</v>
      </c>
      <c r="W62" s="18">
        <v>0</v>
      </c>
      <c r="X62" s="18">
        <v>8585.56</v>
      </c>
      <c r="Y62" s="4" t="e">
        <f>X62/W62-1</f>
        <v>#DIV/0!</v>
      </c>
    </row>
    <row r="63" spans="1:25">
      <c r="A63" s="143" t="s">
        <v>157</v>
      </c>
      <c r="B63" s="143" t="s">
        <v>158</v>
      </c>
      <c r="C63" s="28">
        <v>0</v>
      </c>
      <c r="E63" s="143" t="s">
        <v>158</v>
      </c>
      <c r="F63" s="28">
        <v>537</v>
      </c>
      <c r="G63" t="b">
        <f>IF(B63=E63,TRUE,FALSE)</f>
        <v>1</v>
      </c>
      <c r="J63" s="25">
        <f>F63-C63</f>
        <v>537</v>
      </c>
      <c r="K63" s="4" t="e">
        <f>F63/C63-1</f>
        <v>#DIV/0!</v>
      </c>
      <c r="M63" s="5">
        <v>0</v>
      </c>
      <c r="N63" s="5">
        <v>1246.33</v>
      </c>
      <c r="Q63" s="138">
        <v>3239.75</v>
      </c>
      <c r="U63" s="127">
        <f>N63-M63</f>
        <v>1246.33</v>
      </c>
      <c r="V63" s="4">
        <f>IF(M63=0,0,N63/M63-1)</f>
        <v>0</v>
      </c>
      <c r="W63" s="18">
        <v>0</v>
      </c>
      <c r="X63" s="18">
        <v>6172.67</v>
      </c>
      <c r="Y63" s="4" t="e">
        <f>X63/W63-1</f>
        <v>#DIV/0!</v>
      </c>
    </row>
    <row r="64" spans="1:25">
      <c r="A64" t="s">
        <v>159</v>
      </c>
      <c r="B64" t="s">
        <v>160</v>
      </c>
      <c r="C64" s="28">
        <v>1063</v>
      </c>
      <c r="E64" t="s">
        <v>160</v>
      </c>
      <c r="F64" s="28">
        <v>1591</v>
      </c>
      <c r="G64" t="b">
        <f>IF(B64=E64,TRUE,FALSE)</f>
        <v>1</v>
      </c>
      <c r="J64" s="25">
        <f>F64-C64</f>
        <v>528</v>
      </c>
      <c r="K64" s="4">
        <f>F64/C64-1</f>
        <v>0.49670743179680144</v>
      </c>
      <c r="M64" s="5">
        <v>2386.59</v>
      </c>
      <c r="N64" s="5">
        <v>2600.31</v>
      </c>
      <c r="Q64" s="139">
        <v>15706.32</v>
      </c>
      <c r="U64" s="127">
        <f>N64-M64</f>
        <v>213.7199999999998</v>
      </c>
      <c r="V64" s="4">
        <f>IF(M64=0,0,N64/M64-1)</f>
        <v>8.9550362651314108E-2</v>
      </c>
      <c r="W64" s="18">
        <v>23708.12</v>
      </c>
      <c r="X64" s="18">
        <v>36568.129999999997</v>
      </c>
      <c r="Y64" s="4">
        <f>X64/W64-1</f>
        <v>0.54243061027192363</v>
      </c>
    </row>
    <row r="65" spans="1:30">
      <c r="A65" t="s">
        <v>161</v>
      </c>
      <c r="B65" t="s">
        <v>162</v>
      </c>
      <c r="C65" s="28">
        <v>1525</v>
      </c>
      <c r="E65" t="s">
        <v>162</v>
      </c>
      <c r="F65" s="28">
        <v>2022</v>
      </c>
      <c r="G65" t="b">
        <f>IF(B65=E65,TRUE,FALSE)</f>
        <v>1</v>
      </c>
      <c r="J65" s="25">
        <f>F65-C65</f>
        <v>497</v>
      </c>
      <c r="K65" s="4">
        <f>F65/C65-1</f>
        <v>0.3259016393442622</v>
      </c>
      <c r="M65" s="5">
        <v>1985.02</v>
      </c>
      <c r="N65" s="5">
        <v>2455.79</v>
      </c>
      <c r="Q65" s="139">
        <v>12887.43</v>
      </c>
      <c r="U65" s="127">
        <f>N65-M65</f>
        <v>470.77</v>
      </c>
      <c r="V65" s="4">
        <f>IF(M65=0,0,N65/M65-1)</f>
        <v>0.23716133842480169</v>
      </c>
      <c r="W65" s="18">
        <v>41151.919999999998</v>
      </c>
      <c r="X65" s="18">
        <v>54569.46</v>
      </c>
      <c r="Y65" s="4">
        <f>X65/W65-1</f>
        <v>0.32604894255237671</v>
      </c>
    </row>
    <row r="66" spans="1:30">
      <c r="A66" t="s">
        <v>163</v>
      </c>
      <c r="B66" t="s">
        <v>164</v>
      </c>
      <c r="C66" s="28">
        <v>2651</v>
      </c>
      <c r="E66" t="s">
        <v>164</v>
      </c>
      <c r="F66" s="28">
        <v>3147</v>
      </c>
      <c r="G66" t="b">
        <f>IF(B66=E66,TRUE,FALSE)</f>
        <v>1</v>
      </c>
      <c r="J66" s="25">
        <f>F66-C66</f>
        <v>496</v>
      </c>
      <c r="K66" s="4">
        <f>F66/C66-1</f>
        <v>0.18709920784609579</v>
      </c>
      <c r="M66" s="5">
        <v>5156.13</v>
      </c>
      <c r="N66" s="5">
        <v>6023.05</v>
      </c>
      <c r="Q66" s="139">
        <v>40057.769999999997</v>
      </c>
      <c r="U66" s="127">
        <f>N66-M66</f>
        <v>866.92000000000007</v>
      </c>
      <c r="V66" s="4">
        <f>IF(M66=0,0,N66/M66-1)</f>
        <v>0.16813385232722999</v>
      </c>
      <c r="W66" s="18">
        <v>84676.73</v>
      </c>
      <c r="X66" s="18">
        <v>100129.74</v>
      </c>
      <c r="Y66" s="4">
        <f>X66/W66-1</f>
        <v>0.18249417520019984</v>
      </c>
    </row>
    <row r="67" spans="1:30">
      <c r="A67" t="s">
        <v>165</v>
      </c>
      <c r="B67" t="s">
        <v>166</v>
      </c>
      <c r="C67" s="28">
        <v>347</v>
      </c>
      <c r="E67" t="s">
        <v>166</v>
      </c>
      <c r="F67" s="28">
        <v>838</v>
      </c>
      <c r="G67" t="b">
        <f>IF(B67=E67,TRUE,FALSE)</f>
        <v>1</v>
      </c>
      <c r="J67" s="25">
        <f>F67-C67</f>
        <v>491</v>
      </c>
      <c r="K67" s="4">
        <f>F67/C67-1</f>
        <v>1.4149855907780982</v>
      </c>
      <c r="M67" s="5">
        <v>734.2</v>
      </c>
      <c r="N67" s="5">
        <v>1677.41</v>
      </c>
      <c r="Q67" s="139">
        <v>11271.17</v>
      </c>
      <c r="U67" s="127">
        <f>N67-M67</f>
        <v>943.21</v>
      </c>
      <c r="V67" s="4">
        <f>IF(M67=0,0,N67/M67-1)</f>
        <v>1.2846771996731134</v>
      </c>
      <c r="W67" s="18">
        <v>8575.2800000000007</v>
      </c>
      <c r="X67" s="18">
        <v>18536.12</v>
      </c>
      <c r="Y67" s="4">
        <f>X67/W67-1</f>
        <v>1.1615760651547236</v>
      </c>
    </row>
    <row r="68" spans="1:30">
      <c r="A68" t="s">
        <v>167</v>
      </c>
      <c r="B68" t="s">
        <v>168</v>
      </c>
      <c r="C68" s="28">
        <v>3128</v>
      </c>
      <c r="E68" t="s">
        <v>168</v>
      </c>
      <c r="F68" s="28">
        <v>3610</v>
      </c>
      <c r="G68" t="b">
        <f>IF(B68=E68,TRUE,FALSE)</f>
        <v>1</v>
      </c>
      <c r="J68" s="25">
        <f>F68-C68</f>
        <v>482</v>
      </c>
      <c r="K68" s="4">
        <f>F68/C68-1</f>
        <v>0.15409207161125327</v>
      </c>
      <c r="M68" s="5">
        <v>4098.93</v>
      </c>
      <c r="N68" s="5">
        <v>3997.73</v>
      </c>
      <c r="Q68" s="139">
        <v>20001.12</v>
      </c>
      <c r="U68" s="127">
        <f>N68-M68</f>
        <v>-101.20000000000027</v>
      </c>
      <c r="V68" s="4">
        <f>IF(M68=0,0,N68/M68-1)</f>
        <v>-2.4689370152698453E-2</v>
      </c>
      <c r="W68" s="18">
        <v>66744.72</v>
      </c>
      <c r="X68" s="18">
        <v>76010.12</v>
      </c>
      <c r="Y68" s="4">
        <f>X68/W68-1</f>
        <v>0.13881847133376235</v>
      </c>
    </row>
    <row r="69" spans="1:30">
      <c r="A69" t="s">
        <v>169</v>
      </c>
      <c r="B69" t="s">
        <v>170</v>
      </c>
      <c r="C69" s="28">
        <v>4450</v>
      </c>
      <c r="E69" t="s">
        <v>170</v>
      </c>
      <c r="F69" s="28">
        <v>4930</v>
      </c>
      <c r="G69" t="b">
        <f>IF(B69=E69,TRUE,FALSE)</f>
        <v>1</v>
      </c>
      <c r="J69" s="25">
        <f>F69-C69</f>
        <v>480</v>
      </c>
      <c r="K69" s="4">
        <f>F69/C69-1</f>
        <v>0.10786516853932593</v>
      </c>
      <c r="M69" s="5">
        <v>6032</v>
      </c>
      <c r="N69" s="5">
        <v>8443.7900000000009</v>
      </c>
      <c r="Q69" s="139">
        <v>38260.17</v>
      </c>
      <c r="U69" s="127">
        <f>N69-M69</f>
        <v>2411.7900000000009</v>
      </c>
      <c r="V69" s="4">
        <f>IF(M69=0,0,N69/M69-1)</f>
        <v>0.39983255968169784</v>
      </c>
      <c r="W69" s="18">
        <v>111935.82</v>
      </c>
      <c r="X69" s="18">
        <v>127922.32</v>
      </c>
      <c r="Y69" s="4">
        <f>X69/W69-1</f>
        <v>0.14281844721376946</v>
      </c>
    </row>
    <row r="70" spans="1:30">
      <c r="A70" t="s">
        <v>171</v>
      </c>
      <c r="B70" s="27" t="s">
        <v>172</v>
      </c>
      <c r="C70" s="28">
        <v>2347</v>
      </c>
      <c r="D70" s="19"/>
      <c r="E70" s="27" t="s">
        <v>172</v>
      </c>
      <c r="F70" s="28">
        <v>2822</v>
      </c>
      <c r="G70" t="b">
        <f>IF(B70=E70,TRUE,FALSE)</f>
        <v>1</v>
      </c>
      <c r="H70" s="19"/>
      <c r="I70" s="19"/>
      <c r="J70" s="25">
        <f>F70-C70</f>
        <v>475</v>
      </c>
      <c r="K70" s="4">
        <f>F70/C70-1</f>
        <v>0.20238602471239875</v>
      </c>
      <c r="M70" s="5">
        <v>3228.12</v>
      </c>
      <c r="N70" s="5">
        <v>3372.02</v>
      </c>
      <c r="Q70" s="139">
        <v>16824.61</v>
      </c>
      <c r="U70" s="127">
        <f>N70-M70</f>
        <v>143.90000000000009</v>
      </c>
      <c r="V70" s="4">
        <f>IF(M70=0,0,N70/M70-1)</f>
        <v>4.4577029354546882E-2</v>
      </c>
      <c r="W70" s="18">
        <v>56302.85</v>
      </c>
      <c r="X70" s="18">
        <v>67672.429999999993</v>
      </c>
      <c r="Y70" s="4">
        <f>X70/W70-1</f>
        <v>0.20193613644779962</v>
      </c>
    </row>
    <row r="71" spans="1:30">
      <c r="A71" t="s">
        <v>173</v>
      </c>
      <c r="B71" t="s">
        <v>174</v>
      </c>
      <c r="C71" s="28">
        <v>303</v>
      </c>
      <c r="E71" t="s">
        <v>174</v>
      </c>
      <c r="F71" s="28">
        <v>764</v>
      </c>
      <c r="G71" t="b">
        <f>IF(B71=E71,TRUE,FALSE)</f>
        <v>1</v>
      </c>
      <c r="J71" s="25">
        <f>F71-C71</f>
        <v>461</v>
      </c>
      <c r="K71" s="4">
        <f>F71/C71-1</f>
        <v>1.5214521452145213</v>
      </c>
      <c r="M71" s="5">
        <v>975.32</v>
      </c>
      <c r="N71" s="5">
        <v>1301.8699999999999</v>
      </c>
      <c r="Q71" s="139">
        <v>6036.11</v>
      </c>
      <c r="U71" s="127">
        <f>N71-M71</f>
        <v>326.54999999999984</v>
      </c>
      <c r="V71" s="4">
        <f>IF(M71=0,0,N71/M71-1)</f>
        <v>0.33481318951728656</v>
      </c>
      <c r="W71" s="18">
        <v>5126.6099999999997</v>
      </c>
      <c r="X71" s="18">
        <v>9176.68</v>
      </c>
      <c r="Y71" s="4">
        <f>X71/W71-1</f>
        <v>0.79000938241840135</v>
      </c>
    </row>
    <row r="72" spans="1:30">
      <c r="A72" t="s">
        <v>175</v>
      </c>
      <c r="B72" t="s">
        <v>176</v>
      </c>
      <c r="C72" s="28">
        <v>2667</v>
      </c>
      <c r="E72" t="s">
        <v>176</v>
      </c>
      <c r="F72" s="28">
        <v>3124</v>
      </c>
      <c r="G72" t="b">
        <f>IF(B72=E72,TRUE,FALSE)</f>
        <v>1</v>
      </c>
      <c r="J72" s="25">
        <f>F72-C72</f>
        <v>457</v>
      </c>
      <c r="K72" s="4">
        <f>F72/C72-1</f>
        <v>0.1713535808023996</v>
      </c>
      <c r="M72" s="5">
        <v>4143.68</v>
      </c>
      <c r="N72" s="5">
        <v>4521.25</v>
      </c>
      <c r="Q72" s="139">
        <v>29112.6</v>
      </c>
      <c r="U72" s="127">
        <f>N72-M72</f>
        <v>377.56999999999971</v>
      </c>
      <c r="V72" s="4">
        <f>IF(M72=0,0,N72/M72-1)</f>
        <v>9.1119487991350612E-2</v>
      </c>
      <c r="W72" s="18">
        <v>64902.17</v>
      </c>
      <c r="X72" s="18">
        <v>74707.77</v>
      </c>
      <c r="Y72" s="4">
        <f>X72/W72-1</f>
        <v>0.15108277581473795</v>
      </c>
    </row>
    <row r="73" spans="1:30">
      <c r="A73" s="54" t="s">
        <v>177</v>
      </c>
      <c r="B73" s="37" t="s">
        <v>178</v>
      </c>
      <c r="C73" s="28">
        <v>2388</v>
      </c>
      <c r="E73" s="37" t="s">
        <v>178</v>
      </c>
      <c r="F73" s="28">
        <v>2842</v>
      </c>
      <c r="G73" t="b">
        <f>IF(B73=E73,TRUE,FALSE)</f>
        <v>1</v>
      </c>
      <c r="J73" s="25">
        <f>F73-C73</f>
        <v>454</v>
      </c>
      <c r="K73" s="4">
        <f>F73/C73-1</f>
        <v>0.19011725293132331</v>
      </c>
      <c r="M73" s="5">
        <v>4407.07</v>
      </c>
      <c r="N73" s="5">
        <v>4554.5600000000004</v>
      </c>
      <c r="Q73" s="139">
        <v>33754.120000000003</v>
      </c>
      <c r="U73" s="127">
        <f>N73-M73</f>
        <v>147.49000000000069</v>
      </c>
      <c r="V73" s="4">
        <f>IF(M73=0,0,N73/M73-1)</f>
        <v>3.3466679676066091E-2</v>
      </c>
      <c r="W73" s="18">
        <v>63621.440000000002</v>
      </c>
      <c r="X73" s="18">
        <v>76487.42</v>
      </c>
      <c r="Y73" s="4">
        <f>X73/W73-1</f>
        <v>0.20222711086074119</v>
      </c>
    </row>
    <row r="74" spans="1:30">
      <c r="A74" s="54" t="s">
        <v>179</v>
      </c>
      <c r="B74" s="37" t="s">
        <v>180</v>
      </c>
      <c r="C74" s="19">
        <v>430</v>
      </c>
      <c r="E74" s="37" t="s">
        <v>180</v>
      </c>
      <c r="F74" s="19">
        <v>876</v>
      </c>
      <c r="G74" t="b">
        <f>IF(B74=E74,TRUE,FALSE)</f>
        <v>1</v>
      </c>
      <c r="J74" s="25">
        <f>F74-C74</f>
        <v>446</v>
      </c>
      <c r="K74" s="4">
        <f>F74/C74-1</f>
        <v>1.0372093023255813</v>
      </c>
      <c r="M74" s="5">
        <v>604.99</v>
      </c>
      <c r="N74" s="5">
        <v>754.68</v>
      </c>
      <c r="Q74" s="138">
        <v>4553.6000000000004</v>
      </c>
      <c r="U74" s="127">
        <f>N74-M74</f>
        <v>149.68999999999994</v>
      </c>
      <c r="V74" s="4">
        <f>IF(M74=0,0,N74/M74-1)</f>
        <v>0.2474255772822691</v>
      </c>
      <c r="W74">
        <v>6046.28</v>
      </c>
      <c r="X74">
        <v>10377.82</v>
      </c>
      <c r="Y74" s="4">
        <f>X74/W74-1</f>
        <v>0.71639752045886063</v>
      </c>
    </row>
    <row r="75" spans="1:30">
      <c r="A75" s="54" t="s">
        <v>181</v>
      </c>
      <c r="B75" s="37" t="s">
        <v>182</v>
      </c>
      <c r="C75" s="28">
        <v>1127</v>
      </c>
      <c r="E75" s="37" t="s">
        <v>182</v>
      </c>
      <c r="F75" s="28">
        <v>1563</v>
      </c>
      <c r="G75" t="b">
        <f>IF(B75=E75,TRUE,FALSE)</f>
        <v>1</v>
      </c>
      <c r="J75" s="25">
        <f>F75-C75</f>
        <v>436</v>
      </c>
      <c r="K75" s="4">
        <f>F75/C75-1</f>
        <v>0.38686779059449861</v>
      </c>
      <c r="M75" s="5">
        <v>2855.95</v>
      </c>
      <c r="N75" s="5">
        <v>3100.93</v>
      </c>
      <c r="Q75" s="138">
        <v>17368.88</v>
      </c>
      <c r="U75" s="127">
        <f>N75-M75</f>
        <v>244.98000000000002</v>
      </c>
      <c r="V75" s="4">
        <f>IF(M75=0,0,N75/M75-1)</f>
        <v>8.577881265428311E-2</v>
      </c>
      <c r="W75" s="18">
        <v>21103.22</v>
      </c>
      <c r="X75" s="18">
        <v>26887.37</v>
      </c>
      <c r="Y75" s="4">
        <f>X75/W75-1</f>
        <v>0.2740885040292429</v>
      </c>
      <c r="AD75" t="s">
        <v>183</v>
      </c>
    </row>
    <row r="76" spans="1:30">
      <c r="A76" s="54" t="s">
        <v>184</v>
      </c>
      <c r="B76" s="37" t="s">
        <v>185</v>
      </c>
      <c r="C76" s="28">
        <v>432</v>
      </c>
      <c r="E76" s="37" t="s">
        <v>185</v>
      </c>
      <c r="F76" s="28">
        <v>866</v>
      </c>
      <c r="G76" t="b">
        <f>IF(B76=E76,TRUE,FALSE)</f>
        <v>1</v>
      </c>
      <c r="J76" s="25">
        <f>F76-C76</f>
        <v>434</v>
      </c>
      <c r="K76" s="4">
        <f>F76/C76-1</f>
        <v>1.0046296296296298</v>
      </c>
      <c r="M76" s="5">
        <v>961.82</v>
      </c>
      <c r="N76" s="5">
        <v>1358.66</v>
      </c>
      <c r="Q76" s="138">
        <v>7557.41</v>
      </c>
      <c r="U76" s="127">
        <f>N76-M76</f>
        <v>396.84000000000003</v>
      </c>
      <c r="V76" s="4">
        <f>IF(M76=0,0,N76/M76-1)</f>
        <v>0.41259279283025929</v>
      </c>
      <c r="W76" s="18">
        <v>7894.68</v>
      </c>
      <c r="X76" s="18">
        <v>13767.26</v>
      </c>
      <c r="Y76" s="4"/>
    </row>
    <row r="77" spans="1:30">
      <c r="A77" t="s">
        <v>186</v>
      </c>
      <c r="B77" t="s">
        <v>187</v>
      </c>
      <c r="C77" s="28">
        <v>870</v>
      </c>
      <c r="E77" t="s">
        <v>187</v>
      </c>
      <c r="F77" s="28">
        <v>1300</v>
      </c>
      <c r="G77" t="b">
        <f>IF(B77=E77,TRUE,FALSE)</f>
        <v>1</v>
      </c>
      <c r="J77" s="25">
        <f>F77-C77</f>
        <v>430</v>
      </c>
      <c r="K77" s="4">
        <f>F77/C77-1</f>
        <v>0.49425287356321834</v>
      </c>
      <c r="M77" s="5">
        <v>1177.83</v>
      </c>
      <c r="N77" s="5">
        <v>2121.34</v>
      </c>
      <c r="Q77" s="139">
        <v>12686.64</v>
      </c>
      <c r="U77" s="127">
        <f>N77-M77</f>
        <v>943.51000000000022</v>
      </c>
      <c r="V77" s="4">
        <f>IF(M77=0,0,N77/M77-1)</f>
        <v>0.80105787762240754</v>
      </c>
      <c r="W77" s="18">
        <v>39099.75</v>
      </c>
      <c r="X77" s="18">
        <v>54292.13</v>
      </c>
      <c r="Y77" s="4">
        <f>X77/W77-1</f>
        <v>0.3885544025217551</v>
      </c>
    </row>
    <row r="78" spans="1:30">
      <c r="A78" s="27" t="s">
        <v>188</v>
      </c>
      <c r="B78" s="149" t="s">
        <v>189</v>
      </c>
      <c r="C78" s="28">
        <v>1047</v>
      </c>
      <c r="E78" s="149" t="s">
        <v>189</v>
      </c>
      <c r="F78" s="28">
        <v>1473</v>
      </c>
      <c r="G78" t="b">
        <f>IF(B78=E78,TRUE,FALSE)</f>
        <v>1</v>
      </c>
      <c r="J78" s="25">
        <f>F78-C78</f>
        <v>426</v>
      </c>
      <c r="K78" s="4">
        <f>F78/C78-1</f>
        <v>0.40687679083094563</v>
      </c>
      <c r="M78" s="5">
        <v>1633.47</v>
      </c>
      <c r="N78" s="5">
        <v>1142.3599999999999</v>
      </c>
      <c r="Q78" s="138">
        <v>7687.23</v>
      </c>
      <c r="U78" s="127">
        <f>N78-M78</f>
        <v>-491.11000000000013</v>
      </c>
      <c r="V78" s="4">
        <f>IF(M78=0,0,N78/M78-1)</f>
        <v>-0.30065443503706835</v>
      </c>
      <c r="W78" s="18">
        <v>36590.199999999997</v>
      </c>
      <c r="X78" s="18">
        <v>51479.6</v>
      </c>
      <c r="Y78" s="4">
        <f>X78/W78-1</f>
        <v>0.40692316521910255</v>
      </c>
    </row>
    <row r="79" spans="1:30">
      <c r="A79" s="54" t="s">
        <v>190</v>
      </c>
      <c r="B79" s="37" t="s">
        <v>191</v>
      </c>
      <c r="C79" s="28">
        <v>481</v>
      </c>
      <c r="E79" s="37" t="s">
        <v>191</v>
      </c>
      <c r="F79" s="28">
        <v>905</v>
      </c>
      <c r="G79" t="b">
        <f>IF(B79=E79,TRUE,FALSE)</f>
        <v>1</v>
      </c>
      <c r="J79" s="25">
        <f>F79-C79</f>
        <v>424</v>
      </c>
      <c r="K79" s="4">
        <f>F79/C79-1</f>
        <v>0.88149688149688155</v>
      </c>
      <c r="M79" s="5">
        <v>1372.06</v>
      </c>
      <c r="N79" s="5">
        <v>1859.49</v>
      </c>
      <c r="Q79" s="138">
        <v>10081.23</v>
      </c>
      <c r="U79" s="127">
        <f>N79-M79</f>
        <v>487.43000000000006</v>
      </c>
      <c r="V79" s="4">
        <f>IF(M79=0,0,N79/M79-1)</f>
        <v>0.35525414340480732</v>
      </c>
      <c r="W79" s="18">
        <v>13959.01</v>
      </c>
      <c r="X79" s="18">
        <v>19305.830000000002</v>
      </c>
      <c r="Y79" s="4"/>
    </row>
    <row r="80" spans="1:30">
      <c r="A80" s="143" t="s">
        <v>192</v>
      </c>
      <c r="B80" s="37" t="s">
        <v>193</v>
      </c>
      <c r="C80" s="28">
        <v>1618</v>
      </c>
      <c r="E80" s="37" t="s">
        <v>193</v>
      </c>
      <c r="F80" s="28">
        <v>2039</v>
      </c>
      <c r="G80" t="b">
        <f>IF(B80=E80,TRUE,FALSE)</f>
        <v>1</v>
      </c>
      <c r="J80" s="25">
        <f>F80-C80</f>
        <v>421</v>
      </c>
      <c r="K80" s="4">
        <f>F80/C80-1</f>
        <v>0.26019777503090236</v>
      </c>
      <c r="M80" s="5">
        <v>1927.25</v>
      </c>
      <c r="N80" s="5">
        <v>2079.9699999999998</v>
      </c>
      <c r="Q80" s="138">
        <v>18788.2</v>
      </c>
      <c r="U80" s="127">
        <f>N80-M80</f>
        <v>152.7199999999998</v>
      </c>
      <c r="V80" s="4">
        <f>IF(M80=0,0,N80/M80-1)</f>
        <v>7.9242443896744064E-2</v>
      </c>
      <c r="W80" s="18">
        <v>43086.32</v>
      </c>
      <c r="X80" s="18">
        <v>56540.41</v>
      </c>
      <c r="Y80" s="4"/>
    </row>
    <row r="81" spans="1:30">
      <c r="A81" t="s">
        <v>194</v>
      </c>
      <c r="B81" t="s">
        <v>195</v>
      </c>
      <c r="C81" s="28">
        <v>1407</v>
      </c>
      <c r="E81" t="s">
        <v>195</v>
      </c>
      <c r="F81" s="28">
        <v>1819</v>
      </c>
      <c r="G81" t="b">
        <f>IF(B81=E81,TRUE,FALSE)</f>
        <v>1</v>
      </c>
      <c r="J81" s="25">
        <f>F81-C81</f>
        <v>412</v>
      </c>
      <c r="K81" s="4">
        <f>F81/C81-1</f>
        <v>0.29282160625444198</v>
      </c>
      <c r="M81" s="5">
        <v>2330.0500000000002</v>
      </c>
      <c r="N81" s="5">
        <v>1473.39</v>
      </c>
      <c r="Q81" s="139">
        <v>11624.45</v>
      </c>
      <c r="U81" s="127">
        <f>N81-M81</f>
        <v>-856.66000000000008</v>
      </c>
      <c r="V81" s="4">
        <f>IF(M81=0,0,N81/M81-1)</f>
        <v>-0.36765734640887537</v>
      </c>
      <c r="W81" s="18">
        <v>27135.55</v>
      </c>
      <c r="X81" s="18">
        <v>31918.54</v>
      </c>
      <c r="Y81" s="4">
        <f>X81/W81-1</f>
        <v>0.17626287287340792</v>
      </c>
    </row>
    <row r="82" spans="1:30">
      <c r="A82" s="54" t="s">
        <v>196</v>
      </c>
      <c r="B82" s="37" t="s">
        <v>197</v>
      </c>
      <c r="C82" s="19">
        <v>518</v>
      </c>
      <c r="E82" s="37" t="s">
        <v>197</v>
      </c>
      <c r="F82" s="19">
        <v>927</v>
      </c>
      <c r="G82" t="b">
        <f>IF(B82=E82,TRUE,FALSE)</f>
        <v>1</v>
      </c>
      <c r="J82" s="25">
        <f>F82-C82</f>
        <v>409</v>
      </c>
      <c r="K82" s="4">
        <f>F82/C82-1</f>
        <v>0.78957528957528966</v>
      </c>
      <c r="M82" s="5">
        <v>869.91</v>
      </c>
      <c r="N82" s="5">
        <v>1327.27</v>
      </c>
      <c r="Q82" s="138">
        <v>6348.63</v>
      </c>
      <c r="U82" s="127">
        <f>N82-M82</f>
        <v>457.36</v>
      </c>
      <c r="V82" s="4">
        <f>IF(M82=0,0,N82/M82-1)</f>
        <v>0.52575553792921115</v>
      </c>
      <c r="W82">
        <v>6873.7</v>
      </c>
      <c r="X82">
        <v>10744.03</v>
      </c>
      <c r="Y82" s="4">
        <f>X82/W82-1</f>
        <v>0.56306356110973721</v>
      </c>
    </row>
    <row r="83" spans="1:30">
      <c r="A83" t="s">
        <v>198</v>
      </c>
      <c r="B83" t="s">
        <v>199</v>
      </c>
      <c r="C83" s="28">
        <v>1841</v>
      </c>
      <c r="E83" t="s">
        <v>199</v>
      </c>
      <c r="F83" s="28">
        <v>2241</v>
      </c>
      <c r="G83" t="b">
        <f>IF(B83=E83,TRUE,FALSE)</f>
        <v>1</v>
      </c>
      <c r="J83" s="25">
        <f>F83-C83</f>
        <v>400</v>
      </c>
      <c r="K83" s="4">
        <f>F83/C83-1</f>
        <v>0.2172732210755024</v>
      </c>
      <c r="M83" s="5">
        <v>3486.82</v>
      </c>
      <c r="N83" s="5">
        <v>3288.05</v>
      </c>
      <c r="Q83" s="139">
        <v>21156.17</v>
      </c>
      <c r="U83" s="127">
        <f>N83-M83</f>
        <v>-198.76999999999998</v>
      </c>
      <c r="V83" s="4">
        <f>IF(M83=0,0,N83/M83-1)</f>
        <v>-5.7006097246201426E-2</v>
      </c>
      <c r="W83" s="18">
        <v>53092.06</v>
      </c>
      <c r="X83" s="18">
        <v>62868.83</v>
      </c>
      <c r="Y83" s="4">
        <f>X83/W83-1</f>
        <v>0.18414749776143569</v>
      </c>
    </row>
    <row r="84" spans="1:30">
      <c r="A84" s="54" t="s">
        <v>200</v>
      </c>
      <c r="B84" s="27" t="s">
        <v>201</v>
      </c>
      <c r="C84" s="28">
        <v>309</v>
      </c>
      <c r="E84" s="27" t="s">
        <v>201</v>
      </c>
      <c r="F84" s="28">
        <v>706</v>
      </c>
      <c r="G84" t="b">
        <f>IF(B84=E84,TRUE,FALSE)</f>
        <v>1</v>
      </c>
      <c r="J84" s="25">
        <f>F84-C84</f>
        <v>397</v>
      </c>
      <c r="K84" s="4">
        <f>F84/C84-1</f>
        <v>1.2847896440129452</v>
      </c>
      <c r="M84" s="5">
        <v>1299.8800000000001</v>
      </c>
      <c r="N84" s="5">
        <v>1381.9</v>
      </c>
      <c r="Q84" s="138">
        <v>6638.09</v>
      </c>
      <c r="U84" s="127">
        <f>N84-M84</f>
        <v>82.019999999999982</v>
      </c>
      <c r="V84" s="4">
        <f>IF(M84=0,0,N84/M84-1)</f>
        <v>6.3098132135273932E-2</v>
      </c>
      <c r="W84" s="18">
        <v>5519.91</v>
      </c>
      <c r="X84" s="18">
        <v>9886.5</v>
      </c>
      <c r="Y84" s="4"/>
    </row>
    <row r="85" spans="1:30" ht="30.75">
      <c r="A85" s="54" t="s">
        <v>202</v>
      </c>
      <c r="B85" s="37" t="s">
        <v>203</v>
      </c>
      <c r="C85" s="28">
        <v>707</v>
      </c>
      <c r="E85" s="37" t="s">
        <v>203</v>
      </c>
      <c r="F85" s="28">
        <v>1103</v>
      </c>
      <c r="G85" t="b">
        <f>IF(B85=E85,TRUE,FALSE)</f>
        <v>1</v>
      </c>
      <c r="J85" s="25">
        <f>F85-C85</f>
        <v>396</v>
      </c>
      <c r="K85" s="4">
        <f>F85/C85-1</f>
        <v>0.56011315417256013</v>
      </c>
      <c r="M85" s="5">
        <v>1625.76</v>
      </c>
      <c r="N85" s="5">
        <v>1743.49</v>
      </c>
      <c r="Q85" s="138">
        <v>11356.65</v>
      </c>
      <c r="U85" s="127">
        <f>N85-M85</f>
        <v>117.73000000000002</v>
      </c>
      <c r="V85" s="4">
        <f>IF(M85=0,0,N85/M85-1)</f>
        <v>7.2415362661155447E-2</v>
      </c>
      <c r="W85" s="18">
        <v>13952.74</v>
      </c>
      <c r="X85" s="18">
        <v>20257.57</v>
      </c>
      <c r="Y85" s="4">
        <f>X85/W85-1</f>
        <v>0.45187038531499901</v>
      </c>
    </row>
    <row r="86" spans="1:30">
      <c r="A86" t="s">
        <v>204</v>
      </c>
      <c r="B86" t="s">
        <v>205</v>
      </c>
      <c r="C86" s="28">
        <v>1571</v>
      </c>
      <c r="E86" t="s">
        <v>205</v>
      </c>
      <c r="F86" s="28">
        <v>1965</v>
      </c>
      <c r="G86" t="b">
        <f>IF(B86=E86,TRUE,FALSE)</f>
        <v>1</v>
      </c>
      <c r="J86" s="25">
        <f>F86-C86</f>
        <v>394</v>
      </c>
      <c r="K86" s="4">
        <f>F86/C86-1</f>
        <v>0.25079567154678539</v>
      </c>
      <c r="M86" s="5">
        <v>823.77</v>
      </c>
      <c r="N86" s="5">
        <v>803.5</v>
      </c>
      <c r="Q86" s="139">
        <v>6252.33</v>
      </c>
      <c r="U86" s="127">
        <f>N86-M86</f>
        <v>-20.269999999999982</v>
      </c>
      <c r="V86" s="4">
        <f>IF(M86=0,0,N86/M86-1)</f>
        <v>-2.4606382849581832E-2</v>
      </c>
      <c r="W86" s="18">
        <v>47048.15</v>
      </c>
      <c r="X86" s="18">
        <v>51826.25</v>
      </c>
      <c r="Y86" s="4">
        <f>X86/W86-1</f>
        <v>0.10155765954665585</v>
      </c>
    </row>
    <row r="87" spans="1:30">
      <c r="A87" t="s">
        <v>206</v>
      </c>
      <c r="B87" t="s">
        <v>207</v>
      </c>
      <c r="C87" s="28">
        <v>1559</v>
      </c>
      <c r="E87" t="s">
        <v>207</v>
      </c>
      <c r="F87" s="28">
        <v>1941</v>
      </c>
      <c r="G87" t="b">
        <f>IF(B87=E87,TRUE,FALSE)</f>
        <v>1</v>
      </c>
      <c r="J87" s="25">
        <f>F87-C87</f>
        <v>382</v>
      </c>
      <c r="K87" s="4">
        <f>F87/C87-1</f>
        <v>0.24502886465683127</v>
      </c>
      <c r="M87" s="5">
        <v>2800.83</v>
      </c>
      <c r="N87" s="5">
        <v>3329.0099999999998</v>
      </c>
      <c r="Q87" s="139">
        <v>26400.620000000003</v>
      </c>
      <c r="U87" s="127">
        <f>N87-M87</f>
        <v>528.17999999999984</v>
      </c>
      <c r="V87" s="4">
        <f>IF(M87=0,0,N87/M87-1)</f>
        <v>0.18857981384089717</v>
      </c>
      <c r="W87" s="18">
        <v>29901.87</v>
      </c>
      <c r="X87" s="18">
        <v>33882.83</v>
      </c>
      <c r="Y87" s="4">
        <f>X87/W87-1</f>
        <v>0.13313414846630001</v>
      </c>
    </row>
    <row r="88" spans="1:30">
      <c r="A88" s="150" t="s">
        <v>208</v>
      </c>
      <c r="B88" s="149" t="s">
        <v>209</v>
      </c>
      <c r="C88" s="28">
        <v>338</v>
      </c>
      <c r="E88" s="149" t="s">
        <v>209</v>
      </c>
      <c r="F88" s="28">
        <v>715</v>
      </c>
      <c r="G88" t="b">
        <f>IF(B88=E88,TRUE,FALSE)</f>
        <v>1</v>
      </c>
      <c r="J88" s="25">
        <f>F88-C88</f>
        <v>377</v>
      </c>
      <c r="K88" s="4">
        <f>F88/C88-1</f>
        <v>1.1153846153846154</v>
      </c>
      <c r="M88" s="5">
        <v>1308.57</v>
      </c>
      <c r="N88" s="5">
        <v>1596.62</v>
      </c>
      <c r="Q88" s="138">
        <v>7668.19</v>
      </c>
      <c r="U88" s="127">
        <f>N88-M88</f>
        <v>288.04999999999995</v>
      </c>
      <c r="V88" s="4">
        <f>IF(M88=0,0,N88/M88-1)</f>
        <v>0.22012578616352196</v>
      </c>
      <c r="W88" s="18">
        <v>6220.12</v>
      </c>
      <c r="X88" s="18">
        <v>12001.13</v>
      </c>
      <c r="Y88" s="4">
        <f>X88/W88-1</f>
        <v>0.92940489894085632</v>
      </c>
      <c r="AD88" t="s">
        <v>210</v>
      </c>
    </row>
    <row r="89" spans="1:30">
      <c r="A89" s="143" t="s">
        <v>211</v>
      </c>
      <c r="B89" s="143" t="s">
        <v>212</v>
      </c>
      <c r="C89" s="28">
        <v>0</v>
      </c>
      <c r="E89" s="143" t="s">
        <v>212</v>
      </c>
      <c r="F89" s="28">
        <v>373</v>
      </c>
      <c r="G89" t="b">
        <f>IF(B89=E89,TRUE,FALSE)</f>
        <v>1</v>
      </c>
      <c r="J89" s="25">
        <f>F89-C89</f>
        <v>373</v>
      </c>
      <c r="K89" s="4" t="e">
        <f>F89/C89-1</f>
        <v>#DIV/0!</v>
      </c>
      <c r="M89" s="5">
        <v>0</v>
      </c>
      <c r="N89" s="5">
        <v>624.28</v>
      </c>
      <c r="Q89" s="138">
        <v>5378.77</v>
      </c>
      <c r="U89" s="127">
        <f>N89-M89</f>
        <v>624.28</v>
      </c>
      <c r="V89" s="4">
        <f>IF(M89=0,0,N89/M89-1)</f>
        <v>0</v>
      </c>
      <c r="W89" s="18">
        <v>0</v>
      </c>
      <c r="X89" s="18">
        <v>11107.52</v>
      </c>
      <c r="Y89" s="4" t="e">
        <f>X89/W89-1</f>
        <v>#DIV/0!</v>
      </c>
    </row>
    <row r="90" spans="1:30">
      <c r="A90" t="s">
        <v>213</v>
      </c>
      <c r="B90" t="s">
        <v>214</v>
      </c>
      <c r="C90" s="28">
        <v>538</v>
      </c>
      <c r="E90" t="s">
        <v>214</v>
      </c>
      <c r="F90" s="28">
        <v>907</v>
      </c>
      <c r="G90" t="b">
        <f>IF(B90=E90,TRUE,FALSE)</f>
        <v>1</v>
      </c>
      <c r="J90" s="25">
        <f>F90-C90</f>
        <v>369</v>
      </c>
      <c r="K90" s="4">
        <f>F90/C90-1</f>
        <v>0.68587360594795532</v>
      </c>
      <c r="M90" s="5">
        <v>1433.87</v>
      </c>
      <c r="N90" s="5">
        <v>1756.43</v>
      </c>
      <c r="Q90" s="139">
        <v>10104.120000000001</v>
      </c>
      <c r="U90" s="127">
        <f>N90-M90</f>
        <v>322.56000000000017</v>
      </c>
      <c r="V90" s="4">
        <f>IF(M90=0,0,N90/M90-1)</f>
        <v>0.22495763214238407</v>
      </c>
      <c r="W90" s="18">
        <v>11010</v>
      </c>
      <c r="X90" s="18">
        <v>14226.53</v>
      </c>
      <c r="Y90" s="4">
        <f>X90/W90-1</f>
        <v>0.2921462306993643</v>
      </c>
    </row>
    <row r="91" spans="1:30">
      <c r="A91" s="54" t="s">
        <v>215</v>
      </c>
      <c r="B91" s="37" t="s">
        <v>216</v>
      </c>
      <c r="C91" s="28">
        <v>502</v>
      </c>
      <c r="E91" s="37" t="s">
        <v>216</v>
      </c>
      <c r="F91" s="28">
        <v>857</v>
      </c>
      <c r="G91" t="b">
        <f>IF(B91=E91,TRUE,FALSE)</f>
        <v>1</v>
      </c>
      <c r="J91" s="25">
        <f>F91-C91</f>
        <v>355</v>
      </c>
      <c r="K91" s="4">
        <f>F91/C91-1</f>
        <v>0.70717131474103589</v>
      </c>
      <c r="M91" s="5">
        <v>2005.35</v>
      </c>
      <c r="N91" s="5">
        <v>2190.34</v>
      </c>
      <c r="Q91" s="138">
        <v>17941.25</v>
      </c>
      <c r="U91" s="127">
        <f>N91-M91</f>
        <v>184.99000000000024</v>
      </c>
      <c r="V91" s="4">
        <f>IF(M91=0,0,N91/M91-1)</f>
        <v>9.2248235968783732E-2</v>
      </c>
      <c r="W91" s="18">
        <v>11323.68</v>
      </c>
      <c r="X91" s="18">
        <v>18712.650000000001</v>
      </c>
      <c r="Y91" s="4"/>
    </row>
    <row r="92" spans="1:30">
      <c r="A92" t="s">
        <v>217</v>
      </c>
      <c r="B92" t="s">
        <v>218</v>
      </c>
      <c r="C92" s="28">
        <v>2109</v>
      </c>
      <c r="E92" t="s">
        <v>218</v>
      </c>
      <c r="F92" s="28">
        <v>2445</v>
      </c>
      <c r="G92" t="b">
        <f>IF(B92=E92,TRUE,FALSE)</f>
        <v>1</v>
      </c>
      <c r="J92" s="25">
        <f>F92-C92</f>
        <v>336</v>
      </c>
      <c r="K92" s="4">
        <f>F92/C92-1</f>
        <v>0.15931721194879089</v>
      </c>
      <c r="M92" s="5">
        <v>4306.41</v>
      </c>
      <c r="N92" s="5">
        <v>4156.45</v>
      </c>
      <c r="Q92" s="139">
        <v>27122.15</v>
      </c>
      <c r="U92" s="127">
        <f>N92-M92</f>
        <v>-149.96000000000004</v>
      </c>
      <c r="V92" s="4">
        <f>IF(M92=0,0,N92/M92-1)</f>
        <v>-3.4822508771807592E-2</v>
      </c>
      <c r="W92" s="18">
        <v>56832.69</v>
      </c>
      <c r="X92" s="18">
        <v>63190.12</v>
      </c>
      <c r="Y92" s="4">
        <f>X92/W92-1</f>
        <v>0.11186220465721397</v>
      </c>
    </row>
    <row r="93" spans="1:30">
      <c r="A93" t="s">
        <v>219</v>
      </c>
      <c r="B93" t="s">
        <v>220</v>
      </c>
      <c r="C93" s="28">
        <v>2195</v>
      </c>
      <c r="E93" t="s">
        <v>220</v>
      </c>
      <c r="F93" s="28">
        <v>2522</v>
      </c>
      <c r="G93" t="b">
        <f>IF(B93=E93,TRUE,FALSE)</f>
        <v>1</v>
      </c>
      <c r="J93" s="25">
        <f>F93-C93</f>
        <v>327</v>
      </c>
      <c r="K93" s="4">
        <f>F93/C93-1</f>
        <v>0.14897494305239189</v>
      </c>
      <c r="M93" s="5">
        <v>3096.32</v>
      </c>
      <c r="N93" s="5">
        <v>2515.4699999999998</v>
      </c>
      <c r="Q93" s="139">
        <v>14847.71</v>
      </c>
      <c r="U93" s="127">
        <f>N93-M93</f>
        <v>-580.85000000000036</v>
      </c>
      <c r="V93" s="4">
        <f>IF(M93=0,0,N93/M93-1)</f>
        <v>-0.18759365957007035</v>
      </c>
      <c r="W93" s="18">
        <v>48956.7</v>
      </c>
      <c r="X93" s="18">
        <v>52080.73</v>
      </c>
      <c r="Y93" s="4">
        <f>X93/W93-1</f>
        <v>6.3812103348469318E-2</v>
      </c>
    </row>
    <row r="94" spans="1:30">
      <c r="A94" s="143" t="s">
        <v>221</v>
      </c>
      <c r="B94" s="37" t="s">
        <v>222</v>
      </c>
      <c r="C94" s="28">
        <v>274</v>
      </c>
      <c r="E94" s="37" t="s">
        <v>222</v>
      </c>
      <c r="F94" s="28">
        <v>601</v>
      </c>
      <c r="G94" t="b">
        <f>IF(B94=E94,TRUE,FALSE)</f>
        <v>1</v>
      </c>
      <c r="J94" s="25">
        <f>F94-C94</f>
        <v>327</v>
      </c>
      <c r="K94" s="4">
        <f>F94/C94-1</f>
        <v>1.1934306569343067</v>
      </c>
      <c r="M94" s="5">
        <v>1030.33</v>
      </c>
      <c r="N94" s="5">
        <v>1426.12</v>
      </c>
      <c r="Q94" s="138">
        <v>6915.62</v>
      </c>
      <c r="U94" s="127">
        <f>N94-M94</f>
        <v>395.78999999999996</v>
      </c>
      <c r="V94" s="4">
        <f>IF(M94=0,0,N94/M94-1)</f>
        <v>0.3841390622421943</v>
      </c>
      <c r="W94" s="18">
        <v>4773.26</v>
      </c>
      <c r="X94" s="18">
        <v>6183.89</v>
      </c>
      <c r="Y94" s="4"/>
    </row>
    <row r="95" spans="1:30">
      <c r="A95" s="54" t="s">
        <v>223</v>
      </c>
      <c r="B95" s="37" t="s">
        <v>224</v>
      </c>
      <c r="C95" s="28">
        <v>1185</v>
      </c>
      <c r="E95" s="37" t="s">
        <v>224</v>
      </c>
      <c r="F95" s="28">
        <v>1504</v>
      </c>
      <c r="G95" t="b">
        <f>IF(B95=E95,TRUE,FALSE)</f>
        <v>1</v>
      </c>
      <c r="J95" s="25">
        <f>F95-C95</f>
        <v>319</v>
      </c>
      <c r="K95" s="4">
        <f>F95/C95-1</f>
        <v>0.26919831223628687</v>
      </c>
      <c r="M95" s="5">
        <v>2239.3000000000002</v>
      </c>
      <c r="N95" s="5">
        <v>2405.37</v>
      </c>
      <c r="Q95" s="138">
        <v>24375.279999999999</v>
      </c>
      <c r="U95" s="127">
        <f>N95-M95</f>
        <v>166.06999999999971</v>
      </c>
      <c r="V95" s="4">
        <f>IF(M95=0,0,N95/M95-1)</f>
        <v>7.4161568347251183E-2</v>
      </c>
      <c r="W95" s="18">
        <v>34345.61</v>
      </c>
      <c r="X95" s="18">
        <v>43565.3</v>
      </c>
      <c r="Y95" s="4">
        <f>X95/W95-1</f>
        <v>0.26843867382177811</v>
      </c>
    </row>
    <row r="96" spans="1:30" ht="15.75" customHeight="1">
      <c r="A96" t="s">
        <v>225</v>
      </c>
      <c r="B96" t="s">
        <v>226</v>
      </c>
      <c r="C96" s="28">
        <v>854</v>
      </c>
      <c r="E96" t="s">
        <v>226</v>
      </c>
      <c r="F96" s="28">
        <v>1167</v>
      </c>
      <c r="G96" t="b">
        <f>IF(B96=E96,TRUE,FALSE)</f>
        <v>1</v>
      </c>
      <c r="J96" s="25">
        <f>F96-C96</f>
        <v>313</v>
      </c>
      <c r="K96" s="4">
        <f>F96/C96-1</f>
        <v>0.36651053864168626</v>
      </c>
      <c r="M96" s="5">
        <v>1597.3799999999999</v>
      </c>
      <c r="N96" s="5">
        <v>1915.31</v>
      </c>
      <c r="Q96" s="139">
        <v>11421.09</v>
      </c>
      <c r="U96" s="127">
        <f>N96-M96</f>
        <v>317.93000000000006</v>
      </c>
      <c r="V96" s="4">
        <f>IF(M96=0,0,N96/M96-1)</f>
        <v>0.19903216517046673</v>
      </c>
      <c r="W96" s="18">
        <v>20609.669999999998</v>
      </c>
      <c r="X96" s="18">
        <v>24917.58</v>
      </c>
      <c r="Y96" s="4">
        <f>X96/W96-1</f>
        <v>0.20902372527071056</v>
      </c>
    </row>
    <row r="97" spans="1:28">
      <c r="A97" s="142" t="s">
        <v>227</v>
      </c>
      <c r="B97" s="37" t="s">
        <v>228</v>
      </c>
      <c r="C97" s="28">
        <v>390</v>
      </c>
      <c r="E97" s="37" t="s">
        <v>228</v>
      </c>
      <c r="F97" s="28">
        <v>702</v>
      </c>
      <c r="G97" t="b">
        <f>IF(B97=E97,TRUE,FALSE)</f>
        <v>1</v>
      </c>
      <c r="J97" s="25">
        <f>F97-C97</f>
        <v>312</v>
      </c>
      <c r="K97" s="4">
        <f>F97/C97-1</f>
        <v>0.8</v>
      </c>
      <c r="M97" s="5">
        <v>1020.03</v>
      </c>
      <c r="N97" s="5">
        <v>1105.8</v>
      </c>
      <c r="Q97" s="138">
        <v>3710.48</v>
      </c>
      <c r="U97" s="127">
        <f>N97-M97</f>
        <v>85.769999999999982</v>
      </c>
      <c r="V97" s="4">
        <f>IF(M97=0,0,N97/M97-1)</f>
        <v>8.4085762183465196E-2</v>
      </c>
      <c r="W97" s="18">
        <v>5798.45</v>
      </c>
      <c r="X97" s="18">
        <v>7614.72</v>
      </c>
      <c r="Y97" s="4"/>
    </row>
    <row r="98" spans="1:28">
      <c r="A98" s="54" t="s">
        <v>229</v>
      </c>
      <c r="B98" s="37" t="s">
        <v>230</v>
      </c>
      <c r="C98" s="28">
        <v>460</v>
      </c>
      <c r="E98" s="37" t="s">
        <v>230</v>
      </c>
      <c r="F98" s="28">
        <v>770</v>
      </c>
      <c r="G98" t="b">
        <f>IF(B98=E98,TRUE,FALSE)</f>
        <v>1</v>
      </c>
      <c r="J98" s="25">
        <f>F98-C98</f>
        <v>310</v>
      </c>
      <c r="K98" s="4">
        <f>F98/C98-1</f>
        <v>0.67391304347826098</v>
      </c>
      <c r="M98" s="5">
        <v>1512.34</v>
      </c>
      <c r="N98" s="5">
        <v>1384.15</v>
      </c>
      <c r="Q98" s="138">
        <v>6909.43</v>
      </c>
      <c r="U98" s="127">
        <f>N98-M98</f>
        <v>-128.18999999999983</v>
      </c>
      <c r="V98" s="4">
        <f>IF(M98=0,0,N98/M98-1)</f>
        <v>-8.4762685639472535E-2</v>
      </c>
      <c r="W98" s="18">
        <v>6435.12</v>
      </c>
      <c r="X98" s="18">
        <v>9215.68</v>
      </c>
      <c r="Y98" s="4">
        <f>X98/W98-1</f>
        <v>0.4320913984510002</v>
      </c>
    </row>
    <row r="99" spans="1:28">
      <c r="A99" s="143" t="s">
        <v>231</v>
      </c>
      <c r="B99" s="143" t="s">
        <v>232</v>
      </c>
      <c r="C99" s="28">
        <v>52</v>
      </c>
      <c r="E99" s="143" t="s">
        <v>232</v>
      </c>
      <c r="F99" s="28">
        <v>360</v>
      </c>
      <c r="G99" t="b">
        <f>IF(B99=E99,TRUE,FALSE)</f>
        <v>1</v>
      </c>
      <c r="J99" s="25">
        <f>F99-C99</f>
        <v>308</v>
      </c>
      <c r="K99" s="4">
        <f>F99/C99-1</f>
        <v>5.9230769230769234</v>
      </c>
      <c r="M99" s="5">
        <v>149.97</v>
      </c>
      <c r="N99" s="5">
        <v>985.89</v>
      </c>
      <c r="Q99" s="138">
        <v>3154.49</v>
      </c>
      <c r="U99" s="127">
        <f>N99-M99</f>
        <v>835.92</v>
      </c>
      <c r="V99" s="4">
        <f>IF(M99=0,0,N99/M99-1)</f>
        <v>5.5739147829565914</v>
      </c>
      <c r="W99" s="18">
        <v>1272.48</v>
      </c>
      <c r="X99" s="18">
        <v>4012.68</v>
      </c>
      <c r="Y99" s="4">
        <f>X99/W99-1</f>
        <v>2.1534326669181438</v>
      </c>
    </row>
    <row r="100" spans="1:28">
      <c r="A100" s="54" t="s">
        <v>233</v>
      </c>
      <c r="B100" s="37" t="s">
        <v>234</v>
      </c>
      <c r="C100" s="19">
        <v>180</v>
      </c>
      <c r="E100" s="37" t="s">
        <v>234</v>
      </c>
      <c r="F100" s="19">
        <v>478</v>
      </c>
      <c r="G100" t="b">
        <f>IF(B100=E100,TRUE,FALSE)</f>
        <v>1</v>
      </c>
      <c r="J100" s="25">
        <f>F100-C100</f>
        <v>298</v>
      </c>
      <c r="K100" s="4">
        <f>F100/C100-1</f>
        <v>1.6555555555555554</v>
      </c>
      <c r="M100" s="5">
        <v>385.35</v>
      </c>
      <c r="N100" s="5">
        <v>709.95</v>
      </c>
      <c r="Q100" s="138">
        <v>4215.99</v>
      </c>
      <c r="U100" s="127">
        <f>N100-M100</f>
        <v>324.60000000000002</v>
      </c>
      <c r="V100" s="4">
        <f>IF(M100=0,0,N100/M100-1)</f>
        <v>0.84235110938108204</v>
      </c>
      <c r="W100">
        <v>4735.8</v>
      </c>
      <c r="X100">
        <v>8566.44</v>
      </c>
      <c r="Y100" s="4">
        <f>X100/W100-1</f>
        <v>0.80886861776257457</v>
      </c>
    </row>
    <row r="101" spans="1:28">
      <c r="A101" t="s">
        <v>235</v>
      </c>
      <c r="B101" t="s">
        <v>236</v>
      </c>
      <c r="C101" s="28">
        <v>2300</v>
      </c>
      <c r="E101" t="s">
        <v>236</v>
      </c>
      <c r="F101" s="28">
        <v>2596</v>
      </c>
      <c r="G101" t="b">
        <f>IF(B101=E101,TRUE,FALSE)</f>
        <v>1</v>
      </c>
      <c r="J101" s="25">
        <f>F101-C101</f>
        <v>296</v>
      </c>
      <c r="K101" s="4">
        <f>F101/C101-1</f>
        <v>0.1286956521739131</v>
      </c>
      <c r="M101" s="5">
        <v>5671.95</v>
      </c>
      <c r="N101" s="5">
        <v>5237.88</v>
      </c>
      <c r="Q101" s="139">
        <v>30667.87</v>
      </c>
      <c r="U101" s="127">
        <f>N101-M101</f>
        <v>-434.06999999999971</v>
      </c>
      <c r="V101" s="4">
        <f>IF(M101=0,0,N101/M101-1)</f>
        <v>-7.6529235977044863E-2</v>
      </c>
      <c r="W101" s="18">
        <v>68968.600000000006</v>
      </c>
      <c r="X101" s="18">
        <v>77844.740000000005</v>
      </c>
      <c r="Y101" s="4">
        <f>X101/W101-1</f>
        <v>0.12869827718700977</v>
      </c>
    </row>
    <row r="102" spans="1:28">
      <c r="A102" t="s">
        <v>237</v>
      </c>
      <c r="B102" t="s">
        <v>238</v>
      </c>
      <c r="C102" s="28">
        <v>718</v>
      </c>
      <c r="E102" t="s">
        <v>238</v>
      </c>
      <c r="F102" s="28">
        <v>1011</v>
      </c>
      <c r="G102" t="b">
        <f>IF(B102=E102,TRUE,FALSE)</f>
        <v>1</v>
      </c>
      <c r="J102" s="25">
        <f>F102-C102</f>
        <v>293</v>
      </c>
      <c r="K102" s="4">
        <f>F102/C102-1</f>
        <v>0.40807799442896941</v>
      </c>
      <c r="M102" s="5">
        <v>1682.09</v>
      </c>
      <c r="N102" s="5">
        <v>1475.84</v>
      </c>
      <c r="Q102" s="139">
        <v>8409.74</v>
      </c>
      <c r="U102" s="127">
        <f>N102-M102</f>
        <v>-206.25</v>
      </c>
      <c r="V102" s="4">
        <f>IF(M102=0,0,N102/M102-1)</f>
        <v>-0.12261531784862878</v>
      </c>
      <c r="W102" s="18">
        <v>16979.330000000002</v>
      </c>
      <c r="X102" s="18">
        <v>18530.54</v>
      </c>
      <c r="Y102" s="4">
        <f>X102/W102-1</f>
        <v>9.1358728524623789E-2</v>
      </c>
    </row>
    <row r="103" spans="1:28">
      <c r="A103" s="54" t="s">
        <v>239</v>
      </c>
      <c r="B103" s="37" t="s">
        <v>240</v>
      </c>
      <c r="C103" s="28">
        <v>869</v>
      </c>
      <c r="E103" s="37" t="s">
        <v>240</v>
      </c>
      <c r="F103" s="28">
        <v>1154</v>
      </c>
      <c r="G103" t="b">
        <f>IF(B103=E103,TRUE,FALSE)</f>
        <v>1</v>
      </c>
      <c r="J103" s="25">
        <f>F103-C103</f>
        <v>285</v>
      </c>
      <c r="K103" s="4">
        <f>F103/C103-1</f>
        <v>0.32796317606444192</v>
      </c>
      <c r="M103" s="5">
        <v>2357.7399999999998</v>
      </c>
      <c r="N103" s="5">
        <v>2907.8</v>
      </c>
      <c r="Q103" s="138">
        <v>23371.11</v>
      </c>
      <c r="U103" s="127">
        <f>N103-M103</f>
        <v>550.0600000000004</v>
      </c>
      <c r="V103" s="4">
        <f>IF(M103=0,0,N103/M103-1)</f>
        <v>0.23329968529184741</v>
      </c>
      <c r="W103" s="18">
        <v>26025.35</v>
      </c>
      <c r="X103" s="18">
        <v>34530.25</v>
      </c>
      <c r="Y103" s="4"/>
    </row>
    <row r="104" spans="1:28">
      <c r="A104" s="54" t="s">
        <v>241</v>
      </c>
      <c r="B104" s="37" t="s">
        <v>242</v>
      </c>
      <c r="C104" s="28">
        <v>480</v>
      </c>
      <c r="E104" s="37" t="s">
        <v>242</v>
      </c>
      <c r="F104" s="28">
        <v>762</v>
      </c>
      <c r="G104" t="b">
        <f>IF(B104=E104,TRUE,FALSE)</f>
        <v>1</v>
      </c>
      <c r="J104" s="25">
        <f>F104-C104</f>
        <v>282</v>
      </c>
      <c r="K104" s="4">
        <f>F104/C104-1</f>
        <v>0.58749999999999991</v>
      </c>
      <c r="M104" s="5">
        <v>435.34</v>
      </c>
      <c r="N104" s="5">
        <v>228.86</v>
      </c>
      <c r="Q104" s="138">
        <v>1775.57</v>
      </c>
      <c r="U104" s="127">
        <f>N104-M104</f>
        <v>-206.47999999999996</v>
      </c>
      <c r="V104" s="4">
        <f>IF(M104=0,0,N104/M104-1)</f>
        <v>-0.4742959525887811</v>
      </c>
      <c r="W104" s="18">
        <v>17923.8</v>
      </c>
      <c r="X104" s="18">
        <v>30471.58</v>
      </c>
      <c r="Y104" s="4"/>
    </row>
    <row r="105" spans="1:28">
      <c r="A105" t="s">
        <v>243</v>
      </c>
      <c r="B105" t="s">
        <v>244</v>
      </c>
      <c r="C105" s="28">
        <v>1845</v>
      </c>
      <c r="E105" t="s">
        <v>244</v>
      </c>
      <c r="F105" s="28">
        <v>2127</v>
      </c>
      <c r="G105" t="b">
        <f>IF(B105=E105,TRUE,FALSE)</f>
        <v>1</v>
      </c>
      <c r="J105" s="25">
        <f>F105-C105</f>
        <v>282</v>
      </c>
      <c r="K105" s="4">
        <f>F105/C105-1</f>
        <v>0.15284552845528454</v>
      </c>
      <c r="M105" s="5">
        <v>3481.56</v>
      </c>
      <c r="N105" s="5">
        <v>2775.3</v>
      </c>
      <c r="Q105" s="139">
        <v>19815.97</v>
      </c>
      <c r="U105" s="127">
        <f>N105-M105</f>
        <v>-706.25999999999976</v>
      </c>
      <c r="V105" s="4">
        <f>IF(M105=0,0,N105/M105-1)</f>
        <v>-0.2028573398131871</v>
      </c>
      <c r="W105" s="18">
        <v>47871.24</v>
      </c>
      <c r="X105" s="18">
        <v>54555.28</v>
      </c>
      <c r="Y105" s="4">
        <f>X105/W105-1</f>
        <v>0.13962537841092071</v>
      </c>
    </row>
    <row r="106" spans="1:28">
      <c r="A106" s="54" t="s">
        <v>245</v>
      </c>
      <c r="B106" s="37" t="s">
        <v>246</v>
      </c>
      <c r="C106" s="28">
        <v>901</v>
      </c>
      <c r="E106" s="37" t="s">
        <v>246</v>
      </c>
      <c r="F106" s="28">
        <v>1182</v>
      </c>
      <c r="G106" t="b">
        <f>IF(B106=E106,TRUE,FALSE)</f>
        <v>1</v>
      </c>
      <c r="J106" s="25">
        <f>F106-C106</f>
        <v>281</v>
      </c>
      <c r="K106" s="4">
        <f>F106/C106-1</f>
        <v>0.31187569367369594</v>
      </c>
      <c r="M106" s="5">
        <v>970.94</v>
      </c>
      <c r="N106" s="5">
        <v>1333.7</v>
      </c>
      <c r="Q106" s="139">
        <v>6790.9</v>
      </c>
      <c r="U106" s="127">
        <f>N106-M106</f>
        <v>362.76</v>
      </c>
      <c r="V106" s="4">
        <f>IF(M106=0,0,N106/M106-1)</f>
        <v>0.37361731929882369</v>
      </c>
      <c r="W106" s="18">
        <v>11303.44</v>
      </c>
      <c r="X106" s="18">
        <v>14841.84</v>
      </c>
      <c r="Y106" s="4">
        <f>X106/W106-1</f>
        <v>0.31303744700728275</v>
      </c>
    </row>
    <row r="107" spans="1:28">
      <c r="A107" t="s">
        <v>247</v>
      </c>
      <c r="B107" t="s">
        <v>248</v>
      </c>
      <c r="C107" s="28">
        <v>1120</v>
      </c>
      <c r="E107" t="s">
        <v>248</v>
      </c>
      <c r="F107" s="28">
        <v>1400</v>
      </c>
      <c r="G107" t="b">
        <f>IF(B107=E107,TRUE,FALSE)</f>
        <v>1</v>
      </c>
      <c r="J107" s="25">
        <f>F107-C107</f>
        <v>280</v>
      </c>
      <c r="K107" s="4">
        <f>F107/C107-1</f>
        <v>0.25</v>
      </c>
      <c r="M107" s="5">
        <v>1924.74</v>
      </c>
      <c r="N107" s="5">
        <v>2206.4899999999998</v>
      </c>
      <c r="Q107" s="139">
        <v>12070.57</v>
      </c>
      <c r="U107" s="127">
        <f>N107-M107</f>
        <v>281.74999999999977</v>
      </c>
      <c r="V107" s="4">
        <f>IF(M107=0,0,N107/M107-1)</f>
        <v>0.1463834076290822</v>
      </c>
      <c r="W107" s="18">
        <v>21746.49</v>
      </c>
      <c r="X107" s="18">
        <v>27926.6</v>
      </c>
      <c r="Y107" s="4">
        <f>X107/W107-1</f>
        <v>0.28418885070648159</v>
      </c>
    </row>
    <row r="108" spans="1:28">
      <c r="A108" t="s">
        <v>249</v>
      </c>
      <c r="B108" t="s">
        <v>250</v>
      </c>
      <c r="C108" s="28">
        <v>287</v>
      </c>
      <c r="E108" t="s">
        <v>250</v>
      </c>
      <c r="F108" s="28">
        <v>561</v>
      </c>
      <c r="G108" t="b">
        <f>IF(B108=E108,TRUE,FALSE)</f>
        <v>1</v>
      </c>
      <c r="J108" s="25">
        <f>F108-C108</f>
        <v>274</v>
      </c>
      <c r="K108" s="4">
        <f>F108/C108-1</f>
        <v>0.95470383275261317</v>
      </c>
      <c r="M108" s="5">
        <v>266.31</v>
      </c>
      <c r="N108" s="5">
        <v>144.57</v>
      </c>
      <c r="Q108" s="139">
        <v>700.84</v>
      </c>
      <c r="U108" s="127">
        <f>N108-M108</f>
        <v>-121.74000000000001</v>
      </c>
      <c r="V108" s="4">
        <f>IF(M108=0,0,N108/M108-1)</f>
        <v>-0.45713641996169885</v>
      </c>
      <c r="W108" s="18">
        <v>4642.3599999999997</v>
      </c>
      <c r="X108" s="18">
        <v>6438.22</v>
      </c>
      <c r="Y108" s="4">
        <f>X108/W108-1</f>
        <v>0.38684203723967991</v>
      </c>
    </row>
    <row r="109" spans="1:28">
      <c r="A109" t="s">
        <v>251</v>
      </c>
      <c r="B109" t="s">
        <v>252</v>
      </c>
      <c r="C109" s="28">
        <v>1473</v>
      </c>
      <c r="E109" t="s">
        <v>252</v>
      </c>
      <c r="F109" s="28">
        <v>1746</v>
      </c>
      <c r="G109" t="b">
        <f>IF(B109=E109,TRUE,FALSE)</f>
        <v>1</v>
      </c>
      <c r="J109" s="25">
        <f>F109-C109</f>
        <v>273</v>
      </c>
      <c r="K109" s="4">
        <f>F109/C109-1</f>
        <v>0.18533604887983701</v>
      </c>
      <c r="M109" s="5">
        <v>3066.52</v>
      </c>
      <c r="N109" s="5">
        <v>2246.92</v>
      </c>
      <c r="Q109" s="139">
        <v>12723.61</v>
      </c>
      <c r="U109" s="127">
        <f>N109-M109</f>
        <v>-819.59999999999991</v>
      </c>
      <c r="V109" s="4">
        <f>IF(M109=0,0,N109/M109-1)</f>
        <v>-0.26727365221814958</v>
      </c>
      <c r="W109" s="18">
        <v>41602.31</v>
      </c>
      <c r="X109" s="18">
        <v>45869.32</v>
      </c>
      <c r="Y109" s="4">
        <f>X109/W109-1</f>
        <v>0.10256666036092721</v>
      </c>
    </row>
    <row r="110" spans="1:28">
      <c r="A110" t="s">
        <v>253</v>
      </c>
      <c r="B110" t="s">
        <v>254</v>
      </c>
      <c r="C110" s="28">
        <v>4580</v>
      </c>
      <c r="E110" t="s">
        <v>254</v>
      </c>
      <c r="F110" s="28">
        <v>4847</v>
      </c>
      <c r="G110" t="b">
        <f>IF(B110=E110,TRUE,FALSE)</f>
        <v>1</v>
      </c>
      <c r="J110" s="25">
        <f>F110-C110</f>
        <v>267</v>
      </c>
      <c r="K110" s="4">
        <f>F110/C110-1</f>
        <v>5.8296943231441078E-2</v>
      </c>
      <c r="M110" s="5">
        <v>8697.92</v>
      </c>
      <c r="N110" s="5">
        <v>9075.77</v>
      </c>
      <c r="Q110" s="139">
        <v>54204.66</v>
      </c>
      <c r="U110" s="127">
        <f>N110-M110</f>
        <v>377.85000000000036</v>
      </c>
      <c r="V110" s="4">
        <f>IF(M110=0,0,N110/M110-1)</f>
        <v>4.3441420477539516E-2</v>
      </c>
      <c r="W110" s="18">
        <v>137148.5</v>
      </c>
      <c r="X110" s="18">
        <v>145077.75</v>
      </c>
      <c r="Y110" s="4">
        <f>X110/W110-1</f>
        <v>5.7815069067470581E-2</v>
      </c>
    </row>
    <row r="111" spans="1:28">
      <c r="A111" t="s">
        <v>255</v>
      </c>
      <c r="B111" t="s">
        <v>256</v>
      </c>
      <c r="C111" s="28">
        <v>838</v>
      </c>
      <c r="E111" t="s">
        <v>256</v>
      </c>
      <c r="F111" s="28">
        <v>1105</v>
      </c>
      <c r="G111" t="b">
        <f>IF(B111=E111,TRUE,FALSE)</f>
        <v>1</v>
      </c>
      <c r="J111" s="25">
        <f>F111-C111</f>
        <v>267</v>
      </c>
      <c r="K111" s="4">
        <f>F111/C111-1</f>
        <v>0.31861575178997614</v>
      </c>
      <c r="M111" s="5">
        <v>1404.17</v>
      </c>
      <c r="N111" s="5">
        <v>1509.26</v>
      </c>
      <c r="Q111" s="139">
        <v>9820.7800000000007</v>
      </c>
      <c r="U111" s="127">
        <f>N111-M111</f>
        <v>105.08999999999992</v>
      </c>
      <c r="V111" s="4">
        <f>IF(M111=0,0,N111/M111-1)</f>
        <v>7.4841365361743906E-2</v>
      </c>
      <c r="W111" s="18">
        <v>18418.490000000002</v>
      </c>
      <c r="X111" s="18">
        <v>23167.73</v>
      </c>
      <c r="Y111" s="4">
        <f>X111/W111-1</f>
        <v>0.25785175657722204</v>
      </c>
      <c r="AB111" t="s">
        <v>257</v>
      </c>
    </row>
    <row r="112" spans="1:28">
      <c r="A112" t="s">
        <v>258</v>
      </c>
      <c r="B112" t="s">
        <v>259</v>
      </c>
      <c r="C112" s="28">
        <v>1851</v>
      </c>
      <c r="E112" t="s">
        <v>259</v>
      </c>
      <c r="F112" s="28">
        <v>2113</v>
      </c>
      <c r="G112" t="b">
        <f>IF(B112=E112,TRUE,FALSE)</f>
        <v>1</v>
      </c>
      <c r="J112" s="25">
        <f>F112-C112</f>
        <v>262</v>
      </c>
      <c r="K112" s="4">
        <f>F112/C112-1</f>
        <v>0.14154511075094534</v>
      </c>
      <c r="M112" s="5">
        <v>2057.83</v>
      </c>
      <c r="N112" s="5">
        <v>1794.94</v>
      </c>
      <c r="Q112" s="139">
        <v>12428.71</v>
      </c>
      <c r="U112" s="127">
        <f>N112-M112</f>
        <v>-262.88999999999987</v>
      </c>
      <c r="V112" s="4">
        <f>IF(M112=0,0,N112/M112-1)</f>
        <v>-0.12775107759144333</v>
      </c>
      <c r="W112" s="18">
        <v>44351.31</v>
      </c>
      <c r="X112" s="18">
        <v>50602.27</v>
      </c>
      <c r="Y112" s="4">
        <f>X112/W112-1</f>
        <v>0.14094194737427146</v>
      </c>
    </row>
    <row r="113" spans="1:25">
      <c r="A113" s="143" t="s">
        <v>260</v>
      </c>
      <c r="B113" s="143" t="s">
        <v>261</v>
      </c>
      <c r="C113" s="28">
        <v>0</v>
      </c>
      <c r="E113" s="143" t="s">
        <v>261</v>
      </c>
      <c r="F113" s="28">
        <v>256</v>
      </c>
      <c r="G113" t="b">
        <f>IF(B113=E113,TRUE,FALSE)</f>
        <v>1</v>
      </c>
      <c r="J113" s="25">
        <f>F113-C113</f>
        <v>256</v>
      </c>
      <c r="K113" s="4" t="e">
        <f>F113/C113-1</f>
        <v>#DIV/0!</v>
      </c>
      <c r="M113" s="5">
        <v>0</v>
      </c>
      <c r="N113" s="5">
        <v>1008.67</v>
      </c>
      <c r="Q113" s="138">
        <v>10210.92</v>
      </c>
      <c r="U113" s="127">
        <f>N113-M113</f>
        <v>1008.67</v>
      </c>
      <c r="V113" s="4">
        <f>IF(M113=0,0,N113/M113-1)</f>
        <v>0</v>
      </c>
      <c r="W113" s="18">
        <v>0</v>
      </c>
      <c r="X113" s="18">
        <v>7472.07</v>
      </c>
      <c r="Y113" s="4" t="e">
        <f>X113/W113-1</f>
        <v>#DIV/0!</v>
      </c>
    </row>
    <row r="114" spans="1:25">
      <c r="A114" t="s">
        <v>262</v>
      </c>
      <c r="B114" t="s">
        <v>263</v>
      </c>
      <c r="C114" s="28">
        <v>1311</v>
      </c>
      <c r="E114" t="s">
        <v>263</v>
      </c>
      <c r="F114" s="28">
        <v>1556</v>
      </c>
      <c r="G114" t="b">
        <f>IF(B114=E114,TRUE,FALSE)</f>
        <v>1</v>
      </c>
      <c r="J114" s="25">
        <f>F114-C114</f>
        <v>245</v>
      </c>
      <c r="K114" s="4">
        <f>F114/C114-1</f>
        <v>0.18688024408848203</v>
      </c>
      <c r="M114" s="5">
        <v>2095.85</v>
      </c>
      <c r="N114" s="5">
        <v>2039.43</v>
      </c>
      <c r="Q114" s="139">
        <v>14286.84</v>
      </c>
      <c r="U114" s="127">
        <f>N114-M114</f>
        <v>-56.419999999999845</v>
      </c>
      <c r="V114" s="4">
        <f>IF(M114=0,0,N114/M114-1)</f>
        <v>-2.6919865448385982E-2</v>
      </c>
      <c r="W114" s="18">
        <v>31137.35</v>
      </c>
      <c r="X114" s="18">
        <v>38364.699999999997</v>
      </c>
      <c r="Y114" s="4">
        <f>X114/W114-1</f>
        <v>0.23211191703854039</v>
      </c>
    </row>
    <row r="115" spans="1:25">
      <c r="A115" s="37" t="s">
        <v>264</v>
      </c>
      <c r="B115" s="37" t="s">
        <v>265</v>
      </c>
      <c r="C115" s="28">
        <v>238</v>
      </c>
      <c r="E115" s="37" t="s">
        <v>265</v>
      </c>
      <c r="F115" s="28">
        <v>482</v>
      </c>
      <c r="G115" t="b">
        <f>IF(B115=E115,TRUE,FALSE)</f>
        <v>1</v>
      </c>
      <c r="J115" s="25">
        <f>F115-C115</f>
        <v>244</v>
      </c>
      <c r="K115" s="4">
        <f>F115/C115-1</f>
        <v>1.0252100840336134</v>
      </c>
      <c r="M115" s="5">
        <v>657.09</v>
      </c>
      <c r="N115" s="5">
        <v>966.78</v>
      </c>
      <c r="Q115" s="139">
        <v>6412.08</v>
      </c>
      <c r="U115" s="127">
        <f>N115-M115</f>
        <v>309.68999999999994</v>
      </c>
      <c r="V115" s="4">
        <f>IF(M115=0,0,N115/M115-1)</f>
        <v>0.47130530064374732</v>
      </c>
      <c r="W115" s="18">
        <v>3822.01</v>
      </c>
      <c r="X115" s="18">
        <v>6196.6</v>
      </c>
      <c r="Y115" s="4">
        <f>X115/W115-1</f>
        <v>0.62129350786627979</v>
      </c>
    </row>
    <row r="116" spans="1:25">
      <c r="A116" t="s">
        <v>266</v>
      </c>
      <c r="B116" t="s">
        <v>267</v>
      </c>
      <c r="C116" s="28">
        <v>2395</v>
      </c>
      <c r="E116" t="s">
        <v>267</v>
      </c>
      <c r="F116" s="28">
        <v>2638</v>
      </c>
      <c r="G116" t="b">
        <f>IF(B116=E116,TRUE,FALSE)</f>
        <v>1</v>
      </c>
      <c r="J116" s="25">
        <f>F116-C116</f>
        <v>243</v>
      </c>
      <c r="K116" s="4">
        <f>F116/C116-1</f>
        <v>0.10146137787056375</v>
      </c>
      <c r="M116" s="5">
        <v>3667.38</v>
      </c>
      <c r="N116" s="5">
        <v>4268.57</v>
      </c>
      <c r="Q116" s="139">
        <v>42036.99</v>
      </c>
      <c r="U116" s="127">
        <f>N116-M116</f>
        <v>601.1899999999996</v>
      </c>
      <c r="V116" s="4">
        <f>IF(M116=0,0,N116/M116-1)</f>
        <v>0.16392901744569688</v>
      </c>
      <c r="W116" s="18">
        <v>69842.149999999994</v>
      </c>
      <c r="X116" s="18">
        <v>76035.320000000007</v>
      </c>
      <c r="Y116" s="4">
        <f>X116/W116-1</f>
        <v>8.8673816599288635E-2</v>
      </c>
    </row>
    <row r="117" spans="1:25">
      <c r="A117" s="143" t="s">
        <v>268</v>
      </c>
      <c r="B117" s="143" t="s">
        <v>269</v>
      </c>
      <c r="C117" s="28">
        <v>0</v>
      </c>
      <c r="E117" s="143" t="s">
        <v>269</v>
      </c>
      <c r="F117" s="28">
        <v>240</v>
      </c>
      <c r="G117" t="b">
        <f>IF(B117=E117,TRUE,FALSE)</f>
        <v>1</v>
      </c>
      <c r="J117" s="25">
        <f>F117-C117</f>
        <v>240</v>
      </c>
      <c r="K117" s="4" t="e">
        <f>F117/C117-1</f>
        <v>#DIV/0!</v>
      </c>
      <c r="M117" s="5">
        <v>0</v>
      </c>
      <c r="N117" s="5">
        <v>720.62</v>
      </c>
      <c r="Q117" s="138">
        <v>6660.87</v>
      </c>
      <c r="U117" s="127">
        <f>N117-M117</f>
        <v>720.62</v>
      </c>
      <c r="V117" s="4">
        <f>IF(M117=0,0,N117/M117-1)</f>
        <v>0</v>
      </c>
      <c r="W117" s="18">
        <v>0</v>
      </c>
      <c r="X117" s="18">
        <v>4909.1000000000004</v>
      </c>
      <c r="Y117" s="4" t="e">
        <f>X117/W117-1</f>
        <v>#DIV/0!</v>
      </c>
    </row>
    <row r="118" spans="1:25">
      <c r="A118" t="s">
        <v>270</v>
      </c>
      <c r="B118" t="s">
        <v>271</v>
      </c>
      <c r="C118" s="28">
        <v>603</v>
      </c>
      <c r="E118" t="s">
        <v>271</v>
      </c>
      <c r="F118" s="28">
        <v>839</v>
      </c>
      <c r="G118" t="b">
        <f>IF(B118=E118,TRUE,FALSE)</f>
        <v>1</v>
      </c>
      <c r="J118" s="25">
        <f>F118-C118</f>
        <v>236</v>
      </c>
      <c r="K118" s="4">
        <f>F118/C118-1</f>
        <v>0.39137645107794361</v>
      </c>
      <c r="M118" s="5">
        <v>407.03</v>
      </c>
      <c r="N118" s="5">
        <v>444.48</v>
      </c>
      <c r="Q118" s="139">
        <v>3794.52</v>
      </c>
      <c r="U118" s="127">
        <f>N118-M118</f>
        <v>37.450000000000045</v>
      </c>
      <c r="V118" s="4">
        <f>IF(M118=0,0,N118/M118-1)</f>
        <v>9.2007960101221142E-2</v>
      </c>
      <c r="W118" s="18">
        <v>15694.09</v>
      </c>
      <c r="X118" s="18">
        <v>19348.490000000002</v>
      </c>
      <c r="Y118" s="4">
        <f>X118/W118-1</f>
        <v>0.2328519844094179</v>
      </c>
    </row>
    <row r="119" spans="1:25">
      <c r="A119" t="s">
        <v>272</v>
      </c>
      <c r="B119" t="s">
        <v>273</v>
      </c>
      <c r="C119" s="28">
        <v>2133</v>
      </c>
      <c r="E119" t="s">
        <v>273</v>
      </c>
      <c r="F119" s="28">
        <v>2363</v>
      </c>
      <c r="G119" t="b">
        <f>IF(B119=E119,TRUE,FALSE)</f>
        <v>1</v>
      </c>
      <c r="J119" s="25">
        <f>F119-C119</f>
        <v>230</v>
      </c>
      <c r="K119" s="4">
        <f>F119/C119-1</f>
        <v>0.10782934833567737</v>
      </c>
      <c r="M119" s="5">
        <v>4527.84</v>
      </c>
      <c r="N119" s="5">
        <v>4949.4299999999994</v>
      </c>
      <c r="Q119" s="139">
        <v>43311.61</v>
      </c>
      <c r="U119" s="127">
        <f>N119-M119</f>
        <v>421.58999999999924</v>
      </c>
      <c r="V119" s="4">
        <f>IF(M119=0,0,N119/M119-1)</f>
        <v>9.3110622283472777E-2</v>
      </c>
      <c r="W119" s="18">
        <v>56195.26</v>
      </c>
      <c r="X119" s="18">
        <v>70613.23</v>
      </c>
      <c r="Y119" s="4">
        <f>X119/W119-1</f>
        <v>0.25656914835877598</v>
      </c>
    </row>
    <row r="120" spans="1:25">
      <c r="A120" t="s">
        <v>274</v>
      </c>
      <c r="B120" t="s">
        <v>275</v>
      </c>
      <c r="C120" s="28">
        <v>2747</v>
      </c>
      <c r="E120" t="s">
        <v>275</v>
      </c>
      <c r="F120" s="28">
        <v>2973</v>
      </c>
      <c r="G120" t="b">
        <f>IF(B120=E120,TRUE,FALSE)</f>
        <v>1</v>
      </c>
      <c r="J120" s="25">
        <f>F120-C120</f>
        <v>226</v>
      </c>
      <c r="K120" s="4">
        <f>F120/C120-1</f>
        <v>8.227156898434651E-2</v>
      </c>
      <c r="M120" s="5">
        <v>4000.47</v>
      </c>
      <c r="N120" s="5">
        <v>2823.11</v>
      </c>
      <c r="Q120" s="139">
        <v>22488.55</v>
      </c>
      <c r="U120" s="127">
        <f>N120-M120</f>
        <v>-1177.3599999999997</v>
      </c>
      <c r="V120" s="4">
        <f>IF(M120=0,0,N120/M120-1)</f>
        <v>-0.29430541911325414</v>
      </c>
      <c r="W120" s="18">
        <v>82373.83</v>
      </c>
      <c r="X120" s="18">
        <v>85395.22</v>
      </c>
      <c r="Y120" s="4">
        <f>X120/W120-1</f>
        <v>3.6679003513615971E-2</v>
      </c>
    </row>
    <row r="121" spans="1:25">
      <c r="A121" s="37" t="s">
        <v>276</v>
      </c>
      <c r="B121" s="27" t="s">
        <v>277</v>
      </c>
      <c r="C121" s="28">
        <v>2246</v>
      </c>
      <c r="E121" s="27" t="s">
        <v>277</v>
      </c>
      <c r="F121" s="28">
        <v>2472</v>
      </c>
      <c r="G121" t="b">
        <f>IF(B121=E121,TRUE,FALSE)</f>
        <v>1</v>
      </c>
      <c r="J121" s="25">
        <f>F121-C121</f>
        <v>226</v>
      </c>
      <c r="K121" s="4">
        <f>F121/C121-1</f>
        <v>0.10062333036509341</v>
      </c>
      <c r="M121" s="5">
        <v>3416.04</v>
      </c>
      <c r="N121" s="5">
        <v>3972.24</v>
      </c>
      <c r="Q121" s="138">
        <v>20746.39</v>
      </c>
      <c r="U121" s="127">
        <f>N121-M121</f>
        <v>556.19999999999982</v>
      </c>
      <c r="V121" s="4">
        <f>IF(M121=0,0,N121/M121-1)</f>
        <v>0.16282010749288656</v>
      </c>
      <c r="W121" s="18">
        <v>53384.41</v>
      </c>
      <c r="X121" s="18">
        <v>61745.54</v>
      </c>
      <c r="Y121" s="4">
        <f>X121/W121-1</f>
        <v>0.1566211933409023</v>
      </c>
    </row>
    <row r="122" spans="1:25">
      <c r="A122" t="s">
        <v>278</v>
      </c>
      <c r="B122" t="s">
        <v>279</v>
      </c>
      <c r="C122" s="28">
        <v>735</v>
      </c>
      <c r="E122" t="s">
        <v>279</v>
      </c>
      <c r="F122" s="28">
        <v>959</v>
      </c>
      <c r="G122" t="b">
        <f>IF(B122=E122,TRUE,FALSE)</f>
        <v>1</v>
      </c>
      <c r="J122" s="25">
        <f>F122-C122</f>
        <v>224</v>
      </c>
      <c r="K122" s="4">
        <f>F122/C122-1</f>
        <v>0.30476190476190479</v>
      </c>
      <c r="M122" s="5">
        <v>1575.88</v>
      </c>
      <c r="N122" s="5">
        <v>2096.36</v>
      </c>
      <c r="Q122" s="139">
        <v>15213.01</v>
      </c>
      <c r="U122" s="127">
        <f>N122-M122</f>
        <v>520.48</v>
      </c>
      <c r="V122" s="4">
        <f>IF(M122=0,0,N122/M122-1)</f>
        <v>0.33027895525039974</v>
      </c>
      <c r="W122" s="18">
        <v>18263.189999999999</v>
      </c>
      <c r="X122" s="18">
        <v>23953.66</v>
      </c>
      <c r="Y122" s="4">
        <f>X122/W122-1</f>
        <v>0.31158138309900973</v>
      </c>
    </row>
    <row r="123" spans="1:25">
      <c r="A123" t="s">
        <v>280</v>
      </c>
      <c r="B123" t="s">
        <v>281</v>
      </c>
      <c r="C123" s="28">
        <v>764</v>
      </c>
      <c r="E123" t="s">
        <v>281</v>
      </c>
      <c r="F123" s="28">
        <v>981</v>
      </c>
      <c r="G123" t="b">
        <f>IF(B123=E123,TRUE,FALSE)</f>
        <v>1</v>
      </c>
      <c r="J123" s="25">
        <f>F123-C123</f>
        <v>217</v>
      </c>
      <c r="K123" s="4">
        <f>F123/C123-1</f>
        <v>0.28403141361256545</v>
      </c>
      <c r="M123" s="5">
        <v>535.15</v>
      </c>
      <c r="N123" s="5">
        <v>634.49</v>
      </c>
      <c r="Q123" s="139">
        <v>5091.3</v>
      </c>
      <c r="U123" s="127">
        <f>N123-M123</f>
        <v>99.340000000000032</v>
      </c>
      <c r="V123" s="4">
        <f>IF(M123=0,0,N123/M123-1)</f>
        <v>0.18563019714098861</v>
      </c>
      <c r="W123" s="18">
        <v>35899.42</v>
      </c>
      <c r="X123" s="18">
        <v>42756.899999999994</v>
      </c>
      <c r="Y123" s="4">
        <f>X123/W123-1</f>
        <v>0.19101924209360477</v>
      </c>
    </row>
    <row r="124" spans="1:25">
      <c r="A124" s="37" t="s">
        <v>282</v>
      </c>
      <c r="B124" s="37" t="s">
        <v>283</v>
      </c>
      <c r="C124" s="28">
        <v>1780</v>
      </c>
      <c r="E124" s="37" t="s">
        <v>283</v>
      </c>
      <c r="F124" s="28">
        <v>1994</v>
      </c>
      <c r="G124" t="b">
        <f>IF(B124=E124,TRUE,FALSE)</f>
        <v>1</v>
      </c>
      <c r="J124" s="25">
        <f>F124-C124</f>
        <v>214</v>
      </c>
      <c r="K124" s="4">
        <f>F124/C124-1</f>
        <v>0.12022471910112364</v>
      </c>
      <c r="M124" s="5">
        <v>2838.67</v>
      </c>
      <c r="N124" s="5">
        <v>2777.43</v>
      </c>
      <c r="Q124" s="139">
        <v>18467.87</v>
      </c>
      <c r="U124" s="127">
        <f>N124-M124</f>
        <v>-61.240000000000236</v>
      </c>
      <c r="V124" s="4">
        <f>IF(M124=0,0,N124/M124-1)</f>
        <v>-2.1573483356642442E-2</v>
      </c>
      <c r="W124" s="18">
        <v>34556.67</v>
      </c>
      <c r="X124" s="18">
        <v>36972.720000000001</v>
      </c>
      <c r="Y124" s="4">
        <f>X124/W124-1</f>
        <v>6.9915590825157636E-2</v>
      </c>
    </row>
    <row r="125" spans="1:25">
      <c r="A125" s="54" t="s">
        <v>284</v>
      </c>
      <c r="B125" s="37" t="s">
        <v>285</v>
      </c>
      <c r="C125" s="19">
        <v>919</v>
      </c>
      <c r="E125" s="37" t="s">
        <v>285</v>
      </c>
      <c r="F125" s="19">
        <v>1131</v>
      </c>
      <c r="G125" t="b">
        <f>IF(B125=E125,TRUE,FALSE)</f>
        <v>1</v>
      </c>
      <c r="J125" s="25">
        <f>F125-C125</f>
        <v>212</v>
      </c>
      <c r="K125" s="4">
        <f>F125/C125-1</f>
        <v>0.23068552774755169</v>
      </c>
      <c r="M125" s="5">
        <v>2244.13</v>
      </c>
      <c r="N125" s="5">
        <v>1774.69</v>
      </c>
      <c r="Q125" s="138">
        <v>7190.26</v>
      </c>
      <c r="U125" s="127">
        <f>N125-M125</f>
        <v>-469.44000000000005</v>
      </c>
      <c r="V125" s="4">
        <f>IF(M125=0,0,N125/M125-1)</f>
        <v>-0.20918574235895426</v>
      </c>
      <c r="W125">
        <v>19310.77</v>
      </c>
      <c r="X125">
        <v>22633.69</v>
      </c>
      <c r="Y125" s="4">
        <f>X125/W125-1</f>
        <v>0.17207599696956666</v>
      </c>
    </row>
    <row r="126" spans="1:25">
      <c r="A126" s="54" t="s">
        <v>286</v>
      </c>
      <c r="B126" s="37" t="s">
        <v>287</v>
      </c>
      <c r="C126" s="28">
        <v>675</v>
      </c>
      <c r="E126" s="37" t="s">
        <v>287</v>
      </c>
      <c r="F126" s="28">
        <v>880</v>
      </c>
      <c r="G126" t="b">
        <f>IF(B126=E126,TRUE,FALSE)</f>
        <v>1</v>
      </c>
      <c r="J126" s="25">
        <f>F126-C126</f>
        <v>205</v>
      </c>
      <c r="K126" s="4">
        <f>F126/C126-1</f>
        <v>0.30370370370370381</v>
      </c>
      <c r="M126" s="5">
        <v>677.24</v>
      </c>
      <c r="N126" s="5">
        <v>1204.53</v>
      </c>
      <c r="Q126" s="138">
        <v>4701.37</v>
      </c>
      <c r="U126" s="127">
        <f>N126-M126</f>
        <v>527.29</v>
      </c>
      <c r="V126" s="4">
        <f>IF(M126=0,0,N126/M126-1)</f>
        <v>0.77858661626602088</v>
      </c>
      <c r="W126" s="18">
        <v>11399.11</v>
      </c>
      <c r="X126" s="18">
        <v>13421.03</v>
      </c>
      <c r="Y126" s="4">
        <f>X126/W126-1</f>
        <v>0.17737525122575359</v>
      </c>
    </row>
    <row r="127" spans="1:25">
      <c r="A127" s="143" t="s">
        <v>288</v>
      </c>
      <c r="B127" s="143" t="s">
        <v>289</v>
      </c>
      <c r="C127" s="28">
        <v>0</v>
      </c>
      <c r="E127" s="143" t="s">
        <v>289</v>
      </c>
      <c r="F127" s="28">
        <v>204</v>
      </c>
      <c r="G127" t="b">
        <f>IF(B127=E127,TRUE,FALSE)</f>
        <v>1</v>
      </c>
      <c r="J127" s="25">
        <f>F127-C127</f>
        <v>204</v>
      </c>
      <c r="K127" s="4" t="e">
        <f>F127/C127-1</f>
        <v>#DIV/0!</v>
      </c>
      <c r="M127" s="5">
        <v>0</v>
      </c>
      <c r="N127" s="5">
        <v>537.75</v>
      </c>
      <c r="Q127" s="138">
        <v>2600.46</v>
      </c>
      <c r="U127" s="127">
        <f>N127-M127</f>
        <v>537.75</v>
      </c>
      <c r="V127" s="4">
        <f>IF(M127=0,0,N127/M127-1)</f>
        <v>0</v>
      </c>
      <c r="W127" s="18">
        <v>0</v>
      </c>
      <c r="X127" s="18">
        <v>6042.6500000000005</v>
      </c>
      <c r="Y127" s="4" t="e">
        <f>X127/W127-1</f>
        <v>#DIV/0!</v>
      </c>
    </row>
    <row r="128" spans="1:25">
      <c r="A128" t="s">
        <v>290</v>
      </c>
      <c r="B128" t="s">
        <v>291</v>
      </c>
      <c r="C128" s="28">
        <v>757</v>
      </c>
      <c r="E128" t="s">
        <v>291</v>
      </c>
      <c r="F128" s="28">
        <v>958</v>
      </c>
      <c r="G128" t="b">
        <f>IF(B128=E128,TRUE,FALSE)</f>
        <v>1</v>
      </c>
      <c r="J128" s="25">
        <f>F128-C128</f>
        <v>201</v>
      </c>
      <c r="K128" s="4">
        <f>F128/C128-1</f>
        <v>0.26552179656538977</v>
      </c>
      <c r="M128" s="5">
        <v>3021.8</v>
      </c>
      <c r="N128" s="5">
        <v>3026.73</v>
      </c>
      <c r="Q128" s="139">
        <v>25851.9</v>
      </c>
      <c r="U128" s="127">
        <f>N128-M128</f>
        <v>4.9299999999998363</v>
      </c>
      <c r="V128" s="4">
        <f>IF(M128=0,0,N128/M128-1)</f>
        <v>1.6314779270631963E-3</v>
      </c>
      <c r="W128" s="18">
        <v>17796.03</v>
      </c>
      <c r="X128" s="18">
        <v>22943.62</v>
      </c>
      <c r="Y128" s="4">
        <f>X128/W128-1</f>
        <v>0.28925496304512865</v>
      </c>
    </row>
    <row r="129" spans="1:25">
      <c r="A129" s="54" t="s">
        <v>292</v>
      </c>
      <c r="B129" s="37" t="s">
        <v>293</v>
      </c>
      <c r="C129" s="28">
        <v>725</v>
      </c>
      <c r="E129" s="37" t="s">
        <v>293</v>
      </c>
      <c r="F129" s="28">
        <v>925</v>
      </c>
      <c r="G129" t="b">
        <f>IF(B129=E129,TRUE,FALSE)</f>
        <v>1</v>
      </c>
      <c r="J129" s="25">
        <f>F129-C129</f>
        <v>200</v>
      </c>
      <c r="K129" s="4">
        <f>F129/C129-1</f>
        <v>0.27586206896551735</v>
      </c>
      <c r="M129" s="5">
        <v>2501.37</v>
      </c>
      <c r="N129" s="5">
        <v>2125.02</v>
      </c>
      <c r="Q129" s="139">
        <v>16207.72</v>
      </c>
      <c r="U129" s="127">
        <f>N129-M129</f>
        <v>-376.34999999999991</v>
      </c>
      <c r="V129" s="4">
        <f>IF(M129=0,0,N129/M129-1)</f>
        <v>-0.15045754926300381</v>
      </c>
      <c r="W129" s="18">
        <v>16930.509999999998</v>
      </c>
      <c r="X129" s="18">
        <v>19390.43</v>
      </c>
      <c r="Y129" s="4">
        <f>X129/W129-1</f>
        <v>0.14529509152411846</v>
      </c>
    </row>
    <row r="130" spans="1:25">
      <c r="A130" s="54" t="s">
        <v>294</v>
      </c>
      <c r="B130" s="37" t="s">
        <v>295</v>
      </c>
      <c r="C130" s="19">
        <v>642</v>
      </c>
      <c r="E130" s="37" t="s">
        <v>295</v>
      </c>
      <c r="F130" s="19">
        <v>840</v>
      </c>
      <c r="G130" t="b">
        <f>IF(B130=E130,TRUE,FALSE)</f>
        <v>1</v>
      </c>
      <c r="J130" s="25">
        <f>F130-C130</f>
        <v>198</v>
      </c>
      <c r="K130" s="4">
        <f>F130/C130-1</f>
        <v>0.30841121495327095</v>
      </c>
      <c r="M130" s="5">
        <v>1720.85</v>
      </c>
      <c r="N130" s="5">
        <v>1874.89</v>
      </c>
      <c r="Q130" s="138">
        <v>15239.42</v>
      </c>
      <c r="U130" s="127">
        <f>N130-M130</f>
        <v>154.04000000000019</v>
      </c>
      <c r="V130" s="4">
        <f>IF(M130=0,0,N130/M130-1)</f>
        <v>8.951390301304607E-2</v>
      </c>
      <c r="W130">
        <v>17925.72</v>
      </c>
      <c r="X130">
        <v>22225</v>
      </c>
      <c r="Y130" s="4">
        <f>X130/W130-1</f>
        <v>0.2398386229395526</v>
      </c>
    </row>
    <row r="131" spans="1:25">
      <c r="A131" t="s">
        <v>296</v>
      </c>
      <c r="B131" t="s">
        <v>297</v>
      </c>
      <c r="C131" s="28">
        <v>1075</v>
      </c>
      <c r="E131" t="s">
        <v>297</v>
      </c>
      <c r="F131" s="28">
        <v>1272</v>
      </c>
      <c r="G131" t="b">
        <f>IF(B131=E131,TRUE,FALSE)</f>
        <v>1</v>
      </c>
      <c r="J131" s="25">
        <f>F131-C131</f>
        <v>197</v>
      </c>
      <c r="K131" s="4">
        <f>F131/C131-1</f>
        <v>0.18325581395348833</v>
      </c>
      <c r="M131" s="5">
        <v>642.82000000000005</v>
      </c>
      <c r="N131" s="5">
        <v>572.97</v>
      </c>
      <c r="Q131" s="139">
        <v>5397.82</v>
      </c>
      <c r="U131" s="127">
        <f>N131-M131</f>
        <v>-69.850000000000023</v>
      </c>
      <c r="V131" s="4">
        <f>IF(M131=0,0,N131/M131-1)</f>
        <v>-0.10866183379484151</v>
      </c>
      <c r="W131" s="18">
        <v>31367.15</v>
      </c>
      <c r="X131" s="18">
        <v>36806.879999999997</v>
      </c>
      <c r="Y131" s="4">
        <f>X131/W131-1</f>
        <v>0.17342123846125634</v>
      </c>
    </row>
    <row r="132" spans="1:25">
      <c r="A132" s="143" t="s">
        <v>298</v>
      </c>
      <c r="B132" s="143" t="s">
        <v>299</v>
      </c>
      <c r="C132" s="28">
        <v>0</v>
      </c>
      <c r="E132" s="143" t="s">
        <v>299</v>
      </c>
      <c r="F132" s="28">
        <v>197</v>
      </c>
      <c r="G132" t="b">
        <f>IF(B132=E132,TRUE,FALSE)</f>
        <v>1</v>
      </c>
      <c r="J132" s="25">
        <f>F132-C132</f>
        <v>197</v>
      </c>
      <c r="K132" s="4" t="e">
        <f>F132/C132-1</f>
        <v>#DIV/0!</v>
      </c>
      <c r="M132" s="5">
        <v>0</v>
      </c>
      <c r="N132" s="5">
        <v>417.69</v>
      </c>
      <c r="Q132" s="138">
        <v>3083.63</v>
      </c>
      <c r="U132" s="127">
        <f>N132-M132</f>
        <v>417.69</v>
      </c>
      <c r="V132" s="4">
        <f>IF(M132=0,0,N132/M132-1)</f>
        <v>0</v>
      </c>
      <c r="W132" s="18">
        <v>0</v>
      </c>
      <c r="X132" s="18">
        <v>5723.1</v>
      </c>
      <c r="Y132" s="4" t="e">
        <f>X132/W132-1</f>
        <v>#DIV/0!</v>
      </c>
    </row>
    <row r="133" spans="1:25">
      <c r="A133" s="54" t="s">
        <v>300</v>
      </c>
      <c r="B133" s="37" t="s">
        <v>301</v>
      </c>
      <c r="C133" s="28">
        <v>674</v>
      </c>
      <c r="E133" s="37" t="s">
        <v>301</v>
      </c>
      <c r="F133" s="28">
        <v>869</v>
      </c>
      <c r="G133" t="b">
        <f>IF(B133=E133,TRUE,FALSE)</f>
        <v>1</v>
      </c>
      <c r="J133" s="25">
        <f>F133-C133</f>
        <v>195</v>
      </c>
      <c r="K133" s="4">
        <f>F133/C133-1</f>
        <v>0.28931750741839757</v>
      </c>
      <c r="M133" s="5">
        <v>1786</v>
      </c>
      <c r="N133" s="5">
        <v>1589.45</v>
      </c>
      <c r="Q133" s="138">
        <v>8174.97</v>
      </c>
      <c r="U133" s="127">
        <f>N133-M133</f>
        <v>-196.54999999999995</v>
      </c>
      <c r="V133" s="4">
        <f>IF(M133=0,0,N133/M133-1)</f>
        <v>-0.11005039193729005</v>
      </c>
      <c r="W133" s="18">
        <v>11283.26</v>
      </c>
      <c r="X133" s="18">
        <v>14555.12</v>
      </c>
      <c r="Y133" s="4">
        <f>X133/W133-1</f>
        <v>0.28997470589173702</v>
      </c>
    </row>
    <row r="134" spans="1:25">
      <c r="A134" t="s">
        <v>302</v>
      </c>
      <c r="B134" t="s">
        <v>303</v>
      </c>
      <c r="C134" s="28">
        <v>1814</v>
      </c>
      <c r="E134" t="s">
        <v>303</v>
      </c>
      <c r="F134" s="28">
        <v>2008</v>
      </c>
      <c r="G134" t="b">
        <f>IF(B134=E134,TRUE,FALSE)</f>
        <v>1</v>
      </c>
      <c r="J134" s="25">
        <f>F134-C134</f>
        <v>194</v>
      </c>
      <c r="K134" s="4">
        <f>F134/C134-1</f>
        <v>0.10694597574421172</v>
      </c>
      <c r="M134" s="5">
        <v>1458.78</v>
      </c>
      <c r="N134" s="5">
        <v>1502.87</v>
      </c>
      <c r="Q134" s="139">
        <v>17258.64</v>
      </c>
      <c r="U134" s="127">
        <f>N134-M134</f>
        <v>44.089999999999918</v>
      </c>
      <c r="V134" s="4">
        <f>IF(M134=0,0,N134/M134-1)</f>
        <v>3.0223885712718834E-2</v>
      </c>
      <c r="W134" s="18">
        <v>52384.04</v>
      </c>
      <c r="X134" s="18">
        <v>57563.89</v>
      </c>
      <c r="Y134" s="4">
        <f>X134/W134-1</f>
        <v>9.8882216797329781E-2</v>
      </c>
    </row>
    <row r="135" spans="1:25">
      <c r="A135" t="s">
        <v>304</v>
      </c>
      <c r="B135" t="s">
        <v>305</v>
      </c>
      <c r="C135" s="28">
        <v>2086</v>
      </c>
      <c r="E135" t="s">
        <v>305</v>
      </c>
      <c r="F135" s="28">
        <v>2280</v>
      </c>
      <c r="G135" t="b">
        <f>IF(B135=E135,TRUE,FALSE)</f>
        <v>1</v>
      </c>
      <c r="J135" s="25">
        <f>F135-C135</f>
        <v>194</v>
      </c>
      <c r="K135" s="4">
        <f>F135/C135-1</f>
        <v>9.3000958772770925E-2</v>
      </c>
      <c r="L135" s="5"/>
      <c r="M135" s="5">
        <v>3584.97</v>
      </c>
      <c r="N135" s="5">
        <v>3510.47</v>
      </c>
      <c r="O135" s="5"/>
      <c r="P135" s="5"/>
      <c r="Q135" s="139">
        <v>23781.61</v>
      </c>
      <c r="R135" s="5"/>
      <c r="S135" s="5"/>
      <c r="T135" s="5"/>
      <c r="U135" s="127">
        <f>N135-M135</f>
        <v>-74.5</v>
      </c>
      <c r="V135" s="4">
        <f>IF(M135=0,0,N135/M135-1)</f>
        <v>-2.0781205979408468E-2</v>
      </c>
      <c r="W135" s="18">
        <v>54402.61</v>
      </c>
      <c r="X135" s="18">
        <v>61441.95</v>
      </c>
      <c r="Y135" s="4">
        <f>X135/W135-1</f>
        <v>0.12939342432284029</v>
      </c>
    </row>
    <row r="136" spans="1:25">
      <c r="A136" t="s">
        <v>306</v>
      </c>
      <c r="B136" t="s">
        <v>307</v>
      </c>
      <c r="C136" s="28">
        <v>922</v>
      </c>
      <c r="E136" t="s">
        <v>307</v>
      </c>
      <c r="F136" s="28">
        <v>1110</v>
      </c>
      <c r="G136" t="b">
        <f>IF(B136=E136,TRUE,FALSE)</f>
        <v>1</v>
      </c>
      <c r="J136" s="25">
        <f>F136-C136</f>
        <v>188</v>
      </c>
      <c r="K136" s="4">
        <f>F136/C136-1</f>
        <v>0.20390455531453355</v>
      </c>
      <c r="M136" s="5">
        <v>2636.5</v>
      </c>
      <c r="N136" s="5">
        <v>2303.02</v>
      </c>
      <c r="Q136" s="139">
        <v>16122.27</v>
      </c>
      <c r="U136" s="127">
        <f>N136-M136</f>
        <v>-333.48</v>
      </c>
      <c r="V136" s="4">
        <f>IF(M136=0,0,N136/M136-1)</f>
        <v>-0.12648587142044376</v>
      </c>
      <c r="W136" s="18">
        <v>22998.65</v>
      </c>
      <c r="X136" s="18">
        <v>27687.25</v>
      </c>
      <c r="Y136" s="4">
        <f>X136/W136-1</f>
        <v>0.20386413985168694</v>
      </c>
    </row>
    <row r="137" spans="1:25">
      <c r="A137" s="143" t="s">
        <v>308</v>
      </c>
      <c r="B137" s="37" t="s">
        <v>309</v>
      </c>
      <c r="C137" s="28">
        <v>64</v>
      </c>
      <c r="E137" s="37" t="s">
        <v>309</v>
      </c>
      <c r="F137" s="28">
        <v>250</v>
      </c>
      <c r="G137" t="b">
        <f>IF(B137=E137,TRUE,FALSE)</f>
        <v>1</v>
      </c>
      <c r="J137" s="25">
        <f>F137-C137</f>
        <v>186</v>
      </c>
      <c r="K137" s="4">
        <f>F137/C137-1</f>
        <v>2.90625</v>
      </c>
      <c r="M137" s="5">
        <v>580.4</v>
      </c>
      <c r="N137" s="5">
        <v>932.79</v>
      </c>
      <c r="Q137" s="138">
        <v>6723.91</v>
      </c>
      <c r="U137" s="127">
        <f>N137-M137</f>
        <v>352.39</v>
      </c>
      <c r="V137" s="4">
        <f>IF(M137=0,0,N137/M137-1)</f>
        <v>0.60715024121295658</v>
      </c>
      <c r="W137" s="18">
        <v>1402.19</v>
      </c>
      <c r="X137" s="18">
        <v>3594.7</v>
      </c>
      <c r="Y137" s="4"/>
    </row>
    <row r="138" spans="1:25">
      <c r="A138" t="s">
        <v>310</v>
      </c>
      <c r="B138" t="s">
        <v>311</v>
      </c>
      <c r="C138" s="28">
        <v>586</v>
      </c>
      <c r="E138" t="s">
        <v>311</v>
      </c>
      <c r="F138" s="28">
        <v>771</v>
      </c>
      <c r="G138" t="b">
        <f>IF(B138=E138,TRUE,FALSE)</f>
        <v>1</v>
      </c>
      <c r="J138" s="25">
        <f>F138-C138</f>
        <v>185</v>
      </c>
      <c r="K138" s="4">
        <f>F138/C138-1</f>
        <v>0.3156996587030716</v>
      </c>
      <c r="M138" s="5">
        <v>290.64999999999998</v>
      </c>
      <c r="N138" s="5">
        <v>330.6</v>
      </c>
      <c r="Q138" s="139">
        <v>3692.41</v>
      </c>
      <c r="U138" s="127">
        <f>N138-M138</f>
        <v>39.950000000000045</v>
      </c>
      <c r="V138" s="4">
        <f>IF(M138=0,0,N138/M138-1)</f>
        <v>0.13745054188886985</v>
      </c>
      <c r="W138" s="18">
        <v>21888.34</v>
      </c>
      <c r="X138" s="18">
        <v>26173.23</v>
      </c>
      <c r="Y138" s="4">
        <f>X138/W138-1</f>
        <v>0.19576130487739141</v>
      </c>
    </row>
    <row r="139" spans="1:25">
      <c r="A139" t="s">
        <v>312</v>
      </c>
      <c r="B139" t="s">
        <v>313</v>
      </c>
      <c r="C139" s="28">
        <v>1647</v>
      </c>
      <c r="E139" t="s">
        <v>313</v>
      </c>
      <c r="F139" s="28">
        <v>1823</v>
      </c>
      <c r="G139" t="b">
        <f>IF(B139=E139,TRUE,FALSE)</f>
        <v>1</v>
      </c>
      <c r="J139" s="25">
        <f>F139-C139</f>
        <v>176</v>
      </c>
      <c r="K139" s="4">
        <f>F139/C139-1</f>
        <v>0.10686095931997563</v>
      </c>
      <c r="L139" s="5"/>
      <c r="M139" s="5">
        <v>2990.1</v>
      </c>
      <c r="N139" s="5">
        <v>2944.34</v>
      </c>
      <c r="O139" s="5"/>
      <c r="P139" s="5"/>
      <c r="Q139" s="139">
        <v>18157.580000000002</v>
      </c>
      <c r="R139" s="5"/>
      <c r="S139" s="5"/>
      <c r="T139" s="5"/>
      <c r="U139" s="127">
        <f>N139-M139</f>
        <v>-45.759999999999764</v>
      </c>
      <c r="V139" s="4">
        <f>IF(M139=0,0,N139/M139-1)</f>
        <v>-1.5303835992107162E-2</v>
      </c>
      <c r="W139" s="18">
        <v>49098.93</v>
      </c>
      <c r="X139" s="18">
        <v>52817.77</v>
      </c>
      <c r="Y139" s="4">
        <f>X139/W139-1</f>
        <v>7.5741772784050365E-2</v>
      </c>
    </row>
    <row r="140" spans="1:25">
      <c r="A140" t="s">
        <v>314</v>
      </c>
      <c r="B140" t="s">
        <v>315</v>
      </c>
      <c r="C140" s="28">
        <v>679</v>
      </c>
      <c r="E140" t="s">
        <v>315</v>
      </c>
      <c r="F140" s="28">
        <v>852</v>
      </c>
      <c r="G140" t="b">
        <f>IF(B140=E140,TRUE,FALSE)</f>
        <v>1</v>
      </c>
      <c r="J140" s="25">
        <f>F140-C140</f>
        <v>173</v>
      </c>
      <c r="K140" s="4">
        <f>F140/C140-1</f>
        <v>0.25478645066273931</v>
      </c>
      <c r="M140" s="5">
        <v>1343.55</v>
      </c>
      <c r="N140" s="5">
        <v>1415.26</v>
      </c>
      <c r="Q140" s="139">
        <v>8377.61</v>
      </c>
      <c r="U140" s="127">
        <f>N140-M140</f>
        <v>71.710000000000036</v>
      </c>
      <c r="V140" s="4">
        <f>IF(M140=0,0,N140/M140-1)</f>
        <v>5.3373525361914309E-2</v>
      </c>
      <c r="W140" s="18">
        <v>19262.84</v>
      </c>
      <c r="X140" s="18">
        <v>23876.17</v>
      </c>
      <c r="Y140" s="4">
        <f>X140/W140-1</f>
        <v>0.23949376104458109</v>
      </c>
    </row>
    <row r="141" spans="1:25">
      <c r="A141" t="s">
        <v>316</v>
      </c>
      <c r="B141" t="s">
        <v>317</v>
      </c>
      <c r="C141" s="28">
        <v>824</v>
      </c>
      <c r="E141" t="s">
        <v>317</v>
      </c>
      <c r="F141" s="28">
        <v>991</v>
      </c>
      <c r="G141" t="b">
        <f>IF(B141=E141,TRUE,FALSE)</f>
        <v>1</v>
      </c>
      <c r="J141" s="25">
        <f>F141-C141</f>
        <v>167</v>
      </c>
      <c r="K141" s="4">
        <f>F141/C141-1</f>
        <v>0.20266990291262132</v>
      </c>
      <c r="M141" s="5">
        <v>815.21</v>
      </c>
      <c r="N141" s="5">
        <v>898.34</v>
      </c>
      <c r="Q141" s="139">
        <v>7716.03</v>
      </c>
      <c r="U141" s="127">
        <f>N141-M141</f>
        <v>83.13</v>
      </c>
      <c r="V141" s="4">
        <f>IF(M141=0,0,N141/M141-1)</f>
        <v>0.10197372456176934</v>
      </c>
      <c r="W141" s="18">
        <v>22183.040000000001</v>
      </c>
      <c r="X141" s="18">
        <v>25059.08</v>
      </c>
      <c r="Y141" s="4">
        <f>X141/W141-1</f>
        <v>0.12965039958454749</v>
      </c>
    </row>
    <row r="142" spans="1:25">
      <c r="A142" s="54" t="s">
        <v>318</v>
      </c>
      <c r="B142" s="37" t="s">
        <v>319</v>
      </c>
      <c r="C142" s="28">
        <v>116</v>
      </c>
      <c r="E142" s="37" t="s">
        <v>319</v>
      </c>
      <c r="F142" s="28">
        <v>280</v>
      </c>
      <c r="G142" t="b">
        <f>IF(B142=E142,TRUE,FALSE)</f>
        <v>1</v>
      </c>
      <c r="J142" s="25">
        <f>F142-C142</f>
        <v>164</v>
      </c>
      <c r="K142" s="4">
        <f>F142/C142-1</f>
        <v>1.4137931034482758</v>
      </c>
      <c r="M142" s="5">
        <v>282.18</v>
      </c>
      <c r="N142" s="5">
        <v>779.7</v>
      </c>
      <c r="Q142" s="138">
        <v>4439.7</v>
      </c>
      <c r="U142" s="127">
        <f>N142-M142</f>
        <v>497.52000000000004</v>
      </c>
      <c r="V142" s="4">
        <f>IF(M142=0,0,N142/M142-1)</f>
        <v>1.7631299170742079</v>
      </c>
      <c r="W142" s="18">
        <v>2145.4299999999998</v>
      </c>
      <c r="X142" s="18">
        <v>3531.8</v>
      </c>
      <c r="Y142" s="4">
        <f>X142/W142-1</f>
        <v>0.64619679970914934</v>
      </c>
    </row>
    <row r="143" spans="1:25">
      <c r="A143" t="s">
        <v>320</v>
      </c>
      <c r="B143" t="s">
        <v>321</v>
      </c>
      <c r="C143" s="28">
        <v>1328</v>
      </c>
      <c r="E143" t="s">
        <v>321</v>
      </c>
      <c r="F143" s="28">
        <v>1490</v>
      </c>
      <c r="G143" t="b">
        <f>IF(B143=E143,TRUE,FALSE)</f>
        <v>1</v>
      </c>
      <c r="J143" s="25">
        <f>F143-C143</f>
        <v>162</v>
      </c>
      <c r="K143" s="4">
        <f>F143/C143-1</f>
        <v>0.12198795180722888</v>
      </c>
      <c r="M143" s="5">
        <v>2336.37</v>
      </c>
      <c r="N143" s="5">
        <v>2534.88</v>
      </c>
      <c r="Q143" s="139">
        <v>21883.93</v>
      </c>
      <c r="U143" s="127">
        <f>N143-M143</f>
        <v>198.51000000000022</v>
      </c>
      <c r="V143" s="4">
        <f>IF(M143=0,0,N143/M143-1)</f>
        <v>8.4965138227250048E-2</v>
      </c>
      <c r="W143" s="18">
        <v>35823.01</v>
      </c>
      <c r="X143" s="18">
        <v>40207.81</v>
      </c>
      <c r="Y143" s="4">
        <f>X143/W143-1</f>
        <v>0.12240177472523928</v>
      </c>
    </row>
    <row r="144" spans="1:25">
      <c r="A144" t="s">
        <v>322</v>
      </c>
      <c r="B144" t="s">
        <v>323</v>
      </c>
      <c r="C144" s="28">
        <v>2366</v>
      </c>
      <c r="E144" t="s">
        <v>323</v>
      </c>
      <c r="F144" s="28">
        <v>2520</v>
      </c>
      <c r="G144" t="b">
        <f>IF(B144=E144,TRUE,FALSE)</f>
        <v>1</v>
      </c>
      <c r="J144" s="25">
        <f>F144-C144</f>
        <v>154</v>
      </c>
      <c r="K144" s="4">
        <f>F144/C144-1</f>
        <v>6.5088757396449815E-2</v>
      </c>
      <c r="M144" s="5">
        <v>2270.1999999999998</v>
      </c>
      <c r="N144" s="5">
        <v>1996.77</v>
      </c>
      <c r="Q144" s="139">
        <v>20138.900000000001</v>
      </c>
      <c r="U144" s="127">
        <f>N144-M144</f>
        <v>-273.42999999999984</v>
      </c>
      <c r="V144" s="4">
        <f>IF(M144=0,0,N144/M144-1)</f>
        <v>-0.12044313276363305</v>
      </c>
      <c r="W144" s="18">
        <v>68233.88</v>
      </c>
      <c r="X144" s="18">
        <v>72294.8</v>
      </c>
      <c r="Y144" s="4">
        <f>X144/W144-1</f>
        <v>5.9514716149807079E-2</v>
      </c>
    </row>
    <row r="145" spans="1:25">
      <c r="A145" s="54" t="s">
        <v>324</v>
      </c>
      <c r="B145" s="37" t="s">
        <v>325</v>
      </c>
      <c r="C145" s="28">
        <v>738</v>
      </c>
      <c r="E145" s="37" t="s">
        <v>325</v>
      </c>
      <c r="F145" s="28">
        <v>889</v>
      </c>
      <c r="G145" t="b">
        <f>IF(B145=E145,TRUE,FALSE)</f>
        <v>1</v>
      </c>
      <c r="J145" s="25">
        <f>F145-C145</f>
        <v>151</v>
      </c>
      <c r="K145" s="4">
        <f>F145/C145-1</f>
        <v>0.20460704607046076</v>
      </c>
      <c r="M145" s="5">
        <v>1008.68</v>
      </c>
      <c r="N145" s="5">
        <v>1241.4100000000001</v>
      </c>
      <c r="Q145" s="138">
        <v>6748.61</v>
      </c>
      <c r="U145" s="127">
        <f>N145-M145</f>
        <v>232.73000000000013</v>
      </c>
      <c r="V145" s="4">
        <f>IF(M145=0,0,N145/M145-1)</f>
        <v>0.23072728714755941</v>
      </c>
      <c r="W145" s="18">
        <v>8658.42</v>
      </c>
      <c r="X145" s="18">
        <v>11614.11</v>
      </c>
      <c r="Y145" s="4">
        <f>X145/W145-1</f>
        <v>0.34136597670244684</v>
      </c>
    </row>
    <row r="146" spans="1:25">
      <c r="A146" s="54" t="s">
        <v>326</v>
      </c>
      <c r="B146" s="37" t="s">
        <v>327</v>
      </c>
      <c r="C146" s="28">
        <v>505</v>
      </c>
      <c r="E146" s="37" t="s">
        <v>327</v>
      </c>
      <c r="F146" s="28">
        <v>653</v>
      </c>
      <c r="G146" t="b">
        <f>IF(B146=E146,TRUE,FALSE)</f>
        <v>1</v>
      </c>
      <c r="J146" s="25">
        <f>F146-C146</f>
        <v>148</v>
      </c>
      <c r="K146" s="4">
        <f>F146/C146-1</f>
        <v>0.29306930693069311</v>
      </c>
      <c r="M146" s="5">
        <v>336.11</v>
      </c>
      <c r="N146" s="5">
        <v>176.59</v>
      </c>
      <c r="Q146" s="138">
        <v>1389.92</v>
      </c>
      <c r="U146" s="127">
        <f>N146-M146</f>
        <v>-159.52000000000001</v>
      </c>
      <c r="V146" s="4">
        <f>IF(M146=0,0,N146/M146-1)</f>
        <v>-0.47460652762488476</v>
      </c>
      <c r="W146" s="18">
        <v>17625.759999999998</v>
      </c>
      <c r="X146" s="18">
        <v>26111.47</v>
      </c>
      <c r="Y146" s="4"/>
    </row>
    <row r="147" spans="1:25">
      <c r="A147" s="54" t="s">
        <v>328</v>
      </c>
      <c r="B147" s="37" t="s">
        <v>329</v>
      </c>
      <c r="C147" s="19">
        <v>695</v>
      </c>
      <c r="E147" s="37" t="s">
        <v>329</v>
      </c>
      <c r="F147" s="19">
        <v>841</v>
      </c>
      <c r="G147" t="b">
        <f>IF(B147=E147,TRUE,FALSE)</f>
        <v>1</v>
      </c>
      <c r="J147" s="25">
        <f>F147-C147</f>
        <v>146</v>
      </c>
      <c r="K147" s="4">
        <f>F147/C147-1</f>
        <v>0.2100719424460431</v>
      </c>
      <c r="M147" s="5">
        <v>1166.83</v>
      </c>
      <c r="N147" s="5">
        <v>1268.52</v>
      </c>
      <c r="Q147" s="138">
        <v>6012.51</v>
      </c>
      <c r="U147" s="127">
        <f>N147-M147</f>
        <v>101.69000000000005</v>
      </c>
      <c r="V147" s="4">
        <f>IF(M147=0,0,N147/M147-1)</f>
        <v>8.7150656051010023E-2</v>
      </c>
      <c r="W147">
        <v>8948.0499999999993</v>
      </c>
      <c r="X147">
        <v>12453.59</v>
      </c>
      <c r="Y147" s="4">
        <f>X147/W147-1</f>
        <v>0.39176580372259884</v>
      </c>
    </row>
    <row r="148" spans="1:25">
      <c r="A148" s="54" t="s">
        <v>330</v>
      </c>
      <c r="B148" s="37" t="s">
        <v>331</v>
      </c>
      <c r="C148" s="28">
        <v>1106</v>
      </c>
      <c r="E148" s="37" t="s">
        <v>331</v>
      </c>
      <c r="F148" s="28">
        <v>1248</v>
      </c>
      <c r="G148" t="b">
        <f>IF(B148=E148,TRUE,FALSE)</f>
        <v>1</v>
      </c>
      <c r="J148" s="25">
        <f>F148-C148</f>
        <v>142</v>
      </c>
      <c r="K148" s="4">
        <f>F148/C148-1</f>
        <v>0.12839059674502717</v>
      </c>
      <c r="M148" s="5">
        <v>2231.89</v>
      </c>
      <c r="N148" s="5">
        <v>2332.5300000000002</v>
      </c>
      <c r="Q148" s="139">
        <v>11946.42</v>
      </c>
      <c r="U148" s="127">
        <f>N148-M148</f>
        <v>100.64000000000033</v>
      </c>
      <c r="V148" s="4">
        <f>IF(M148=0,0,N148/M148-1)</f>
        <v>4.5091828002276291E-2</v>
      </c>
      <c r="W148" s="18">
        <v>23042.3</v>
      </c>
      <c r="X148" s="18">
        <v>26056.23</v>
      </c>
      <c r="Y148" s="4">
        <f>X148/W148-1</f>
        <v>0.13079987674841487</v>
      </c>
    </row>
    <row r="149" spans="1:25">
      <c r="A149" t="s">
        <v>332</v>
      </c>
      <c r="B149" t="s">
        <v>333</v>
      </c>
      <c r="C149" s="28">
        <v>449</v>
      </c>
      <c r="E149" t="s">
        <v>333</v>
      </c>
      <c r="F149" s="28">
        <v>590</v>
      </c>
      <c r="G149" t="b">
        <f>IF(B149=E149,TRUE,FALSE)</f>
        <v>1</v>
      </c>
      <c r="J149" s="25">
        <f>F149-C149</f>
        <v>141</v>
      </c>
      <c r="K149" s="4">
        <f>F149/C149-1</f>
        <v>0.31403118040089084</v>
      </c>
      <c r="M149" s="5">
        <v>785.11</v>
      </c>
      <c r="N149" s="5">
        <v>1025.07</v>
      </c>
      <c r="Q149" s="139">
        <v>6530.35</v>
      </c>
      <c r="U149" s="127">
        <f>N149-M149</f>
        <v>239.95999999999992</v>
      </c>
      <c r="V149" s="4">
        <f>IF(M149=0,0,N149/M149-1)</f>
        <v>0.30563870030951068</v>
      </c>
      <c r="W149" s="18">
        <v>13010.71</v>
      </c>
      <c r="X149" s="18">
        <v>17096.27</v>
      </c>
      <c r="Y149" s="4">
        <f>X149/W149-1</f>
        <v>0.31401514598357827</v>
      </c>
    </row>
    <row r="150" spans="1:25">
      <c r="A150" s="143" t="s">
        <v>334</v>
      </c>
      <c r="B150" s="143" t="s">
        <v>335</v>
      </c>
      <c r="C150" s="28">
        <v>0</v>
      </c>
      <c r="E150" s="143" t="s">
        <v>335</v>
      </c>
      <c r="F150" s="28">
        <v>141</v>
      </c>
      <c r="G150" t="b">
        <f>IF(B150=E150,TRUE,FALSE)</f>
        <v>1</v>
      </c>
      <c r="J150" s="25">
        <f>F150-C150</f>
        <v>141</v>
      </c>
      <c r="K150" s="4" t="e">
        <f>F150/C150-1</f>
        <v>#DIV/0!</v>
      </c>
      <c r="M150" s="5">
        <v>0.9</v>
      </c>
      <c r="N150" s="5">
        <v>286.89</v>
      </c>
      <c r="Q150" s="138">
        <v>2017.58</v>
      </c>
      <c r="U150" s="127">
        <f>N150-M150</f>
        <v>285.99</v>
      </c>
      <c r="V150" s="4">
        <f>IF(M150=0,0,N150/M150-1)</f>
        <v>317.76666666666665</v>
      </c>
      <c r="W150" s="18">
        <v>0</v>
      </c>
      <c r="X150" s="18">
        <v>2661.09</v>
      </c>
      <c r="Y150" s="4" t="e">
        <f>X150/W150-1</f>
        <v>#DIV/0!</v>
      </c>
    </row>
    <row r="151" spans="1:25">
      <c r="A151" s="143" t="s">
        <v>336</v>
      </c>
      <c r="B151" s="37" t="s">
        <v>337</v>
      </c>
      <c r="C151" s="28">
        <v>611</v>
      </c>
      <c r="E151" s="37" t="s">
        <v>337</v>
      </c>
      <c r="F151" s="28">
        <v>735</v>
      </c>
      <c r="G151" t="b">
        <f>IF(B151=E151,TRUE,FALSE)</f>
        <v>1</v>
      </c>
      <c r="J151" s="25">
        <f>F151-C151</f>
        <v>124</v>
      </c>
      <c r="K151" s="4">
        <f>F151/C151-1</f>
        <v>0.20294599018003279</v>
      </c>
      <c r="M151" s="5">
        <v>994.74</v>
      </c>
      <c r="N151" s="5">
        <v>1281.8900000000001</v>
      </c>
      <c r="Q151" s="138">
        <v>5824.13</v>
      </c>
      <c r="U151" s="127">
        <f>N151-M151</f>
        <v>287.15000000000009</v>
      </c>
      <c r="V151" s="4">
        <f>IF(M151=0,0,N151/M151-1)</f>
        <v>0.28866839576170666</v>
      </c>
      <c r="W151" s="18">
        <v>11510.7</v>
      </c>
      <c r="X151" s="18">
        <v>11843.99</v>
      </c>
      <c r="Y151" s="4"/>
    </row>
    <row r="152" spans="1:25">
      <c r="A152" s="54" t="s">
        <v>338</v>
      </c>
      <c r="B152" s="37" t="s">
        <v>339</v>
      </c>
      <c r="C152" s="28">
        <v>318</v>
      </c>
      <c r="E152" s="37" t="s">
        <v>339</v>
      </c>
      <c r="F152" s="28">
        <v>442</v>
      </c>
      <c r="G152" t="b">
        <f>IF(B152=E152,TRUE,FALSE)</f>
        <v>1</v>
      </c>
      <c r="J152" s="25">
        <f>F152-C152</f>
        <v>124</v>
      </c>
      <c r="K152" s="4">
        <f>F152/C152-1</f>
        <v>0.38993710691823891</v>
      </c>
      <c r="M152" s="5">
        <v>720.66</v>
      </c>
      <c r="N152" s="5">
        <v>878.16</v>
      </c>
      <c r="Q152" s="138">
        <v>4412.78</v>
      </c>
      <c r="U152" s="127">
        <f>N152-M152</f>
        <v>157.5</v>
      </c>
      <c r="V152" s="4">
        <f>IF(M152=0,0,N152/M152-1)</f>
        <v>0.21854966280909172</v>
      </c>
      <c r="W152" s="18">
        <v>3662.82</v>
      </c>
      <c r="X152" s="18">
        <v>4358.43</v>
      </c>
      <c r="Y152" s="4">
        <f>X152/W152-1</f>
        <v>0.18991105214015436</v>
      </c>
    </row>
    <row r="153" spans="1:25">
      <c r="A153" t="s">
        <v>340</v>
      </c>
      <c r="B153" t="s">
        <v>341</v>
      </c>
      <c r="C153" s="28">
        <v>1436</v>
      </c>
      <c r="E153" t="s">
        <v>341</v>
      </c>
      <c r="F153" s="28">
        <v>1549</v>
      </c>
      <c r="G153" t="b">
        <f>IF(B153=E153,TRUE,FALSE)</f>
        <v>1</v>
      </c>
      <c r="J153" s="25">
        <f>F153-C153</f>
        <v>113</v>
      </c>
      <c r="K153" s="4">
        <f>F153/C153-1</f>
        <v>7.8690807799442819E-2</v>
      </c>
      <c r="M153" s="5">
        <v>1778.51</v>
      </c>
      <c r="N153" s="5">
        <v>1807.8</v>
      </c>
      <c r="Q153" s="139">
        <v>16756.57</v>
      </c>
      <c r="U153" s="127">
        <f>N153-M153</f>
        <v>29.289999999999964</v>
      </c>
      <c r="V153" s="4">
        <f>IF(M153=0,0,N153/M153-1)</f>
        <v>1.6468841895744157E-2</v>
      </c>
      <c r="W153" s="18">
        <v>40851.78</v>
      </c>
      <c r="X153" s="18">
        <v>42953.599999999999</v>
      </c>
      <c r="Y153" s="4">
        <f>X153/W153-1</f>
        <v>5.1449900102272128E-2</v>
      </c>
    </row>
    <row r="154" spans="1:25">
      <c r="A154" s="27" t="s">
        <v>342</v>
      </c>
      <c r="B154" s="37" t="s">
        <v>343</v>
      </c>
      <c r="C154" s="28">
        <v>500</v>
      </c>
      <c r="E154" s="37" t="s">
        <v>343</v>
      </c>
      <c r="F154" s="28">
        <v>608</v>
      </c>
      <c r="G154" t="b">
        <f>IF(B154=E154,TRUE,FALSE)</f>
        <v>1</v>
      </c>
      <c r="J154" s="25">
        <f>F154-C154</f>
        <v>108</v>
      </c>
      <c r="K154" s="4">
        <f>F154/C154-1</f>
        <v>0.21599999999999997</v>
      </c>
      <c r="M154" s="5">
        <v>840.92</v>
      </c>
      <c r="N154" s="5">
        <v>901.47</v>
      </c>
      <c r="Q154" s="139">
        <v>3252.88</v>
      </c>
      <c r="U154" s="127">
        <f>N154-M154</f>
        <v>60.550000000000068</v>
      </c>
      <c r="V154" s="4">
        <f>IF(M154=0,0,N154/M154-1)</f>
        <v>7.2004471293345418E-2</v>
      </c>
      <c r="W154" s="18">
        <v>6965.06</v>
      </c>
      <c r="X154" s="18">
        <v>8490.81</v>
      </c>
      <c r="Y154" s="4">
        <f>X154/W154-1</f>
        <v>0.21905769655968488</v>
      </c>
    </row>
    <row r="155" spans="1:25">
      <c r="A155" t="s">
        <v>344</v>
      </c>
      <c r="B155" t="s">
        <v>345</v>
      </c>
      <c r="C155" s="28">
        <v>1430</v>
      </c>
      <c r="E155" t="s">
        <v>345</v>
      </c>
      <c r="F155" s="28">
        <v>1531</v>
      </c>
      <c r="G155" t="b">
        <f>IF(B155=E155,TRUE,FALSE)</f>
        <v>1</v>
      </c>
      <c r="J155" s="25">
        <f>F155-C155</f>
        <v>101</v>
      </c>
      <c r="K155" s="4">
        <f>F155/C155-1</f>
        <v>7.062937062937058E-2</v>
      </c>
      <c r="M155" s="5">
        <v>2370.34</v>
      </c>
      <c r="N155" s="5">
        <v>2304.9299999999998</v>
      </c>
      <c r="Q155" s="139">
        <v>15820.41</v>
      </c>
      <c r="U155" s="127">
        <f>N155-M155</f>
        <v>-65.410000000000309</v>
      </c>
      <c r="V155" s="4">
        <f>IF(M155=0,0,N155/M155-1)</f>
        <v>-2.7595197313465714E-2</v>
      </c>
      <c r="W155" s="18">
        <v>49969.05</v>
      </c>
      <c r="X155" s="18">
        <v>53496.2</v>
      </c>
      <c r="Y155" s="4">
        <f>X155/W155-1</f>
        <v>7.0586693163067871E-2</v>
      </c>
    </row>
    <row r="156" spans="1:25">
      <c r="A156" s="54" t="s">
        <v>346</v>
      </c>
      <c r="B156" s="37" t="s">
        <v>347</v>
      </c>
      <c r="C156" s="28">
        <v>2647</v>
      </c>
      <c r="E156" s="37" t="s">
        <v>347</v>
      </c>
      <c r="F156" s="28">
        <v>2748</v>
      </c>
      <c r="G156" t="b">
        <f>IF(B156=E156,TRUE,FALSE)</f>
        <v>1</v>
      </c>
      <c r="J156" s="25">
        <f>F156-C156</f>
        <v>101</v>
      </c>
      <c r="K156" s="4">
        <f>F156/C156-1</f>
        <v>3.8156403475632761E-2</v>
      </c>
      <c r="M156" s="5">
        <v>3635.92</v>
      </c>
      <c r="N156" s="5">
        <v>3774.34</v>
      </c>
      <c r="Q156" s="139">
        <v>22503.57</v>
      </c>
      <c r="U156" s="127">
        <f>N156-M156</f>
        <v>138.42000000000007</v>
      </c>
      <c r="V156" s="4">
        <f>IF(M156=0,0,N156/M156-1)</f>
        <v>3.8070144557636132E-2</v>
      </c>
      <c r="W156" s="18">
        <v>63837.55</v>
      </c>
      <c r="X156" s="18">
        <v>64756.67</v>
      </c>
      <c r="Y156" s="4">
        <f>X156/W156-1</f>
        <v>1.4397795654751633E-2</v>
      </c>
    </row>
    <row r="157" spans="1:25" ht="13.5" customHeight="1">
      <c r="A157" s="37" t="s">
        <v>348</v>
      </c>
      <c r="B157" s="37" t="s">
        <v>349</v>
      </c>
      <c r="C157" s="28">
        <v>224</v>
      </c>
      <c r="E157" s="37" t="s">
        <v>349</v>
      </c>
      <c r="F157" s="28">
        <v>324</v>
      </c>
      <c r="G157" t="b">
        <f>IF(B157=E157,TRUE,FALSE)</f>
        <v>1</v>
      </c>
      <c r="J157" s="25">
        <f>F157-C157</f>
        <v>100</v>
      </c>
      <c r="K157" s="4">
        <f>F157/C157-1</f>
        <v>0.4464285714285714</v>
      </c>
      <c r="M157" s="5">
        <v>331.84</v>
      </c>
      <c r="N157" s="5">
        <v>528.96</v>
      </c>
      <c r="Q157" s="138">
        <v>1477.91</v>
      </c>
      <c r="U157" s="127">
        <f>N157-M157</f>
        <v>197.12000000000006</v>
      </c>
      <c r="V157" s="4">
        <f>IF(M157=0,0,N157/M157-1)</f>
        <v>0.59402121504339456</v>
      </c>
      <c r="W157" s="18">
        <v>2237.66</v>
      </c>
      <c r="X157" s="18">
        <v>3236.66</v>
      </c>
      <c r="Y157" s="4">
        <f>X157/W157-1</f>
        <v>0.44644852211685415</v>
      </c>
    </row>
    <row r="158" spans="1:25">
      <c r="A158" s="143" t="s">
        <v>350</v>
      </c>
      <c r="B158" s="143" t="s">
        <v>351</v>
      </c>
      <c r="C158" s="28">
        <v>0</v>
      </c>
      <c r="E158" s="143" t="s">
        <v>351</v>
      </c>
      <c r="F158" s="28">
        <v>100</v>
      </c>
      <c r="G158" t="b">
        <f>IF(B158=E158,TRUE,FALSE)</f>
        <v>1</v>
      </c>
      <c r="J158" s="25">
        <f>F158-C158</f>
        <v>100</v>
      </c>
      <c r="K158" s="4" t="e">
        <f>F158/C158-1</f>
        <v>#DIV/0!</v>
      </c>
      <c r="M158" s="5">
        <v>0</v>
      </c>
      <c r="N158" s="5">
        <v>265.12</v>
      </c>
      <c r="Q158" s="138">
        <v>913.66</v>
      </c>
      <c r="U158" s="127">
        <f>N158-M158</f>
        <v>265.12</v>
      </c>
      <c r="V158" s="4">
        <f>IF(M158=0,0,N158/M158-1)</f>
        <v>0</v>
      </c>
      <c r="W158" s="18">
        <v>0</v>
      </c>
      <c r="X158" s="18">
        <v>1209</v>
      </c>
      <c r="Y158" s="4" t="e">
        <f>X158/W158-1</f>
        <v>#DIV/0!</v>
      </c>
    </row>
    <row r="159" spans="1:25">
      <c r="A159" t="s">
        <v>352</v>
      </c>
      <c r="B159" t="s">
        <v>353</v>
      </c>
      <c r="C159" s="28">
        <v>5034</v>
      </c>
      <c r="E159" t="s">
        <v>353</v>
      </c>
      <c r="F159" s="28">
        <v>5131</v>
      </c>
      <c r="G159" t="b">
        <f>IF(B159=E159,TRUE,FALSE)</f>
        <v>1</v>
      </c>
      <c r="J159" s="25">
        <f>F159-C159</f>
        <v>97</v>
      </c>
      <c r="K159" s="4">
        <f>F159/C159-1</f>
        <v>1.9268970997218915E-2</v>
      </c>
      <c r="M159" s="5">
        <v>5583.42</v>
      </c>
      <c r="N159" s="5">
        <v>5535.69</v>
      </c>
      <c r="Q159" s="139">
        <v>41524.76</v>
      </c>
      <c r="U159" s="127">
        <f>N159-M159</f>
        <v>-47.730000000000473</v>
      </c>
      <c r="V159" s="4">
        <f>IF(M159=0,0,N159/M159-1)</f>
        <v>-8.5485240229107307E-3</v>
      </c>
      <c r="W159" s="18">
        <v>189641.66</v>
      </c>
      <c r="X159" s="18">
        <v>199824.76</v>
      </c>
      <c r="Y159" s="4">
        <f>X159/W159-1</f>
        <v>5.3696534822570197E-2</v>
      </c>
    </row>
    <row r="160" spans="1:25">
      <c r="A160" t="s">
        <v>354</v>
      </c>
      <c r="B160" t="s">
        <v>355</v>
      </c>
      <c r="C160" s="28">
        <v>563</v>
      </c>
      <c r="E160" t="s">
        <v>355</v>
      </c>
      <c r="F160" s="28">
        <v>658</v>
      </c>
      <c r="G160" t="b">
        <f>IF(B160=E160,TRUE,FALSE)</f>
        <v>1</v>
      </c>
      <c r="J160" s="25">
        <f>F160-C160</f>
        <v>95</v>
      </c>
      <c r="K160" s="4">
        <f>F160/C160-1</f>
        <v>0.1687388987566607</v>
      </c>
      <c r="M160" s="5">
        <v>1055.06</v>
      </c>
      <c r="N160" s="5">
        <v>1179.6099999999999</v>
      </c>
      <c r="Q160" s="139">
        <v>8361.34</v>
      </c>
      <c r="U160" s="127">
        <f>N160-M160</f>
        <v>124.54999999999995</v>
      </c>
      <c r="V160" s="4">
        <f>IF(M160=0,0,N160/M160-1)</f>
        <v>0.11805015828483678</v>
      </c>
      <c r="W160" s="18">
        <v>13495.57</v>
      </c>
      <c r="X160" s="18">
        <v>15777.02</v>
      </c>
      <c r="Y160" s="4">
        <f>X160/W160-1</f>
        <v>0.16905177032166852</v>
      </c>
    </row>
    <row r="161" spans="1:25" ht="15" customHeight="1">
      <c r="A161" t="s">
        <v>356</v>
      </c>
      <c r="B161" t="s">
        <v>357</v>
      </c>
      <c r="C161" s="28">
        <v>1100</v>
      </c>
      <c r="E161" t="s">
        <v>357</v>
      </c>
      <c r="F161" s="28">
        <v>1193</v>
      </c>
      <c r="G161" t="b">
        <f>IF(B161=E161,TRUE,FALSE)</f>
        <v>1</v>
      </c>
      <c r="J161" s="25">
        <f>F161-C161</f>
        <v>93</v>
      </c>
      <c r="K161" s="4">
        <f>F161/C161-1</f>
        <v>8.4545454545454479E-2</v>
      </c>
      <c r="M161" s="5">
        <v>2206.2199999999998</v>
      </c>
      <c r="N161" s="5">
        <v>2120.81</v>
      </c>
      <c r="Q161" s="139">
        <v>13101.83</v>
      </c>
      <c r="U161" s="127">
        <f>N161-M161</f>
        <v>-85.409999999999854</v>
      </c>
      <c r="V161" s="4">
        <f>IF(M161=0,0,N161/M161-1)</f>
        <v>-3.8713274288148858E-2</v>
      </c>
      <c r="W161" s="18">
        <v>21983.8</v>
      </c>
      <c r="X161" s="18">
        <v>25758.55</v>
      </c>
      <c r="Y161" s="4">
        <f>X161/W161-1</f>
        <v>0.17170598349693855</v>
      </c>
    </row>
    <row r="162" spans="1:25" ht="15" customHeight="1">
      <c r="A162" t="s">
        <v>358</v>
      </c>
      <c r="B162" t="s">
        <v>359</v>
      </c>
      <c r="C162" s="28">
        <v>892</v>
      </c>
      <c r="E162" t="s">
        <v>359</v>
      </c>
      <c r="F162" s="28">
        <v>979</v>
      </c>
      <c r="G162" t="b">
        <f>IF(B162=E162,TRUE,FALSE)</f>
        <v>1</v>
      </c>
      <c r="J162" s="25">
        <f>F162-C162</f>
        <v>87</v>
      </c>
      <c r="K162" s="4">
        <f>F162/C162-1</f>
        <v>9.753363228699552E-2</v>
      </c>
      <c r="M162" s="5">
        <v>1485.42</v>
      </c>
      <c r="N162" s="5">
        <v>1554.52</v>
      </c>
      <c r="Q162" s="139">
        <v>10055.4</v>
      </c>
      <c r="U162" s="127">
        <f>N162-M162</f>
        <v>69.099999999999909</v>
      </c>
      <c r="V162" s="4">
        <f>IF(M162=0,0,N162/M162-1)</f>
        <v>4.6518829691265751E-2</v>
      </c>
      <c r="W162" s="18">
        <v>27385.98</v>
      </c>
      <c r="X162" s="18">
        <v>31310.85</v>
      </c>
      <c r="Y162" s="4">
        <f>X162/W162-1</f>
        <v>0.14331676281075212</v>
      </c>
    </row>
    <row r="163" spans="1:25" ht="15" customHeight="1">
      <c r="A163" s="143" t="s">
        <v>360</v>
      </c>
      <c r="B163" s="143" t="s">
        <v>361</v>
      </c>
      <c r="C163" s="28">
        <v>1</v>
      </c>
      <c r="E163" s="143" t="s">
        <v>361</v>
      </c>
      <c r="F163" s="28">
        <v>85</v>
      </c>
      <c r="G163" t="b">
        <f>IF(B163=E163,TRUE,FALSE)</f>
        <v>1</v>
      </c>
      <c r="J163" s="25">
        <f>F163-C163</f>
        <v>84</v>
      </c>
      <c r="K163" s="4">
        <f>F163/C163-1</f>
        <v>84</v>
      </c>
      <c r="M163" s="5">
        <v>130.27000000000001</v>
      </c>
      <c r="N163" s="5">
        <v>358.43</v>
      </c>
      <c r="Q163" s="138">
        <v>445.67</v>
      </c>
      <c r="U163" s="127">
        <f>N163-M163</f>
        <v>228.16</v>
      </c>
      <c r="V163" s="4">
        <f>IF(M163=0,0,N163/M163-1)</f>
        <v>1.7514393183388344</v>
      </c>
      <c r="W163" s="18">
        <v>49.99</v>
      </c>
      <c r="X163" s="18">
        <v>1957.46</v>
      </c>
      <c r="Y163" s="4">
        <f>X163/W163-1</f>
        <v>38.157031406281256</v>
      </c>
    </row>
    <row r="164" spans="1:25" ht="15" customHeight="1">
      <c r="A164" t="s">
        <v>362</v>
      </c>
      <c r="B164" s="27" t="s">
        <v>363</v>
      </c>
      <c r="C164" s="28">
        <v>1344</v>
      </c>
      <c r="E164" s="27" t="s">
        <v>363</v>
      </c>
      <c r="F164" s="28">
        <v>1424</v>
      </c>
      <c r="G164" t="b">
        <f>IF(B164=E164,TRUE,FALSE)</f>
        <v>1</v>
      </c>
      <c r="J164" s="25">
        <f>F164-C164</f>
        <v>80</v>
      </c>
      <c r="K164" s="4">
        <f>F164/C164-1</f>
        <v>5.9523809523809534E-2</v>
      </c>
      <c r="M164" s="5">
        <v>2644.72</v>
      </c>
      <c r="N164" s="5">
        <v>2501.65</v>
      </c>
      <c r="Q164" s="139">
        <v>14283.12</v>
      </c>
      <c r="U164" s="127">
        <f>N164-M164</f>
        <v>-143.06999999999971</v>
      </c>
      <c r="V164" s="4">
        <f>IF(M164=0,0,N164/M164-1)</f>
        <v>-5.4096463897879477E-2</v>
      </c>
      <c r="W164" s="18">
        <v>38956.18</v>
      </c>
      <c r="X164" s="18">
        <v>41275.67</v>
      </c>
      <c r="Y164" s="4">
        <f>X164/W164-1</f>
        <v>5.9541002223523876E-2</v>
      </c>
    </row>
    <row r="165" spans="1:25" ht="15" customHeight="1">
      <c r="A165" t="s">
        <v>364</v>
      </c>
      <c r="B165" t="s">
        <v>365</v>
      </c>
      <c r="C165" s="28">
        <v>2030</v>
      </c>
      <c r="E165" t="s">
        <v>365</v>
      </c>
      <c r="F165" s="28">
        <v>2108</v>
      </c>
      <c r="G165" t="b">
        <f>IF(B165=E165,TRUE,FALSE)</f>
        <v>1</v>
      </c>
      <c r="J165" s="25">
        <f>F165-C165</f>
        <v>78</v>
      </c>
      <c r="K165" s="4">
        <f>F165/C165-1</f>
        <v>3.8423645320197153E-2</v>
      </c>
      <c r="M165" s="5">
        <v>2737.36</v>
      </c>
      <c r="N165" s="5">
        <v>1818.78</v>
      </c>
      <c r="Q165" s="139">
        <v>9447.5499999999993</v>
      </c>
      <c r="U165" s="127">
        <f>N165-M165</f>
        <v>-918.58000000000015</v>
      </c>
      <c r="V165" s="4">
        <f>IF(M165=0,0,N165/M165-1)</f>
        <v>-0.33557149954700882</v>
      </c>
      <c r="W165" s="18">
        <v>40474.949999999997</v>
      </c>
      <c r="X165" s="18">
        <v>39677.339999999997</v>
      </c>
      <c r="Y165" s="4">
        <f>X165/W165-1</f>
        <v>-1.9706262762523519E-2</v>
      </c>
    </row>
    <row r="166" spans="1:25" ht="15" customHeight="1">
      <c r="A166" t="s">
        <v>366</v>
      </c>
      <c r="B166" t="s">
        <v>367</v>
      </c>
      <c r="C166" s="28">
        <v>2417</v>
      </c>
      <c r="E166" t="s">
        <v>367</v>
      </c>
      <c r="F166" s="28">
        <v>2493</v>
      </c>
      <c r="G166" t="b">
        <f>IF(B166=E166,TRUE,FALSE)</f>
        <v>1</v>
      </c>
      <c r="J166" s="25">
        <f>F166-C166</f>
        <v>76</v>
      </c>
      <c r="K166" s="4">
        <f>F166/C166-1</f>
        <v>3.1443938767066637E-2</v>
      </c>
      <c r="M166" s="5">
        <v>4229.78</v>
      </c>
      <c r="N166" s="5">
        <v>4349.5</v>
      </c>
      <c r="Q166" s="139">
        <v>29340.37</v>
      </c>
      <c r="U166" s="127">
        <f>N166-M166</f>
        <v>119.72000000000025</v>
      </c>
      <c r="V166" s="4">
        <f>IF(M166=0,0,N166/M166-1)</f>
        <v>2.830407255223677E-2</v>
      </c>
      <c r="W166" s="18">
        <v>65223.22</v>
      </c>
      <c r="X166" s="18">
        <v>67275.539999999994</v>
      </c>
      <c r="Y166" s="4">
        <f>X166/W166-1</f>
        <v>3.1466094436919834E-2</v>
      </c>
    </row>
    <row r="167" spans="1:25">
      <c r="A167" t="s">
        <v>368</v>
      </c>
      <c r="B167" t="s">
        <v>369</v>
      </c>
      <c r="C167" s="28">
        <v>2706</v>
      </c>
      <c r="E167" t="s">
        <v>369</v>
      </c>
      <c r="F167" s="28">
        <v>2779</v>
      </c>
      <c r="G167" t="b">
        <f>IF(B167=E167,TRUE,FALSE)</f>
        <v>1</v>
      </c>
      <c r="J167" s="25">
        <f>F167-C167</f>
        <v>73</v>
      </c>
      <c r="K167" s="4">
        <f>F167/C167-1</f>
        <v>2.6977087952697598E-2</v>
      </c>
      <c r="M167" s="5">
        <v>2702.57</v>
      </c>
      <c r="N167" s="5">
        <v>1906.26</v>
      </c>
      <c r="Q167" s="139">
        <v>11772.3</v>
      </c>
      <c r="U167" s="127">
        <f>N167-M167</f>
        <v>-796.31000000000017</v>
      </c>
      <c r="V167" s="4">
        <f>IF(M167=0,0,N167/M167-1)</f>
        <v>-0.29464916727411317</v>
      </c>
      <c r="W167" s="18">
        <v>78095.350000000006</v>
      </c>
      <c r="X167" s="18">
        <v>78849.41</v>
      </c>
      <c r="Y167" s="4">
        <f>X167/W167-1</f>
        <v>9.6556325056484926E-3</v>
      </c>
    </row>
    <row r="168" spans="1:25" ht="15" customHeight="1">
      <c r="A168" t="s">
        <v>370</v>
      </c>
      <c r="B168" t="s">
        <v>371</v>
      </c>
      <c r="C168" s="28">
        <v>2579</v>
      </c>
      <c r="E168" t="s">
        <v>371</v>
      </c>
      <c r="F168" s="28">
        <v>2652</v>
      </c>
      <c r="G168" t="b">
        <f>IF(B168=E168,TRUE,FALSE)</f>
        <v>1</v>
      </c>
      <c r="J168" s="25">
        <f>F168-C168</f>
        <v>73</v>
      </c>
      <c r="K168" s="4">
        <f>F168/C168-1</f>
        <v>2.8305544784800407E-2</v>
      </c>
      <c r="M168" s="5">
        <v>2363.13</v>
      </c>
      <c r="N168" s="5">
        <v>2236.75</v>
      </c>
      <c r="Q168" s="139">
        <v>14540.19</v>
      </c>
      <c r="U168" s="127">
        <f>N168-M168</f>
        <v>-126.38000000000011</v>
      </c>
      <c r="V168" s="4">
        <f>IF(M168=0,0,N168/M168-1)</f>
        <v>-5.3479918582557961E-2</v>
      </c>
      <c r="W168" s="18">
        <v>69282.429999999993</v>
      </c>
      <c r="X168" s="18">
        <v>74504.509999999995</v>
      </c>
      <c r="Y168" s="4">
        <f>X168/W168-1</f>
        <v>7.5373799677638464E-2</v>
      </c>
    </row>
    <row r="169" spans="1:25" ht="15" customHeight="1">
      <c r="A169" s="54" t="s">
        <v>372</v>
      </c>
      <c r="B169" s="37" t="s">
        <v>373</v>
      </c>
      <c r="C169" s="28">
        <v>852</v>
      </c>
      <c r="E169" s="37" t="s">
        <v>373</v>
      </c>
      <c r="F169" s="28">
        <v>923</v>
      </c>
      <c r="G169" t="b">
        <f>IF(B169=E169,TRUE,FALSE)</f>
        <v>1</v>
      </c>
      <c r="J169" s="25">
        <f>F169-C169</f>
        <v>71</v>
      </c>
      <c r="K169" s="4">
        <f>F169/C169-1</f>
        <v>8.3333333333333259E-2</v>
      </c>
      <c r="M169" s="5">
        <v>1280.29</v>
      </c>
      <c r="N169" s="5">
        <v>1308.8</v>
      </c>
      <c r="Q169" s="138">
        <v>7975.82</v>
      </c>
      <c r="U169" s="127">
        <f>N169-M169</f>
        <v>28.509999999999991</v>
      </c>
      <c r="V169" s="4">
        <f>IF(M169=0,0,N169/M169-1)</f>
        <v>2.2268392317365659E-2</v>
      </c>
      <c r="W169" s="18">
        <v>15325.5</v>
      </c>
      <c r="X169" s="18">
        <v>16601.53</v>
      </c>
      <c r="Y169" s="4">
        <f>X169/W169-1</f>
        <v>8.3261883788457114E-2</v>
      </c>
    </row>
    <row r="170" spans="1:25" ht="15" customHeight="1">
      <c r="A170" t="s">
        <v>374</v>
      </c>
      <c r="B170" t="s">
        <v>375</v>
      </c>
      <c r="C170" s="28">
        <v>1334</v>
      </c>
      <c r="E170" t="s">
        <v>375</v>
      </c>
      <c r="F170" s="28">
        <v>1401</v>
      </c>
      <c r="G170" t="b">
        <f>IF(B170=E170,TRUE,FALSE)</f>
        <v>1</v>
      </c>
      <c r="J170" s="25">
        <f>F170-C170</f>
        <v>67</v>
      </c>
      <c r="K170" s="4">
        <f>F170/C170-1</f>
        <v>5.0224887556221898E-2</v>
      </c>
      <c r="M170" s="5">
        <v>2977.32</v>
      </c>
      <c r="N170" s="5">
        <v>2845.93</v>
      </c>
      <c r="Q170" s="139">
        <v>20375.62</v>
      </c>
      <c r="U170" s="127">
        <f>N170-M170</f>
        <v>-131.39000000000033</v>
      </c>
      <c r="V170" s="4">
        <f>IF(M170=0,0,N170/M170-1)</f>
        <v>-4.4130291671704902E-2</v>
      </c>
      <c r="W170" s="18">
        <v>39977.86</v>
      </c>
      <c r="X170" s="18">
        <v>41986.59</v>
      </c>
      <c r="Y170" s="4">
        <f>X170/W170-1</f>
        <v>5.0246061194871183E-2</v>
      </c>
    </row>
    <row r="171" spans="1:25" ht="15" customHeight="1">
      <c r="A171" t="s">
        <v>376</v>
      </c>
      <c r="B171" t="s">
        <v>377</v>
      </c>
      <c r="C171" s="28">
        <v>570</v>
      </c>
      <c r="E171" t="s">
        <v>377</v>
      </c>
      <c r="F171" s="28">
        <v>636</v>
      </c>
      <c r="G171" t="b">
        <f>IF(B171=E171,TRUE,FALSE)</f>
        <v>1</v>
      </c>
      <c r="J171" s="25">
        <f>F171-C171</f>
        <v>66</v>
      </c>
      <c r="K171" s="4">
        <f>F171/C171-1</f>
        <v>0.11578947368421044</v>
      </c>
      <c r="M171" s="5">
        <v>1343.45</v>
      </c>
      <c r="N171" s="5">
        <v>1550.5</v>
      </c>
      <c r="Q171" s="139">
        <v>7291.41</v>
      </c>
      <c r="U171" s="127">
        <f>N171-M171</f>
        <v>207.04999999999995</v>
      </c>
      <c r="V171" s="4">
        <f>IF(M171=0,0,N171/M171-1)</f>
        <v>0.15411812869850006</v>
      </c>
      <c r="W171" s="18">
        <v>12531.44</v>
      </c>
      <c r="X171" s="18">
        <v>13981.24</v>
      </c>
      <c r="Y171" s="4">
        <f>X171/W171-1</f>
        <v>0.11569300894390433</v>
      </c>
    </row>
    <row r="172" spans="1:25" ht="15" customHeight="1">
      <c r="A172" s="37" t="s">
        <v>378</v>
      </c>
      <c r="B172" s="37" t="s">
        <v>379</v>
      </c>
      <c r="C172" s="28">
        <v>991</v>
      </c>
      <c r="E172" s="37" t="s">
        <v>379</v>
      </c>
      <c r="F172" s="28">
        <v>1056</v>
      </c>
      <c r="G172" t="b">
        <f>IF(B172=E172,TRUE,FALSE)</f>
        <v>1</v>
      </c>
      <c r="J172" s="25">
        <f>F172-C172</f>
        <v>65</v>
      </c>
      <c r="K172" s="4">
        <f>F172/C172-1</f>
        <v>6.5590312815338114E-2</v>
      </c>
      <c r="M172" s="5">
        <v>2070.0300000000002</v>
      </c>
      <c r="N172" s="5">
        <v>1937.24</v>
      </c>
      <c r="Q172" s="139">
        <v>17328.09</v>
      </c>
      <c r="U172" s="127">
        <f>N172-M172</f>
        <v>-132.79000000000019</v>
      </c>
      <c r="V172" s="4">
        <f>IF(M172=0,0,N172/M172-1)</f>
        <v>-6.4148828760935972E-2</v>
      </c>
      <c r="W172" s="18">
        <v>16835.39</v>
      </c>
      <c r="X172" s="18">
        <v>17940.93</v>
      </c>
      <c r="Y172" s="4">
        <f>X172/W172-1</f>
        <v>6.5667620411526073E-2</v>
      </c>
    </row>
    <row r="173" spans="1:25" ht="15" customHeight="1">
      <c r="A173" t="s">
        <v>380</v>
      </c>
      <c r="B173" t="s">
        <v>381</v>
      </c>
      <c r="C173" s="28">
        <v>981</v>
      </c>
      <c r="E173" t="s">
        <v>381</v>
      </c>
      <c r="F173" s="28">
        <v>1039</v>
      </c>
      <c r="G173" t="b">
        <f>IF(B173=E173,TRUE,FALSE)</f>
        <v>1</v>
      </c>
      <c r="J173" s="25">
        <f>F173-C173</f>
        <v>58</v>
      </c>
      <c r="K173" s="4">
        <f>F173/C173-1</f>
        <v>5.9123343527013317E-2</v>
      </c>
      <c r="M173" s="5">
        <v>1739.67</v>
      </c>
      <c r="N173" s="5">
        <v>2132.15</v>
      </c>
      <c r="Q173" s="139">
        <v>12992.26</v>
      </c>
      <c r="U173" s="127">
        <f>N173-M173</f>
        <v>392.48</v>
      </c>
      <c r="V173" s="4">
        <f>IF(M173=0,0,N173/M173-1)</f>
        <v>0.22560600573672018</v>
      </c>
      <c r="W173" s="18">
        <v>26444.26</v>
      </c>
      <c r="X173" s="18">
        <v>28031.27</v>
      </c>
      <c r="Y173" s="4">
        <f>X173/W173-1</f>
        <v>6.0013401774146935E-2</v>
      </c>
    </row>
    <row r="174" spans="1:25" ht="15" customHeight="1">
      <c r="A174" s="54" t="s">
        <v>382</v>
      </c>
      <c r="B174" s="37" t="s">
        <v>383</v>
      </c>
      <c r="C174" s="28">
        <v>1085</v>
      </c>
      <c r="E174" s="37" t="s">
        <v>383</v>
      </c>
      <c r="F174" s="28">
        <v>1140</v>
      </c>
      <c r="G174" t="b">
        <f>IF(B174=E174,TRUE,FALSE)</f>
        <v>1</v>
      </c>
      <c r="J174" s="25">
        <f>F174-C174</f>
        <v>55</v>
      </c>
      <c r="K174" s="4">
        <f>F174/C174-1</f>
        <v>5.0691244239631228E-2</v>
      </c>
      <c r="M174" s="5">
        <v>2048.06</v>
      </c>
      <c r="N174" s="5">
        <v>1775.71</v>
      </c>
      <c r="Q174" s="138">
        <v>12432.17</v>
      </c>
      <c r="U174" s="127">
        <f>N174-M174</f>
        <v>-272.34999999999991</v>
      </c>
      <c r="V174" s="4">
        <f>IF(M174=0,0,N174/M174-1)</f>
        <v>-0.13297950255363611</v>
      </c>
      <c r="W174" s="18">
        <v>27744.55</v>
      </c>
      <c r="X174" s="18">
        <v>31821</v>
      </c>
      <c r="Y174" s="4"/>
    </row>
    <row r="175" spans="1:25" ht="15" customHeight="1">
      <c r="A175" t="s">
        <v>384</v>
      </c>
      <c r="B175" t="s">
        <v>385</v>
      </c>
      <c r="C175" s="28">
        <v>458</v>
      </c>
      <c r="E175" t="s">
        <v>385</v>
      </c>
      <c r="F175" s="28">
        <v>510</v>
      </c>
      <c r="G175" t="b">
        <f>IF(B175=E175,TRUE,FALSE)</f>
        <v>1</v>
      </c>
      <c r="J175" s="25">
        <f>F175-C175</f>
        <v>52</v>
      </c>
      <c r="K175" s="4">
        <f>F175/C175-1</f>
        <v>0.11353711790393017</v>
      </c>
      <c r="M175" s="5">
        <v>0</v>
      </c>
      <c r="N175" s="5">
        <v>0</v>
      </c>
      <c r="Q175" s="139">
        <v>0</v>
      </c>
      <c r="U175" s="127">
        <f>N175-M175</f>
        <v>0</v>
      </c>
      <c r="V175" s="4">
        <f>IF(M175=0,0,N175/M175-1)</f>
        <v>0</v>
      </c>
      <c r="W175" s="18">
        <v>8847.02</v>
      </c>
      <c r="X175" s="18">
        <v>9504.9</v>
      </c>
      <c r="Y175" s="4">
        <f>X175/W175-1</f>
        <v>7.4361762491776728E-2</v>
      </c>
    </row>
    <row r="176" spans="1:25" ht="15" customHeight="1">
      <c r="A176" t="s">
        <v>386</v>
      </c>
      <c r="B176" t="s">
        <v>387</v>
      </c>
      <c r="C176" s="28">
        <v>875</v>
      </c>
      <c r="E176" t="s">
        <v>387</v>
      </c>
      <c r="F176" s="28">
        <v>925</v>
      </c>
      <c r="G176" t="b">
        <f>IF(B176=E176,TRUE,FALSE)</f>
        <v>1</v>
      </c>
      <c r="J176" s="25">
        <f>F176-C176</f>
        <v>50</v>
      </c>
      <c r="K176" s="4">
        <f>F176/C176-1</f>
        <v>5.7142857142857162E-2</v>
      </c>
      <c r="M176" s="5">
        <v>1133.3699999999999</v>
      </c>
      <c r="N176" s="5">
        <v>913.15</v>
      </c>
      <c r="Q176" s="139">
        <v>6805.18</v>
      </c>
      <c r="U176" s="127">
        <f>N176-M176</f>
        <v>-220.21999999999991</v>
      </c>
      <c r="V176" s="4">
        <f>IF(M176=0,0,N176/M176-1)</f>
        <v>-0.19430547835217093</v>
      </c>
      <c r="W176" s="18">
        <v>25289.18</v>
      </c>
      <c r="X176" s="18">
        <v>26461.72</v>
      </c>
      <c r="Y176" s="4">
        <f>X176/W176-1</f>
        <v>4.636528349278235E-2</v>
      </c>
    </row>
    <row r="177" spans="1:25" ht="15" customHeight="1">
      <c r="A177" t="s">
        <v>388</v>
      </c>
      <c r="B177" t="s">
        <v>389</v>
      </c>
      <c r="C177" s="28">
        <v>618</v>
      </c>
      <c r="E177" t="s">
        <v>389</v>
      </c>
      <c r="F177" s="28">
        <v>664</v>
      </c>
      <c r="G177" t="b">
        <f>IF(B177=E177,TRUE,FALSE)</f>
        <v>1</v>
      </c>
      <c r="J177" s="25">
        <f>F177-C177</f>
        <v>46</v>
      </c>
      <c r="K177" s="4">
        <f>F177/C177-1</f>
        <v>7.4433656957928696E-2</v>
      </c>
      <c r="M177" s="5">
        <v>876.99</v>
      </c>
      <c r="N177" s="5">
        <v>1075.8900000000001</v>
      </c>
      <c r="Q177" s="139">
        <v>5618.43</v>
      </c>
      <c r="U177" s="127">
        <f>N177-M177</f>
        <v>198.90000000000009</v>
      </c>
      <c r="V177" s="4">
        <f>IF(M177=0,0,N177/M177-1)</f>
        <v>0.2267984811685424</v>
      </c>
      <c r="W177" s="18">
        <v>11944.86</v>
      </c>
      <c r="X177" s="18">
        <v>12522.99</v>
      </c>
      <c r="Y177" s="4">
        <f>X177/W177-1</f>
        <v>4.8399897529146418E-2</v>
      </c>
    </row>
    <row r="178" spans="1:25" ht="15" customHeight="1">
      <c r="A178" s="54" t="s">
        <v>390</v>
      </c>
      <c r="B178" s="37" t="s">
        <v>391</v>
      </c>
      <c r="C178" s="28">
        <v>5058</v>
      </c>
      <c r="E178" s="37" t="s">
        <v>391</v>
      </c>
      <c r="F178" s="28">
        <v>5101</v>
      </c>
      <c r="G178" t="b">
        <f>IF(B178=E178,TRUE,FALSE)</f>
        <v>1</v>
      </c>
      <c r="J178" s="25">
        <f>F178-C178</f>
        <v>43</v>
      </c>
      <c r="K178" s="4">
        <f>F178/C178-1</f>
        <v>8.501383946223795E-3</v>
      </c>
      <c r="M178" s="5">
        <v>5916.71</v>
      </c>
      <c r="N178" s="5">
        <v>5144.93</v>
      </c>
      <c r="Q178" s="139">
        <v>29753.39</v>
      </c>
      <c r="U178" s="127">
        <f>N178-M178</f>
        <v>-771.77999999999975</v>
      </c>
      <c r="V178" s="4">
        <f>IF(M178=0,0,N178/M178-1)</f>
        <v>-0.13044073480025209</v>
      </c>
      <c r="W178" s="18">
        <v>121243.04999999999</v>
      </c>
      <c r="X178" s="18">
        <v>121790.14</v>
      </c>
      <c r="Y178" s="4">
        <f>X178/W178-1</f>
        <v>4.5123411197591778E-3</v>
      </c>
    </row>
    <row r="179" spans="1:25" ht="15" customHeight="1">
      <c r="A179" s="27" t="s">
        <v>392</v>
      </c>
      <c r="B179" t="s">
        <v>393</v>
      </c>
      <c r="C179" s="28">
        <v>1937</v>
      </c>
      <c r="E179" t="s">
        <v>393</v>
      </c>
      <c r="F179" s="28">
        <v>1979</v>
      </c>
      <c r="G179" t="b">
        <f>IF(B179=E179,TRUE,FALSE)</f>
        <v>1</v>
      </c>
      <c r="J179" s="25">
        <f>F179-C179</f>
        <v>42</v>
      </c>
      <c r="K179" s="4">
        <f>F179/C179-1</f>
        <v>2.168301497160563E-2</v>
      </c>
      <c r="M179" s="5">
        <v>2537.71</v>
      </c>
      <c r="N179" s="5">
        <v>2432.17</v>
      </c>
      <c r="Q179" s="139">
        <v>13859.31</v>
      </c>
      <c r="U179" s="127">
        <f>N179-M179</f>
        <v>-105.53999999999996</v>
      </c>
      <c r="V179" s="4">
        <f>IF(M179=0,0,N179/M179-1)</f>
        <v>-4.1588676405105329E-2</v>
      </c>
      <c r="W179" s="18">
        <v>55755.43</v>
      </c>
      <c r="X179" s="18">
        <v>59014.239999999998</v>
      </c>
      <c r="Y179" s="4">
        <f>X179/W179-1</f>
        <v>5.8448298219563544E-2</v>
      </c>
    </row>
    <row r="180" spans="1:25" ht="15" customHeight="1">
      <c r="A180" t="s">
        <v>394</v>
      </c>
      <c r="B180" t="s">
        <v>395</v>
      </c>
      <c r="C180" s="28">
        <v>365</v>
      </c>
      <c r="E180" t="s">
        <v>395</v>
      </c>
      <c r="F180" s="28">
        <v>407</v>
      </c>
      <c r="G180" t="b">
        <f>IF(B180=E180,TRUE,FALSE)</f>
        <v>1</v>
      </c>
      <c r="J180" s="25">
        <f>F180-C180</f>
        <v>42</v>
      </c>
      <c r="K180" s="4">
        <f>F180/C180-1</f>
        <v>0.1150684931506849</v>
      </c>
      <c r="M180" s="5">
        <v>909.87</v>
      </c>
      <c r="N180" s="5">
        <v>1112.4000000000001</v>
      </c>
      <c r="Q180" s="139">
        <v>4984.87</v>
      </c>
      <c r="U180" s="127">
        <f>N180-M180</f>
        <v>202.53000000000009</v>
      </c>
      <c r="V180" s="4">
        <f>IF(M180=0,0,N180/M180-1)</f>
        <v>0.222592238451647</v>
      </c>
      <c r="W180" s="18">
        <v>7295.35</v>
      </c>
      <c r="X180" s="18">
        <v>8135.33</v>
      </c>
      <c r="Y180" s="4">
        <f>X180/W180-1</f>
        <v>0.11513909545121193</v>
      </c>
    </row>
    <row r="181" spans="1:25" ht="15" customHeight="1">
      <c r="A181" t="s">
        <v>396</v>
      </c>
      <c r="B181" t="s">
        <v>397</v>
      </c>
      <c r="C181" s="28">
        <v>426</v>
      </c>
      <c r="E181" t="s">
        <v>397</v>
      </c>
      <c r="F181" s="28">
        <v>467</v>
      </c>
      <c r="G181" t="b">
        <f>IF(B181=E181,TRUE,FALSE)</f>
        <v>1</v>
      </c>
      <c r="J181" s="25">
        <f>F181-C181</f>
        <v>41</v>
      </c>
      <c r="K181" s="4">
        <f>F181/C181-1</f>
        <v>9.6244131455399007E-2</v>
      </c>
      <c r="M181" s="5">
        <v>1125.08</v>
      </c>
      <c r="N181" s="5">
        <v>1021.72</v>
      </c>
      <c r="Q181" s="139">
        <v>6821.79</v>
      </c>
      <c r="U181" s="127">
        <f>N181-M181</f>
        <v>-103.3599999999999</v>
      </c>
      <c r="V181" s="4">
        <f>IF(M181=0,0,N181/M181-1)</f>
        <v>-9.1869022647278364E-2</v>
      </c>
      <c r="W181" s="18">
        <v>11010.15</v>
      </c>
      <c r="X181" s="18">
        <v>11258.63</v>
      </c>
      <c r="Y181" s="4">
        <f>X181/W181-1</f>
        <v>2.2568266554043204E-2</v>
      </c>
    </row>
    <row r="182" spans="1:25" ht="15" customHeight="1">
      <c r="A182" t="s">
        <v>398</v>
      </c>
      <c r="B182" t="s">
        <v>399</v>
      </c>
      <c r="C182" s="28">
        <v>1034</v>
      </c>
      <c r="E182" t="s">
        <v>399</v>
      </c>
      <c r="F182" s="28">
        <v>1075</v>
      </c>
      <c r="G182" t="b">
        <f>IF(B182=E182,TRUE,FALSE)</f>
        <v>1</v>
      </c>
      <c r="J182" s="25">
        <f>F182-C182</f>
        <v>41</v>
      </c>
      <c r="K182" s="4">
        <f>F182/C182-1</f>
        <v>3.9651837524177891E-2</v>
      </c>
      <c r="M182" s="5">
        <v>1873.27</v>
      </c>
      <c r="N182" s="5">
        <v>1648.15</v>
      </c>
      <c r="Q182" s="139">
        <v>11153.03</v>
      </c>
      <c r="U182" s="127">
        <f>N182-M182</f>
        <v>-225.11999999999989</v>
      </c>
      <c r="V182" s="4">
        <f>IF(M182=0,0,N182/M182-1)</f>
        <v>-0.12017488135719889</v>
      </c>
      <c r="W182" s="18">
        <v>18883.669999999998</v>
      </c>
      <c r="X182" s="18">
        <v>19025.84</v>
      </c>
      <c r="Y182" s="4">
        <f>X182/W182-1</f>
        <v>7.5287272018629281E-3</v>
      </c>
    </row>
    <row r="183" spans="1:25" ht="15" customHeight="1">
      <c r="A183" t="s">
        <v>400</v>
      </c>
      <c r="B183" t="s">
        <v>401</v>
      </c>
      <c r="C183" s="28">
        <v>2368</v>
      </c>
      <c r="E183" t="s">
        <v>401</v>
      </c>
      <c r="F183" s="28">
        <v>2407</v>
      </c>
      <c r="G183" t="b">
        <f>IF(B183=E183,TRUE,FALSE)</f>
        <v>1</v>
      </c>
      <c r="J183" s="25">
        <f>F183-C183</f>
        <v>39</v>
      </c>
      <c r="K183" s="4">
        <f>F183/C183-1</f>
        <v>1.6469594594594517E-2</v>
      </c>
      <c r="M183" s="5">
        <v>3372.03</v>
      </c>
      <c r="N183" s="5">
        <v>2770.04</v>
      </c>
      <c r="Q183" s="139">
        <v>23538.21</v>
      </c>
      <c r="U183" s="127">
        <f>N183-M183</f>
        <v>-601.99000000000024</v>
      </c>
      <c r="V183" s="4">
        <f>IF(M183=0,0,N183/M183-1)</f>
        <v>-0.1785245089753057</v>
      </c>
      <c r="W183" s="18">
        <v>87211.94</v>
      </c>
      <c r="X183" s="18">
        <v>88678.99</v>
      </c>
      <c r="Y183" s="4">
        <f>X183/W183-1</f>
        <v>1.6821664556481597E-2</v>
      </c>
    </row>
    <row r="184" spans="1:25" ht="15" customHeight="1">
      <c r="A184" t="s">
        <v>402</v>
      </c>
      <c r="B184" t="s">
        <v>403</v>
      </c>
      <c r="C184" s="28">
        <v>3086</v>
      </c>
      <c r="E184" t="s">
        <v>403</v>
      </c>
      <c r="F184" s="28">
        <v>3124</v>
      </c>
      <c r="G184" t="b">
        <f>IF(B184=E184,TRUE,FALSE)</f>
        <v>1</v>
      </c>
      <c r="J184" s="25">
        <f>F184-C184</f>
        <v>38</v>
      </c>
      <c r="K184" s="4">
        <f>F184/C184-1</f>
        <v>1.2313674659753637E-2</v>
      </c>
      <c r="M184" s="5">
        <v>4976.1899999999996</v>
      </c>
      <c r="N184" s="5">
        <v>3637.81</v>
      </c>
      <c r="Q184" s="139">
        <v>19563.39</v>
      </c>
      <c r="U184" s="127">
        <f>N184-M184</f>
        <v>-1338.3799999999997</v>
      </c>
      <c r="V184" s="4">
        <f>IF(M184=0,0,N184/M184-1)</f>
        <v>-0.2689567721489734</v>
      </c>
      <c r="W184" s="18">
        <v>89075.78</v>
      </c>
      <c r="X184" s="18">
        <v>89482.2</v>
      </c>
      <c r="Y184" s="4">
        <f>X184/W184-1</f>
        <v>4.5626319522544811E-3</v>
      </c>
    </row>
    <row r="185" spans="1:25" ht="15" customHeight="1">
      <c r="A185" t="s">
        <v>404</v>
      </c>
      <c r="B185" t="s">
        <v>405</v>
      </c>
      <c r="C185" s="28">
        <v>672</v>
      </c>
      <c r="E185" t="s">
        <v>405</v>
      </c>
      <c r="F185" s="28">
        <v>709</v>
      </c>
      <c r="G185" t="b">
        <f>IF(B185=E185,TRUE,FALSE)</f>
        <v>1</v>
      </c>
      <c r="J185" s="25">
        <f>F185-C185</f>
        <v>37</v>
      </c>
      <c r="K185" s="4">
        <f>F185/C185-1</f>
        <v>5.5059523809523725E-2</v>
      </c>
      <c r="M185" s="5">
        <v>440.11</v>
      </c>
      <c r="N185" s="5">
        <v>393.99</v>
      </c>
      <c r="Q185" s="139">
        <v>2847.27</v>
      </c>
      <c r="U185" s="127">
        <f>N185-M185</f>
        <v>-46.120000000000005</v>
      </c>
      <c r="V185" s="4">
        <f>IF(M185=0,0,N185/M185-1)</f>
        <v>-0.10479198382222632</v>
      </c>
      <c r="W185" s="18">
        <v>16140.4</v>
      </c>
      <c r="X185" s="18">
        <v>16873.93</v>
      </c>
      <c r="Y185" s="4">
        <f>X185/W185-1</f>
        <v>4.5446829074867967E-2</v>
      </c>
    </row>
    <row r="186" spans="1:25" ht="15" customHeight="1">
      <c r="A186" t="s">
        <v>406</v>
      </c>
      <c r="B186" t="s">
        <v>407</v>
      </c>
      <c r="C186" s="28">
        <v>929</v>
      </c>
      <c r="E186" t="s">
        <v>407</v>
      </c>
      <c r="F186" s="28">
        <v>964</v>
      </c>
      <c r="G186" t="b">
        <f>IF(B186=E186,TRUE,FALSE)</f>
        <v>1</v>
      </c>
      <c r="J186" s="25">
        <f>F186-C186</f>
        <v>35</v>
      </c>
      <c r="K186" s="4">
        <f>F186/C186-1</f>
        <v>3.7674919268030127E-2</v>
      </c>
      <c r="M186" s="5">
        <v>1510.39</v>
      </c>
      <c r="N186" s="5">
        <v>1327.03</v>
      </c>
      <c r="Q186" s="139">
        <v>8062.32</v>
      </c>
      <c r="U186" s="127">
        <f>N186-M186</f>
        <v>-183.36000000000013</v>
      </c>
      <c r="V186" s="4">
        <f>IF(M186=0,0,N186/M186-1)</f>
        <v>-0.12139910883943894</v>
      </c>
      <c r="W186" s="18">
        <v>20214</v>
      </c>
      <c r="X186" s="18">
        <v>21158.04</v>
      </c>
      <c r="Y186" s="4">
        <f>X186/W186-1</f>
        <v>4.6702285544672151E-2</v>
      </c>
    </row>
    <row r="187" spans="1:25" ht="15" customHeight="1">
      <c r="A187" t="s">
        <v>408</v>
      </c>
      <c r="B187" t="s">
        <v>409</v>
      </c>
      <c r="C187" s="28">
        <v>2485</v>
      </c>
      <c r="E187" t="s">
        <v>409</v>
      </c>
      <c r="F187" s="28">
        <v>2520</v>
      </c>
      <c r="G187" t="b">
        <f>IF(B187=E187,TRUE,FALSE)</f>
        <v>1</v>
      </c>
      <c r="J187" s="25">
        <f>F187-C187</f>
        <v>35</v>
      </c>
      <c r="K187" s="4">
        <f>F187/C187-1</f>
        <v>1.4084507042253502E-2</v>
      </c>
      <c r="M187" s="5">
        <v>2496.94</v>
      </c>
      <c r="N187" s="5">
        <v>6174.51</v>
      </c>
      <c r="Q187" s="139">
        <v>35829.51</v>
      </c>
      <c r="V187" s="4"/>
      <c r="W187" s="18">
        <v>62360.38</v>
      </c>
      <c r="X187" s="18">
        <v>65726.929999999993</v>
      </c>
      <c r="Y187" s="4">
        <f>X187/W187-1</f>
        <v>5.3985399062673967E-2</v>
      </c>
    </row>
    <row r="188" spans="1:25" ht="14.25" customHeight="1">
      <c r="A188" s="54" t="s">
        <v>410</v>
      </c>
      <c r="B188" s="37" t="s">
        <v>411</v>
      </c>
      <c r="C188" s="28">
        <v>74</v>
      </c>
      <c r="E188" s="37" t="s">
        <v>411</v>
      </c>
      <c r="F188" s="28">
        <v>106</v>
      </c>
      <c r="G188" t="b">
        <f>IF(B188=E188,TRUE,FALSE)</f>
        <v>1</v>
      </c>
      <c r="J188" s="25">
        <f>F188-C188</f>
        <v>32</v>
      </c>
      <c r="K188" s="4">
        <f>F188/C188-1</f>
        <v>0.43243243243243246</v>
      </c>
      <c r="M188" s="5">
        <v>59.76</v>
      </c>
      <c r="N188" s="5">
        <v>269.93</v>
      </c>
      <c r="Q188" s="138">
        <v>520.46</v>
      </c>
      <c r="U188" s="127">
        <f>N188-M188</f>
        <v>210.17000000000002</v>
      </c>
      <c r="V188" s="4">
        <f>IF(M188=0,0,N188/M188-1)</f>
        <v>3.51690093708166</v>
      </c>
      <c r="W188" s="18">
        <v>1480.14</v>
      </c>
      <c r="X188" s="18">
        <v>1376.69</v>
      </c>
      <c r="Y188" s="4">
        <f>X188/W188-1</f>
        <v>-6.9892037239720595E-2</v>
      </c>
    </row>
    <row r="189" spans="1:25" ht="15" customHeight="1">
      <c r="A189" t="s">
        <v>412</v>
      </c>
      <c r="B189" t="s">
        <v>413</v>
      </c>
      <c r="C189" s="28">
        <v>915</v>
      </c>
      <c r="E189" t="s">
        <v>413</v>
      </c>
      <c r="F189" s="28">
        <v>941</v>
      </c>
      <c r="G189" t="b">
        <f>IF(B189=E189,TRUE,FALSE)</f>
        <v>1</v>
      </c>
      <c r="J189" s="25">
        <f>F189-C189</f>
        <v>26</v>
      </c>
      <c r="K189" s="4">
        <f>F189/C189-1</f>
        <v>2.841530054644803E-2</v>
      </c>
      <c r="M189" s="5">
        <v>1183.79</v>
      </c>
      <c r="N189" s="5">
        <v>1354.41</v>
      </c>
      <c r="Q189" s="139">
        <v>11587.42</v>
      </c>
      <c r="U189" s="127">
        <f>N189-M189</f>
        <v>170.62000000000012</v>
      </c>
      <c r="V189" s="4">
        <f>IF(M189=0,0,N189/M189-1)</f>
        <v>0.14413029337973815</v>
      </c>
      <c r="W189" s="18">
        <v>26562.95</v>
      </c>
      <c r="X189" s="18">
        <v>28178.75</v>
      </c>
      <c r="Y189" s="4">
        <f>X189/W189-1</f>
        <v>6.0829087130759074E-2</v>
      </c>
    </row>
    <row r="190" spans="1:25" ht="15" customHeight="1">
      <c r="A190" s="55" t="s">
        <v>414</v>
      </c>
      <c r="B190" s="37" t="s">
        <v>415</v>
      </c>
      <c r="C190" s="28">
        <v>1001</v>
      </c>
      <c r="E190" s="37" t="s">
        <v>415</v>
      </c>
      <c r="F190" s="28">
        <v>1018</v>
      </c>
      <c r="G190" t="b">
        <f>IF(B190=E190,TRUE,FALSE)</f>
        <v>1</v>
      </c>
      <c r="J190" s="25">
        <f>F190-C190</f>
        <v>17</v>
      </c>
      <c r="K190" s="4">
        <f>F190/C190-1</f>
        <v>1.6983016983016963E-2</v>
      </c>
      <c r="M190" s="5">
        <v>2140.08</v>
      </c>
      <c r="N190" s="5">
        <v>2108.19</v>
      </c>
      <c r="Q190" s="139">
        <v>18842.77</v>
      </c>
      <c r="U190" s="127">
        <f>N190-M190</f>
        <v>-31.889999999999873</v>
      </c>
      <c r="V190" s="4">
        <f>IF(M190=0,0,N190/M190-1)</f>
        <v>-1.4901312100482178E-2</v>
      </c>
      <c r="W190" s="18">
        <v>27865.95</v>
      </c>
      <c r="X190" s="18">
        <v>29241.54</v>
      </c>
      <c r="Y190" s="4">
        <f>X190/W190-1</f>
        <v>4.9364547054738805E-2</v>
      </c>
    </row>
    <row r="191" spans="1:25" ht="15" customHeight="1">
      <c r="A191" s="37" t="s">
        <v>416</v>
      </c>
      <c r="B191" s="37" t="s">
        <v>417</v>
      </c>
      <c r="C191" s="28">
        <v>520</v>
      </c>
      <c r="E191" s="37" t="s">
        <v>417</v>
      </c>
      <c r="F191" s="28">
        <v>537</v>
      </c>
      <c r="G191" t="b">
        <f>IF(B191=E191,TRUE,FALSE)</f>
        <v>1</v>
      </c>
      <c r="J191" s="25">
        <f>F191-C191</f>
        <v>17</v>
      </c>
      <c r="K191" s="4">
        <f>F191/C191-1</f>
        <v>3.2692307692307798E-2</v>
      </c>
      <c r="M191" s="5">
        <v>821.75</v>
      </c>
      <c r="N191" s="5">
        <v>711.04</v>
      </c>
      <c r="Q191" s="139">
        <v>4115.25</v>
      </c>
      <c r="U191" s="127">
        <f>N191-M191</f>
        <v>-110.71000000000004</v>
      </c>
      <c r="V191" s="4">
        <f>IF(M191=0,0,N191/M191-1)</f>
        <v>-0.13472467295406154</v>
      </c>
      <c r="W191" s="18">
        <v>8834.2900000000009</v>
      </c>
      <c r="X191" s="18">
        <v>9123.1200000000008</v>
      </c>
      <c r="Y191" s="4">
        <f>X191/W191-1</f>
        <v>3.2694195006050197E-2</v>
      </c>
    </row>
    <row r="192" spans="1:25" ht="15" customHeight="1">
      <c r="A192" t="s">
        <v>418</v>
      </c>
      <c r="B192" t="s">
        <v>419</v>
      </c>
      <c r="C192" s="28">
        <v>2040</v>
      </c>
      <c r="E192" t="s">
        <v>419</v>
      </c>
      <c r="F192" s="28">
        <v>2055</v>
      </c>
      <c r="G192" t="b">
        <f>IF(B192=E192,TRUE,FALSE)</f>
        <v>1</v>
      </c>
      <c r="J192" s="25">
        <f>F192-C192</f>
        <v>15</v>
      </c>
      <c r="K192" s="4">
        <f>F192/C192-1</f>
        <v>7.3529411764705621E-3</v>
      </c>
      <c r="M192" s="5">
        <v>3543.65</v>
      </c>
      <c r="N192" s="5">
        <v>3116.44</v>
      </c>
      <c r="Q192" s="139">
        <v>18495.400000000001</v>
      </c>
      <c r="U192" s="127">
        <f>N192-M192</f>
        <v>-427.21000000000004</v>
      </c>
      <c r="V192" s="4">
        <f>IF(M192=0,0,N192/M192-1)</f>
        <v>-0.12055648836651478</v>
      </c>
      <c r="W192" s="18">
        <v>59495.06</v>
      </c>
      <c r="X192" s="18">
        <v>58991.3</v>
      </c>
      <c r="Y192" s="4">
        <f>X192/W192-1</f>
        <v>-8.4672576176911818E-3</v>
      </c>
    </row>
    <row r="193" spans="1:25" ht="15" customHeight="1">
      <c r="A193" s="37" t="s">
        <v>420</v>
      </c>
      <c r="B193" s="37" t="s">
        <v>421</v>
      </c>
      <c r="C193" s="28">
        <v>1377</v>
      </c>
      <c r="E193" s="37" t="s">
        <v>421</v>
      </c>
      <c r="F193" s="28">
        <v>1392</v>
      </c>
      <c r="G193" t="b">
        <f>IF(B193=E193,TRUE,FALSE)</f>
        <v>1</v>
      </c>
      <c r="J193" s="25">
        <f>F193-C193</f>
        <v>15</v>
      </c>
      <c r="K193" s="4">
        <f>F193/C193-1</f>
        <v>1.089324618736387E-2</v>
      </c>
      <c r="M193" s="5">
        <v>3174.68</v>
      </c>
      <c r="N193" s="5">
        <v>2926.76</v>
      </c>
      <c r="Q193" s="139">
        <v>17358.25</v>
      </c>
      <c r="U193" s="127">
        <f>N193-M193</f>
        <v>-247.91999999999962</v>
      </c>
      <c r="V193" s="4">
        <f>IF(M193=0,0,N193/M193-1)</f>
        <v>-7.8092910151574269E-2</v>
      </c>
      <c r="W193" s="18">
        <v>27500.63</v>
      </c>
      <c r="X193" s="18">
        <v>25828.080000000002</v>
      </c>
      <c r="Y193" s="4">
        <f>X193/W193-1</f>
        <v>-6.0818606701010136E-2</v>
      </c>
    </row>
    <row r="194" spans="1:25" ht="15" customHeight="1">
      <c r="A194" t="s">
        <v>422</v>
      </c>
      <c r="B194" t="s">
        <v>423</v>
      </c>
      <c r="C194" s="28">
        <v>347</v>
      </c>
      <c r="E194" t="s">
        <v>423</v>
      </c>
      <c r="F194" s="28">
        <v>360</v>
      </c>
      <c r="G194" t="b">
        <f>IF(B194=E194,TRUE,FALSE)</f>
        <v>1</v>
      </c>
      <c r="J194" s="25">
        <f>F194-C194</f>
        <v>13</v>
      </c>
      <c r="K194" s="4">
        <f>F194/C194-1</f>
        <v>3.7463976945244948E-2</v>
      </c>
      <c r="M194" s="5">
        <v>471.56</v>
      </c>
      <c r="N194" s="5">
        <v>620.25</v>
      </c>
      <c r="Q194" s="139">
        <v>3937.57</v>
      </c>
      <c r="U194" s="127">
        <f>N194-M194</f>
        <v>148.69</v>
      </c>
      <c r="V194" s="4">
        <f>IF(M194=0,0,N194/M194-1)</f>
        <v>0.31531512426838582</v>
      </c>
      <c r="W194" s="18">
        <v>10633.13</v>
      </c>
      <c r="X194" s="18">
        <v>10782</v>
      </c>
      <c r="Y194" s="4">
        <f>X194/W194-1</f>
        <v>1.4000581202336493E-2</v>
      </c>
    </row>
    <row r="195" spans="1:25" ht="15" customHeight="1">
      <c r="A195" t="s">
        <v>424</v>
      </c>
      <c r="B195" t="s">
        <v>425</v>
      </c>
      <c r="C195" s="28">
        <v>747</v>
      </c>
      <c r="E195" t="s">
        <v>425</v>
      </c>
      <c r="F195" s="28">
        <v>756</v>
      </c>
      <c r="G195" t="b">
        <f>IF(B195=E195,TRUE,FALSE)</f>
        <v>1</v>
      </c>
      <c r="J195" s="25">
        <f>F195-C195</f>
        <v>9</v>
      </c>
      <c r="K195" s="4">
        <f>F195/C195-1</f>
        <v>1.2048192771084265E-2</v>
      </c>
      <c r="M195" s="5">
        <v>1027.1199999999999</v>
      </c>
      <c r="N195" s="5">
        <v>892.13</v>
      </c>
      <c r="Q195" s="139">
        <v>6831.41</v>
      </c>
      <c r="U195" s="127">
        <f>N195-M195</f>
        <v>-134.9899999999999</v>
      </c>
      <c r="V195" s="4">
        <f>IF(M195=0,0,N195/M195-1)</f>
        <v>-0.13142573409144009</v>
      </c>
      <c r="W195" s="18">
        <v>22368.75</v>
      </c>
      <c r="X195" s="18">
        <v>22638.3</v>
      </c>
      <c r="Y195" s="4">
        <f>X195/W195-1</f>
        <v>1.2050293378038424E-2</v>
      </c>
    </row>
    <row r="196" spans="1:25" ht="15" customHeight="1">
      <c r="A196" t="s">
        <v>426</v>
      </c>
      <c r="B196" t="s">
        <v>427</v>
      </c>
      <c r="C196" s="28">
        <v>2349</v>
      </c>
      <c r="E196" t="s">
        <v>427</v>
      </c>
      <c r="F196" s="28">
        <v>2353</v>
      </c>
      <c r="G196" t="b">
        <f>IF(B196=E196,TRUE,FALSE)</f>
        <v>1</v>
      </c>
      <c r="J196" s="25">
        <f>F196-C196</f>
        <v>4</v>
      </c>
      <c r="K196" s="4">
        <f>F196/C196-1</f>
        <v>1.7028522775648369E-3</v>
      </c>
      <c r="M196" s="5">
        <v>2514.63</v>
      </c>
      <c r="N196" s="5">
        <v>2223.17</v>
      </c>
      <c r="Q196" s="139">
        <v>12355.26</v>
      </c>
      <c r="U196" s="127">
        <f>N196-M196</f>
        <v>-291.46000000000004</v>
      </c>
      <c r="V196" s="4">
        <f>IF(M196=0,0,N196/M196-1)</f>
        <v>-0.11590571972815089</v>
      </c>
      <c r="W196" s="18">
        <v>67760.070000000007</v>
      </c>
      <c r="X196" s="18">
        <v>67589.95</v>
      </c>
      <c r="Y196" s="4">
        <f>X196/W196-1</f>
        <v>-2.5106231442796334E-3</v>
      </c>
    </row>
    <row r="197" spans="1:25" ht="15" customHeight="1">
      <c r="A197" t="s">
        <v>428</v>
      </c>
      <c r="B197" t="s">
        <v>429</v>
      </c>
      <c r="C197" s="28">
        <v>197</v>
      </c>
      <c r="E197" t="s">
        <v>429</v>
      </c>
      <c r="F197" s="28">
        <v>201</v>
      </c>
      <c r="G197" t="b">
        <f>IF(B197=E197,TRUE,FALSE)</f>
        <v>1</v>
      </c>
      <c r="J197" s="25">
        <f>F197-C197</f>
        <v>4</v>
      </c>
      <c r="K197" s="4">
        <f>F197/C197-1</f>
        <v>2.0304568527918843E-2</v>
      </c>
      <c r="M197" s="5">
        <v>0</v>
      </c>
      <c r="N197" s="5">
        <v>0</v>
      </c>
      <c r="Q197" s="139">
        <v>0</v>
      </c>
      <c r="U197" s="127">
        <f>N197-M197</f>
        <v>0</v>
      </c>
      <c r="V197" s="4">
        <f>IF(M197=0,0,N197/M197-1)</f>
        <v>0</v>
      </c>
      <c r="W197" s="18">
        <v>5384.2</v>
      </c>
      <c r="X197" s="18">
        <v>5822.06</v>
      </c>
      <c r="Y197" s="4">
        <f>X197/W197-1</f>
        <v>8.1323130641506758E-2</v>
      </c>
    </row>
    <row r="198" spans="1:25" ht="15" customHeight="1">
      <c r="A198" t="s">
        <v>430</v>
      </c>
      <c r="B198" t="s">
        <v>431</v>
      </c>
      <c r="C198" s="28">
        <v>2242</v>
      </c>
      <c r="E198" t="s">
        <v>431</v>
      </c>
      <c r="F198" s="28">
        <v>2245</v>
      </c>
      <c r="G198" t="b">
        <f>IF(B198=E198,TRUE,FALSE)</f>
        <v>1</v>
      </c>
      <c r="J198" s="25">
        <f>F198-C198</f>
        <v>3</v>
      </c>
      <c r="K198" s="4">
        <f>F198/C198-1</f>
        <v>1.338090990187224E-3</v>
      </c>
      <c r="M198" s="5">
        <v>3992.2</v>
      </c>
      <c r="N198" s="5">
        <v>3517.63</v>
      </c>
      <c r="Q198" s="139">
        <v>22754.7</v>
      </c>
      <c r="U198" s="127">
        <f>N198-M198</f>
        <v>-474.56999999999971</v>
      </c>
      <c r="V198" s="4">
        <f>IF(M198=0,0,N198/M198-1)</f>
        <v>-0.11887430489454431</v>
      </c>
      <c r="W198" s="18">
        <v>56638.7</v>
      </c>
      <c r="X198" s="18">
        <v>58234.61</v>
      </c>
      <c r="Y198" s="4">
        <f>X198/W198-1</f>
        <v>2.8177023837058446E-2</v>
      </c>
    </row>
    <row r="199" spans="1:25" ht="15" customHeight="1">
      <c r="A199" t="s">
        <v>432</v>
      </c>
      <c r="B199" t="s">
        <v>433</v>
      </c>
      <c r="C199" s="28">
        <v>1126</v>
      </c>
      <c r="E199" t="s">
        <v>433</v>
      </c>
      <c r="F199" s="28">
        <v>1128</v>
      </c>
      <c r="G199" t="b">
        <f>IF(B199=E199,TRUE,FALSE)</f>
        <v>1</v>
      </c>
      <c r="J199" s="25">
        <f>F199-C199</f>
        <v>2</v>
      </c>
      <c r="K199" s="4">
        <f>F199/C199-1</f>
        <v>1.7761989342806039E-3</v>
      </c>
      <c r="M199" s="5">
        <v>1605.2900000000002</v>
      </c>
      <c r="N199" s="5">
        <v>1344.7</v>
      </c>
      <c r="Q199" s="139">
        <v>9975.4699999999993</v>
      </c>
      <c r="U199" s="127">
        <f>N199-M199</f>
        <v>-260.59000000000015</v>
      </c>
      <c r="V199" s="4">
        <f>IF(M199=0,0,N199/M199-1)</f>
        <v>-0.16233203969376253</v>
      </c>
      <c r="W199" s="18">
        <v>32795.839999999997</v>
      </c>
      <c r="X199" s="18">
        <v>31756.84</v>
      </c>
      <c r="Y199" s="4">
        <f>X199/W199-1</f>
        <v>-3.1680847326977957E-2</v>
      </c>
    </row>
    <row r="200" spans="1:25" ht="15" customHeight="1">
      <c r="A200" t="s">
        <v>434</v>
      </c>
      <c r="B200" t="s">
        <v>435</v>
      </c>
      <c r="C200" s="28">
        <v>3</v>
      </c>
      <c r="E200" t="s">
        <v>435</v>
      </c>
      <c r="F200" s="28">
        <v>4</v>
      </c>
      <c r="G200" t="b">
        <f>IF(B200=E200,TRUE,FALSE)</f>
        <v>1</v>
      </c>
      <c r="J200" s="25">
        <f>F200-C200</f>
        <v>1</v>
      </c>
      <c r="K200" s="4">
        <f>F200/C200-1</f>
        <v>0.33333333333333326</v>
      </c>
      <c r="M200" s="5">
        <v>0</v>
      </c>
      <c r="N200" s="5">
        <v>0</v>
      </c>
      <c r="Q200" s="139">
        <v>0</v>
      </c>
      <c r="U200" s="127">
        <f>N200-M200</f>
        <v>0</v>
      </c>
      <c r="V200" s="4">
        <f>IF(M200=0,0,N200/M200-1)</f>
        <v>0</v>
      </c>
      <c r="W200" s="18">
        <v>89.97</v>
      </c>
      <c r="X200" s="18">
        <v>119.96</v>
      </c>
      <c r="Y200" s="4">
        <f>X200/W200-1</f>
        <v>0.33333333333333326</v>
      </c>
    </row>
    <row r="201" spans="1:25" ht="15" customHeight="1">
      <c r="A201" t="s">
        <v>436</v>
      </c>
      <c r="B201" t="s">
        <v>437</v>
      </c>
      <c r="C201" s="28">
        <v>342</v>
      </c>
      <c r="E201" t="s">
        <v>437</v>
      </c>
      <c r="F201" s="28">
        <v>343</v>
      </c>
      <c r="G201" t="b">
        <f>IF(B201=E201,TRUE,FALSE)</f>
        <v>1</v>
      </c>
      <c r="J201" s="25">
        <f>F201-C201</f>
        <v>1</v>
      </c>
      <c r="K201" s="4">
        <f>F201/C201-1</f>
        <v>2.9239766081872176E-3</v>
      </c>
      <c r="M201" s="5">
        <v>949.75</v>
      </c>
      <c r="N201" s="5">
        <v>807.62</v>
      </c>
      <c r="Q201" s="139">
        <v>3736.1</v>
      </c>
      <c r="U201" s="127">
        <f>N201-M201</f>
        <v>-142.13</v>
      </c>
      <c r="V201" s="4">
        <f>IF(M201=0,0,N201/M201-1)</f>
        <v>-0.14964990787049226</v>
      </c>
      <c r="W201" s="18">
        <v>7997.7</v>
      </c>
      <c r="X201" s="18">
        <v>6999.05</v>
      </c>
      <c r="Y201" s="4">
        <f>X201/W201-1</f>
        <v>-0.12486714930542531</v>
      </c>
    </row>
    <row r="202" spans="1:25" ht="15" customHeight="1">
      <c r="A202" t="s">
        <v>438</v>
      </c>
      <c r="B202" t="s">
        <v>439</v>
      </c>
      <c r="C202" s="28">
        <v>809</v>
      </c>
      <c r="E202" t="s">
        <v>439</v>
      </c>
      <c r="F202" s="28">
        <v>809</v>
      </c>
      <c r="G202" t="b">
        <f>IF(B202=E202,TRUE,FALSE)</f>
        <v>1</v>
      </c>
      <c r="J202" s="25">
        <f>F202-C202</f>
        <v>0</v>
      </c>
      <c r="K202" s="4">
        <f>F202/C202-1</f>
        <v>0</v>
      </c>
      <c r="M202" s="5">
        <v>624.85</v>
      </c>
      <c r="N202" s="5">
        <v>576.04999999999995</v>
      </c>
      <c r="Q202" s="139">
        <v>4883.55</v>
      </c>
      <c r="U202" s="127">
        <f>N202-M202</f>
        <v>-48.800000000000068</v>
      </c>
      <c r="V202" s="4">
        <f>IF(M202=0,0,N202/M202-1)</f>
        <v>-7.8098743698487794E-2</v>
      </c>
      <c r="W202" s="18">
        <v>23352.9</v>
      </c>
      <c r="X202" s="18">
        <v>24220.55</v>
      </c>
      <c r="Y202" s="4">
        <f>X202/W202-1</f>
        <v>3.7153843848087398E-2</v>
      </c>
    </row>
    <row r="203" spans="1:25" ht="15" customHeight="1">
      <c r="A203" t="s">
        <v>440</v>
      </c>
      <c r="B203" t="s">
        <v>441</v>
      </c>
      <c r="C203" s="28">
        <v>0</v>
      </c>
      <c r="E203" t="s">
        <v>441</v>
      </c>
      <c r="F203" s="28">
        <v>0</v>
      </c>
      <c r="G203" t="b">
        <f>IF(B203=E203,TRUE,FALSE)</f>
        <v>1</v>
      </c>
      <c r="J203" s="25">
        <f>F203-C203</f>
        <v>0</v>
      </c>
      <c r="K203" s="4" t="e">
        <f>F203/C203-1</f>
        <v>#DIV/0!</v>
      </c>
      <c r="M203" s="5">
        <v>0</v>
      </c>
      <c r="N203" s="5">
        <v>0</v>
      </c>
      <c r="Q203" s="139">
        <v>0</v>
      </c>
      <c r="U203" s="127">
        <f>N203-M203</f>
        <v>0</v>
      </c>
      <c r="V203" s="4">
        <f>IF(M203=0,0,N203/M203-1)</f>
        <v>0</v>
      </c>
      <c r="W203" s="18">
        <v>0</v>
      </c>
      <c r="X203" s="18">
        <v>0</v>
      </c>
      <c r="Y203" s="4" t="e">
        <f>X203/W203-1</f>
        <v>#DIV/0!</v>
      </c>
    </row>
    <row r="204" spans="1:25" ht="15" customHeight="1">
      <c r="A204" t="s">
        <v>442</v>
      </c>
      <c r="B204" t="s">
        <v>443</v>
      </c>
      <c r="C204" s="28">
        <v>1064</v>
      </c>
      <c r="E204" t="s">
        <v>443</v>
      </c>
      <c r="F204" s="28">
        <v>1064</v>
      </c>
      <c r="G204" t="b">
        <f>IF(B204=E204,TRUE,FALSE)</f>
        <v>1</v>
      </c>
      <c r="J204" s="25">
        <f>F204-C204</f>
        <v>0</v>
      </c>
      <c r="K204" s="4">
        <f>F204/C204-1</f>
        <v>0</v>
      </c>
      <c r="M204" s="5">
        <v>2219.64</v>
      </c>
      <c r="N204" s="5">
        <v>2808.01</v>
      </c>
      <c r="Q204" s="139">
        <v>16832.439999999999</v>
      </c>
      <c r="U204" s="127">
        <f>N204-M204</f>
        <v>588.37000000000035</v>
      </c>
      <c r="V204" s="4">
        <f>IF(M204=0,0,N204/M204-1)</f>
        <v>0.26507451658827574</v>
      </c>
      <c r="W204" s="18">
        <v>40113.82</v>
      </c>
      <c r="X204" s="18">
        <v>39842.339999999997</v>
      </c>
      <c r="Y204" s="4">
        <f>X204/W204-1</f>
        <v>-6.7677423890321053E-3</v>
      </c>
    </row>
    <row r="205" spans="1:25" ht="15" customHeight="1">
      <c r="A205" s="143" t="s">
        <v>444</v>
      </c>
      <c r="B205" s="143" t="s">
        <v>445</v>
      </c>
      <c r="C205" s="28">
        <v>0</v>
      </c>
      <c r="E205" s="143" t="s">
        <v>445</v>
      </c>
      <c r="F205" s="28">
        <v>0</v>
      </c>
      <c r="G205" t="b">
        <f>IF(B205=E205,TRUE,FALSE)</f>
        <v>1</v>
      </c>
      <c r="J205" s="25">
        <f>F205-C205</f>
        <v>0</v>
      </c>
      <c r="K205" s="4" t="e">
        <f>F205/C205-1</f>
        <v>#DIV/0!</v>
      </c>
      <c r="M205" s="5">
        <v>0</v>
      </c>
      <c r="N205" s="5">
        <v>0</v>
      </c>
      <c r="Q205" s="138">
        <v>0</v>
      </c>
      <c r="U205" s="127">
        <f>N205-M205</f>
        <v>0</v>
      </c>
      <c r="V205" s="4">
        <f>IF(M205=0,0,N205/M205-1)</f>
        <v>0</v>
      </c>
      <c r="W205" s="18">
        <v>0</v>
      </c>
      <c r="X205" s="18">
        <v>0</v>
      </c>
      <c r="Y205" s="4" t="e">
        <f>X205/W205-1</f>
        <v>#DIV/0!</v>
      </c>
    </row>
    <row r="206" spans="1:25" ht="15" customHeight="1">
      <c r="A206" t="s">
        <v>446</v>
      </c>
      <c r="B206" t="s">
        <v>447</v>
      </c>
      <c r="C206" s="28">
        <v>1</v>
      </c>
      <c r="E206" t="s">
        <v>447</v>
      </c>
      <c r="F206" s="28">
        <v>0</v>
      </c>
      <c r="G206" t="b">
        <f>IF(B206=E206,TRUE,FALSE)</f>
        <v>1</v>
      </c>
      <c r="J206" s="25">
        <f>F206-C206</f>
        <v>-1</v>
      </c>
      <c r="K206" s="4">
        <f>F206/C206-1</f>
        <v>-1</v>
      </c>
      <c r="M206" s="5">
        <v>0</v>
      </c>
      <c r="N206" s="5">
        <v>0</v>
      </c>
      <c r="Q206" s="139">
        <v>0</v>
      </c>
      <c r="U206" s="127">
        <f>N206-M206</f>
        <v>0</v>
      </c>
      <c r="V206" s="4">
        <f>IF(M206=0,0,N206/M206-1)</f>
        <v>0</v>
      </c>
      <c r="W206" s="18">
        <v>28.95</v>
      </c>
      <c r="X206" s="18">
        <v>0</v>
      </c>
      <c r="Y206" s="4">
        <f>X206/W206-1</f>
        <v>-1</v>
      </c>
    </row>
    <row r="207" spans="1:25" ht="15" customHeight="1">
      <c r="A207" t="s">
        <v>448</v>
      </c>
      <c r="B207" t="s">
        <v>449</v>
      </c>
      <c r="C207" s="28">
        <v>13</v>
      </c>
      <c r="E207" t="s">
        <v>449</v>
      </c>
      <c r="F207" s="28">
        <v>7</v>
      </c>
      <c r="G207" t="b">
        <f>IF(B207=E207,TRUE,FALSE)</f>
        <v>1</v>
      </c>
      <c r="J207" s="25">
        <f>F207-C207</f>
        <v>-6</v>
      </c>
      <c r="K207" s="4">
        <f>F207/C207-1</f>
        <v>-0.46153846153846156</v>
      </c>
      <c r="L207" s="5"/>
      <c r="M207" s="5">
        <v>4.93</v>
      </c>
      <c r="N207" s="5">
        <v>1.1000000000000001</v>
      </c>
      <c r="O207" s="5"/>
      <c r="P207" s="5"/>
      <c r="Q207" s="139">
        <v>23.95</v>
      </c>
      <c r="R207" s="5"/>
      <c r="S207" s="5"/>
      <c r="T207" s="5"/>
      <c r="U207" s="127">
        <f>N207-M207</f>
        <v>-3.8299999999999996</v>
      </c>
      <c r="V207" s="4">
        <f>IF(M207=0,0,N207/M207-1)</f>
        <v>-0.77687626774847862</v>
      </c>
      <c r="W207" s="18">
        <v>311.35000000000002</v>
      </c>
      <c r="X207" s="18">
        <v>167.65</v>
      </c>
      <c r="Y207" s="4">
        <f>X207/W207-1</f>
        <v>-0.46153846153846156</v>
      </c>
    </row>
    <row r="208" spans="1:25" ht="15" customHeight="1">
      <c r="A208" t="s">
        <v>450</v>
      </c>
      <c r="B208" t="s">
        <v>451</v>
      </c>
      <c r="C208" s="28">
        <v>2304</v>
      </c>
      <c r="E208" t="s">
        <v>451</v>
      </c>
      <c r="F208" s="28">
        <v>2298</v>
      </c>
      <c r="G208" t="b">
        <f>IF(B208=E208,TRUE,FALSE)</f>
        <v>1</v>
      </c>
      <c r="J208" s="25">
        <f>F208-C208</f>
        <v>-6</v>
      </c>
      <c r="K208" s="4">
        <f>F208/C208-1</f>
        <v>-2.6041666666666297E-3</v>
      </c>
      <c r="M208" s="5">
        <v>1485.57</v>
      </c>
      <c r="N208" s="5">
        <v>2298.0500000000002</v>
      </c>
      <c r="Q208" s="139">
        <v>10795.66</v>
      </c>
      <c r="U208" s="127">
        <f>N208-M208</f>
        <v>812.48000000000025</v>
      </c>
      <c r="V208" s="4">
        <f>IF(M208=0,0,N208/M208-1)</f>
        <v>0.54691465228834746</v>
      </c>
      <c r="W208" s="18">
        <v>57702.94</v>
      </c>
      <c r="X208" s="18">
        <v>59496.7</v>
      </c>
      <c r="Y208" s="4">
        <f>X208/W208-1</f>
        <v>3.1086111036976449E-2</v>
      </c>
    </row>
    <row r="209" spans="1:25" ht="15" customHeight="1">
      <c r="A209" t="s">
        <v>452</v>
      </c>
      <c r="B209" t="s">
        <v>453</v>
      </c>
      <c r="C209" s="28">
        <v>1445</v>
      </c>
      <c r="E209" t="s">
        <v>453</v>
      </c>
      <c r="F209" s="28">
        <v>1436</v>
      </c>
      <c r="G209" t="b">
        <f>IF(B209=E209,TRUE,FALSE)</f>
        <v>1</v>
      </c>
      <c r="J209" s="25">
        <f>F209-C209</f>
        <v>-9</v>
      </c>
      <c r="K209" s="4">
        <f>F209/C209-1</f>
        <v>-6.2283737024221297E-3</v>
      </c>
      <c r="M209" s="5">
        <v>1076.29</v>
      </c>
      <c r="N209" s="5">
        <v>1001.15</v>
      </c>
      <c r="Q209" s="139">
        <v>7855.68</v>
      </c>
      <c r="U209" s="127">
        <f>N209-M209</f>
        <v>-75.139999999999986</v>
      </c>
      <c r="V209" s="4">
        <f>IF(M209=0,0,N209/M209-1)</f>
        <v>-6.9813897741315079E-2</v>
      </c>
      <c r="W209" s="18">
        <v>41759.58</v>
      </c>
      <c r="X209" s="18">
        <v>41177.050000000003</v>
      </c>
      <c r="Y209" s="4">
        <f>X209/W209-1</f>
        <v>-1.3949613477913347E-2</v>
      </c>
    </row>
    <row r="210" spans="1:25" ht="15" customHeight="1">
      <c r="A210" t="s">
        <v>454</v>
      </c>
      <c r="B210" t="s">
        <v>455</v>
      </c>
      <c r="C210" s="28">
        <v>698</v>
      </c>
      <c r="E210" t="s">
        <v>455</v>
      </c>
      <c r="F210" s="28">
        <v>688</v>
      </c>
      <c r="G210" t="b">
        <f>IF(B210=E210,TRUE,FALSE)</f>
        <v>1</v>
      </c>
      <c r="J210" s="25">
        <f>F210-C210</f>
        <v>-10</v>
      </c>
      <c r="K210" s="4">
        <f>F210/C210-1</f>
        <v>-1.4326647564469885E-2</v>
      </c>
      <c r="M210" s="5">
        <v>712.64</v>
      </c>
      <c r="N210" s="5">
        <v>619.89</v>
      </c>
      <c r="Q210" s="139">
        <v>4158.1899999999996</v>
      </c>
      <c r="U210" s="127">
        <f>N210-M210</f>
        <v>-92.75</v>
      </c>
      <c r="V210" s="4">
        <f>IF(M210=0,0,N210/M210-1)</f>
        <v>-0.13014986528962735</v>
      </c>
      <c r="W210" s="18">
        <v>16121.22</v>
      </c>
      <c r="X210" s="18">
        <v>16475.2</v>
      </c>
      <c r="Y210" s="4">
        <f>X210/W210-1</f>
        <v>2.1957395283979775E-2</v>
      </c>
    </row>
    <row r="211" spans="1:25" ht="15" customHeight="1">
      <c r="A211" s="54" t="s">
        <v>456</v>
      </c>
      <c r="B211" s="37" t="s">
        <v>457</v>
      </c>
      <c r="C211" s="28">
        <v>1918</v>
      </c>
      <c r="E211" s="37" t="s">
        <v>457</v>
      </c>
      <c r="F211" s="28">
        <v>1905</v>
      </c>
      <c r="G211" t="b">
        <f>IF(B211=E211,TRUE,FALSE)</f>
        <v>1</v>
      </c>
      <c r="J211" s="25">
        <f>F211-C211</f>
        <v>-13</v>
      </c>
      <c r="K211" s="4">
        <f>F211/C211-1</f>
        <v>-6.7778936392075551E-3</v>
      </c>
      <c r="M211" s="5">
        <v>3622.56</v>
      </c>
      <c r="N211" s="5">
        <v>2449.37</v>
      </c>
      <c r="Q211" s="138">
        <v>14537.18</v>
      </c>
      <c r="U211" s="127">
        <f>N211-M211</f>
        <v>-1173.19</v>
      </c>
      <c r="V211" s="4">
        <f>IF(M211=0,0,N211/M211-1)</f>
        <v>-0.32385660969038477</v>
      </c>
      <c r="W211" s="18">
        <v>39800.120000000003</v>
      </c>
      <c r="X211" s="18">
        <v>44841.95</v>
      </c>
      <c r="Y211" s="4">
        <f>X211/W211-1</f>
        <v>0.12667876378262166</v>
      </c>
    </row>
    <row r="212" spans="1:25" ht="15" customHeight="1">
      <c r="A212" s="54" t="s">
        <v>458</v>
      </c>
      <c r="B212" s="37" t="s">
        <v>459</v>
      </c>
      <c r="C212" s="19">
        <v>750</v>
      </c>
      <c r="E212" s="37" t="s">
        <v>459</v>
      </c>
      <c r="F212" s="19">
        <v>733</v>
      </c>
      <c r="G212" t="b">
        <f>IF(B212=E212,TRUE,FALSE)</f>
        <v>1</v>
      </c>
      <c r="J212" s="25">
        <f>F212-C212</f>
        <v>-17</v>
      </c>
      <c r="K212" s="4">
        <f>F212/C212-1</f>
        <v>-2.2666666666666613E-2</v>
      </c>
      <c r="M212" s="5">
        <v>920.95</v>
      </c>
      <c r="N212" s="5">
        <v>523.13</v>
      </c>
      <c r="Q212" s="138">
        <v>3671.85</v>
      </c>
      <c r="U212" s="127">
        <f>N212-M212</f>
        <v>-397.82000000000005</v>
      </c>
      <c r="V212" s="4">
        <f>IF(M212=0,0,N212/M212-1)</f>
        <v>-0.43196699060752486</v>
      </c>
      <c r="W212">
        <v>12069.3</v>
      </c>
      <c r="X212">
        <v>13697.27</v>
      </c>
      <c r="Y212" s="4">
        <f>X212/W212-1</f>
        <v>0.13488520461004372</v>
      </c>
    </row>
    <row r="213" spans="1:25" ht="15" customHeight="1">
      <c r="A213" t="s">
        <v>460</v>
      </c>
      <c r="B213" t="s">
        <v>461</v>
      </c>
      <c r="C213" s="28">
        <v>2547</v>
      </c>
      <c r="E213" t="s">
        <v>461</v>
      </c>
      <c r="F213" s="28">
        <v>2530</v>
      </c>
      <c r="G213" t="b">
        <f>IF(B213=E213,TRUE,FALSE)</f>
        <v>1</v>
      </c>
      <c r="J213" s="25">
        <f>F213-C213</f>
        <v>-17</v>
      </c>
      <c r="K213" s="4">
        <f>F213/C213-1</f>
        <v>-6.6745190420102185E-3</v>
      </c>
      <c r="M213" s="5">
        <v>2638.45</v>
      </c>
      <c r="N213" s="5">
        <v>2239.14</v>
      </c>
      <c r="Q213" s="139">
        <v>14142.31</v>
      </c>
      <c r="U213" s="127">
        <f>N213-M213</f>
        <v>-399.30999999999995</v>
      </c>
      <c r="V213" s="4">
        <f>IF(M213=0,0,N213/M213-1)</f>
        <v>-0.15134264435558753</v>
      </c>
      <c r="W213" s="18">
        <v>71793.67</v>
      </c>
      <c r="X213" s="18">
        <v>72379.34</v>
      </c>
      <c r="Y213" s="4">
        <f>X213/W213-1</f>
        <v>8.1576829823575281E-3</v>
      </c>
    </row>
    <row r="214" spans="1:25" ht="15" customHeight="1">
      <c r="A214" t="s">
        <v>462</v>
      </c>
      <c r="B214" t="s">
        <v>463</v>
      </c>
      <c r="C214" s="28">
        <v>1409</v>
      </c>
      <c r="E214" t="s">
        <v>463</v>
      </c>
      <c r="F214" s="28">
        <v>1381</v>
      </c>
      <c r="G214" t="b">
        <f>IF(B214=E214,TRUE,FALSE)</f>
        <v>1</v>
      </c>
      <c r="J214" s="25">
        <f>F214-C214</f>
        <v>-28</v>
      </c>
      <c r="K214" s="4">
        <f>F214/C214-1</f>
        <v>-1.9872249822569188E-2</v>
      </c>
      <c r="M214" s="5">
        <v>2129.21</v>
      </c>
      <c r="N214" s="5">
        <v>2377.21</v>
      </c>
      <c r="Q214" s="139">
        <v>12837.3</v>
      </c>
      <c r="U214" s="127">
        <f>N214-M214</f>
        <v>248</v>
      </c>
      <c r="V214" s="4">
        <f>IF(M214=0,0,N214/M214-1)</f>
        <v>0.11647512457672105</v>
      </c>
      <c r="W214" s="18">
        <v>39481.050000000003</v>
      </c>
      <c r="X214" s="18">
        <v>37749.74</v>
      </c>
      <c r="Y214" s="4">
        <f>X214/W214-1</f>
        <v>-4.3851670611597338E-2</v>
      </c>
    </row>
    <row r="215" spans="1:25" ht="15" customHeight="1">
      <c r="A215" s="54" t="s">
        <v>464</v>
      </c>
      <c r="B215" s="37" t="s">
        <v>465</v>
      </c>
      <c r="C215" s="28">
        <v>52</v>
      </c>
      <c r="E215" s="37" t="s">
        <v>465</v>
      </c>
      <c r="F215" s="28">
        <v>22</v>
      </c>
      <c r="G215" t="b">
        <f>IF(B215=E215,TRUE,FALSE)</f>
        <v>1</v>
      </c>
      <c r="J215" s="25">
        <f>F215-C215</f>
        <v>-30</v>
      </c>
      <c r="K215" s="4">
        <f>F215/C215-1</f>
        <v>-0.57692307692307687</v>
      </c>
      <c r="M215" s="5">
        <v>26.83</v>
      </c>
      <c r="N215" s="5">
        <v>27.65</v>
      </c>
      <c r="Q215" s="138">
        <v>96.94</v>
      </c>
      <c r="U215" s="127">
        <f>N215-M215</f>
        <v>0.82000000000000028</v>
      </c>
      <c r="V215" s="4">
        <f>IF(M215=0,0,N215/M215-1)</f>
        <v>3.0562802832650116E-2</v>
      </c>
      <c r="W215" s="18">
        <v>1299.48</v>
      </c>
      <c r="X215" s="18">
        <v>349.6</v>
      </c>
      <c r="Y215" s="4">
        <f>X215/W215-1</f>
        <v>-0.73096931080124361</v>
      </c>
    </row>
    <row r="216" spans="1:25" ht="15" customHeight="1">
      <c r="A216" t="s">
        <v>466</v>
      </c>
      <c r="B216" t="s">
        <v>467</v>
      </c>
      <c r="C216" s="28">
        <v>833</v>
      </c>
      <c r="E216" t="s">
        <v>467</v>
      </c>
      <c r="F216" s="28">
        <v>795</v>
      </c>
      <c r="G216" t="b">
        <f>IF(B216=E216,TRUE,FALSE)</f>
        <v>1</v>
      </c>
      <c r="J216" s="25">
        <f>F216-C216</f>
        <v>-38</v>
      </c>
      <c r="K216" s="4">
        <f>F216/C216-1</f>
        <v>-4.5618247298919612E-2</v>
      </c>
      <c r="M216" s="5">
        <v>1578.46</v>
      </c>
      <c r="N216" s="5">
        <v>1620.41</v>
      </c>
      <c r="Q216" s="139">
        <v>11727.49</v>
      </c>
      <c r="U216" s="127">
        <f>N216-M216</f>
        <v>41.950000000000045</v>
      </c>
      <c r="V216" s="4">
        <f>IF(M216=0,0,N216/M216-1)</f>
        <v>2.6576536624304703E-2</v>
      </c>
      <c r="W216" s="18">
        <v>20075.919999999998</v>
      </c>
      <c r="X216" s="18">
        <v>19860.8</v>
      </c>
      <c r="Y216" s="4">
        <f>X216/W216-1</f>
        <v>-1.0715324627713185E-2</v>
      </c>
    </row>
    <row r="217" spans="1:25" ht="15" customHeight="1">
      <c r="A217" t="s">
        <v>468</v>
      </c>
      <c r="B217" t="s">
        <v>469</v>
      </c>
      <c r="C217" s="28">
        <v>1136</v>
      </c>
      <c r="E217" t="s">
        <v>469</v>
      </c>
      <c r="F217" s="28">
        <v>1097</v>
      </c>
      <c r="G217" t="b">
        <f>IF(B217=E217,TRUE,FALSE)</f>
        <v>1</v>
      </c>
      <c r="J217" s="25">
        <f>F217-C217</f>
        <v>-39</v>
      </c>
      <c r="K217" s="4">
        <f>F217/C217-1</f>
        <v>-3.4330985915492995E-2</v>
      </c>
      <c r="M217" s="5">
        <v>1621.5</v>
      </c>
      <c r="N217" s="5">
        <v>1107.6600000000001</v>
      </c>
      <c r="Q217" s="139">
        <v>7338.17</v>
      </c>
      <c r="U217" s="127">
        <f>N217-M217</f>
        <v>-513.83999999999992</v>
      </c>
      <c r="V217" s="4">
        <f>IF(M217=0,0,N217/M217-1)</f>
        <v>-0.31689176688251619</v>
      </c>
      <c r="W217" s="18">
        <v>24413.57</v>
      </c>
      <c r="X217" s="18">
        <v>25176.2</v>
      </c>
      <c r="Y217" s="4">
        <f>X217/W217-1</f>
        <v>3.1237954957017866E-2</v>
      </c>
    </row>
    <row r="218" spans="1:25" ht="15" customHeight="1">
      <c r="A218" t="s">
        <v>470</v>
      </c>
      <c r="B218" t="s">
        <v>471</v>
      </c>
      <c r="C218" s="28">
        <v>1159</v>
      </c>
      <c r="E218" t="s">
        <v>471</v>
      </c>
      <c r="F218" s="28">
        <v>1115</v>
      </c>
      <c r="G218" t="b">
        <f>IF(B218=E218,TRUE,FALSE)</f>
        <v>1</v>
      </c>
      <c r="J218" s="25">
        <f>F218-C218</f>
        <v>-44</v>
      </c>
      <c r="K218" s="4">
        <f>F218/C218-1</f>
        <v>-3.796376186367556E-2</v>
      </c>
      <c r="M218" s="5">
        <v>1016.29</v>
      </c>
      <c r="N218" s="5">
        <v>1020.03</v>
      </c>
      <c r="Q218" s="139">
        <v>8165.2</v>
      </c>
      <c r="U218" s="127">
        <f>N218-M218</f>
        <v>3.7400000000000091</v>
      </c>
      <c r="V218" s="4">
        <f>IF(M218=0,0,N218/M218-1)</f>
        <v>3.6800519536746013E-3</v>
      </c>
      <c r="W218" s="18">
        <v>33603.129999999997</v>
      </c>
      <c r="X218" s="18">
        <v>32172.25</v>
      </c>
      <c r="Y218" s="4">
        <f>X218/W218-1</f>
        <v>-4.2581747593155694E-2</v>
      </c>
    </row>
    <row r="219" spans="1:25" ht="15" customHeight="1">
      <c r="A219" t="s">
        <v>472</v>
      </c>
      <c r="B219" t="s">
        <v>473</v>
      </c>
      <c r="C219" s="28">
        <v>321</v>
      </c>
      <c r="E219" t="s">
        <v>473</v>
      </c>
      <c r="F219" s="28">
        <v>271</v>
      </c>
      <c r="G219" t="b">
        <f>IF(B219=E219,TRUE,FALSE)</f>
        <v>1</v>
      </c>
      <c r="J219" s="25">
        <f>F219-C219</f>
        <v>-50</v>
      </c>
      <c r="K219" s="4">
        <f>F219/C219-1</f>
        <v>-0.15576323987538943</v>
      </c>
      <c r="M219" s="5">
        <v>825.74</v>
      </c>
      <c r="N219" s="5">
        <v>671.68</v>
      </c>
      <c r="Q219" s="139">
        <v>5889.64</v>
      </c>
      <c r="U219" s="127">
        <f>N219-M219</f>
        <v>-154.06000000000006</v>
      </c>
      <c r="V219" s="4">
        <f>IF(M219=0,0,N219/M219-1)</f>
        <v>-0.1865720444692035</v>
      </c>
      <c r="W219" s="18">
        <v>7147.91</v>
      </c>
      <c r="X219" s="18">
        <v>6500.33</v>
      </c>
      <c r="Y219" s="4">
        <f>X219/W219-1</f>
        <v>-9.0597111603251901E-2</v>
      </c>
    </row>
    <row r="220" spans="1:25" ht="15" customHeight="1">
      <c r="A220" t="s">
        <v>474</v>
      </c>
      <c r="B220" t="s">
        <v>475</v>
      </c>
      <c r="C220" s="28">
        <v>15654</v>
      </c>
      <c r="E220" t="s">
        <v>475</v>
      </c>
      <c r="F220" s="28">
        <v>15604</v>
      </c>
      <c r="G220" t="b">
        <f>IF(B220=E220,TRUE,FALSE)</f>
        <v>1</v>
      </c>
      <c r="J220" s="25">
        <f>F220-C220</f>
        <v>-50</v>
      </c>
      <c r="K220" s="4">
        <f>F220/C220-1</f>
        <v>-3.1940718027341219E-3</v>
      </c>
      <c r="M220" s="5">
        <v>23545.98</v>
      </c>
      <c r="N220" s="5">
        <v>19763.84</v>
      </c>
      <c r="Q220" s="139">
        <v>122967.39</v>
      </c>
      <c r="U220" s="127">
        <f>N220-M220</f>
        <v>-3782.1399999999994</v>
      </c>
      <c r="V220" s="4">
        <f>IF(M220=0,0,N220/M220-1)</f>
        <v>-0.16062784390371521</v>
      </c>
      <c r="W220" s="18">
        <v>457182.56</v>
      </c>
      <c r="X220" s="18">
        <v>480520.33999999997</v>
      </c>
      <c r="Y220" s="4">
        <f>X220/W220-1</f>
        <v>5.1046960321496027E-2</v>
      </c>
    </row>
    <row r="221" spans="1:25" ht="15" customHeight="1">
      <c r="A221" s="54" t="s">
        <v>476</v>
      </c>
      <c r="B221" s="37" t="s">
        <v>477</v>
      </c>
      <c r="C221" s="28">
        <v>201</v>
      </c>
      <c r="E221" s="37" t="s">
        <v>477</v>
      </c>
      <c r="F221" s="28">
        <v>150</v>
      </c>
      <c r="G221" t="b">
        <f>IF(B221=E221,TRUE,FALSE)</f>
        <v>1</v>
      </c>
      <c r="J221" s="25">
        <f>F221-C221</f>
        <v>-51</v>
      </c>
      <c r="K221" s="4">
        <f>F221/C221-1</f>
        <v>-0.25373134328358204</v>
      </c>
      <c r="M221" s="5">
        <v>310.29000000000002</v>
      </c>
      <c r="N221" s="5">
        <v>438.63</v>
      </c>
      <c r="Q221" s="138">
        <v>1627.78</v>
      </c>
      <c r="U221" s="127">
        <f>N221-M221</f>
        <v>128.33999999999997</v>
      </c>
      <c r="V221" s="4">
        <f>IF(M221=0,0,N221/M221-1)</f>
        <v>0.4136130716426567</v>
      </c>
      <c r="W221" s="18">
        <v>3908.64</v>
      </c>
      <c r="X221" s="18">
        <v>1608.6</v>
      </c>
      <c r="Y221" s="4">
        <f>X221/W221-1</f>
        <v>-0.58845020262802405</v>
      </c>
    </row>
    <row r="222" spans="1:25" ht="15" customHeight="1">
      <c r="A222" t="s">
        <v>478</v>
      </c>
      <c r="B222" t="s">
        <v>479</v>
      </c>
      <c r="C222" s="28">
        <v>1459</v>
      </c>
      <c r="E222" t="s">
        <v>479</v>
      </c>
      <c r="F222" s="28">
        <v>1405</v>
      </c>
      <c r="G222" t="b">
        <f>IF(B222=E222,TRUE,FALSE)</f>
        <v>1</v>
      </c>
      <c r="J222" s="25">
        <f>F222-C222</f>
        <v>-54</v>
      </c>
      <c r="K222" s="4">
        <f>F222/C222-1</f>
        <v>-3.7011651816312496E-2</v>
      </c>
      <c r="M222" s="5">
        <v>3051.2</v>
      </c>
      <c r="N222" s="5">
        <v>2519.5100000000002</v>
      </c>
      <c r="Q222" s="139">
        <v>15377.27</v>
      </c>
      <c r="U222" s="127">
        <f>N222-M222</f>
        <v>-531.6899999999996</v>
      </c>
      <c r="V222" s="4">
        <f>IF(M222=0,0,N222/M222-1)</f>
        <v>-0.17425603041426307</v>
      </c>
      <c r="W222" s="18">
        <v>33739.1</v>
      </c>
      <c r="X222" s="18">
        <v>33551.01</v>
      </c>
      <c r="Y222" s="4">
        <f>X222/W222-1</f>
        <v>-5.5748375030749697E-3</v>
      </c>
    </row>
    <row r="223" spans="1:25" ht="15" customHeight="1">
      <c r="A223" t="s">
        <v>480</v>
      </c>
      <c r="B223" t="s">
        <v>481</v>
      </c>
      <c r="C223" s="28">
        <v>377</v>
      </c>
      <c r="E223" t="s">
        <v>481</v>
      </c>
      <c r="F223" s="28">
        <v>316</v>
      </c>
      <c r="G223" t="b">
        <f>IF(B223=E223,TRUE,FALSE)</f>
        <v>1</v>
      </c>
      <c r="J223" s="25">
        <f>F223-C223</f>
        <v>-61</v>
      </c>
      <c r="K223" s="4">
        <f>F223/C223-1</f>
        <v>-0.1618037135278515</v>
      </c>
      <c r="M223" s="5">
        <v>0</v>
      </c>
      <c r="N223" s="5">
        <v>0</v>
      </c>
      <c r="Q223" s="139">
        <v>0</v>
      </c>
      <c r="U223" s="127">
        <f>N223-M223</f>
        <v>0</v>
      </c>
      <c r="V223" s="4">
        <f>IF(M223=0,0,N223/M223-1)</f>
        <v>0</v>
      </c>
      <c r="W223" s="18">
        <v>7909.63</v>
      </c>
      <c r="X223" s="18">
        <v>6946.42</v>
      </c>
      <c r="Y223" s="4">
        <f>X223/W223-1</f>
        <v>-0.12177687199021947</v>
      </c>
    </row>
    <row r="224" spans="1:25" ht="15" customHeight="1">
      <c r="A224" t="s">
        <v>482</v>
      </c>
      <c r="B224" t="s">
        <v>483</v>
      </c>
      <c r="C224" s="28">
        <v>2162</v>
      </c>
      <c r="E224" t="s">
        <v>483</v>
      </c>
      <c r="F224" s="28">
        <v>2100</v>
      </c>
      <c r="G224" t="b">
        <f>IF(B224=E224,TRUE,FALSE)</f>
        <v>1</v>
      </c>
      <c r="J224" s="25">
        <f>F224-C224</f>
        <v>-62</v>
      </c>
      <c r="K224" s="4">
        <f>F224/C224-1</f>
        <v>-2.8677150786308947E-2</v>
      </c>
      <c r="M224" s="5">
        <v>1533.33</v>
      </c>
      <c r="N224" s="5">
        <v>1541.27</v>
      </c>
      <c r="Q224" s="139">
        <v>10038.790000000001</v>
      </c>
      <c r="U224" s="127">
        <f>N224-M224</f>
        <v>7.9400000000000546</v>
      </c>
      <c r="V224" s="4">
        <f>IF(M224=0,0,N224/M224-1)</f>
        <v>5.1782721266786513E-3</v>
      </c>
      <c r="W224" s="18">
        <v>58550.19</v>
      </c>
      <c r="X224" s="18">
        <v>58677.64</v>
      </c>
      <c r="Y224" s="4">
        <f>X224/W224-1</f>
        <v>2.1767649259549771E-3</v>
      </c>
    </row>
    <row r="225" spans="1:25" ht="15" customHeight="1">
      <c r="A225" s="54" t="s">
        <v>484</v>
      </c>
      <c r="B225" s="37" t="s">
        <v>485</v>
      </c>
      <c r="C225" s="19">
        <v>1377</v>
      </c>
      <c r="E225" s="37" t="s">
        <v>485</v>
      </c>
      <c r="F225" s="19">
        <v>1310</v>
      </c>
      <c r="G225" t="b">
        <f>IF(B225=E225,TRUE,FALSE)</f>
        <v>1</v>
      </c>
      <c r="J225" s="25">
        <f>F225-C225</f>
        <v>-67</v>
      </c>
      <c r="K225" s="4">
        <f>F225/C225-1</f>
        <v>-4.8656499636891781E-2</v>
      </c>
      <c r="M225" s="5">
        <v>3164.38</v>
      </c>
      <c r="N225" s="5">
        <v>2563.4899999999998</v>
      </c>
      <c r="Q225" s="138">
        <v>14764.03</v>
      </c>
      <c r="U225" s="127">
        <f>N225-M225</f>
        <v>-600.89000000000033</v>
      </c>
      <c r="V225" s="4">
        <f>IF(M225=0,0,N225/M225-1)</f>
        <v>-0.1898918587527415</v>
      </c>
      <c r="W225">
        <v>34004.25</v>
      </c>
      <c r="X225">
        <v>32679.75</v>
      </c>
      <c r="Y225" s="4">
        <f>X225/W225-1</f>
        <v>-3.8951013476256624E-2</v>
      </c>
    </row>
    <row r="226" spans="1:25" ht="15" customHeight="1">
      <c r="A226" s="54" t="s">
        <v>486</v>
      </c>
      <c r="B226" s="37" t="s">
        <v>487</v>
      </c>
      <c r="C226" s="28">
        <v>1227</v>
      </c>
      <c r="E226" s="37" t="s">
        <v>487</v>
      </c>
      <c r="F226" s="28">
        <v>1158</v>
      </c>
      <c r="G226" t="b">
        <f>IF(B226=E226,TRUE,FALSE)</f>
        <v>1</v>
      </c>
      <c r="J226" s="25">
        <f>F226-C226</f>
        <v>-69</v>
      </c>
      <c r="K226" s="4">
        <f>F226/C226-1</f>
        <v>-5.623471882640585E-2</v>
      </c>
      <c r="M226" s="5">
        <v>2660.14</v>
      </c>
      <c r="N226" s="5">
        <v>777.4</v>
      </c>
      <c r="Q226" s="138">
        <v>11583.69</v>
      </c>
      <c r="U226" s="127">
        <f>N226-M226</f>
        <v>-1882.7399999999998</v>
      </c>
      <c r="V226" s="4">
        <f>IF(M226=0,0,N226/M226-1)</f>
        <v>-0.7077597419684678</v>
      </c>
      <c r="W226" s="18">
        <v>36388.44</v>
      </c>
      <c r="X226" s="18">
        <v>34725.120000000003</v>
      </c>
      <c r="Y226" s="4">
        <f>X226/W226-1</f>
        <v>-4.5710121126379732E-2</v>
      </c>
    </row>
    <row r="227" spans="1:25" ht="15" customHeight="1">
      <c r="A227" t="s">
        <v>488</v>
      </c>
      <c r="B227" t="s">
        <v>489</v>
      </c>
      <c r="C227" s="28">
        <v>381</v>
      </c>
      <c r="E227" t="s">
        <v>489</v>
      </c>
      <c r="F227" s="28">
        <v>308</v>
      </c>
      <c r="G227" t="b">
        <f>IF(B227=E227,TRUE,FALSE)</f>
        <v>1</v>
      </c>
      <c r="J227" s="25">
        <f>F227-C227</f>
        <v>-73</v>
      </c>
      <c r="K227" s="4">
        <f>F227/C227-1</f>
        <v>-0.19160104986876636</v>
      </c>
      <c r="M227" s="5">
        <v>706.65</v>
      </c>
      <c r="N227" s="5">
        <v>467.16</v>
      </c>
      <c r="Q227" s="139">
        <v>3148.08</v>
      </c>
      <c r="U227" s="127">
        <f>N227-M227</f>
        <v>-239.48999999999995</v>
      </c>
      <c r="V227" s="4">
        <f>IF(M227=0,0,N227/M227-1)</f>
        <v>-0.33890893653152188</v>
      </c>
      <c r="W227" s="18">
        <v>6643.03</v>
      </c>
      <c r="X227" s="18">
        <v>5958.73</v>
      </c>
      <c r="Y227" s="4">
        <f>X227/W227-1</f>
        <v>-0.10301022274474148</v>
      </c>
    </row>
    <row r="228" spans="1:25" ht="15" customHeight="1">
      <c r="A228" s="37" t="s">
        <v>490</v>
      </c>
      <c r="B228" s="37" t="s">
        <v>491</v>
      </c>
      <c r="C228" s="28">
        <v>799</v>
      </c>
      <c r="E228" s="37" t="s">
        <v>491</v>
      </c>
      <c r="F228" s="28">
        <v>712</v>
      </c>
      <c r="G228" t="b">
        <f>IF(B228=E228,TRUE,FALSE)</f>
        <v>1</v>
      </c>
      <c r="J228" s="25">
        <f>F228-C228</f>
        <v>-87</v>
      </c>
      <c r="K228" s="4">
        <f>F228/C228-1</f>
        <v>-0.10888610763454321</v>
      </c>
      <c r="M228" s="5">
        <v>2059.65</v>
      </c>
      <c r="N228" s="5">
        <v>1382.94</v>
      </c>
      <c r="Q228" s="139">
        <v>6880.81</v>
      </c>
      <c r="U228" s="127">
        <f>N228-M228</f>
        <v>-676.71</v>
      </c>
      <c r="V228" s="4">
        <f>IF(M228=0,0,N228/M228-1)</f>
        <v>-0.32855582259121696</v>
      </c>
      <c r="W228" s="18">
        <v>10758.32</v>
      </c>
      <c r="X228" s="18">
        <v>8354.39</v>
      </c>
      <c r="Y228" s="4">
        <f>X228/W228-1</f>
        <v>-0.22344845663635216</v>
      </c>
    </row>
    <row r="229" spans="1:25" ht="15" customHeight="1">
      <c r="A229" t="s">
        <v>492</v>
      </c>
      <c r="B229" t="s">
        <v>493</v>
      </c>
      <c r="C229" s="28">
        <v>1313</v>
      </c>
      <c r="E229" t="s">
        <v>493</v>
      </c>
      <c r="F229" s="28">
        <v>1225</v>
      </c>
      <c r="G229" t="b">
        <f>IF(B229=E229,TRUE,FALSE)</f>
        <v>1</v>
      </c>
      <c r="J229" s="25">
        <f>F229-C229</f>
        <v>-88</v>
      </c>
      <c r="K229" s="4">
        <f>F229/C229-1</f>
        <v>-6.7022086824067073E-2</v>
      </c>
      <c r="M229" s="5">
        <v>312.57</v>
      </c>
      <c r="N229" s="5">
        <v>400.25</v>
      </c>
      <c r="Q229" s="139">
        <v>2510.1</v>
      </c>
      <c r="U229" s="127">
        <f>N229-M229</f>
        <v>87.68</v>
      </c>
      <c r="V229" s="4">
        <f>IF(M229=0,0,N229/M229-1)</f>
        <v>0.28051316505102863</v>
      </c>
      <c r="W229" s="18">
        <v>25525.47</v>
      </c>
      <c r="X229" s="18">
        <v>24486.149999999998</v>
      </c>
      <c r="Y229" s="4">
        <f>X229/W229-1</f>
        <v>-4.0716977983167535E-2</v>
      </c>
    </row>
    <row r="230" spans="1:25" ht="15" customHeight="1">
      <c r="A230" t="s">
        <v>494</v>
      </c>
      <c r="B230" t="s">
        <v>495</v>
      </c>
      <c r="C230" s="28">
        <v>862</v>
      </c>
      <c r="E230" t="s">
        <v>495</v>
      </c>
      <c r="F230" s="28">
        <v>772</v>
      </c>
      <c r="G230" t="b">
        <f>IF(B230=E230,TRUE,FALSE)</f>
        <v>1</v>
      </c>
      <c r="J230" s="25">
        <f>F230-C230</f>
        <v>-90</v>
      </c>
      <c r="K230" s="4">
        <f>F230/C230-1</f>
        <v>-0.10440835266821347</v>
      </c>
      <c r="M230" s="5">
        <v>1399.69</v>
      </c>
      <c r="N230" s="5">
        <v>1298.68</v>
      </c>
      <c r="Q230" s="139">
        <v>9089.8700000000008</v>
      </c>
      <c r="U230" s="127">
        <f>N230-M230</f>
        <v>-101.00999999999999</v>
      </c>
      <c r="V230" s="4">
        <f>IF(M230=0,0,N230/M230-1)</f>
        <v>-7.2165979609770781E-2</v>
      </c>
      <c r="W230" s="18">
        <v>24870.38</v>
      </c>
      <c r="X230" s="18">
        <v>23151.08</v>
      </c>
      <c r="Y230" s="4">
        <f>X230/W230-1</f>
        <v>-6.9130427440191822E-2</v>
      </c>
    </row>
    <row r="231" spans="1:25" ht="15" customHeight="1">
      <c r="A231" s="37" t="s">
        <v>496</v>
      </c>
      <c r="B231" s="37" t="s">
        <v>497</v>
      </c>
      <c r="C231" s="28">
        <v>1741</v>
      </c>
      <c r="E231" s="37" t="s">
        <v>497</v>
      </c>
      <c r="F231" s="28">
        <v>1649</v>
      </c>
      <c r="G231" t="b">
        <f>IF(B231=E231,TRUE,FALSE)</f>
        <v>1</v>
      </c>
      <c r="J231" s="25">
        <f>F231-C231</f>
        <v>-92</v>
      </c>
      <c r="K231" s="4">
        <f>F231/C231-1</f>
        <v>-5.2843193566915581E-2</v>
      </c>
      <c r="M231" s="5">
        <v>3027.46</v>
      </c>
      <c r="N231" s="5">
        <v>2533.1799999999998</v>
      </c>
      <c r="Q231" s="139">
        <v>16894.990000000002</v>
      </c>
      <c r="U231" s="127">
        <f>N231-M231</f>
        <v>-494.2800000000002</v>
      </c>
      <c r="V231" s="4">
        <f>IF(M231=0,0,N231/M231-1)</f>
        <v>-0.16326557576318113</v>
      </c>
      <c r="W231" s="18">
        <v>34796.93</v>
      </c>
      <c r="X231" s="18">
        <v>34755.17</v>
      </c>
      <c r="Y231" s="4">
        <f>X231/W231-1</f>
        <v>-1.2001058714088408E-3</v>
      </c>
    </row>
    <row r="232" spans="1:25" ht="15" customHeight="1">
      <c r="A232" s="37" t="s">
        <v>496</v>
      </c>
      <c r="B232" s="37" t="s">
        <v>497</v>
      </c>
      <c r="C232" s="28">
        <v>1741</v>
      </c>
      <c r="E232" s="37" t="s">
        <v>497</v>
      </c>
      <c r="F232" s="28">
        <v>1649</v>
      </c>
      <c r="G232" t="b">
        <f>IF(B232=E232,TRUE,FALSE)</f>
        <v>1</v>
      </c>
      <c r="J232" s="25">
        <f>F232-C232</f>
        <v>-92</v>
      </c>
      <c r="K232" s="4">
        <f>F232/C232-1</f>
        <v>-5.2843193566915581E-2</v>
      </c>
      <c r="M232" s="5">
        <v>3027.46</v>
      </c>
      <c r="N232" s="5">
        <v>2533.1799999999998</v>
      </c>
      <c r="Q232" s="139">
        <v>16894.990000000002</v>
      </c>
      <c r="U232" s="127">
        <f>N232-M232</f>
        <v>-494.2800000000002</v>
      </c>
      <c r="V232" s="4">
        <f>IF(M232=0,0,N232/M232-1)</f>
        <v>-0.16326557576318113</v>
      </c>
      <c r="W232" s="18">
        <v>34796.93</v>
      </c>
      <c r="X232" s="18">
        <v>34755.17</v>
      </c>
      <c r="Y232" s="4">
        <f>X232/W232-1</f>
        <v>-1.2001058714088408E-3</v>
      </c>
    </row>
    <row r="233" spans="1:25" ht="15" customHeight="1">
      <c r="A233" t="s">
        <v>498</v>
      </c>
      <c r="B233" t="s">
        <v>499</v>
      </c>
      <c r="C233" s="28">
        <v>555</v>
      </c>
      <c r="E233" t="s">
        <v>499</v>
      </c>
      <c r="F233" s="28">
        <v>461</v>
      </c>
      <c r="G233" t="b">
        <f>IF(B233=E233,TRUE,FALSE)</f>
        <v>1</v>
      </c>
      <c r="J233" s="25">
        <f>F233-C233</f>
        <v>-94</v>
      </c>
      <c r="K233" s="4">
        <f>F233/C233-1</f>
        <v>-0.16936936936936942</v>
      </c>
      <c r="M233" s="5">
        <v>1118.78</v>
      </c>
      <c r="N233" s="5">
        <v>1179.67</v>
      </c>
      <c r="Q233" s="139">
        <v>6146.11</v>
      </c>
      <c r="U233" s="127">
        <f>N233-M233</f>
        <v>60.8900000000001</v>
      </c>
      <c r="V233" s="4">
        <f>IF(M233=0,0,N233/M233-1)</f>
        <v>5.4425356191565966E-2</v>
      </c>
      <c r="W233" s="18">
        <v>10780.78</v>
      </c>
      <c r="X233" s="18">
        <v>9196.75</v>
      </c>
      <c r="Y233" s="4">
        <f>X233/W233-1</f>
        <v>-0.14693092707577748</v>
      </c>
    </row>
    <row r="234" spans="1:25" ht="15" customHeight="1">
      <c r="A234" s="37" t="s">
        <v>500</v>
      </c>
      <c r="B234" s="37" t="s">
        <v>501</v>
      </c>
      <c r="C234" s="28">
        <v>423</v>
      </c>
      <c r="E234" s="37" t="s">
        <v>501</v>
      </c>
      <c r="F234" s="28">
        <v>328</v>
      </c>
      <c r="G234" t="b">
        <f>IF(B234=E234,TRUE,FALSE)</f>
        <v>1</v>
      </c>
      <c r="J234" s="25">
        <f>F234-C234</f>
        <v>-95</v>
      </c>
      <c r="K234" s="4">
        <f>F234/C234-1</f>
        <v>-0.22458628841607564</v>
      </c>
      <c r="M234" s="5">
        <v>1021.84</v>
      </c>
      <c r="N234" s="5">
        <v>539.26</v>
      </c>
      <c r="Q234" s="139">
        <v>2476.3000000000002</v>
      </c>
      <c r="U234" s="127">
        <f>N234-M234</f>
        <v>-482.58000000000004</v>
      </c>
      <c r="V234" s="4">
        <f>IF(M234=0,0,N234/M234-1)</f>
        <v>-0.47226571674626172</v>
      </c>
      <c r="W234" s="18">
        <v>8309.92</v>
      </c>
      <c r="X234" s="18">
        <v>7691.97</v>
      </c>
      <c r="Y234" s="4">
        <f>X234/W234-1</f>
        <v>-7.4362930088376245E-2</v>
      </c>
    </row>
    <row r="235" spans="1:25" ht="15" customHeight="1">
      <c r="A235" t="s">
        <v>502</v>
      </c>
      <c r="B235" t="s">
        <v>503</v>
      </c>
      <c r="C235" s="28">
        <v>1212</v>
      </c>
      <c r="E235" t="s">
        <v>503</v>
      </c>
      <c r="F235" s="28">
        <v>1117</v>
      </c>
      <c r="G235" t="b">
        <f>IF(B235=E235,TRUE,FALSE)</f>
        <v>1</v>
      </c>
      <c r="J235" s="25">
        <f>F235-C235</f>
        <v>-95</v>
      </c>
      <c r="K235" s="4">
        <f>F235/C235-1</f>
        <v>-7.8382838283828415E-2</v>
      </c>
      <c r="M235" s="5">
        <v>2525.7600000000002</v>
      </c>
      <c r="N235" s="5">
        <v>2702.76</v>
      </c>
      <c r="Q235" s="139">
        <v>14216.55</v>
      </c>
      <c r="U235" s="127">
        <f>N235-M235</f>
        <v>177</v>
      </c>
      <c r="V235" s="4">
        <f>IF(M235=0,0,N235/M235-1)</f>
        <v>7.007791714177114E-2</v>
      </c>
      <c r="W235" s="18">
        <v>32624.3</v>
      </c>
      <c r="X235" s="18">
        <v>30090.53</v>
      </c>
      <c r="Y235" s="4">
        <f>X235/W235-1</f>
        <v>-7.7665114653800993E-2</v>
      </c>
    </row>
    <row r="236" spans="1:25" ht="15" customHeight="1">
      <c r="A236" t="s">
        <v>504</v>
      </c>
      <c r="B236" t="s">
        <v>505</v>
      </c>
      <c r="C236" s="28">
        <v>632</v>
      </c>
      <c r="E236" t="s">
        <v>505</v>
      </c>
      <c r="F236" s="28">
        <v>532</v>
      </c>
      <c r="G236" t="b">
        <f>IF(B236=E236,TRUE,FALSE)</f>
        <v>1</v>
      </c>
      <c r="J236" s="25">
        <f>F236-C236</f>
        <v>-100</v>
      </c>
      <c r="K236" s="4">
        <f>F236/C236-1</f>
        <v>-0.15822784810126578</v>
      </c>
      <c r="M236" s="5">
        <v>1136.77</v>
      </c>
      <c r="N236" s="5">
        <v>694.15</v>
      </c>
      <c r="Q236" s="139">
        <v>4932.26</v>
      </c>
      <c r="U236" s="127">
        <f>N236-M236</f>
        <v>-442.62</v>
      </c>
      <c r="V236" s="4">
        <f>IF(M236=0,0,N236/M236-1)</f>
        <v>-0.38936636258873825</v>
      </c>
      <c r="W236" s="18">
        <v>10711.89</v>
      </c>
      <c r="X236" s="18">
        <v>9016.5499999999993</v>
      </c>
      <c r="Y236" s="4">
        <f>X236/W236-1</f>
        <v>-0.1582671218617816</v>
      </c>
    </row>
    <row r="237" spans="1:25" ht="15" customHeight="1">
      <c r="A237" t="s">
        <v>506</v>
      </c>
      <c r="B237" t="s">
        <v>507</v>
      </c>
      <c r="C237" s="28">
        <v>2402</v>
      </c>
      <c r="E237" t="s">
        <v>507</v>
      </c>
      <c r="F237" s="28">
        <v>2297</v>
      </c>
      <c r="G237" t="b">
        <f>IF(B237=E237,TRUE,FALSE)</f>
        <v>1</v>
      </c>
      <c r="J237" s="25">
        <f>F237-C237</f>
        <v>-105</v>
      </c>
      <c r="K237" s="4">
        <f>F237/C237-1</f>
        <v>-4.371357202331394E-2</v>
      </c>
      <c r="M237" s="5">
        <v>2622.64</v>
      </c>
      <c r="N237" s="5">
        <v>1996.26</v>
      </c>
      <c r="Q237" s="139">
        <v>17678.96</v>
      </c>
      <c r="U237" s="127">
        <f>N237-M237</f>
        <v>-626.37999999999988</v>
      </c>
      <c r="V237" s="4">
        <f>IF(M237=0,0,N237/M237-1)</f>
        <v>-0.23883567702772779</v>
      </c>
      <c r="W237" s="18">
        <v>69975.820000000007</v>
      </c>
      <c r="X237" s="18">
        <v>68694.009999999995</v>
      </c>
      <c r="Y237" s="4">
        <f>X237/W237-1</f>
        <v>-1.8317898954238965E-2</v>
      </c>
    </row>
    <row r="238" spans="1:25" ht="15" customHeight="1">
      <c r="A238" t="s">
        <v>508</v>
      </c>
      <c r="B238" t="s">
        <v>509</v>
      </c>
      <c r="C238" s="28">
        <v>235</v>
      </c>
      <c r="E238" t="s">
        <v>509</v>
      </c>
      <c r="F238" s="28">
        <v>129</v>
      </c>
      <c r="G238" t="b">
        <f>IF(B238=E238,TRUE,FALSE)</f>
        <v>1</v>
      </c>
      <c r="J238" s="25">
        <f>F238-C238</f>
        <v>-106</v>
      </c>
      <c r="K238" s="4">
        <f>F238/C238-1</f>
        <v>-0.45106382978723403</v>
      </c>
      <c r="M238" s="5">
        <v>418.02</v>
      </c>
      <c r="N238" s="5">
        <v>234.71</v>
      </c>
      <c r="Q238" s="139">
        <v>565.96</v>
      </c>
      <c r="U238" s="127">
        <f>N238-M238</f>
        <v>-183.30999999999997</v>
      </c>
      <c r="V238" s="4">
        <f>IF(M238=0,0,N238/M238-1)</f>
        <v>-0.43851968805320318</v>
      </c>
      <c r="W238" s="18">
        <v>5628.25</v>
      </c>
      <c r="X238" s="18">
        <v>3089.55</v>
      </c>
      <c r="Y238" s="4">
        <f>X238/W238-1</f>
        <v>-0.45106382978723403</v>
      </c>
    </row>
    <row r="239" spans="1:25" ht="15" customHeight="1">
      <c r="A239" t="s">
        <v>510</v>
      </c>
      <c r="B239" t="s">
        <v>511</v>
      </c>
      <c r="C239" s="28">
        <v>1718</v>
      </c>
      <c r="E239" t="s">
        <v>511</v>
      </c>
      <c r="F239" s="28">
        <v>1605</v>
      </c>
      <c r="G239" t="b">
        <f>IF(B239=E239,TRUE,FALSE)</f>
        <v>1</v>
      </c>
      <c r="J239" s="25">
        <f>F239-C239</f>
        <v>-113</v>
      </c>
      <c r="K239" s="4">
        <f>F239/C239-1</f>
        <v>-6.577415599534342E-2</v>
      </c>
      <c r="M239" s="5">
        <v>1638.15</v>
      </c>
      <c r="N239" s="5">
        <v>1822.65</v>
      </c>
      <c r="Q239" s="139">
        <v>12777.35</v>
      </c>
      <c r="U239" s="127">
        <f>N239-M239</f>
        <v>184.5</v>
      </c>
      <c r="V239" s="4">
        <f>IF(M239=0,0,N239/M239-1)</f>
        <v>0.11262704880505447</v>
      </c>
      <c r="W239" s="18">
        <v>49595.94</v>
      </c>
      <c r="X239" s="18">
        <v>44929.229999999996</v>
      </c>
      <c r="Y239" s="4">
        <f>X239/W239-1</f>
        <v>-9.4094597259372525E-2</v>
      </c>
    </row>
    <row r="240" spans="1:25" ht="15" customHeight="1">
      <c r="A240" t="s">
        <v>512</v>
      </c>
      <c r="B240" t="s">
        <v>513</v>
      </c>
      <c r="C240" s="28">
        <v>972</v>
      </c>
      <c r="E240" t="s">
        <v>513</v>
      </c>
      <c r="F240" s="28">
        <v>857</v>
      </c>
      <c r="G240" t="b">
        <f>IF(B240=E240,TRUE,FALSE)</f>
        <v>1</v>
      </c>
      <c r="J240" s="25">
        <f>F240-C240</f>
        <v>-115</v>
      </c>
      <c r="K240" s="4">
        <f>F240/C240-1</f>
        <v>-0.11831275720164613</v>
      </c>
      <c r="M240" s="5">
        <v>958.85</v>
      </c>
      <c r="N240" s="5">
        <v>870.45</v>
      </c>
      <c r="Q240" s="139">
        <v>5046.6400000000003</v>
      </c>
      <c r="U240" s="127">
        <f>N240-M240</f>
        <v>-88.399999999999977</v>
      </c>
      <c r="V240" s="4">
        <f>IF(M240=0,0,N240/M240-1)</f>
        <v>-9.219377379152105E-2</v>
      </c>
      <c r="W240" s="18">
        <v>25332.720000000001</v>
      </c>
      <c r="X240" s="18">
        <v>23087.51</v>
      </c>
      <c r="Y240" s="4">
        <f>X240/W240-1</f>
        <v>-8.8628856277573109E-2</v>
      </c>
    </row>
    <row r="241" spans="1:25" ht="15" customHeight="1">
      <c r="A241" t="s">
        <v>514</v>
      </c>
      <c r="B241" t="s">
        <v>515</v>
      </c>
      <c r="C241" s="28">
        <v>1001</v>
      </c>
      <c r="E241" t="s">
        <v>515</v>
      </c>
      <c r="F241" s="28">
        <v>886</v>
      </c>
      <c r="G241" t="b">
        <f>IF(B241=E241,TRUE,FALSE)</f>
        <v>1</v>
      </c>
      <c r="J241" s="25">
        <f>F241-C241</f>
        <v>-115</v>
      </c>
      <c r="K241" s="4">
        <f>F241/C241-1</f>
        <v>-0.11488511488511488</v>
      </c>
      <c r="M241" s="5">
        <v>1247.6799999999998</v>
      </c>
      <c r="N241" s="5">
        <v>967.66000000000008</v>
      </c>
      <c r="Q241" s="139">
        <v>6047.34</v>
      </c>
      <c r="U241" s="127">
        <f>N241-M241</f>
        <v>-280.01999999999975</v>
      </c>
      <c r="V241" s="4">
        <f>IF(M241=0,0,N241/M241-1)</f>
        <v>-0.22443254680687341</v>
      </c>
      <c r="W241" s="18">
        <v>18946.939999999999</v>
      </c>
      <c r="X241" s="18">
        <v>16823.27</v>
      </c>
      <c r="Y241" s="4">
        <f>X241/W241-1</f>
        <v>-0.1120851177023835</v>
      </c>
    </row>
    <row r="242" spans="1:25" ht="15" customHeight="1">
      <c r="A242" t="s">
        <v>516</v>
      </c>
      <c r="B242" t="s">
        <v>517</v>
      </c>
      <c r="C242" s="28">
        <v>1239</v>
      </c>
      <c r="E242" t="s">
        <v>517</v>
      </c>
      <c r="F242" s="28">
        <v>1120</v>
      </c>
      <c r="G242" t="b">
        <f>IF(B242=E242,TRUE,FALSE)</f>
        <v>1</v>
      </c>
      <c r="J242" s="25">
        <f>F242-C242</f>
        <v>-119</v>
      </c>
      <c r="K242" s="4">
        <f>F242/C242-1</f>
        <v>-9.6045197740112997E-2</v>
      </c>
      <c r="M242" s="5">
        <v>2265.21</v>
      </c>
      <c r="N242" s="5">
        <v>1943.75</v>
      </c>
      <c r="Q242" s="139">
        <v>14087.83</v>
      </c>
      <c r="U242" s="127">
        <f>N242-M242</f>
        <v>-321.46000000000004</v>
      </c>
      <c r="V242" s="4">
        <f>IF(M242=0,0,N242/M242-1)</f>
        <v>-0.14191178742809718</v>
      </c>
      <c r="W242" s="18">
        <v>30906.05</v>
      </c>
      <c r="X242" s="18">
        <v>27936.5</v>
      </c>
      <c r="Y242" s="4">
        <f>X242/W242-1</f>
        <v>-9.6083129354932129E-2</v>
      </c>
    </row>
    <row r="243" spans="1:25" ht="15" customHeight="1">
      <c r="A243" t="s">
        <v>518</v>
      </c>
      <c r="B243" t="s">
        <v>519</v>
      </c>
      <c r="C243" s="28">
        <v>1511</v>
      </c>
      <c r="E243" t="s">
        <v>519</v>
      </c>
      <c r="F243" s="28">
        <v>1389</v>
      </c>
      <c r="G243" t="b">
        <f>IF(B243=E243,TRUE,FALSE)</f>
        <v>1</v>
      </c>
      <c r="J243" s="25">
        <f>F243-C243</f>
        <v>-122</v>
      </c>
      <c r="K243" s="4">
        <f>F243/C243-1</f>
        <v>-8.0741230972865674E-2</v>
      </c>
      <c r="M243" s="5">
        <v>2357.4</v>
      </c>
      <c r="N243" s="5">
        <v>1551.77</v>
      </c>
      <c r="Q243" s="139">
        <v>13613.49</v>
      </c>
      <c r="U243" s="127">
        <f>N243-M243</f>
        <v>-805.63000000000011</v>
      </c>
      <c r="V243" s="4">
        <f>IF(M243=0,0,N243/M243-1)</f>
        <v>-0.34174514295410197</v>
      </c>
      <c r="W243" s="18">
        <v>57526.66</v>
      </c>
      <c r="X243" s="18">
        <v>54147.360000000001</v>
      </c>
      <c r="Y243" s="4">
        <f>X243/W243-1</f>
        <v>-5.8743198370981409E-2</v>
      </c>
    </row>
    <row r="244" spans="1:25" ht="15" customHeight="1">
      <c r="A244" t="s">
        <v>520</v>
      </c>
      <c r="B244" t="s">
        <v>521</v>
      </c>
      <c r="C244" s="28">
        <v>2573</v>
      </c>
      <c r="E244" t="s">
        <v>521</v>
      </c>
      <c r="F244" s="28">
        <v>2450</v>
      </c>
      <c r="G244" t="b">
        <f>IF(B244=E244,TRUE,FALSE)</f>
        <v>1</v>
      </c>
      <c r="J244" s="25">
        <f>F244-C244</f>
        <v>-123</v>
      </c>
      <c r="K244" s="4">
        <f>F244/C244-1</f>
        <v>-4.7804119704624948E-2</v>
      </c>
      <c r="M244" s="5">
        <v>4254.8999999999996</v>
      </c>
      <c r="N244" s="5">
        <v>3738</v>
      </c>
      <c r="Q244" s="139">
        <v>27825.119999999999</v>
      </c>
      <c r="U244" s="127">
        <f>N244-M244</f>
        <v>-516.89999999999964</v>
      </c>
      <c r="V244" s="4">
        <f>IF(M244=0,0,N244/M244-1)</f>
        <v>-0.12148346612141292</v>
      </c>
      <c r="W244" s="18">
        <v>67423.509999999995</v>
      </c>
      <c r="X244" s="18">
        <v>66110.38</v>
      </c>
      <c r="Y244" s="4">
        <f>X244/W244-1</f>
        <v>-1.9475847519655809E-2</v>
      </c>
    </row>
    <row r="245" spans="1:25" ht="15" customHeight="1">
      <c r="A245" t="s">
        <v>522</v>
      </c>
      <c r="B245" t="s">
        <v>523</v>
      </c>
      <c r="C245" s="28">
        <v>316</v>
      </c>
      <c r="E245" t="s">
        <v>523</v>
      </c>
      <c r="F245" s="28">
        <v>192</v>
      </c>
      <c r="G245" t="b">
        <f>IF(B245=E245,TRUE,FALSE)</f>
        <v>1</v>
      </c>
      <c r="J245" s="25">
        <f>F245-C245</f>
        <v>-124</v>
      </c>
      <c r="K245" s="4">
        <f>F245/C245-1</f>
        <v>-0.39240506329113922</v>
      </c>
      <c r="M245" s="5">
        <v>590.75</v>
      </c>
      <c r="N245" s="5">
        <v>372.99</v>
      </c>
      <c r="Q245" s="139">
        <v>1721.88</v>
      </c>
      <c r="U245" s="127">
        <f>N245-M245</f>
        <v>-217.76</v>
      </c>
      <c r="V245" s="4">
        <f>IF(M245=0,0,N245/M245-1)</f>
        <v>-0.36861616589081669</v>
      </c>
      <c r="W245" s="18">
        <v>8516.2000000000007</v>
      </c>
      <c r="X245" s="18">
        <v>5174.3999999999996</v>
      </c>
      <c r="Y245" s="4">
        <f>X245/W245-1</f>
        <v>-0.39240506329113933</v>
      </c>
    </row>
    <row r="246" spans="1:25" ht="15" customHeight="1">
      <c r="A246" t="s">
        <v>524</v>
      </c>
      <c r="B246" t="s">
        <v>525</v>
      </c>
      <c r="C246" s="28">
        <v>1415</v>
      </c>
      <c r="E246" t="s">
        <v>525</v>
      </c>
      <c r="F246" s="28">
        <v>1288</v>
      </c>
      <c r="G246" t="b">
        <f>IF(B246=E246,TRUE,FALSE)</f>
        <v>1</v>
      </c>
      <c r="J246" s="25">
        <f>F246-C246</f>
        <v>-127</v>
      </c>
      <c r="K246" s="4">
        <f>F246/C246-1</f>
        <v>-8.9752650176678439E-2</v>
      </c>
      <c r="M246" s="5">
        <v>1388.78</v>
      </c>
      <c r="N246" s="5">
        <v>1427.72</v>
      </c>
      <c r="Q246" s="139">
        <v>11550.37</v>
      </c>
      <c r="U246" s="127">
        <f>N246-M246</f>
        <v>38.940000000000055</v>
      </c>
      <c r="V246" s="4">
        <f>IF(M246=0,0,N246/M246-1)</f>
        <v>2.8038998257463366E-2</v>
      </c>
      <c r="W246" s="18">
        <v>31372.57</v>
      </c>
      <c r="X246" s="18">
        <v>30847.759999999998</v>
      </c>
      <c r="Y246" s="4">
        <f>X246/W246-1</f>
        <v>-1.6728307562944411E-2</v>
      </c>
    </row>
    <row r="247" spans="1:25" ht="13.5" customHeight="1">
      <c r="A247" t="s">
        <v>526</v>
      </c>
      <c r="B247" t="s">
        <v>527</v>
      </c>
      <c r="C247" s="28">
        <v>980</v>
      </c>
      <c r="E247" t="s">
        <v>527</v>
      </c>
      <c r="F247" s="28">
        <v>852</v>
      </c>
      <c r="G247" t="b">
        <f>IF(B247=E247,TRUE,FALSE)</f>
        <v>1</v>
      </c>
      <c r="J247" s="25">
        <f>F247-C247</f>
        <v>-128</v>
      </c>
      <c r="K247" s="4">
        <f>F247/C247-1</f>
        <v>-0.1306122448979592</v>
      </c>
      <c r="M247" s="5">
        <v>1810.74</v>
      </c>
      <c r="N247" s="5">
        <v>1412.69</v>
      </c>
      <c r="Q247" s="139">
        <v>9496.6200000000008</v>
      </c>
      <c r="U247" s="127">
        <f>N247-M247</f>
        <v>-398.04999999999995</v>
      </c>
      <c r="V247" s="4">
        <f>IF(M247=0,0,N247/M247-1)</f>
        <v>-0.21982725294630923</v>
      </c>
      <c r="W247" s="18">
        <v>22763.919999999998</v>
      </c>
      <c r="X247" s="18">
        <v>20437.560000000001</v>
      </c>
      <c r="Y247" s="4">
        <f>X247/W247-1</f>
        <v>-0.10219505252170968</v>
      </c>
    </row>
    <row r="248" spans="1:25" ht="17.25" customHeight="1">
      <c r="A248" t="s">
        <v>528</v>
      </c>
      <c r="B248" t="s">
        <v>529</v>
      </c>
      <c r="C248" s="28">
        <v>1637</v>
      </c>
      <c r="E248" t="s">
        <v>529</v>
      </c>
      <c r="F248" s="28">
        <v>1505</v>
      </c>
      <c r="G248" t="b">
        <f>IF(B248=E248,TRUE,FALSE)</f>
        <v>1</v>
      </c>
      <c r="J248" s="25">
        <f>F248-C248</f>
        <v>-132</v>
      </c>
      <c r="K248" s="4">
        <f>F248/C248-1</f>
        <v>-8.063530849114231E-2</v>
      </c>
      <c r="M248" s="5">
        <v>2564.7199999999998</v>
      </c>
      <c r="N248" s="5">
        <v>2167.29</v>
      </c>
      <c r="Q248" s="139">
        <v>16145.57</v>
      </c>
      <c r="U248" s="127">
        <f>N248-M248</f>
        <v>-397.42999999999984</v>
      </c>
      <c r="V248" s="4">
        <f>IF(M248=0,0,N248/M248-1)</f>
        <v>-0.15496038553916214</v>
      </c>
      <c r="W248" s="18">
        <v>43097.62</v>
      </c>
      <c r="X248" s="18">
        <v>40551.919999999998</v>
      </c>
      <c r="Y248" s="4">
        <f>X248/W248-1</f>
        <v>-5.9068226969377968E-2</v>
      </c>
    </row>
    <row r="249" spans="1:25" ht="17.25" customHeight="1">
      <c r="A249" t="s">
        <v>530</v>
      </c>
      <c r="B249" t="s">
        <v>531</v>
      </c>
      <c r="C249" s="28">
        <v>546</v>
      </c>
      <c r="E249" t="s">
        <v>531</v>
      </c>
      <c r="F249" s="28">
        <v>410</v>
      </c>
      <c r="G249" t="b">
        <f>IF(B249=E249,TRUE,FALSE)</f>
        <v>1</v>
      </c>
      <c r="J249" s="25">
        <f>F249-C249</f>
        <v>-136</v>
      </c>
      <c r="K249" s="4">
        <f>F249/C249-1</f>
        <v>-0.24908424908424909</v>
      </c>
      <c r="M249" s="5">
        <v>357.39</v>
      </c>
      <c r="N249" s="5">
        <v>354.78</v>
      </c>
      <c r="Q249" s="139">
        <v>1859.65</v>
      </c>
      <c r="U249" s="127">
        <f>N249-M249</f>
        <v>-2.6100000000000136</v>
      </c>
      <c r="V249" s="4">
        <f>IF(M249=0,0,N249/M249-1)</f>
        <v>-7.3029463611181678E-3</v>
      </c>
      <c r="W249" s="18">
        <v>10892.7</v>
      </c>
      <c r="X249" s="18">
        <v>8179.5</v>
      </c>
      <c r="Y249" s="4">
        <f>X249/W249-1</f>
        <v>-0.24908424908424909</v>
      </c>
    </row>
    <row r="250" spans="1:25" ht="17.25" customHeight="1">
      <c r="A250" s="54" t="s">
        <v>532</v>
      </c>
      <c r="B250" s="37" t="s">
        <v>533</v>
      </c>
      <c r="C250" s="28">
        <v>536</v>
      </c>
      <c r="E250" s="37" t="s">
        <v>533</v>
      </c>
      <c r="F250" s="28">
        <v>395</v>
      </c>
      <c r="G250" t="b">
        <f>IF(B250=E250,TRUE,FALSE)</f>
        <v>1</v>
      </c>
      <c r="J250" s="25">
        <f>F250-C250</f>
        <v>-141</v>
      </c>
      <c r="K250" s="4">
        <f>F250/C250-1</f>
        <v>-0.26305970149253732</v>
      </c>
      <c r="M250" s="5">
        <v>1204.27</v>
      </c>
      <c r="N250" s="5">
        <v>1443.95</v>
      </c>
      <c r="Q250" s="138">
        <v>5676.41</v>
      </c>
      <c r="U250" s="127">
        <f>N250-M250</f>
        <v>239.68000000000006</v>
      </c>
      <c r="V250" s="4">
        <f>IF(M250=0,0,N250/M250-1)</f>
        <v>0.19902513555930157</v>
      </c>
      <c r="W250" s="18">
        <v>21021.84</v>
      </c>
      <c r="X250" s="18">
        <v>17374.73</v>
      </c>
      <c r="Y250" s="4">
        <f>X250/W250-1</f>
        <v>-0.17349147362933026</v>
      </c>
    </row>
    <row r="251" spans="1:25" ht="17.25" customHeight="1">
      <c r="A251" t="s">
        <v>534</v>
      </c>
      <c r="B251" t="s">
        <v>535</v>
      </c>
      <c r="C251" s="28">
        <v>550</v>
      </c>
      <c r="E251" t="s">
        <v>535</v>
      </c>
      <c r="F251" s="28">
        <v>408</v>
      </c>
      <c r="G251" t="b">
        <f>IF(B251=E251,TRUE,FALSE)</f>
        <v>1</v>
      </c>
      <c r="J251" s="25">
        <f>F251-C251</f>
        <v>-142</v>
      </c>
      <c r="K251" s="4">
        <f>F251/C251-1</f>
        <v>-0.25818181818181818</v>
      </c>
      <c r="M251" s="5">
        <v>526.84</v>
      </c>
      <c r="N251" s="5">
        <v>340.53</v>
      </c>
      <c r="Q251" s="139">
        <v>1995.11</v>
      </c>
      <c r="U251" s="127">
        <f>N251-M251</f>
        <v>-186.31000000000006</v>
      </c>
      <c r="V251" s="4">
        <f>IF(M251=0,0,N251/M251-1)</f>
        <v>-0.35363677776934188</v>
      </c>
      <c r="W251" s="18">
        <v>12644.5</v>
      </c>
      <c r="X251" s="18">
        <v>9379.92</v>
      </c>
      <c r="Y251" s="4">
        <f>X251/W251-1</f>
        <v>-0.25818181818181818</v>
      </c>
    </row>
    <row r="252" spans="1:25" ht="17.25" customHeight="1">
      <c r="A252" t="s">
        <v>536</v>
      </c>
      <c r="B252" t="s">
        <v>537</v>
      </c>
      <c r="C252" s="28">
        <v>357</v>
      </c>
      <c r="E252" t="s">
        <v>537</v>
      </c>
      <c r="F252" s="28">
        <v>215</v>
      </c>
      <c r="G252" t="b">
        <f>IF(B252=E252,TRUE,FALSE)</f>
        <v>1</v>
      </c>
      <c r="J252" s="25">
        <f>F252-C252</f>
        <v>-142</v>
      </c>
      <c r="K252" s="4">
        <f>F252/C252-1</f>
        <v>-0.39775910364145661</v>
      </c>
      <c r="M252" s="5">
        <v>371.99</v>
      </c>
      <c r="N252" s="5">
        <v>225.74</v>
      </c>
      <c r="Q252" s="139">
        <v>759.52</v>
      </c>
      <c r="U252" s="127">
        <f>N252-M252</f>
        <v>-146.25</v>
      </c>
      <c r="V252" s="4">
        <f>IF(M252=0,0,N252/M252-1)</f>
        <v>-0.39315572999274173</v>
      </c>
      <c r="W252" s="18">
        <v>6779.15</v>
      </c>
      <c r="X252" s="18">
        <v>4082.85</v>
      </c>
      <c r="Y252" s="4">
        <f>X252/W252-1</f>
        <v>-0.39773422921752721</v>
      </c>
    </row>
    <row r="253" spans="1:25" ht="17.25" customHeight="1">
      <c r="A253" t="s">
        <v>538</v>
      </c>
      <c r="B253" t="s">
        <v>539</v>
      </c>
      <c r="C253" s="28">
        <v>512</v>
      </c>
      <c r="E253" t="s">
        <v>539</v>
      </c>
      <c r="F253" s="28">
        <v>369</v>
      </c>
      <c r="G253" t="b">
        <f>IF(B253=E253,TRUE,FALSE)</f>
        <v>1</v>
      </c>
      <c r="J253" s="25">
        <f>F253-C253</f>
        <v>-143</v>
      </c>
      <c r="K253" s="4">
        <f>F253/C253-1</f>
        <v>-0.279296875</v>
      </c>
      <c r="M253" s="5">
        <v>644.82000000000005</v>
      </c>
      <c r="N253" s="5">
        <v>363.95</v>
      </c>
      <c r="Q253" s="139">
        <v>1871.25</v>
      </c>
      <c r="U253" s="127">
        <f>N253-M253</f>
        <v>-280.87000000000006</v>
      </c>
      <c r="V253" s="4">
        <f>IF(M253=0,0,N253/M253-1)</f>
        <v>-0.43557892124934094</v>
      </c>
      <c r="W253" s="18">
        <v>12774.4</v>
      </c>
      <c r="X253" s="18">
        <v>9206.5499999999993</v>
      </c>
      <c r="Y253" s="4">
        <f>X253/W253-1</f>
        <v>-0.279296875</v>
      </c>
    </row>
    <row r="254" spans="1:25" ht="13.5" customHeight="1">
      <c r="A254" t="s">
        <v>540</v>
      </c>
      <c r="B254" t="s">
        <v>541</v>
      </c>
      <c r="C254" s="28">
        <v>363</v>
      </c>
      <c r="E254" t="s">
        <v>541</v>
      </c>
      <c r="F254" s="28">
        <v>219</v>
      </c>
      <c r="G254" t="b">
        <f>IF(B254=E254,TRUE,FALSE)</f>
        <v>1</v>
      </c>
      <c r="J254" s="25">
        <f>F254-C254</f>
        <v>-144</v>
      </c>
      <c r="K254" s="4">
        <f>F254/C254-1</f>
        <v>-0.39669421487603307</v>
      </c>
      <c r="M254" s="5">
        <v>280.56</v>
      </c>
      <c r="N254" s="5">
        <v>160.63</v>
      </c>
      <c r="Q254" s="139">
        <v>892.08</v>
      </c>
      <c r="U254" s="127">
        <f>N254-M254</f>
        <v>-119.93</v>
      </c>
      <c r="V254" s="4">
        <f>IF(M254=0,0,N254/M254-1)</f>
        <v>-0.42746649558026806</v>
      </c>
      <c r="W254" s="18">
        <v>7967.85</v>
      </c>
      <c r="X254" s="18">
        <v>4807.05</v>
      </c>
      <c r="Y254" s="4">
        <f>X254/W254-1</f>
        <v>-0.39669421487603307</v>
      </c>
    </row>
    <row r="255" spans="1:25" ht="15" customHeight="1">
      <c r="A255" t="s">
        <v>542</v>
      </c>
      <c r="B255" t="s">
        <v>543</v>
      </c>
      <c r="C255" s="28">
        <v>1340</v>
      </c>
      <c r="E255" t="s">
        <v>543</v>
      </c>
      <c r="F255" s="28">
        <v>1194</v>
      </c>
      <c r="G255" t="b">
        <f>IF(B255=E255,TRUE,FALSE)</f>
        <v>1</v>
      </c>
      <c r="J255" s="25">
        <f>F255-C255</f>
        <v>-146</v>
      </c>
      <c r="K255" s="4">
        <f>F255/C255-1</f>
        <v>-0.10895522388059697</v>
      </c>
      <c r="M255" s="5">
        <v>2350.92</v>
      </c>
      <c r="N255" s="5">
        <v>2045.75</v>
      </c>
      <c r="Q255" s="139">
        <v>12508.33</v>
      </c>
      <c r="U255" s="127">
        <f>N255-M255</f>
        <v>-305.17000000000007</v>
      </c>
      <c r="V255" s="4">
        <f>IF(M255=0,0,N255/M255-1)</f>
        <v>-0.12980875572116446</v>
      </c>
      <c r="W255" s="18">
        <v>29765.16</v>
      </c>
      <c r="X255" s="18">
        <v>28371.89</v>
      </c>
      <c r="Y255" s="4">
        <f>X255/W255-1</f>
        <v>-4.6808752245914409E-2</v>
      </c>
    </row>
    <row r="256" spans="1:25" ht="15" customHeight="1">
      <c r="A256" t="s">
        <v>544</v>
      </c>
      <c r="B256" t="s">
        <v>545</v>
      </c>
      <c r="C256" s="28">
        <v>1066</v>
      </c>
      <c r="E256" t="s">
        <v>545</v>
      </c>
      <c r="F256" s="28">
        <v>920</v>
      </c>
      <c r="G256" t="b">
        <f>IF(B256=E256,TRUE,FALSE)</f>
        <v>1</v>
      </c>
      <c r="J256" s="25">
        <f>F256-C256</f>
        <v>-146</v>
      </c>
      <c r="K256" s="4">
        <f>F256/C256-1</f>
        <v>-0.1369606003752345</v>
      </c>
      <c r="M256" s="5">
        <v>1442.12</v>
      </c>
      <c r="N256" s="5">
        <v>1182.79</v>
      </c>
      <c r="Q256" s="139">
        <v>5302.92</v>
      </c>
      <c r="U256" s="127">
        <f>N256-M256</f>
        <v>-259.32999999999993</v>
      </c>
      <c r="V256" s="4">
        <f>IF(M256=0,0,N256/M256-1)</f>
        <v>-0.17982553462957307</v>
      </c>
      <c r="W256" s="18">
        <v>15718.439999999999</v>
      </c>
      <c r="X256" s="18">
        <v>14514.25</v>
      </c>
      <c r="Y256" s="4">
        <f>X256/W256-1</f>
        <v>-7.6610019823850073E-2</v>
      </c>
    </row>
    <row r="257" spans="1:25" ht="15" customHeight="1">
      <c r="A257" t="s">
        <v>546</v>
      </c>
      <c r="B257" t="s">
        <v>547</v>
      </c>
      <c r="C257" s="28">
        <v>363</v>
      </c>
      <c r="E257" t="s">
        <v>547</v>
      </c>
      <c r="F257" s="28">
        <v>217</v>
      </c>
      <c r="G257" t="b">
        <f>IF(B257=E257,TRUE,FALSE)</f>
        <v>1</v>
      </c>
      <c r="J257" s="25">
        <f>F257-C257</f>
        <v>-146</v>
      </c>
      <c r="K257" s="4">
        <f>F257/C257-1</f>
        <v>-0.40220385674931125</v>
      </c>
      <c r="M257" s="5">
        <v>386.72</v>
      </c>
      <c r="N257" s="5">
        <v>212.98</v>
      </c>
      <c r="Q257" s="139">
        <v>1874.31</v>
      </c>
      <c r="U257" s="127">
        <f>N257-M257</f>
        <v>-173.74000000000004</v>
      </c>
      <c r="V257" s="4">
        <f>IF(M257=0,0,N257/M257-1)</f>
        <v>-0.4492656185353745</v>
      </c>
      <c r="W257" s="18">
        <v>8693.85</v>
      </c>
      <c r="X257" s="18">
        <v>5197.1499999999996</v>
      </c>
      <c r="Y257" s="4">
        <f>X257/W257-1</f>
        <v>-0.40220385674931136</v>
      </c>
    </row>
    <row r="258" spans="1:25" ht="15" customHeight="1">
      <c r="A258" t="s">
        <v>548</v>
      </c>
      <c r="B258" t="s">
        <v>549</v>
      </c>
      <c r="C258" s="28">
        <v>432</v>
      </c>
      <c r="E258" t="s">
        <v>549</v>
      </c>
      <c r="F258" s="28">
        <v>285</v>
      </c>
      <c r="G258" t="b">
        <f>IF(B258=E258,TRUE,FALSE)</f>
        <v>1</v>
      </c>
      <c r="J258" s="25">
        <f>F258-C258</f>
        <v>-147</v>
      </c>
      <c r="K258" s="4">
        <f>F258/C258-1</f>
        <v>-0.34027777777777779</v>
      </c>
      <c r="M258" s="5">
        <v>0</v>
      </c>
      <c r="N258" s="5">
        <v>0</v>
      </c>
      <c r="Q258" s="139">
        <v>0</v>
      </c>
      <c r="U258" s="127">
        <f>N258-M258</f>
        <v>0</v>
      </c>
      <c r="V258" s="4">
        <f>IF(M258=0,0,N258/M258-1)</f>
        <v>0</v>
      </c>
      <c r="W258" s="18">
        <v>10346.4</v>
      </c>
      <c r="X258" s="18">
        <v>6825.75</v>
      </c>
      <c r="Y258" s="4">
        <f>X258/W258-1</f>
        <v>-0.34027777777777779</v>
      </c>
    </row>
    <row r="259" spans="1:25" ht="15" customHeight="1">
      <c r="A259" t="s">
        <v>550</v>
      </c>
      <c r="B259" t="s">
        <v>551</v>
      </c>
      <c r="C259" s="28">
        <v>311</v>
      </c>
      <c r="E259" t="s">
        <v>551</v>
      </c>
      <c r="F259" s="28">
        <v>162</v>
      </c>
      <c r="G259" t="b">
        <f>IF(B259=E259,TRUE,FALSE)</f>
        <v>1</v>
      </c>
      <c r="J259" s="25">
        <f>F259-C259</f>
        <v>-149</v>
      </c>
      <c r="K259" s="4">
        <f>F259/C259-1</f>
        <v>-0.47909967845659163</v>
      </c>
      <c r="M259" s="5">
        <v>0</v>
      </c>
      <c r="N259" s="5">
        <v>0</v>
      </c>
      <c r="Q259" s="139">
        <v>0</v>
      </c>
      <c r="U259" s="127">
        <f>N259-M259</f>
        <v>0</v>
      </c>
      <c r="V259" s="4">
        <f>IF(M259=0,0,N259/M259-1)</f>
        <v>0</v>
      </c>
      <c r="W259" s="18">
        <v>6204.45</v>
      </c>
      <c r="X259" s="18">
        <v>3231.9</v>
      </c>
      <c r="Y259" s="4">
        <f>X259/W259-1</f>
        <v>-0.47909967845659163</v>
      </c>
    </row>
    <row r="260" spans="1:25" ht="15" customHeight="1">
      <c r="A260" t="s">
        <v>552</v>
      </c>
      <c r="B260" t="s">
        <v>553</v>
      </c>
      <c r="C260" s="28">
        <v>405</v>
      </c>
      <c r="E260" t="s">
        <v>553</v>
      </c>
      <c r="F260" s="28">
        <v>255</v>
      </c>
      <c r="G260" t="b">
        <f>IF(B260=E260,TRUE,FALSE)</f>
        <v>1</v>
      </c>
      <c r="J260" s="25">
        <f>F260-C260</f>
        <v>-150</v>
      </c>
      <c r="K260" s="4">
        <f>F260/C260-1</f>
        <v>-0.37037037037037035</v>
      </c>
      <c r="M260" s="5">
        <v>322.3</v>
      </c>
      <c r="N260" s="5">
        <v>205.58</v>
      </c>
      <c r="Q260" s="139">
        <v>1074.3699999999999</v>
      </c>
      <c r="U260" s="127">
        <f>N260-M260</f>
        <v>-116.72</v>
      </c>
      <c r="V260" s="4">
        <f>IF(M260=0,0,N260/M260-1)</f>
        <v>-0.36214706794911566</v>
      </c>
      <c r="W260" s="18">
        <v>7674.75</v>
      </c>
      <c r="X260" s="18">
        <v>4832.25</v>
      </c>
      <c r="Y260" s="4">
        <f>X260/W260-1</f>
        <v>-0.37037037037037035</v>
      </c>
    </row>
    <row r="261" spans="1:25" ht="15" customHeight="1">
      <c r="A261" t="s">
        <v>554</v>
      </c>
      <c r="B261" t="s">
        <v>555</v>
      </c>
      <c r="C261" s="28">
        <v>535</v>
      </c>
      <c r="E261" t="s">
        <v>555</v>
      </c>
      <c r="F261" s="28">
        <v>382</v>
      </c>
      <c r="G261" t="b">
        <f>IF(B261=E261,TRUE,FALSE)</f>
        <v>1</v>
      </c>
      <c r="J261" s="25">
        <f>F261-C261</f>
        <v>-153</v>
      </c>
      <c r="K261" s="4">
        <f>F261/C261-1</f>
        <v>-0.28598130841121494</v>
      </c>
      <c r="M261" s="5">
        <v>744.25</v>
      </c>
      <c r="N261" s="5">
        <v>423.46</v>
      </c>
      <c r="Q261" s="139">
        <v>3889.44</v>
      </c>
      <c r="U261" s="127">
        <f>N261-M261</f>
        <v>-320.79000000000002</v>
      </c>
      <c r="V261" s="4">
        <f>IF(M261=0,0,N261/M261-1)</f>
        <v>-0.4310245213301982</v>
      </c>
      <c r="W261" s="18">
        <v>18698.25</v>
      </c>
      <c r="X261" s="18">
        <v>13350.9</v>
      </c>
      <c r="Y261" s="4">
        <f>X261/W261-1</f>
        <v>-0.28598130841121494</v>
      </c>
    </row>
    <row r="262" spans="1:25" ht="15" customHeight="1">
      <c r="A262" s="143" t="s">
        <v>556</v>
      </c>
      <c r="B262" s="37" t="s">
        <v>557</v>
      </c>
      <c r="C262" s="28">
        <v>466</v>
      </c>
      <c r="E262" s="37" t="s">
        <v>557</v>
      </c>
      <c r="F262" s="28">
        <v>309</v>
      </c>
      <c r="G262" t="b">
        <f>IF(B262=E262,TRUE,FALSE)</f>
        <v>1</v>
      </c>
      <c r="J262" s="25">
        <f>F262-C262</f>
        <v>-157</v>
      </c>
      <c r="K262" s="4">
        <f>F262/C262-1</f>
        <v>-0.33690987124463523</v>
      </c>
      <c r="M262" s="5">
        <v>732.97</v>
      </c>
      <c r="N262" s="5">
        <v>293.36</v>
      </c>
      <c r="Q262" s="138">
        <v>1142.04</v>
      </c>
      <c r="U262" s="127">
        <f>N262-M262</f>
        <v>-439.61</v>
      </c>
      <c r="V262" s="4">
        <f>IF(M262=0,0,N262/M262-1)</f>
        <v>-0.59976533828123935</v>
      </c>
      <c r="W262" s="18">
        <v>8673.1</v>
      </c>
      <c r="X262" s="18">
        <v>3086.91</v>
      </c>
      <c r="Y262" s="4"/>
    </row>
    <row r="263" spans="1:25" ht="15" customHeight="1">
      <c r="A263" t="s">
        <v>558</v>
      </c>
      <c r="B263" t="s">
        <v>559</v>
      </c>
      <c r="C263" s="28">
        <v>2441</v>
      </c>
      <c r="E263" t="s">
        <v>559</v>
      </c>
      <c r="F263" s="28">
        <v>2283</v>
      </c>
      <c r="G263" t="b">
        <f>IF(B263=E263,TRUE,FALSE)</f>
        <v>1</v>
      </c>
      <c r="J263" s="25">
        <f>F263-C263</f>
        <v>-158</v>
      </c>
      <c r="K263" s="4">
        <f>F263/C263-1</f>
        <v>-6.4727570667759138E-2</v>
      </c>
      <c r="M263" s="5">
        <v>2475.11</v>
      </c>
      <c r="N263" s="5">
        <v>2211.6799999999998</v>
      </c>
      <c r="Q263" s="139">
        <v>21363.02</v>
      </c>
      <c r="U263" s="127">
        <f>N263-M263</f>
        <v>-263.43000000000029</v>
      </c>
      <c r="V263" s="4">
        <f>IF(M263=0,0,N263/M263-1)</f>
        <v>-0.10643163334154859</v>
      </c>
      <c r="W263" s="18">
        <v>70337.25</v>
      </c>
      <c r="X263" s="18">
        <v>65033.08</v>
      </c>
      <c r="Y263" s="4">
        <f>X263/W263-1</f>
        <v>-7.541053993438751E-2</v>
      </c>
    </row>
    <row r="264" spans="1:25" ht="15" customHeight="1">
      <c r="A264" t="s">
        <v>560</v>
      </c>
      <c r="B264" t="s">
        <v>561</v>
      </c>
      <c r="C264" s="28">
        <v>364</v>
      </c>
      <c r="E264" t="s">
        <v>561</v>
      </c>
      <c r="F264" s="28">
        <v>204</v>
      </c>
      <c r="G264" t="b">
        <f>IF(B264=E264,TRUE,FALSE)</f>
        <v>1</v>
      </c>
      <c r="J264" s="25">
        <f>F264-C264</f>
        <v>-160</v>
      </c>
      <c r="K264" s="4">
        <f>F264/C264-1</f>
        <v>-0.43956043956043955</v>
      </c>
      <c r="M264" s="5">
        <v>532.35</v>
      </c>
      <c r="N264" s="5">
        <v>264.75</v>
      </c>
      <c r="Q264" s="139">
        <v>1347.02</v>
      </c>
      <c r="U264" s="127">
        <f>N264-M264</f>
        <v>-267.60000000000002</v>
      </c>
      <c r="V264" s="4">
        <f>IF(M264=0,0,N264/M264-1)</f>
        <v>-0.50267681036911815</v>
      </c>
      <c r="W264" s="18">
        <v>8004.36</v>
      </c>
      <c r="X264" s="18">
        <v>4485.96</v>
      </c>
      <c r="Y264" s="4">
        <f>X264/W264-1</f>
        <v>-0.43956043956043955</v>
      </c>
    </row>
    <row r="265" spans="1:25" ht="15" customHeight="1">
      <c r="A265" t="s">
        <v>562</v>
      </c>
      <c r="B265" t="s">
        <v>563</v>
      </c>
      <c r="C265" s="28">
        <v>403</v>
      </c>
      <c r="E265" t="s">
        <v>563</v>
      </c>
      <c r="F265" s="28">
        <v>234</v>
      </c>
      <c r="G265" t="b">
        <f>IF(B265=E265,TRUE,FALSE)</f>
        <v>1</v>
      </c>
      <c r="J265" s="25">
        <f>F265-C265</f>
        <v>-169</v>
      </c>
      <c r="K265" s="4">
        <f>F265/C265-1</f>
        <v>-0.41935483870967738</v>
      </c>
      <c r="M265" s="5">
        <v>620.21</v>
      </c>
      <c r="N265" s="5">
        <v>317.87</v>
      </c>
      <c r="Q265" s="139">
        <v>1588.14</v>
      </c>
      <c r="U265" s="127">
        <f>N265-M265</f>
        <v>-302.34000000000003</v>
      </c>
      <c r="V265" s="4">
        <f>IF(M265=0,0,N265/M265-1)</f>
        <v>-0.48748004708082748</v>
      </c>
      <c r="W265" s="18">
        <v>8039.85</v>
      </c>
      <c r="X265" s="18">
        <v>4668.3</v>
      </c>
      <c r="Y265" s="4">
        <f>X265/W265-1</f>
        <v>-0.41935483870967738</v>
      </c>
    </row>
    <row r="266" spans="1:25" ht="15" customHeight="1">
      <c r="A266" t="s">
        <v>564</v>
      </c>
      <c r="B266" t="s">
        <v>565</v>
      </c>
      <c r="C266" s="28">
        <v>858</v>
      </c>
      <c r="E266" t="s">
        <v>565</v>
      </c>
      <c r="F266" s="28">
        <v>688</v>
      </c>
      <c r="G266" t="b">
        <f>IF(B266=E266,TRUE,FALSE)</f>
        <v>1</v>
      </c>
      <c r="J266" s="25">
        <f>F266-C266</f>
        <v>-170</v>
      </c>
      <c r="K266" s="4">
        <f>F266/C266-1</f>
        <v>-0.19813519813519809</v>
      </c>
      <c r="M266" s="5">
        <v>1890.54</v>
      </c>
      <c r="N266" s="5">
        <v>1576.88</v>
      </c>
      <c r="Q266" s="139">
        <v>11170.16</v>
      </c>
      <c r="U266" s="127">
        <f>N266-M266</f>
        <v>-313.65999999999985</v>
      </c>
      <c r="V266" s="4">
        <f>IF(M266=0,0,N266/M266-1)</f>
        <v>-0.16591026902366512</v>
      </c>
      <c r="W266" s="18">
        <v>25693.8</v>
      </c>
      <c r="X266" s="18">
        <v>20601.400000000001</v>
      </c>
      <c r="Y266" s="4">
        <f>X266/W266-1</f>
        <v>-0.19819567366446367</v>
      </c>
    </row>
    <row r="267" spans="1:25" ht="15" customHeight="1">
      <c r="A267" t="s">
        <v>566</v>
      </c>
      <c r="B267" t="s">
        <v>567</v>
      </c>
      <c r="C267" s="28">
        <v>400</v>
      </c>
      <c r="E267" t="s">
        <v>567</v>
      </c>
      <c r="F267" s="28">
        <v>228</v>
      </c>
      <c r="G267" t="b">
        <f>IF(B267=E267,TRUE,FALSE)</f>
        <v>1</v>
      </c>
      <c r="J267" s="25">
        <f>F267-C267</f>
        <v>-172</v>
      </c>
      <c r="K267" s="4">
        <f>F267/C267-1</f>
        <v>-0.43000000000000005</v>
      </c>
      <c r="M267" s="5">
        <v>574.78</v>
      </c>
      <c r="N267" s="5">
        <v>294.97000000000003</v>
      </c>
      <c r="Q267" s="139">
        <v>1632.38</v>
      </c>
      <c r="U267" s="127">
        <f>N267-M267</f>
        <v>-279.80999999999995</v>
      </c>
      <c r="V267" s="4">
        <f>IF(M267=0,0,N267/M267-1)</f>
        <v>-0.48681234559309638</v>
      </c>
      <c r="W267" s="18">
        <v>10396</v>
      </c>
      <c r="X267" s="18">
        <v>5925.72</v>
      </c>
      <c r="Y267" s="4">
        <f>X267/W267-1</f>
        <v>-0.42999999999999994</v>
      </c>
    </row>
    <row r="268" spans="1:25" ht="15" customHeight="1">
      <c r="A268" t="s">
        <v>568</v>
      </c>
      <c r="B268" t="s">
        <v>569</v>
      </c>
      <c r="C268" s="28">
        <v>1672</v>
      </c>
      <c r="E268" t="s">
        <v>569</v>
      </c>
      <c r="F268" s="28">
        <v>1497</v>
      </c>
      <c r="G268" t="b">
        <f>IF(B268=E268,TRUE,FALSE)</f>
        <v>1</v>
      </c>
      <c r="J268" s="25">
        <f>F268-C268</f>
        <v>-175</v>
      </c>
      <c r="K268" s="4">
        <f>F268/C268-1</f>
        <v>-0.10466507177033491</v>
      </c>
      <c r="M268" s="5">
        <v>2778.97</v>
      </c>
      <c r="N268" s="5">
        <v>3082.38</v>
      </c>
      <c r="Q268" s="139">
        <v>20644.91</v>
      </c>
      <c r="U268" s="127">
        <f>N268-M268</f>
        <v>303.41000000000031</v>
      </c>
      <c r="V268" s="4">
        <f>IF(M268=0,0,N268/M268-1)</f>
        <v>0.1091807396265525</v>
      </c>
      <c r="W268" s="18">
        <v>33352.800000000003</v>
      </c>
      <c r="X268" s="18">
        <v>29555.52</v>
      </c>
      <c r="Y268" s="4">
        <f>X268/W268-1</f>
        <v>-0.11385191048427723</v>
      </c>
    </row>
    <row r="269" spans="1:25" ht="15" customHeight="1">
      <c r="A269" t="s">
        <v>570</v>
      </c>
      <c r="B269" t="s">
        <v>571</v>
      </c>
      <c r="C269" s="28">
        <v>1405</v>
      </c>
      <c r="E269" t="s">
        <v>571</v>
      </c>
      <c r="F269" s="28">
        <v>1226</v>
      </c>
      <c r="G269" t="b">
        <f>IF(B269=E269,TRUE,FALSE)</f>
        <v>1</v>
      </c>
      <c r="J269" s="25">
        <f>F269-C269</f>
        <v>-179</v>
      </c>
      <c r="K269" s="4">
        <f>F269/C269-1</f>
        <v>-0.12740213523131672</v>
      </c>
      <c r="M269" s="5">
        <v>2174.2600000000002</v>
      </c>
      <c r="N269" s="5">
        <v>1690.91</v>
      </c>
      <c r="Q269" s="139">
        <v>7445.16</v>
      </c>
      <c r="U269" s="127">
        <f>N269-M269</f>
        <v>-483.35000000000014</v>
      </c>
      <c r="V269" s="4">
        <f>IF(M269=0,0,N269/M269-1)</f>
        <v>-0.22230552003900184</v>
      </c>
      <c r="W269" s="18">
        <v>34927.25</v>
      </c>
      <c r="X269" s="18">
        <v>30487.65</v>
      </c>
      <c r="Y269" s="4">
        <f>X269/W269-1</f>
        <v>-0.12710992133649224</v>
      </c>
    </row>
    <row r="270" spans="1:25" ht="15" customHeight="1">
      <c r="A270" s="54" t="s">
        <v>572</v>
      </c>
      <c r="B270" s="37" t="s">
        <v>573</v>
      </c>
      <c r="C270" s="28">
        <v>1057</v>
      </c>
      <c r="E270" s="37" t="s">
        <v>573</v>
      </c>
      <c r="F270" s="28">
        <v>878</v>
      </c>
      <c r="G270" t="b">
        <f>IF(B270=E270,TRUE,FALSE)</f>
        <v>1</v>
      </c>
      <c r="J270" s="25">
        <f>F270-C270</f>
        <v>-179</v>
      </c>
      <c r="K270" s="4">
        <f>F270/C270-1</f>
        <v>-0.16934720908230838</v>
      </c>
      <c r="M270" s="5">
        <v>2675.72</v>
      </c>
      <c r="N270" s="5">
        <v>2393.9</v>
      </c>
      <c r="Q270" s="138">
        <v>15770.27</v>
      </c>
      <c r="U270" s="127">
        <f>N270-M270</f>
        <v>-281.81999999999971</v>
      </c>
      <c r="V270" s="4">
        <f>IF(M270=0,0,N270/M270-1)</f>
        <v>-0.10532492189018272</v>
      </c>
      <c r="W270" s="18">
        <v>28482.639999999999</v>
      </c>
      <c r="X270" s="18">
        <v>23660.21</v>
      </c>
      <c r="Y270" s="4">
        <f>X270/W270-1</f>
        <v>-0.16931120148974954</v>
      </c>
    </row>
    <row r="271" spans="1:25" ht="15" customHeight="1">
      <c r="A271" s="54" t="s">
        <v>574</v>
      </c>
      <c r="B271" s="37" t="s">
        <v>575</v>
      </c>
      <c r="C271" s="19">
        <v>1480</v>
      </c>
      <c r="E271" s="37" t="s">
        <v>575</v>
      </c>
      <c r="F271" s="19">
        <v>1300</v>
      </c>
      <c r="G271" t="b">
        <f>IF(B271=E271,TRUE,FALSE)</f>
        <v>1</v>
      </c>
      <c r="J271" s="25">
        <f>F271-C271</f>
        <v>-180</v>
      </c>
      <c r="K271" s="4">
        <f>F271/C271-1</f>
        <v>-0.1216216216216216</v>
      </c>
      <c r="M271" s="5">
        <v>2578.35</v>
      </c>
      <c r="N271" s="5">
        <v>2229.35</v>
      </c>
      <c r="Q271" s="138">
        <v>16456.669999999998</v>
      </c>
      <c r="U271" s="127">
        <f>N271-M271</f>
        <v>-349</v>
      </c>
      <c r="V271" s="4">
        <f>IF(M271=0,0,N271/M271-1)</f>
        <v>-0.13535788391800962</v>
      </c>
      <c r="W271">
        <v>23963.24</v>
      </c>
      <c r="X271">
        <v>25571.63</v>
      </c>
      <c r="Y271" s="4">
        <f>X271/W271-1</f>
        <v>6.7119054017737101E-2</v>
      </c>
    </row>
    <row r="272" spans="1:25" ht="15" customHeight="1">
      <c r="A272" s="54" t="s">
        <v>576</v>
      </c>
      <c r="B272" s="37" t="s">
        <v>577</v>
      </c>
      <c r="C272" s="28">
        <v>1161</v>
      </c>
      <c r="E272" s="37" t="s">
        <v>577</v>
      </c>
      <c r="F272" s="28">
        <v>977</v>
      </c>
      <c r="G272" t="b">
        <f>IF(B272=E272,TRUE,FALSE)</f>
        <v>1</v>
      </c>
      <c r="J272" s="25">
        <f>F272-C272</f>
        <v>-184</v>
      </c>
      <c r="K272" s="4">
        <f>F272/C272-1</f>
        <v>-0.15848406546080962</v>
      </c>
      <c r="M272" s="5">
        <v>1983.23</v>
      </c>
      <c r="N272" s="5">
        <v>1670.6</v>
      </c>
      <c r="Q272" s="138">
        <v>8914.6</v>
      </c>
      <c r="U272" s="127">
        <f>N272-M272</f>
        <v>-312.63000000000011</v>
      </c>
      <c r="V272" s="4">
        <f>IF(M272=0,0,N272/M272-1)</f>
        <v>-0.15763678443750861</v>
      </c>
      <c r="W272" s="18">
        <v>19841.669999999998</v>
      </c>
      <c r="X272" s="18">
        <v>21061.53</v>
      </c>
      <c r="Y272" s="4"/>
    </row>
    <row r="273" spans="1:25" ht="15" customHeight="1">
      <c r="A273" t="s">
        <v>578</v>
      </c>
      <c r="B273" t="s">
        <v>579</v>
      </c>
      <c r="C273" s="28">
        <v>433</v>
      </c>
      <c r="E273" t="s">
        <v>579</v>
      </c>
      <c r="F273" s="28">
        <v>246</v>
      </c>
      <c r="G273" t="b">
        <f>IF(B273=E273,TRUE,FALSE)</f>
        <v>1</v>
      </c>
      <c r="J273" s="25">
        <f>F273-C273</f>
        <v>-187</v>
      </c>
      <c r="K273" s="4">
        <f>F273/C273-1</f>
        <v>-0.43187066974595845</v>
      </c>
      <c r="M273" s="5">
        <v>403.9</v>
      </c>
      <c r="N273" s="5">
        <v>192.53</v>
      </c>
      <c r="Q273" s="139">
        <v>1218.21</v>
      </c>
      <c r="U273" s="127">
        <f>N273-M273</f>
        <v>-211.36999999999998</v>
      </c>
      <c r="V273" s="4">
        <f>IF(M273=0,0,N273/M273-1)</f>
        <v>-0.52332260460510027</v>
      </c>
      <c r="W273" s="18">
        <v>11686.67</v>
      </c>
      <c r="X273" s="18">
        <v>6639.54</v>
      </c>
      <c r="Y273" s="4">
        <f>X273/W273-1</f>
        <v>-0.43187066974595845</v>
      </c>
    </row>
    <row r="274" spans="1:25" ht="15" customHeight="1">
      <c r="A274" s="143" t="s">
        <v>580</v>
      </c>
      <c r="B274" s="37" t="s">
        <v>581</v>
      </c>
      <c r="C274" s="28">
        <v>813</v>
      </c>
      <c r="E274" s="37" t="s">
        <v>581</v>
      </c>
      <c r="F274" s="28">
        <v>626</v>
      </c>
      <c r="G274" t="b">
        <f>IF(B274=E274,TRUE,FALSE)</f>
        <v>1</v>
      </c>
      <c r="J274" s="25">
        <f>F274-C274</f>
        <v>-187</v>
      </c>
      <c r="K274" s="4">
        <f>F274/C274-1</f>
        <v>-0.23001230012300122</v>
      </c>
      <c r="M274" s="5">
        <v>878.98</v>
      </c>
      <c r="N274" s="5">
        <v>854.93</v>
      </c>
      <c r="Q274" s="138">
        <v>4718.8999999999996</v>
      </c>
      <c r="U274" s="127">
        <f>N274-M274</f>
        <v>-24.050000000000068</v>
      </c>
      <c r="V274" s="4">
        <f>IF(M274=0,0,N274/M274-1)</f>
        <v>-2.7361259641857649E-2</v>
      </c>
      <c r="W274" s="18">
        <v>10222.43</v>
      </c>
      <c r="X274" s="18">
        <v>9751.08</v>
      </c>
      <c r="Y274" s="4">
        <f>X274/W274-1</f>
        <v>-4.6109388863509015E-2</v>
      </c>
    </row>
    <row r="275" spans="1:25" ht="15" customHeight="1">
      <c r="A275" t="s">
        <v>582</v>
      </c>
      <c r="B275" t="s">
        <v>583</v>
      </c>
      <c r="C275" s="28">
        <v>415</v>
      </c>
      <c r="E275" t="s">
        <v>583</v>
      </c>
      <c r="F275" s="28">
        <v>226</v>
      </c>
      <c r="G275" t="b">
        <f>IF(B275=E275,TRUE,FALSE)</f>
        <v>1</v>
      </c>
      <c r="J275" s="25">
        <f>F275-C275</f>
        <v>-189</v>
      </c>
      <c r="K275" s="4">
        <f>F275/C275-1</f>
        <v>-0.45542168674698791</v>
      </c>
      <c r="M275" s="5">
        <v>647.53</v>
      </c>
      <c r="N275" s="5">
        <v>363.57</v>
      </c>
      <c r="Q275" s="139">
        <v>1905.21</v>
      </c>
      <c r="U275" s="127">
        <f>N275-M275</f>
        <v>-283.95999999999998</v>
      </c>
      <c r="V275" s="4">
        <f>IF(M275=0,0,N275/M275-1)</f>
        <v>-0.43852794465121303</v>
      </c>
      <c r="W275" s="18">
        <v>9939.25</v>
      </c>
      <c r="X275" s="18">
        <v>5412.7</v>
      </c>
      <c r="Y275" s="4">
        <f>X275/W275-1</f>
        <v>-0.45542168674698802</v>
      </c>
    </row>
    <row r="276" spans="1:25" ht="15" customHeight="1">
      <c r="A276" t="s">
        <v>584</v>
      </c>
      <c r="B276" t="s">
        <v>585</v>
      </c>
      <c r="C276" s="28">
        <v>453</v>
      </c>
      <c r="E276" t="s">
        <v>585</v>
      </c>
      <c r="F276" s="28">
        <v>262</v>
      </c>
      <c r="G276" t="b">
        <f>IF(B276=E276,TRUE,FALSE)</f>
        <v>1</v>
      </c>
      <c r="J276" s="25">
        <f>F276-C276</f>
        <v>-191</v>
      </c>
      <c r="K276" s="4">
        <f>F276/C276-1</f>
        <v>-0.42163355408388525</v>
      </c>
      <c r="M276" s="5">
        <v>0</v>
      </c>
      <c r="N276" s="5">
        <v>0</v>
      </c>
      <c r="Q276" s="139">
        <v>0</v>
      </c>
      <c r="U276" s="127">
        <f>N276-M276</f>
        <v>0</v>
      </c>
      <c r="V276" s="4">
        <f>IF(M276=0,0,N276/M276-1)</f>
        <v>0</v>
      </c>
      <c r="W276" s="18">
        <v>8149.47</v>
      </c>
      <c r="X276" s="18">
        <v>4713.38</v>
      </c>
      <c r="Y276" s="4">
        <f>X276/W276-1</f>
        <v>-0.42163355408388525</v>
      </c>
    </row>
    <row r="277" spans="1:25" ht="15" customHeight="1">
      <c r="A277" t="s">
        <v>586</v>
      </c>
      <c r="B277" t="s">
        <v>587</v>
      </c>
      <c r="C277" s="28">
        <v>636</v>
      </c>
      <c r="E277" t="s">
        <v>587</v>
      </c>
      <c r="F277" s="28">
        <v>444</v>
      </c>
      <c r="G277" t="b">
        <f>IF(B277=E277,TRUE,FALSE)</f>
        <v>1</v>
      </c>
      <c r="J277" s="25">
        <f>F277-C277</f>
        <v>-192</v>
      </c>
      <c r="K277" s="4">
        <f>F277/C277-1</f>
        <v>-0.30188679245283023</v>
      </c>
      <c r="M277" s="5">
        <v>640.79</v>
      </c>
      <c r="N277" s="5">
        <v>628.66999999999996</v>
      </c>
      <c r="Q277" s="139">
        <v>3469.35</v>
      </c>
      <c r="U277" s="127">
        <f>N277-M277</f>
        <v>-12.120000000000005</v>
      </c>
      <c r="V277" s="4">
        <f>IF(M277=0,0,N277/M277-1)</f>
        <v>-1.8914152842584908E-2</v>
      </c>
      <c r="W277" s="18">
        <v>13472.25</v>
      </c>
      <c r="X277" s="18">
        <v>9744.92</v>
      </c>
      <c r="Y277" s="4">
        <f>X277/W277-1</f>
        <v>-0.27666722336654981</v>
      </c>
    </row>
    <row r="278" spans="1:25" ht="15" customHeight="1">
      <c r="A278" t="s">
        <v>588</v>
      </c>
      <c r="B278" t="s">
        <v>589</v>
      </c>
      <c r="C278" s="28">
        <v>448</v>
      </c>
      <c r="E278" t="s">
        <v>589</v>
      </c>
      <c r="F278" s="28">
        <v>254</v>
      </c>
      <c r="G278" t="b">
        <f>IF(B278=E278,TRUE,FALSE)</f>
        <v>1</v>
      </c>
      <c r="J278" s="25">
        <f>F278-C278</f>
        <v>-194</v>
      </c>
      <c r="K278" s="4">
        <f>F278/C278-1</f>
        <v>-0.4330357142857143</v>
      </c>
      <c r="M278" s="5">
        <v>677.19</v>
      </c>
      <c r="N278" s="5">
        <v>289.93</v>
      </c>
      <c r="Q278" s="139">
        <v>1745.2</v>
      </c>
      <c r="U278" s="127">
        <f>N278-M278</f>
        <v>-387.26000000000005</v>
      </c>
      <c r="V278" s="4">
        <f>IF(M278=0,0,N278/M278-1)</f>
        <v>-0.57186314032989261</v>
      </c>
      <c r="W278" s="18">
        <v>22377.599999999999</v>
      </c>
      <c r="X278" s="18">
        <v>12687.3</v>
      </c>
      <c r="Y278" s="4">
        <f>X278/W278-1</f>
        <v>-0.4330357142857143</v>
      </c>
    </row>
    <row r="279" spans="1:25" ht="15" customHeight="1">
      <c r="A279" t="s">
        <v>590</v>
      </c>
      <c r="B279" t="s">
        <v>591</v>
      </c>
      <c r="C279" s="28">
        <v>430</v>
      </c>
      <c r="E279" t="s">
        <v>591</v>
      </c>
      <c r="F279" s="28">
        <v>234</v>
      </c>
      <c r="G279" t="b">
        <f>IF(B279=E279,TRUE,FALSE)</f>
        <v>1</v>
      </c>
      <c r="J279" s="25">
        <f>F279-C279</f>
        <v>-196</v>
      </c>
      <c r="K279" s="4">
        <f>F279/C279-1</f>
        <v>-0.45581395348837206</v>
      </c>
      <c r="M279" s="5">
        <v>443.22</v>
      </c>
      <c r="N279" s="5">
        <v>319.17</v>
      </c>
      <c r="Q279" s="139">
        <v>1859.92</v>
      </c>
      <c r="U279" s="127">
        <f>N279-M279</f>
        <v>-124.05000000000001</v>
      </c>
      <c r="V279" s="4">
        <f>IF(M279=0,0,N279/M279-1)</f>
        <v>-0.27988357926086371</v>
      </c>
      <c r="W279" s="18">
        <v>9438.5</v>
      </c>
      <c r="X279" s="18">
        <v>5136.3</v>
      </c>
      <c r="Y279" s="4">
        <f>X279/W279-1</f>
        <v>-0.45581395348837206</v>
      </c>
    </row>
    <row r="280" spans="1:25" ht="15" customHeight="1">
      <c r="A280" t="s">
        <v>592</v>
      </c>
      <c r="B280" t="s">
        <v>593</v>
      </c>
      <c r="C280" s="28">
        <v>780</v>
      </c>
      <c r="E280" t="s">
        <v>593</v>
      </c>
      <c r="F280" s="28">
        <v>581</v>
      </c>
      <c r="G280" t="b">
        <f>IF(B280=E280,TRUE,FALSE)</f>
        <v>1</v>
      </c>
      <c r="J280" s="25">
        <f>F280-C280</f>
        <v>-199</v>
      </c>
      <c r="K280" s="4">
        <f>F280/C280-1</f>
        <v>-0.25512820512820511</v>
      </c>
      <c r="M280" s="5">
        <v>766.63</v>
      </c>
      <c r="N280" s="5">
        <v>618.76</v>
      </c>
      <c r="Q280" s="139">
        <v>2795.79</v>
      </c>
      <c r="U280" s="127">
        <f>N280-M280</f>
        <v>-147.87</v>
      </c>
      <c r="V280" s="4">
        <f>IF(M280=0,0,N280/M280-1)</f>
        <v>-0.19288313788920342</v>
      </c>
      <c r="W280" s="18">
        <v>18114.599999999999</v>
      </c>
      <c r="X280" s="18">
        <v>13990.18</v>
      </c>
      <c r="Y280" s="4">
        <f>X280/W280-1</f>
        <v>-0.22768485089375412</v>
      </c>
    </row>
    <row r="281" spans="1:25" ht="15" customHeight="1">
      <c r="A281" t="s">
        <v>594</v>
      </c>
      <c r="B281" t="s">
        <v>595</v>
      </c>
      <c r="C281" s="28">
        <v>330</v>
      </c>
      <c r="E281" t="s">
        <v>595</v>
      </c>
      <c r="F281" s="28">
        <v>130</v>
      </c>
      <c r="G281" t="b">
        <f>IF(B281=E281,TRUE,FALSE)</f>
        <v>1</v>
      </c>
      <c r="J281" s="25">
        <f>F281-C281</f>
        <v>-200</v>
      </c>
      <c r="K281" s="4">
        <f>F281/C281-1</f>
        <v>-0.60606060606060608</v>
      </c>
      <c r="M281" s="5">
        <v>641.54999999999995</v>
      </c>
      <c r="N281" s="5">
        <v>369.98</v>
      </c>
      <c r="Q281" s="139">
        <v>2061.94</v>
      </c>
      <c r="U281" s="127">
        <f>N281-M281</f>
        <v>-271.56999999999994</v>
      </c>
      <c r="V281" s="4">
        <f>IF(M281=0,0,N281/M281-1)</f>
        <v>-0.42330293819655518</v>
      </c>
      <c r="W281" s="18">
        <v>7533.42</v>
      </c>
      <c r="X281" s="18">
        <v>3896.9</v>
      </c>
      <c r="Y281" s="4">
        <f>X281/W281-1</f>
        <v>-0.48271834040847317</v>
      </c>
    </row>
    <row r="282" spans="1:25" ht="15" customHeight="1">
      <c r="A282" t="s">
        <v>596</v>
      </c>
      <c r="B282" t="s">
        <v>597</v>
      </c>
      <c r="C282" s="28">
        <v>711</v>
      </c>
      <c r="E282" t="s">
        <v>597</v>
      </c>
      <c r="F282" s="28">
        <v>509</v>
      </c>
      <c r="G282" t="b">
        <f>IF(B282=E282,TRUE,FALSE)</f>
        <v>1</v>
      </c>
      <c r="J282" s="25">
        <f>F282-C282</f>
        <v>-202</v>
      </c>
      <c r="K282" s="4">
        <f>F282/C282-1</f>
        <v>-0.28410689170182846</v>
      </c>
      <c r="M282" s="5">
        <v>717.57</v>
      </c>
      <c r="N282" s="5">
        <v>563.94000000000005</v>
      </c>
      <c r="Q282" s="139">
        <v>4965.3</v>
      </c>
      <c r="U282" s="127">
        <f>N282-M282</f>
        <v>-153.63</v>
      </c>
      <c r="V282" s="4">
        <f>IF(M282=0,0,N282/M282-1)</f>
        <v>-0.21409757933023954</v>
      </c>
      <c r="W282" s="18">
        <v>17729.45</v>
      </c>
      <c r="X282" s="18">
        <v>12694.55</v>
      </c>
      <c r="Y282" s="4">
        <f>X282/W282-1</f>
        <v>-0.2839851208018298</v>
      </c>
    </row>
    <row r="283" spans="1:25" ht="15" customHeight="1">
      <c r="A283" t="s">
        <v>598</v>
      </c>
      <c r="B283" t="s">
        <v>599</v>
      </c>
      <c r="C283" s="28">
        <v>1147</v>
      </c>
      <c r="E283" t="s">
        <v>599</v>
      </c>
      <c r="F283" s="28">
        <v>943</v>
      </c>
      <c r="G283" t="b">
        <f>IF(B283=E283,TRUE,FALSE)</f>
        <v>1</v>
      </c>
      <c r="J283" s="25">
        <f>F283-C283</f>
        <v>-204</v>
      </c>
      <c r="K283" s="4">
        <f>F283/C283-1</f>
        <v>-0.17785527462946815</v>
      </c>
      <c r="M283" s="5">
        <v>2745.69</v>
      </c>
      <c r="N283" s="5">
        <v>1572.36</v>
      </c>
      <c r="Q283" s="139">
        <v>8330.51</v>
      </c>
      <c r="U283" s="127">
        <f>N283-M283</f>
        <v>-1173.3300000000002</v>
      </c>
      <c r="V283" s="4">
        <f>IF(M283=0,0,N283/M283-1)</f>
        <v>-0.42733520535821601</v>
      </c>
      <c r="W283" s="18">
        <v>40359.61</v>
      </c>
      <c r="X283" s="18">
        <v>32520.6</v>
      </c>
      <c r="Y283" s="4">
        <f>X283/W283-1</f>
        <v>-0.19422908199558919</v>
      </c>
    </row>
    <row r="284" spans="1:25" ht="15" customHeight="1">
      <c r="A284" t="s">
        <v>600</v>
      </c>
      <c r="B284" t="s">
        <v>601</v>
      </c>
      <c r="C284" s="28">
        <v>418</v>
      </c>
      <c r="E284" t="s">
        <v>601</v>
      </c>
      <c r="F284" s="28">
        <v>212</v>
      </c>
      <c r="G284" t="b">
        <f>IF(B284=E284,TRUE,FALSE)</f>
        <v>1</v>
      </c>
      <c r="J284" s="25">
        <f>F284-C284</f>
        <v>-206</v>
      </c>
      <c r="K284" s="4">
        <f>F284/C284-1</f>
        <v>-0.49282296650717705</v>
      </c>
      <c r="M284" s="5">
        <v>502.8</v>
      </c>
      <c r="N284" s="5">
        <v>205.71</v>
      </c>
      <c r="Q284" s="139">
        <v>1108.1500000000001</v>
      </c>
      <c r="U284" s="127">
        <f>N284-M284</f>
        <v>-297.09000000000003</v>
      </c>
      <c r="V284" s="4">
        <f>IF(M284=0,0,N284/M284-1)</f>
        <v>-0.59087112171837708</v>
      </c>
      <c r="W284" s="18">
        <v>12519.1</v>
      </c>
      <c r="X284" s="18">
        <v>6349.4</v>
      </c>
      <c r="Y284" s="4">
        <f>X284/W284-1</f>
        <v>-0.49282296650717705</v>
      </c>
    </row>
    <row r="285" spans="1:25" ht="15" customHeight="1">
      <c r="A285" t="s">
        <v>602</v>
      </c>
      <c r="B285" t="s">
        <v>603</v>
      </c>
      <c r="C285" s="28">
        <v>797</v>
      </c>
      <c r="E285" t="s">
        <v>603</v>
      </c>
      <c r="F285" s="28">
        <v>586</v>
      </c>
      <c r="G285" t="b">
        <f>IF(B285=E285,TRUE,FALSE)</f>
        <v>1</v>
      </c>
      <c r="J285" s="25">
        <f>F285-C285</f>
        <v>-211</v>
      </c>
      <c r="K285" s="4">
        <f>F285/C285-1</f>
        <v>-0.26474278544542029</v>
      </c>
      <c r="M285" s="5">
        <v>1643.59</v>
      </c>
      <c r="N285" s="5">
        <v>1257.1500000000001</v>
      </c>
      <c r="Q285" s="139">
        <v>6188.55</v>
      </c>
      <c r="U285" s="127">
        <f>N285-M285</f>
        <v>-386.43999999999983</v>
      </c>
      <c r="V285" s="4">
        <f>IF(M285=0,0,N285/M285-1)</f>
        <v>-0.23511946409992746</v>
      </c>
      <c r="W285" s="18">
        <v>10214.65</v>
      </c>
      <c r="X285" s="18">
        <v>9627.3799999999992</v>
      </c>
      <c r="Y285" s="4">
        <f>X285/W285-1</f>
        <v>-5.7492914588360922E-2</v>
      </c>
    </row>
    <row r="286" spans="1:25" ht="15" customHeight="1">
      <c r="A286" t="s">
        <v>604</v>
      </c>
      <c r="B286" t="s">
        <v>605</v>
      </c>
      <c r="C286" s="28">
        <v>3492</v>
      </c>
      <c r="E286" t="s">
        <v>605</v>
      </c>
      <c r="F286" s="28">
        <v>3277</v>
      </c>
      <c r="G286" t="b">
        <f>IF(B286=E286,TRUE,FALSE)</f>
        <v>1</v>
      </c>
      <c r="J286" s="25">
        <f>F286-C286</f>
        <v>-215</v>
      </c>
      <c r="K286" s="4">
        <f>F286/C286-1</f>
        <v>-6.1569301260022913E-2</v>
      </c>
      <c r="M286" s="5">
        <v>2694.1</v>
      </c>
      <c r="N286" s="5">
        <v>3089.78</v>
      </c>
      <c r="Q286" s="139">
        <v>13670.35</v>
      </c>
      <c r="U286" s="127">
        <f>N286-M286</f>
        <v>395.68000000000029</v>
      </c>
      <c r="V286" s="4">
        <f>IF(M286=0,0,N286/M286-1)</f>
        <v>0.14686908429531198</v>
      </c>
      <c r="W286" s="18">
        <v>100051.08</v>
      </c>
      <c r="X286" s="18">
        <v>98272.43</v>
      </c>
      <c r="Y286" s="4">
        <f>X286/W286-1</f>
        <v>-1.7777419294224606E-2</v>
      </c>
    </row>
    <row r="287" spans="1:25" ht="15" customHeight="1">
      <c r="A287" s="37" t="s">
        <v>606</v>
      </c>
      <c r="B287" s="37" t="s">
        <v>607</v>
      </c>
      <c r="C287" s="28">
        <v>1127</v>
      </c>
      <c r="E287" s="37" t="s">
        <v>607</v>
      </c>
      <c r="F287" s="28">
        <v>908</v>
      </c>
      <c r="G287" t="b">
        <f>IF(B287=E287,TRUE,FALSE)</f>
        <v>1</v>
      </c>
      <c r="J287" s="25">
        <f>F287-C287</f>
        <v>-219</v>
      </c>
      <c r="K287" s="4">
        <f>F287/C287-1</f>
        <v>-0.19432120674356701</v>
      </c>
      <c r="M287" s="5">
        <v>2365.9299999999998</v>
      </c>
      <c r="N287" s="5">
        <v>2027.84</v>
      </c>
      <c r="Q287" s="139">
        <v>17680.900000000001</v>
      </c>
      <c r="U287" s="127">
        <f>N287-M287</f>
        <v>-338.08999999999992</v>
      </c>
      <c r="V287" s="4">
        <f>IF(M287=0,0,N287/M287-1)</f>
        <v>-0.14289940953451707</v>
      </c>
      <c r="W287" s="18">
        <v>47032.63</v>
      </c>
      <c r="X287" s="18">
        <v>40849.57</v>
      </c>
      <c r="Y287" s="4">
        <f>X287/W287-1</f>
        <v>-0.13146319905988668</v>
      </c>
    </row>
    <row r="288" spans="1:25" ht="15" customHeight="1">
      <c r="A288" t="s">
        <v>608</v>
      </c>
      <c r="B288" t="s">
        <v>609</v>
      </c>
      <c r="C288" s="28">
        <v>809</v>
      </c>
      <c r="E288" t="s">
        <v>609</v>
      </c>
      <c r="F288" s="28">
        <v>583</v>
      </c>
      <c r="G288" t="b">
        <f>IF(B288=E288,TRUE,FALSE)</f>
        <v>1</v>
      </c>
      <c r="J288" s="25">
        <f>F288-C288</f>
        <v>-226</v>
      </c>
      <c r="K288" s="4">
        <f>F288/C288-1</f>
        <v>-0.27935723114956734</v>
      </c>
      <c r="M288" s="5">
        <v>1554.72</v>
      </c>
      <c r="N288" s="5">
        <v>1186.3399999999999</v>
      </c>
      <c r="Q288" s="139">
        <v>5958.95</v>
      </c>
      <c r="U288" s="127">
        <f>N288-M288</f>
        <v>-368.38000000000011</v>
      </c>
      <c r="V288" s="4">
        <f>IF(M288=0,0,N288/M288-1)</f>
        <v>-0.2369429865184729</v>
      </c>
      <c r="W288" s="18">
        <v>21802.55</v>
      </c>
      <c r="X288" s="18">
        <v>15711.85</v>
      </c>
      <c r="Y288" s="4">
        <f>X288/W288-1</f>
        <v>-0.27935723114956734</v>
      </c>
    </row>
    <row r="289" spans="1:28" ht="15" customHeight="1">
      <c r="A289" t="s">
        <v>610</v>
      </c>
      <c r="B289" t="s">
        <v>611</v>
      </c>
      <c r="C289" s="28">
        <v>794</v>
      </c>
      <c r="E289" t="s">
        <v>611</v>
      </c>
      <c r="F289" s="28">
        <v>567</v>
      </c>
      <c r="G289" t="b">
        <f>IF(B289=E289,TRUE,FALSE)</f>
        <v>1</v>
      </c>
      <c r="J289" s="25">
        <f>F289-C289</f>
        <v>-227</v>
      </c>
      <c r="K289" s="4">
        <f>F289/C289-1</f>
        <v>-0.28589420654911835</v>
      </c>
      <c r="M289" s="5">
        <v>1171.67</v>
      </c>
      <c r="N289" s="5">
        <v>746.98</v>
      </c>
      <c r="Q289" s="139">
        <v>4622.5200000000004</v>
      </c>
      <c r="U289" s="127">
        <f>N289-M289</f>
        <v>-424.69000000000005</v>
      </c>
      <c r="V289" s="4">
        <f>IF(M289=0,0,N289/M289-1)</f>
        <v>-0.36246554063857572</v>
      </c>
      <c r="W289" s="18">
        <v>9318.06</v>
      </c>
      <c r="X289" s="18">
        <v>9912.14</v>
      </c>
      <c r="Y289" s="4">
        <f>X289/W289-1</f>
        <v>6.3755760319208044E-2</v>
      </c>
    </row>
    <row r="290" spans="1:28" ht="15" customHeight="1">
      <c r="A290" t="s">
        <v>612</v>
      </c>
      <c r="B290" t="s">
        <v>613</v>
      </c>
      <c r="C290" s="28">
        <v>639</v>
      </c>
      <c r="E290" t="s">
        <v>613</v>
      </c>
      <c r="F290" s="28">
        <v>411</v>
      </c>
      <c r="G290" t="b">
        <f>IF(B290=E290,TRUE,FALSE)</f>
        <v>1</v>
      </c>
      <c r="J290" s="25">
        <f>F290-C290</f>
        <v>-228</v>
      </c>
      <c r="K290" s="4">
        <f>F290/C290-1</f>
        <v>-0.35680751173708924</v>
      </c>
      <c r="M290" s="5">
        <v>82.09</v>
      </c>
      <c r="N290" s="5">
        <v>53.78</v>
      </c>
      <c r="Q290" s="139">
        <v>1212.75</v>
      </c>
      <c r="U290" s="127">
        <f>N290-M290</f>
        <v>-28.310000000000002</v>
      </c>
      <c r="V290" s="4">
        <f>IF(M290=0,0,N290/M290-1)</f>
        <v>-0.34486539164331831</v>
      </c>
      <c r="W290" s="18">
        <v>17221.05</v>
      </c>
      <c r="X290" s="18">
        <v>11076.45</v>
      </c>
      <c r="Y290" s="4">
        <f>X290/W290-1</f>
        <v>-0.35680751173708913</v>
      </c>
    </row>
    <row r="291" spans="1:28" ht="15" customHeight="1">
      <c r="A291" t="s">
        <v>614</v>
      </c>
      <c r="B291" t="s">
        <v>615</v>
      </c>
      <c r="C291" s="28">
        <v>961</v>
      </c>
      <c r="E291" t="s">
        <v>615</v>
      </c>
      <c r="F291" s="28">
        <v>728</v>
      </c>
      <c r="G291" t="b">
        <f>IF(B291=E291,TRUE,FALSE)</f>
        <v>1</v>
      </c>
      <c r="J291" s="25">
        <f>F291-C291</f>
        <v>-233</v>
      </c>
      <c r="K291" s="4">
        <f>F291/C291-1</f>
        <v>-0.24245577523413109</v>
      </c>
      <c r="M291" s="5">
        <v>1363.37</v>
      </c>
      <c r="N291" s="5">
        <v>1225.8599999999999</v>
      </c>
      <c r="Q291" s="139">
        <v>8504.65</v>
      </c>
      <c r="U291" s="127">
        <f>N291-M291</f>
        <v>-137.51</v>
      </c>
      <c r="V291" s="4">
        <f>IF(M291=0,0,N291/M291-1)</f>
        <v>-0.1008603680585608</v>
      </c>
      <c r="W291" s="18">
        <v>24396.11</v>
      </c>
      <c r="X291" s="18">
        <v>18890.82</v>
      </c>
      <c r="Y291" s="4">
        <f>X291/W291-1</f>
        <v>-0.22566261588425374</v>
      </c>
    </row>
    <row r="292" spans="1:28" ht="15" customHeight="1">
      <c r="A292" t="s">
        <v>616</v>
      </c>
      <c r="B292" t="s">
        <v>617</v>
      </c>
      <c r="C292" s="28">
        <v>461</v>
      </c>
      <c r="E292" t="s">
        <v>617</v>
      </c>
      <c r="F292" s="28">
        <v>226</v>
      </c>
      <c r="G292" t="b">
        <f>IF(B292=E292,TRUE,FALSE)</f>
        <v>1</v>
      </c>
      <c r="J292" s="25">
        <f>F292-C292</f>
        <v>-235</v>
      </c>
      <c r="K292" s="4">
        <f>F292/C292-1</f>
        <v>-0.50976138828633411</v>
      </c>
      <c r="M292" s="5">
        <v>614.9</v>
      </c>
      <c r="N292" s="5">
        <v>279.69</v>
      </c>
      <c r="Q292" s="139">
        <v>1312.38</v>
      </c>
      <c r="U292" s="127">
        <f>N292-M292</f>
        <v>-335.21</v>
      </c>
      <c r="V292" s="4">
        <f>IF(M292=0,0,N292/M292-1)</f>
        <v>-0.54514555212229632</v>
      </c>
      <c r="W292" s="18">
        <v>10118.950000000001</v>
      </c>
      <c r="X292" s="18">
        <v>4960.7</v>
      </c>
      <c r="Y292" s="4">
        <f>X292/W292-1</f>
        <v>-0.50976138828633411</v>
      </c>
    </row>
    <row r="293" spans="1:28" ht="15" customHeight="1">
      <c r="A293" t="s">
        <v>618</v>
      </c>
      <c r="B293" t="s">
        <v>619</v>
      </c>
      <c r="C293" s="28">
        <v>518</v>
      </c>
      <c r="E293" t="s">
        <v>619</v>
      </c>
      <c r="F293" s="28">
        <v>282</v>
      </c>
      <c r="G293" t="b">
        <f>IF(B293=E293,TRUE,FALSE)</f>
        <v>1</v>
      </c>
      <c r="J293" s="25">
        <f>F293-C293</f>
        <v>-236</v>
      </c>
      <c r="K293" s="4">
        <f>F293/C293-1</f>
        <v>-0.45559845559845558</v>
      </c>
      <c r="M293" s="5">
        <v>500.17</v>
      </c>
      <c r="N293" s="5">
        <v>276.87</v>
      </c>
      <c r="Q293" s="139">
        <v>1671.4</v>
      </c>
      <c r="U293" s="127">
        <f>N293-M293</f>
        <v>-223.3</v>
      </c>
      <c r="V293" s="4">
        <f>IF(M293=0,0,N293/M293-1)</f>
        <v>-0.44644820760941284</v>
      </c>
      <c r="W293" s="18">
        <v>15534.82</v>
      </c>
      <c r="X293" s="18">
        <v>8457.18</v>
      </c>
      <c r="Y293" s="4">
        <f>X293/W293-1</f>
        <v>-0.45559845559845558</v>
      </c>
    </row>
    <row r="294" spans="1:28" ht="15" customHeight="1">
      <c r="A294" t="s">
        <v>620</v>
      </c>
      <c r="B294" t="s">
        <v>621</v>
      </c>
      <c r="C294" s="28">
        <v>2157</v>
      </c>
      <c r="E294" t="s">
        <v>621</v>
      </c>
      <c r="F294" s="28">
        <v>1919</v>
      </c>
      <c r="G294" t="b">
        <f>IF(B294=E294,TRUE,FALSE)</f>
        <v>1</v>
      </c>
      <c r="J294" s="25">
        <f>F294-C294</f>
        <v>-238</v>
      </c>
      <c r="K294" s="4">
        <f>F294/C294-1</f>
        <v>-0.11033843300880852</v>
      </c>
      <c r="M294" s="5">
        <v>3682.61</v>
      </c>
      <c r="N294" s="5">
        <v>3462.97</v>
      </c>
      <c r="Q294" s="139">
        <v>23481.759999999998</v>
      </c>
      <c r="U294" s="127">
        <f>N294-M294</f>
        <v>-219.64000000000033</v>
      </c>
      <c r="V294" s="4">
        <f>IF(M294=0,0,N294/M294-1)</f>
        <v>-5.9642481826747917E-2</v>
      </c>
      <c r="W294" s="18">
        <v>61953.96</v>
      </c>
      <c r="X294" s="18">
        <v>57465.05</v>
      </c>
      <c r="Y294" s="4">
        <f>X294/W294-1</f>
        <v>-7.2455578303630586E-2</v>
      </c>
    </row>
    <row r="295" spans="1:28" ht="15" customHeight="1">
      <c r="A295" s="54" t="s">
        <v>622</v>
      </c>
      <c r="B295" s="37" t="s">
        <v>623</v>
      </c>
      <c r="C295" s="28">
        <v>1733</v>
      </c>
      <c r="E295" s="37" t="s">
        <v>623</v>
      </c>
      <c r="F295" s="28">
        <v>1491</v>
      </c>
      <c r="G295" t="b">
        <f>IF(B295=E295,TRUE,FALSE)</f>
        <v>1</v>
      </c>
      <c r="J295" s="25">
        <f>F295-C295</f>
        <v>-242</v>
      </c>
      <c r="K295" s="4">
        <f>F295/C295-1</f>
        <v>-0.13964223889209459</v>
      </c>
      <c r="M295" s="5">
        <v>2615.4799999999996</v>
      </c>
      <c r="N295" s="5">
        <v>2419.9899999999998</v>
      </c>
      <c r="Q295" s="138">
        <v>19120.5</v>
      </c>
      <c r="U295" s="127">
        <f>N295-M295</f>
        <v>-195.48999999999978</v>
      </c>
      <c r="V295" s="4">
        <f>IF(M295=0,0,N295/M295-1)</f>
        <v>-7.4743450532980482E-2</v>
      </c>
      <c r="W295" s="18">
        <v>37998.99</v>
      </c>
      <c r="X295" s="18">
        <v>33878.49</v>
      </c>
      <c r="Y295" s="4">
        <f>X295/W295-1</f>
        <v>-0.1084370926700946</v>
      </c>
    </row>
    <row r="296" spans="1:28" ht="15" customHeight="1">
      <c r="A296" s="54" t="s">
        <v>624</v>
      </c>
      <c r="B296" s="37" t="s">
        <v>625</v>
      </c>
      <c r="C296" s="28">
        <v>1100</v>
      </c>
      <c r="E296" s="37" t="s">
        <v>625</v>
      </c>
      <c r="F296" s="28">
        <v>850</v>
      </c>
      <c r="G296" t="b">
        <f>IF(B296=E296,TRUE,FALSE)</f>
        <v>1</v>
      </c>
      <c r="J296" s="25">
        <f>F296-C296</f>
        <v>-250</v>
      </c>
      <c r="K296" s="4">
        <f>F296/C296-1</f>
        <v>-0.22727272727272729</v>
      </c>
      <c r="M296" s="5">
        <v>1641.61</v>
      </c>
      <c r="N296" s="5">
        <v>1209.27</v>
      </c>
      <c r="Q296" s="139">
        <v>6472.83</v>
      </c>
      <c r="U296" s="127">
        <f>N296-M296</f>
        <v>-432.33999999999992</v>
      </c>
      <c r="V296" s="4">
        <f>IF(M296=0,0,N296/M296-1)</f>
        <v>-0.26336340543734504</v>
      </c>
      <c r="W296" s="18">
        <v>17940.38</v>
      </c>
      <c r="X296" s="18">
        <v>15014.71</v>
      </c>
      <c r="Y296" s="4">
        <f>X296/W296-1</f>
        <v>-0.16307737071344097</v>
      </c>
      <c r="AB296" t="s">
        <v>626</v>
      </c>
    </row>
    <row r="297" spans="1:28" ht="15" customHeight="1">
      <c r="A297" s="37" t="s">
        <v>627</v>
      </c>
      <c r="B297" s="37" t="s">
        <v>628</v>
      </c>
      <c r="C297" s="28">
        <v>2903</v>
      </c>
      <c r="E297" s="37" t="s">
        <v>628</v>
      </c>
      <c r="F297" s="28">
        <v>2648</v>
      </c>
      <c r="G297" t="b">
        <f>IF(B297=E297,TRUE,FALSE)</f>
        <v>1</v>
      </c>
      <c r="J297" s="25">
        <f>F297-C297</f>
        <v>-255</v>
      </c>
      <c r="K297" s="4">
        <f>F297/C297-1</f>
        <v>-8.7840165346193544E-2</v>
      </c>
      <c r="M297" s="5">
        <v>4912.13</v>
      </c>
      <c r="N297" s="5">
        <v>4819.6499999999996</v>
      </c>
      <c r="Q297" s="139">
        <v>39181.019999999997</v>
      </c>
      <c r="U297" s="127">
        <f>N297-M297</f>
        <v>-92.480000000000473</v>
      </c>
      <c r="V297" s="4">
        <f>IF(M297=0,0,N297/M297-1)</f>
        <v>-1.8826863295556162E-2</v>
      </c>
      <c r="W297" s="18">
        <v>68108.210000000006</v>
      </c>
      <c r="X297" s="18">
        <v>62391.66</v>
      </c>
      <c r="Y297" s="4">
        <f>X297/W297-1</f>
        <v>-8.3933346655271079E-2</v>
      </c>
    </row>
    <row r="298" spans="1:28" ht="15" customHeight="1">
      <c r="A298" t="s">
        <v>629</v>
      </c>
      <c r="B298" t="s">
        <v>630</v>
      </c>
      <c r="C298" s="28">
        <v>615</v>
      </c>
      <c r="E298" t="s">
        <v>630</v>
      </c>
      <c r="F298" s="28">
        <v>359</v>
      </c>
      <c r="G298" t="b">
        <f>IF(B298=E298,TRUE,FALSE)</f>
        <v>1</v>
      </c>
      <c r="J298" s="25">
        <f>F298-C298</f>
        <v>-256</v>
      </c>
      <c r="K298" s="4">
        <f>F298/C298-1</f>
        <v>-0.41626016260162602</v>
      </c>
      <c r="M298" s="5">
        <v>827.41</v>
      </c>
      <c r="N298" s="5">
        <v>374.03</v>
      </c>
      <c r="Q298" s="139">
        <v>1933.99</v>
      </c>
      <c r="U298" s="127">
        <f>N298-M298</f>
        <v>-453.38</v>
      </c>
      <c r="V298" s="4">
        <f>IF(M298=0,0,N298/M298-1)</f>
        <v>-0.54795083453185245</v>
      </c>
      <c r="W298" s="18">
        <v>16598.849999999999</v>
      </c>
      <c r="X298" s="18">
        <v>9689.41</v>
      </c>
      <c r="Y298" s="4">
        <f>X298/W298-1</f>
        <v>-0.41626016260162602</v>
      </c>
    </row>
    <row r="299" spans="1:28" ht="15" customHeight="1">
      <c r="A299" t="s">
        <v>631</v>
      </c>
      <c r="B299" t="s">
        <v>632</v>
      </c>
      <c r="C299" s="28">
        <v>834</v>
      </c>
      <c r="E299" t="s">
        <v>632</v>
      </c>
      <c r="F299" s="28">
        <v>570</v>
      </c>
      <c r="G299" t="b">
        <f>IF(B299=E299,TRUE,FALSE)</f>
        <v>1</v>
      </c>
      <c r="J299" s="25">
        <f>F299-C299</f>
        <v>-264</v>
      </c>
      <c r="K299" s="4">
        <f>F299/C299-1</f>
        <v>-0.31654676258992809</v>
      </c>
      <c r="M299" s="5">
        <v>1795.29</v>
      </c>
      <c r="N299" s="5">
        <v>1286.1500000000001</v>
      </c>
      <c r="Q299" s="139">
        <v>5425.16</v>
      </c>
      <c r="U299" s="127">
        <f>N299-M299</f>
        <v>-509.13999999999987</v>
      </c>
      <c r="V299" s="4">
        <f>IF(M299=0,0,N299/M299-1)</f>
        <v>-0.28359763603651766</v>
      </c>
      <c r="W299" s="18">
        <v>16219.66</v>
      </c>
      <c r="X299" s="18">
        <v>11987.9</v>
      </c>
      <c r="Y299" s="4">
        <f>X299/W299-1</f>
        <v>-0.26090312620609801</v>
      </c>
    </row>
    <row r="300" spans="1:28" ht="15" customHeight="1">
      <c r="A300" t="s">
        <v>633</v>
      </c>
      <c r="B300" t="s">
        <v>634</v>
      </c>
      <c r="C300" s="28">
        <v>537</v>
      </c>
      <c r="E300" t="s">
        <v>634</v>
      </c>
      <c r="F300" s="28">
        <v>271</v>
      </c>
      <c r="G300" t="b">
        <f>IF(B300=E300,TRUE,FALSE)</f>
        <v>1</v>
      </c>
      <c r="J300" s="25">
        <f>F300-C300</f>
        <v>-266</v>
      </c>
      <c r="K300" s="4">
        <f>F300/C300-1</f>
        <v>-0.49534450651769091</v>
      </c>
      <c r="M300" s="5">
        <v>674.23</v>
      </c>
      <c r="N300" s="5">
        <v>261.39</v>
      </c>
      <c r="Q300" s="139">
        <v>1158.3900000000001</v>
      </c>
      <c r="U300" s="127">
        <f>N300-M300</f>
        <v>-412.84000000000003</v>
      </c>
      <c r="V300" s="4">
        <f>IF(M300=0,0,N300/M300-1)</f>
        <v>-0.61231330554855168</v>
      </c>
      <c r="W300" s="18">
        <v>10197.629999999999</v>
      </c>
      <c r="X300" s="18">
        <v>5146.29</v>
      </c>
      <c r="Y300" s="4">
        <f>X300/W300-1</f>
        <v>-0.4953445065176908</v>
      </c>
    </row>
    <row r="301" spans="1:28" ht="15" customHeight="1">
      <c r="A301" t="s">
        <v>635</v>
      </c>
      <c r="B301" t="s">
        <v>636</v>
      </c>
      <c r="C301" s="28">
        <v>663</v>
      </c>
      <c r="E301" t="s">
        <v>636</v>
      </c>
      <c r="F301" s="28">
        <v>396</v>
      </c>
      <c r="G301" t="b">
        <f>IF(B301=E301,TRUE,FALSE)</f>
        <v>1</v>
      </c>
      <c r="J301" s="25">
        <f>F301-C301</f>
        <v>-267</v>
      </c>
      <c r="K301" s="4">
        <f>F301/C301-1</f>
        <v>-0.40271493212669685</v>
      </c>
      <c r="M301" s="5">
        <v>806.19</v>
      </c>
      <c r="N301" s="5">
        <v>435.06</v>
      </c>
      <c r="Q301" s="139">
        <v>1434.9</v>
      </c>
      <c r="U301" s="127">
        <f>N301-M301</f>
        <v>-371.13000000000005</v>
      </c>
      <c r="V301" s="4">
        <f>IF(M301=0,0,N301/M301-1)</f>
        <v>-0.46035053771443457</v>
      </c>
      <c r="W301" s="18">
        <v>10574.85</v>
      </c>
      <c r="X301" s="18">
        <v>6241.0999999999995</v>
      </c>
      <c r="Y301" s="4">
        <f>X301/W301-1</f>
        <v>-0.40981668770715429</v>
      </c>
    </row>
    <row r="302" spans="1:28" ht="15" customHeight="1">
      <c r="A302" t="s">
        <v>637</v>
      </c>
      <c r="B302" t="s">
        <v>638</v>
      </c>
      <c r="C302" s="28">
        <v>2212</v>
      </c>
      <c r="E302" t="s">
        <v>638</v>
      </c>
      <c r="F302" s="28">
        <v>1940</v>
      </c>
      <c r="G302" t="b">
        <f>IF(B302=E302,TRUE,FALSE)</f>
        <v>1</v>
      </c>
      <c r="J302" s="25">
        <f>F302-C302</f>
        <v>-272</v>
      </c>
      <c r="K302" s="4">
        <f>F302/C302-1</f>
        <v>-0.12296564195298376</v>
      </c>
      <c r="M302" s="5">
        <v>4835.71</v>
      </c>
      <c r="N302" s="5">
        <v>5211.49</v>
      </c>
      <c r="Q302" s="139">
        <v>30213.31</v>
      </c>
      <c r="U302" s="127">
        <f>N302-M302</f>
        <v>375.77999999999975</v>
      </c>
      <c r="V302" s="4">
        <f>IF(M302=0,0,N302/M302-1)</f>
        <v>7.7709374631646622E-2</v>
      </c>
      <c r="W302" s="18">
        <v>66337.88</v>
      </c>
      <c r="X302" s="18">
        <v>58185.14</v>
      </c>
      <c r="Y302" s="4">
        <f>X302/W302-1</f>
        <v>-0.12289720443282182</v>
      </c>
    </row>
    <row r="303" spans="1:28" ht="15" customHeight="1">
      <c r="A303" s="54" t="s">
        <v>639</v>
      </c>
      <c r="B303" s="37" t="s">
        <v>640</v>
      </c>
      <c r="C303" s="28">
        <v>278</v>
      </c>
      <c r="E303" s="37" t="s">
        <v>640</v>
      </c>
      <c r="F303" s="28">
        <v>5</v>
      </c>
      <c r="G303" t="b">
        <f>IF(B303=E303,TRUE,FALSE)</f>
        <v>1</v>
      </c>
      <c r="J303" s="25">
        <f>F303-C303</f>
        <v>-273</v>
      </c>
      <c r="K303" s="4">
        <f>F303/C303-1</f>
        <v>-0.98201438848920863</v>
      </c>
      <c r="M303" s="5">
        <v>1500.78</v>
      </c>
      <c r="N303" s="5">
        <v>17.84</v>
      </c>
      <c r="Q303" s="138">
        <v>19.989999999999998</v>
      </c>
      <c r="U303" s="127">
        <f>N303-M303</f>
        <v>-1482.94</v>
      </c>
      <c r="V303" s="4">
        <f>IF(M303=0,0,N303/M303-1)</f>
        <v>-0.98811284798571408</v>
      </c>
      <c r="W303" s="18">
        <v>5381.03</v>
      </c>
      <c r="X303" s="18">
        <v>99.75</v>
      </c>
      <c r="Y303" s="4">
        <f>X303/W303-1</f>
        <v>-0.9814626567776058</v>
      </c>
    </row>
    <row r="304" spans="1:28" ht="15" customHeight="1">
      <c r="A304" t="s">
        <v>641</v>
      </c>
      <c r="B304" t="s">
        <v>642</v>
      </c>
      <c r="C304" s="28">
        <v>683</v>
      </c>
      <c r="E304" t="s">
        <v>642</v>
      </c>
      <c r="F304" s="28">
        <v>402</v>
      </c>
      <c r="G304" t="b">
        <f>IF(B304=E304,TRUE,FALSE)</f>
        <v>1</v>
      </c>
      <c r="J304" s="25">
        <f>F304-C304</f>
        <v>-281</v>
      </c>
      <c r="K304" s="4">
        <f>F304/C304-1</f>
        <v>-0.41142020497803811</v>
      </c>
      <c r="M304" s="5">
        <v>635.96</v>
      </c>
      <c r="N304" s="5">
        <v>201.02</v>
      </c>
      <c r="Q304" s="139">
        <v>1757.24</v>
      </c>
      <c r="U304" s="127">
        <f>N304-M304</f>
        <v>-434.94000000000005</v>
      </c>
      <c r="V304" s="4">
        <f>IF(M304=0,0,N304/M304-1)</f>
        <v>-0.68391093779482981</v>
      </c>
      <c r="W304" s="18">
        <v>20483.169999999998</v>
      </c>
      <c r="X304" s="18">
        <v>12055.98</v>
      </c>
      <c r="Y304" s="4">
        <f>X304/W304-1</f>
        <v>-0.411420204978038</v>
      </c>
    </row>
    <row r="305" spans="1:27" ht="15" customHeight="1">
      <c r="A305" s="54" t="s">
        <v>643</v>
      </c>
      <c r="B305" s="37" t="s">
        <v>644</v>
      </c>
      <c r="C305" s="28">
        <v>1372</v>
      </c>
      <c r="E305" s="37" t="s">
        <v>644</v>
      </c>
      <c r="F305" s="28">
        <v>1087</v>
      </c>
      <c r="G305" t="b">
        <f>IF(B305=E305,TRUE,FALSE)</f>
        <v>1</v>
      </c>
      <c r="J305" s="25">
        <f>F305-C305</f>
        <v>-285</v>
      </c>
      <c r="K305" s="4">
        <f>F305/C305-1</f>
        <v>-0.20772594752186591</v>
      </c>
      <c r="M305" s="5">
        <v>2404.48</v>
      </c>
      <c r="N305" s="5">
        <v>2133.29</v>
      </c>
      <c r="Q305" s="138">
        <v>10299.709999999999</v>
      </c>
      <c r="U305" s="127">
        <f>N305-M305</f>
        <v>-271.19000000000005</v>
      </c>
      <c r="V305" s="4">
        <f>IF(M305=0,0,N305/M305-1)</f>
        <v>-0.11278530077189253</v>
      </c>
      <c r="W305" s="18">
        <v>27892.3</v>
      </c>
      <c r="X305" s="18">
        <v>23901.81</v>
      </c>
      <c r="Y305" s="4">
        <f>X305/W305-1</f>
        <v>-0.14306780007385544</v>
      </c>
    </row>
    <row r="306" spans="1:27" ht="15" customHeight="1">
      <c r="A306" s="143" t="s">
        <v>643</v>
      </c>
      <c r="B306" s="143" t="s">
        <v>644</v>
      </c>
      <c r="C306" s="28">
        <v>1372</v>
      </c>
      <c r="E306" s="143" t="s">
        <v>644</v>
      </c>
      <c r="F306" s="28">
        <v>1087</v>
      </c>
      <c r="G306" t="b">
        <f>IF(B306=E306,TRUE,FALSE)</f>
        <v>1</v>
      </c>
      <c r="J306" s="25">
        <f>F306-C306</f>
        <v>-285</v>
      </c>
      <c r="K306" s="4">
        <f>F306/C306-1</f>
        <v>-0.20772594752186591</v>
      </c>
      <c r="M306" s="5">
        <v>2404.48</v>
      </c>
      <c r="N306" s="5">
        <v>2133.29</v>
      </c>
      <c r="Q306" s="138">
        <v>10299.709999999999</v>
      </c>
      <c r="U306" s="127">
        <f>N306-M306</f>
        <v>-271.19000000000005</v>
      </c>
      <c r="V306" s="4">
        <f>IF(M306=0,0,N306/M306-1)</f>
        <v>-0.11278530077189253</v>
      </c>
      <c r="W306" s="18">
        <v>27892.3</v>
      </c>
      <c r="X306" s="18">
        <v>23901.81</v>
      </c>
      <c r="Y306" s="4">
        <f>X306/W306-1</f>
        <v>-0.14306780007385544</v>
      </c>
    </row>
    <row r="307" spans="1:27" ht="15" customHeight="1">
      <c r="A307" t="s">
        <v>645</v>
      </c>
      <c r="B307" t="s">
        <v>646</v>
      </c>
      <c r="C307" s="28">
        <v>621</v>
      </c>
      <c r="E307" t="s">
        <v>646</v>
      </c>
      <c r="F307" s="28">
        <v>328</v>
      </c>
      <c r="G307" t="b">
        <f>IF(B307=E307,TRUE,FALSE)</f>
        <v>1</v>
      </c>
      <c r="J307" s="25">
        <f>F307-C307</f>
        <v>-293</v>
      </c>
      <c r="K307" s="4">
        <f>F307/C307-1</f>
        <v>-0.4718196457326892</v>
      </c>
      <c r="M307" s="5">
        <v>1292.3</v>
      </c>
      <c r="N307" s="5">
        <v>649.70000000000005</v>
      </c>
      <c r="Q307" s="139">
        <v>3280.61</v>
      </c>
      <c r="U307" s="127">
        <f>N307-M307</f>
        <v>-642.59999999999991</v>
      </c>
      <c r="V307" s="4">
        <f>IF(M307=0,0,N307/M307-1)</f>
        <v>-0.4972529598390466</v>
      </c>
      <c r="W307" s="18">
        <v>18598.95</v>
      </c>
      <c r="X307" s="18">
        <v>9823.6</v>
      </c>
      <c r="Y307" s="4">
        <f>X307/W307-1</f>
        <v>-0.4718196457326892</v>
      </c>
    </row>
    <row r="308" spans="1:27" ht="15" customHeight="1">
      <c r="A308" s="54" t="s">
        <v>647</v>
      </c>
      <c r="B308" s="37" t="s">
        <v>648</v>
      </c>
      <c r="C308" s="19">
        <v>299</v>
      </c>
      <c r="E308" s="37" t="s">
        <v>648</v>
      </c>
      <c r="F308" s="19">
        <v>0</v>
      </c>
      <c r="G308" t="b">
        <f>IF(B308=E308,TRUE,FALSE)</f>
        <v>1</v>
      </c>
      <c r="J308" s="25">
        <f>F308-C308</f>
        <v>-299</v>
      </c>
      <c r="K308" s="4">
        <f>F308/C308-1</f>
        <v>-1</v>
      </c>
      <c r="M308" s="5">
        <v>202.15</v>
      </c>
      <c r="N308" s="5">
        <v>0</v>
      </c>
      <c r="Q308" s="138">
        <v>0</v>
      </c>
      <c r="U308" s="127">
        <f>N308-M308</f>
        <v>-202.15</v>
      </c>
      <c r="V308" s="4">
        <f>IF(M308=0,0,N308/M308-1)</f>
        <v>-1</v>
      </c>
      <c r="W308">
        <v>5977.01</v>
      </c>
      <c r="X308">
        <v>0</v>
      </c>
      <c r="Y308" s="4">
        <f>X308/W308-1</f>
        <v>-1</v>
      </c>
    </row>
    <row r="309" spans="1:27" ht="15" customHeight="1">
      <c r="A309" t="s">
        <v>649</v>
      </c>
      <c r="B309" t="s">
        <v>650</v>
      </c>
      <c r="C309" s="28">
        <v>536</v>
      </c>
      <c r="E309" t="s">
        <v>650</v>
      </c>
      <c r="F309" s="28">
        <v>235</v>
      </c>
      <c r="G309" t="b">
        <f>IF(B309=E309,TRUE,FALSE)</f>
        <v>1</v>
      </c>
      <c r="J309" s="25">
        <f>F309-C309</f>
        <v>-301</v>
      </c>
      <c r="K309" s="4">
        <f>F309/C309-1</f>
        <v>-0.56156716417910446</v>
      </c>
      <c r="M309" s="5">
        <v>286.76</v>
      </c>
      <c r="N309" s="5">
        <v>26.19</v>
      </c>
      <c r="Q309" s="139">
        <v>104.96</v>
      </c>
      <c r="U309" s="127">
        <f>N309-M309</f>
        <v>-260.57</v>
      </c>
      <c r="V309" s="4">
        <f>IF(M309=0,0,N309/M309-1)</f>
        <v>-0.9086692704700795</v>
      </c>
      <c r="W309" s="18">
        <v>13387.76</v>
      </c>
      <c r="X309" s="18">
        <v>5872.05</v>
      </c>
      <c r="Y309" s="4">
        <f>X309/W309-1</f>
        <v>-0.56138666961463302</v>
      </c>
    </row>
    <row r="310" spans="1:27" ht="15" customHeight="1">
      <c r="A310" s="54" t="s">
        <v>651</v>
      </c>
      <c r="B310" s="37" t="s">
        <v>652</v>
      </c>
      <c r="C310" s="28">
        <v>830</v>
      </c>
      <c r="E310" s="37" t="s">
        <v>652</v>
      </c>
      <c r="F310" s="28">
        <v>528</v>
      </c>
      <c r="G310" t="b">
        <f>IF(B310=E310,TRUE,FALSE)</f>
        <v>1</v>
      </c>
      <c r="J310" s="25">
        <f>F310-C310</f>
        <v>-302</v>
      </c>
      <c r="K310" s="4">
        <f>F310/C310-1</f>
        <v>-0.363855421686747</v>
      </c>
      <c r="M310" s="5">
        <v>1222.6500000000001</v>
      </c>
      <c r="N310" s="5">
        <v>785.12</v>
      </c>
      <c r="Q310" s="139">
        <v>5127.1099999999997</v>
      </c>
      <c r="U310" s="127">
        <f>N310-M310</f>
        <v>-437.53000000000009</v>
      </c>
      <c r="V310" s="4">
        <f>IF(M310=0,0,N310/M310-1)</f>
        <v>-0.35785384206436843</v>
      </c>
      <c r="W310" s="18">
        <v>13567.12</v>
      </c>
      <c r="X310" s="18">
        <v>10554.14</v>
      </c>
      <c r="Y310" s="4">
        <f>X310/W310-1</f>
        <v>-0.22207955704674254</v>
      </c>
    </row>
    <row r="311" spans="1:27" ht="15" customHeight="1">
      <c r="A311" t="s">
        <v>653</v>
      </c>
      <c r="B311" t="s">
        <v>654</v>
      </c>
      <c r="C311" s="28">
        <v>732</v>
      </c>
      <c r="E311" t="s">
        <v>654</v>
      </c>
      <c r="F311" s="28">
        <v>429</v>
      </c>
      <c r="G311" t="b">
        <f>IF(B311=E311,TRUE,FALSE)</f>
        <v>1</v>
      </c>
      <c r="J311" s="25">
        <f>F311-C311</f>
        <v>-303</v>
      </c>
      <c r="K311" s="4">
        <f>F311/C311-1</f>
        <v>-0.41393442622950816</v>
      </c>
      <c r="M311" s="5">
        <v>1061.6600000000001</v>
      </c>
      <c r="N311" s="5">
        <v>547.14</v>
      </c>
      <c r="Q311" s="139">
        <v>3032.71</v>
      </c>
      <c r="U311" s="127">
        <f>N311-M311</f>
        <v>-514.5200000000001</v>
      </c>
      <c r="V311" s="4">
        <f>IF(M311=0,0,N311/M311-1)</f>
        <v>-0.48463726616807645</v>
      </c>
      <c r="W311" s="18">
        <v>18292.68</v>
      </c>
      <c r="X311" s="18">
        <v>10720.71</v>
      </c>
      <c r="Y311" s="4">
        <f>X311/W311-1</f>
        <v>-0.41393442622950827</v>
      </c>
    </row>
    <row r="312" spans="1:27" ht="15" customHeight="1">
      <c r="A312" t="s">
        <v>655</v>
      </c>
      <c r="B312" t="s">
        <v>656</v>
      </c>
      <c r="C312" s="28">
        <v>2757</v>
      </c>
      <c r="E312" t="s">
        <v>656</v>
      </c>
      <c r="F312" s="28">
        <v>2445</v>
      </c>
      <c r="G312" t="b">
        <f>IF(B312=E312,TRUE,FALSE)</f>
        <v>1</v>
      </c>
      <c r="J312" s="25">
        <f>F312-C312</f>
        <v>-312</v>
      </c>
      <c r="K312" s="4">
        <f>F312/C312-1</f>
        <v>-0.11316648531011975</v>
      </c>
      <c r="M312" s="5">
        <v>3289.41</v>
      </c>
      <c r="N312" s="5">
        <v>3395.79</v>
      </c>
      <c r="Q312" s="139">
        <v>21845.89</v>
      </c>
      <c r="U312" s="127">
        <f>N312-M312</f>
        <v>106.38000000000011</v>
      </c>
      <c r="V312" s="4">
        <f>IF(M312=0,0,N312/M312-1)</f>
        <v>3.2340146105228618E-2</v>
      </c>
      <c r="W312" s="18">
        <v>78822.33</v>
      </c>
      <c r="X312" s="18">
        <v>73311.45</v>
      </c>
      <c r="Y312" s="4">
        <f>X312/W312-1</f>
        <v>-6.9915213112832442E-2</v>
      </c>
      <c r="AA312" t="s">
        <v>657</v>
      </c>
    </row>
    <row r="313" spans="1:27" ht="15" customHeight="1">
      <c r="A313" t="s">
        <v>658</v>
      </c>
      <c r="B313" t="s">
        <v>659</v>
      </c>
      <c r="C313" s="28">
        <v>1617</v>
      </c>
      <c r="E313" t="s">
        <v>659</v>
      </c>
      <c r="F313" s="28">
        <v>1305</v>
      </c>
      <c r="G313" t="b">
        <f>IF(B313=E313,TRUE,FALSE)</f>
        <v>1</v>
      </c>
      <c r="J313" s="25">
        <f>F313-C313</f>
        <v>-312</v>
      </c>
      <c r="K313" s="4">
        <f>F313/C313-1</f>
        <v>-0.19294990723562155</v>
      </c>
      <c r="M313" s="5">
        <v>2103.6999999999998</v>
      </c>
      <c r="N313" s="5">
        <v>1500.85</v>
      </c>
      <c r="Q313" s="139">
        <v>13608.36</v>
      </c>
      <c r="U313" s="127">
        <f>N313-M313</f>
        <v>-602.84999999999991</v>
      </c>
      <c r="V313" s="4">
        <f>IF(M313=0,0,N313/M313-1)</f>
        <v>-0.28656652564529161</v>
      </c>
      <c r="W313" s="18">
        <v>47013.2</v>
      </c>
      <c r="X313" s="18">
        <v>41728.71</v>
      </c>
      <c r="Y313" s="4">
        <f>X313/W313-1</f>
        <v>-0.11240438855470369</v>
      </c>
    </row>
    <row r="314" spans="1:27" ht="15" customHeight="1">
      <c r="A314" t="s">
        <v>660</v>
      </c>
      <c r="B314" t="s">
        <v>661</v>
      </c>
      <c r="C314" s="28">
        <v>854</v>
      </c>
      <c r="E314" t="s">
        <v>661</v>
      </c>
      <c r="F314" s="28">
        <v>542</v>
      </c>
      <c r="G314" t="b">
        <f>IF(B314=E314,TRUE,FALSE)</f>
        <v>1</v>
      </c>
      <c r="J314" s="25">
        <f>F314-C314</f>
        <v>-312</v>
      </c>
      <c r="K314" s="4">
        <f>F314/C314-1</f>
        <v>-0.36533957845433251</v>
      </c>
      <c r="M314" s="5">
        <v>2154.19</v>
      </c>
      <c r="N314" s="5">
        <v>1113.29</v>
      </c>
      <c r="Q314" s="139">
        <v>9005.14</v>
      </c>
      <c r="U314" s="127">
        <f>N314-M314</f>
        <v>-1040.9000000000001</v>
      </c>
      <c r="V314" s="4">
        <f>IF(M314=0,0,N314/M314-1)</f>
        <v>-0.48319786091291861</v>
      </c>
      <c r="W314" s="18">
        <v>13382.51</v>
      </c>
      <c r="X314" s="18">
        <v>9401.2000000000007</v>
      </c>
      <c r="Y314" s="4">
        <f>X314/W314-1</f>
        <v>-0.29750099196637991</v>
      </c>
    </row>
    <row r="315" spans="1:27" ht="15" customHeight="1">
      <c r="A315" t="s">
        <v>662</v>
      </c>
      <c r="B315" t="s">
        <v>663</v>
      </c>
      <c r="C315" s="28">
        <v>653</v>
      </c>
      <c r="E315" t="s">
        <v>663</v>
      </c>
      <c r="F315" s="28">
        <v>335</v>
      </c>
      <c r="G315" t="b">
        <f>IF(B315=E315,TRUE,FALSE)</f>
        <v>1</v>
      </c>
      <c r="J315" s="25">
        <f>F315-C315</f>
        <v>-318</v>
      </c>
      <c r="K315" s="4">
        <f>F315/C315-1</f>
        <v>-0.48698315467075037</v>
      </c>
      <c r="M315" s="5">
        <v>1117.22</v>
      </c>
      <c r="N315" s="5">
        <v>500.79</v>
      </c>
      <c r="Q315" s="139">
        <v>2607.92</v>
      </c>
      <c r="U315" s="127">
        <f>N315-M315</f>
        <v>-616.43000000000006</v>
      </c>
      <c r="V315" s="4">
        <f>IF(M315=0,0,N315/M315-1)</f>
        <v>-0.55175345947978016</v>
      </c>
      <c r="W315" s="18">
        <v>19493.5</v>
      </c>
      <c r="X315" s="18">
        <v>10046.65</v>
      </c>
      <c r="Y315" s="4">
        <f>X315/W315-1</f>
        <v>-0.48461538461538467</v>
      </c>
    </row>
    <row r="316" spans="1:27" ht="15" customHeight="1">
      <c r="A316" t="s">
        <v>664</v>
      </c>
      <c r="B316" t="s">
        <v>665</v>
      </c>
      <c r="C316" s="28">
        <v>654</v>
      </c>
      <c r="E316" t="s">
        <v>665</v>
      </c>
      <c r="F316" s="28">
        <v>327</v>
      </c>
      <c r="G316" t="b">
        <f>IF(B316=E316,TRUE,FALSE)</f>
        <v>1</v>
      </c>
      <c r="J316" s="25">
        <f>F316-C316</f>
        <v>-327</v>
      </c>
      <c r="K316" s="4">
        <f>F316/C316-1</f>
        <v>-0.5</v>
      </c>
      <c r="M316" s="5">
        <v>794.36</v>
      </c>
      <c r="N316" s="5">
        <v>265.25</v>
      </c>
      <c r="Q316" s="139">
        <v>1758.44</v>
      </c>
      <c r="U316" s="127">
        <f>N316-M316</f>
        <v>-529.11</v>
      </c>
      <c r="V316" s="4">
        <f>IF(M316=0,0,N316/M316-1)</f>
        <v>-0.66608338788458632</v>
      </c>
      <c r="W316" s="18">
        <v>24191.46</v>
      </c>
      <c r="X316" s="18">
        <v>12095.73</v>
      </c>
      <c r="Y316" s="4">
        <f>X316/W316-1</f>
        <v>-0.5</v>
      </c>
    </row>
    <row r="317" spans="1:27" ht="15" customHeight="1">
      <c r="A317" t="s">
        <v>666</v>
      </c>
      <c r="B317" t="s">
        <v>667</v>
      </c>
      <c r="C317" s="28">
        <v>27517</v>
      </c>
      <c r="E317" t="s">
        <v>667</v>
      </c>
      <c r="F317" s="28">
        <v>27178</v>
      </c>
      <c r="G317" t="b">
        <f>IF(B317=E317,TRUE,FALSE)</f>
        <v>1</v>
      </c>
      <c r="J317" s="25">
        <f>F317-C317</f>
        <v>-339</v>
      </c>
      <c r="K317" s="4">
        <f>F317/C317-1</f>
        <v>-1.2319656939346557E-2</v>
      </c>
      <c r="M317" s="5">
        <v>18517.61</v>
      </c>
      <c r="N317" s="5">
        <v>27560.63</v>
      </c>
      <c r="Q317" s="139">
        <v>174555.47</v>
      </c>
      <c r="U317" s="127">
        <f>N317-M317</f>
        <v>9043.02</v>
      </c>
      <c r="V317" s="4">
        <f>IF(M317=0,0,N317/M317-1)</f>
        <v>0.48834703830569937</v>
      </c>
      <c r="W317" s="18">
        <v>1174541.24</v>
      </c>
      <c r="X317" s="18">
        <v>1207934.52</v>
      </c>
      <c r="Y317" s="4">
        <f>X317/W317-1</f>
        <v>2.8430913162316829E-2</v>
      </c>
      <c r="Z317" t="s">
        <v>668</v>
      </c>
    </row>
    <row r="318" spans="1:27" ht="15" customHeight="1">
      <c r="A318" t="s">
        <v>669</v>
      </c>
      <c r="B318" t="s">
        <v>670</v>
      </c>
      <c r="C318" s="28">
        <v>5099</v>
      </c>
      <c r="E318" t="s">
        <v>670</v>
      </c>
      <c r="F318" s="28">
        <v>4740</v>
      </c>
      <c r="G318" t="b">
        <f>IF(B318=E318,TRUE,FALSE)</f>
        <v>1</v>
      </c>
      <c r="J318" s="25">
        <f>F318-C318</f>
        <v>-359</v>
      </c>
      <c r="K318" s="4">
        <f>F318/C318-1</f>
        <v>-7.0405961953324159E-2</v>
      </c>
      <c r="M318" s="5">
        <v>4190.3500000000004</v>
      </c>
      <c r="N318" s="5">
        <v>3492.28</v>
      </c>
      <c r="Q318" s="139">
        <v>41047.96</v>
      </c>
      <c r="U318" s="127">
        <f>N318-M318</f>
        <v>-698.07000000000016</v>
      </c>
      <c r="V318" s="4">
        <f>IF(M318=0,0,N318/M318-1)</f>
        <v>-0.16658990299139698</v>
      </c>
      <c r="W318" s="18">
        <v>159207.95000000001</v>
      </c>
      <c r="X318" s="18">
        <v>160411.17000000001</v>
      </c>
      <c r="Y318" s="4">
        <f>X318/W318-1</f>
        <v>7.5575371707254924E-3</v>
      </c>
    </row>
    <row r="319" spans="1:27" ht="15" customHeight="1">
      <c r="A319" s="54" t="s">
        <v>671</v>
      </c>
      <c r="B319" s="37" t="s">
        <v>672</v>
      </c>
      <c r="C319" s="28">
        <v>6373</v>
      </c>
      <c r="E319" s="37" t="s">
        <v>672</v>
      </c>
      <c r="F319" s="28">
        <v>6011</v>
      </c>
      <c r="G319" t="b">
        <f>IF(B319=E319,TRUE,FALSE)</f>
        <v>1</v>
      </c>
      <c r="J319" s="25">
        <f>F319-C319</f>
        <v>-362</v>
      </c>
      <c r="K319" s="4">
        <f>F319/C319-1</f>
        <v>-5.6802134002824411E-2</v>
      </c>
      <c r="M319" s="5">
        <v>11370.830000000002</v>
      </c>
      <c r="N319" s="5">
        <v>10780.58</v>
      </c>
      <c r="Q319" s="138">
        <v>78527.56</v>
      </c>
      <c r="U319" s="127">
        <f>N319-M319</f>
        <v>-590.25000000000182</v>
      </c>
      <c r="V319" s="4">
        <f>IF(M319=0,0,N319/M319-1)</f>
        <v>-5.1909139438370056E-2</v>
      </c>
      <c r="W319" s="18">
        <v>171912.8</v>
      </c>
      <c r="X319" s="18">
        <v>162216.1</v>
      </c>
      <c r="Y319" s="4">
        <f>X319/W319-1</f>
        <v>-5.6404758691615653E-2</v>
      </c>
    </row>
    <row r="320" spans="1:27" ht="15" customHeight="1">
      <c r="A320" t="s">
        <v>673</v>
      </c>
      <c r="B320" t="s">
        <v>674</v>
      </c>
      <c r="C320" s="28">
        <v>1108</v>
      </c>
      <c r="E320" t="s">
        <v>674</v>
      </c>
      <c r="F320" s="28">
        <v>735</v>
      </c>
      <c r="G320" t="b">
        <f>IF(B320=E320,TRUE,FALSE)</f>
        <v>1</v>
      </c>
      <c r="J320" s="25">
        <f>F320-C320</f>
        <v>-373</v>
      </c>
      <c r="K320" s="4">
        <f>F320/C320-1</f>
        <v>-0.33664259927797835</v>
      </c>
      <c r="M320" s="5">
        <v>2075.56</v>
      </c>
      <c r="N320" s="5">
        <v>1050.5999999999999</v>
      </c>
      <c r="Q320" s="139">
        <v>7524.48</v>
      </c>
      <c r="U320" s="127">
        <f>N320-M320</f>
        <v>-1024.96</v>
      </c>
      <c r="V320" s="4">
        <f>IF(M320=0,0,N320/M320-1)</f>
        <v>-0.49382335369731545</v>
      </c>
      <c r="W320" s="18">
        <v>31600.240000000002</v>
      </c>
      <c r="X320" s="18">
        <v>21606.21</v>
      </c>
      <c r="Y320" s="4">
        <f>X320/W320-1</f>
        <v>-0.31626437014402431</v>
      </c>
    </row>
    <row r="321" spans="1:28" ht="15" customHeight="1">
      <c r="A321" t="s">
        <v>675</v>
      </c>
      <c r="B321" t="s">
        <v>676</v>
      </c>
      <c r="C321" s="28">
        <v>729</v>
      </c>
      <c r="E321" t="s">
        <v>676</v>
      </c>
      <c r="F321" s="28">
        <v>341</v>
      </c>
      <c r="G321" t="b">
        <f>IF(B321=E321,TRUE,FALSE)</f>
        <v>1</v>
      </c>
      <c r="J321" s="25">
        <f>F321-C321</f>
        <v>-388</v>
      </c>
      <c r="K321" s="4">
        <f>F321/C321-1</f>
        <v>-0.53223593964334703</v>
      </c>
      <c r="M321" s="5">
        <v>566.21</v>
      </c>
      <c r="N321" s="5">
        <v>312.37</v>
      </c>
      <c r="Q321" s="139">
        <v>1758</v>
      </c>
      <c r="U321" s="127">
        <f>N321-M321</f>
        <v>-253.84000000000003</v>
      </c>
      <c r="V321" s="4">
        <f>IF(M321=0,0,N321/M321-1)</f>
        <v>-0.44831422970276047</v>
      </c>
      <c r="W321" s="18">
        <v>16001.55</v>
      </c>
      <c r="X321" s="18">
        <v>7484.95</v>
      </c>
      <c r="Y321" s="4">
        <f>X321/W321-1</f>
        <v>-0.53223593964334703</v>
      </c>
    </row>
    <row r="322" spans="1:28" ht="15" customHeight="1">
      <c r="A322" t="s">
        <v>677</v>
      </c>
      <c r="B322" t="s">
        <v>678</v>
      </c>
      <c r="C322" s="28">
        <v>5711</v>
      </c>
      <c r="E322" t="s">
        <v>678</v>
      </c>
      <c r="F322" s="28">
        <v>5314</v>
      </c>
      <c r="G322" t="b">
        <f>IF(B322=E322,TRUE,FALSE)</f>
        <v>1</v>
      </c>
      <c r="J322" s="25">
        <f>F322-C322</f>
        <v>-397</v>
      </c>
      <c r="K322" s="4">
        <f>F322/C322-1</f>
        <v>-6.9514971108387336E-2</v>
      </c>
      <c r="M322" s="5">
        <v>4019.13</v>
      </c>
      <c r="N322" s="5">
        <v>3440.8</v>
      </c>
      <c r="Q322" s="139">
        <v>26021.21</v>
      </c>
      <c r="U322" s="127">
        <f>N322-M322</f>
        <v>-578.32999999999993</v>
      </c>
      <c r="V322" s="4">
        <f>IF(M322=0,0,N322/M322-1)</f>
        <v>-0.14389432538882796</v>
      </c>
      <c r="W322" s="18">
        <v>165101.01999999999</v>
      </c>
      <c r="X322" s="18">
        <v>152651.97</v>
      </c>
      <c r="Y322" s="4">
        <f>X322/W322-1</f>
        <v>-7.5402623193969287E-2</v>
      </c>
    </row>
    <row r="323" spans="1:28" ht="15" customHeight="1">
      <c r="A323" t="s">
        <v>679</v>
      </c>
      <c r="B323" t="s">
        <v>680</v>
      </c>
      <c r="C323" s="28">
        <v>2232</v>
      </c>
      <c r="E323" t="s">
        <v>680</v>
      </c>
      <c r="F323" s="28">
        <v>1833</v>
      </c>
      <c r="G323" t="b">
        <f>IF(B323=E323,TRUE,FALSE)</f>
        <v>1</v>
      </c>
      <c r="J323" s="25">
        <f>F323-C323</f>
        <v>-399</v>
      </c>
      <c r="K323" s="4">
        <f>F323/C323-1</f>
        <v>-0.17876344086021501</v>
      </c>
      <c r="M323" s="5">
        <v>3494.76</v>
      </c>
      <c r="N323" s="5">
        <v>3207.75</v>
      </c>
      <c r="Q323" s="139">
        <v>15421.57</v>
      </c>
      <c r="U323" s="127">
        <f>N323-M323</f>
        <v>-287.01000000000022</v>
      </c>
      <c r="V323" s="4">
        <f>IF(M323=0,0,N323/M323-1)</f>
        <v>-8.2125811214504019E-2</v>
      </c>
      <c r="W323" s="18">
        <v>40761.86</v>
      </c>
      <c r="X323" s="18">
        <v>35990.79</v>
      </c>
      <c r="Y323" s="4">
        <f>X323/W323-1</f>
        <v>-0.11704740657075019</v>
      </c>
      <c r="AB323" t="s">
        <v>681</v>
      </c>
    </row>
    <row r="324" spans="1:28" ht="15" customHeight="1">
      <c r="A324" t="s">
        <v>682</v>
      </c>
      <c r="B324" t="s">
        <v>683</v>
      </c>
      <c r="C324" s="28">
        <v>865</v>
      </c>
      <c r="E324" t="s">
        <v>683</v>
      </c>
      <c r="F324" s="28">
        <v>465</v>
      </c>
      <c r="G324" t="b">
        <f>IF(B324=E324,TRUE,FALSE)</f>
        <v>1</v>
      </c>
      <c r="J324" s="25">
        <f>F324-C324</f>
        <v>-400</v>
      </c>
      <c r="K324" s="4">
        <f>F324/C324-1</f>
        <v>-0.46242774566473988</v>
      </c>
      <c r="M324" s="5">
        <v>659.88</v>
      </c>
      <c r="N324" s="5">
        <v>327.06</v>
      </c>
      <c r="Q324" s="139">
        <v>1344.75</v>
      </c>
      <c r="U324" s="127">
        <f>N324-M324</f>
        <v>-332.82</v>
      </c>
      <c r="V324" s="4">
        <f>IF(M324=0,0,N324/M324-1)</f>
        <v>-0.50436442989634478</v>
      </c>
      <c r="W324" s="18">
        <v>25906.75</v>
      </c>
      <c r="X324" s="18">
        <v>13926.75</v>
      </c>
      <c r="Y324" s="4">
        <f>X324/W324-1</f>
        <v>-0.46242774566473988</v>
      </c>
    </row>
    <row r="325" spans="1:28" ht="15" customHeight="1">
      <c r="A325" t="s">
        <v>684</v>
      </c>
      <c r="B325" t="s">
        <v>685</v>
      </c>
      <c r="C325" s="28">
        <v>781</v>
      </c>
      <c r="E325" t="s">
        <v>685</v>
      </c>
      <c r="F325" s="28">
        <v>379</v>
      </c>
      <c r="G325" t="b">
        <f>IF(B325=E325,TRUE,FALSE)</f>
        <v>1</v>
      </c>
      <c r="J325" s="25">
        <f>F325-C325</f>
        <v>-402</v>
      </c>
      <c r="K325" s="4">
        <f>F325/C325-1</f>
        <v>-0.51472471190781044</v>
      </c>
      <c r="M325" s="5">
        <v>1602.59</v>
      </c>
      <c r="N325" s="5">
        <v>807.18</v>
      </c>
      <c r="Q325" s="139">
        <v>3668.56</v>
      </c>
      <c r="U325" s="127">
        <f>N325-M325</f>
        <v>-795.41</v>
      </c>
      <c r="V325" s="4">
        <f>IF(M325=0,0,N325/M325-1)</f>
        <v>-0.49632781934243941</v>
      </c>
      <c r="W325" s="18">
        <v>23422.19</v>
      </c>
      <c r="X325" s="18">
        <v>11366.21</v>
      </c>
      <c r="Y325" s="4">
        <f>X325/W325-1</f>
        <v>-0.51472471190781044</v>
      </c>
    </row>
    <row r="326" spans="1:28" ht="15" customHeight="1">
      <c r="A326" s="37" t="s">
        <v>686</v>
      </c>
      <c r="B326" s="37" t="s">
        <v>687</v>
      </c>
      <c r="C326" s="28">
        <v>1679</v>
      </c>
      <c r="E326" s="37" t="s">
        <v>687</v>
      </c>
      <c r="F326" s="28">
        <v>1272</v>
      </c>
      <c r="G326" t="b">
        <f>IF(B326=E326,TRUE,FALSE)</f>
        <v>1</v>
      </c>
      <c r="J326" s="25">
        <f>F326-C326</f>
        <v>-407</v>
      </c>
      <c r="K326" s="4">
        <f>F326/C326-1</f>
        <v>-0.24240619416319242</v>
      </c>
      <c r="M326" s="5">
        <v>2303.66</v>
      </c>
      <c r="N326" s="5">
        <v>1374.63</v>
      </c>
      <c r="Q326" s="139">
        <v>6585.51</v>
      </c>
      <c r="U326" s="127">
        <f>N326-M326</f>
        <v>-929.02999999999975</v>
      </c>
      <c r="V326" s="4">
        <f>IF(M326=0,0,N326/M326-1)</f>
        <v>-0.40328433883472381</v>
      </c>
      <c r="W326" s="18">
        <v>44022.86</v>
      </c>
      <c r="X326" s="18">
        <v>32944.81</v>
      </c>
      <c r="Y326" s="4">
        <f>X326/W326-1</f>
        <v>-0.25164312359533214</v>
      </c>
    </row>
    <row r="327" spans="1:28" ht="15" customHeight="1">
      <c r="A327" t="s">
        <v>688</v>
      </c>
      <c r="B327" t="s">
        <v>689</v>
      </c>
      <c r="C327" s="28">
        <v>858</v>
      </c>
      <c r="E327" t="s">
        <v>689</v>
      </c>
      <c r="F327" s="28">
        <v>450</v>
      </c>
      <c r="G327" t="b">
        <f>IF(B327=E327,TRUE,FALSE)</f>
        <v>1</v>
      </c>
      <c r="J327" s="25">
        <f>F327-C327</f>
        <v>-408</v>
      </c>
      <c r="K327" s="4">
        <f>F327/C327-1</f>
        <v>-0.47552447552447552</v>
      </c>
      <c r="M327" s="5">
        <v>492.88</v>
      </c>
      <c r="N327" s="5">
        <v>195.74</v>
      </c>
      <c r="Q327" s="139">
        <v>1123.24</v>
      </c>
      <c r="U327" s="127">
        <f>N327-M327</f>
        <v>-297.14</v>
      </c>
      <c r="V327" s="4">
        <f>IF(M327=0,0,N327/M327-1)</f>
        <v>-0.60286479467618892</v>
      </c>
      <c r="W327" s="18">
        <v>17117.099999999999</v>
      </c>
      <c r="X327" s="18">
        <v>8977.5</v>
      </c>
      <c r="Y327" s="4">
        <f>X327/W327-1</f>
        <v>-0.47552447552447552</v>
      </c>
    </row>
    <row r="328" spans="1:28" ht="15" customHeight="1">
      <c r="A328" t="s">
        <v>690</v>
      </c>
      <c r="B328" t="s">
        <v>691</v>
      </c>
      <c r="C328" s="28">
        <v>3959</v>
      </c>
      <c r="E328" t="s">
        <v>691</v>
      </c>
      <c r="F328" s="28">
        <v>3542</v>
      </c>
      <c r="G328" t="b">
        <f>IF(B328=E328,TRUE,FALSE)</f>
        <v>1</v>
      </c>
      <c r="J328" s="25">
        <f>F328-C328</f>
        <v>-417</v>
      </c>
      <c r="K328" s="4">
        <f>F328/C328-1</f>
        <v>-0.10532962869411466</v>
      </c>
      <c r="M328" s="5">
        <v>6590.78</v>
      </c>
      <c r="N328" s="5">
        <v>3267.99</v>
      </c>
      <c r="Q328" s="139">
        <v>18204.2</v>
      </c>
      <c r="U328" s="127">
        <f>N328-M328</f>
        <v>-3322.79</v>
      </c>
      <c r="V328" s="4">
        <f>IF(M328=0,0,N328/M328-1)</f>
        <v>-0.50415732280549497</v>
      </c>
      <c r="W328" s="18">
        <v>106681.82</v>
      </c>
      <c r="X328" s="18">
        <v>95447.18</v>
      </c>
      <c r="Y328" s="4">
        <f>X328/W328-1</f>
        <v>-0.10530978942803948</v>
      </c>
      <c r="Z328" t="s">
        <v>692</v>
      </c>
    </row>
    <row r="329" spans="1:28" ht="15" customHeight="1">
      <c r="A329" t="s">
        <v>693</v>
      </c>
      <c r="B329" t="s">
        <v>694</v>
      </c>
      <c r="C329" s="28">
        <v>5330</v>
      </c>
      <c r="E329" t="s">
        <v>694</v>
      </c>
      <c r="F329" s="28">
        <v>4912</v>
      </c>
      <c r="G329" t="b">
        <f>IF(B329=E329,TRUE,FALSE)</f>
        <v>1</v>
      </c>
      <c r="J329" s="25">
        <f>F329-C329</f>
        <v>-418</v>
      </c>
      <c r="K329" s="4">
        <f>F329/C329-1</f>
        <v>-7.8424015009380899E-2</v>
      </c>
      <c r="M329" s="5">
        <v>6176.72</v>
      </c>
      <c r="N329" s="5">
        <v>4940.9799999999996</v>
      </c>
      <c r="Q329" s="139">
        <v>38296.879999999997</v>
      </c>
      <c r="U329" s="127">
        <f>N329-M329</f>
        <v>-1235.7400000000007</v>
      </c>
      <c r="V329" s="4">
        <f>IF(M329=0,0,N329/M329-1)</f>
        <v>-0.20006411169682303</v>
      </c>
      <c r="W329" s="18">
        <v>190529.7</v>
      </c>
      <c r="X329" s="18">
        <v>181478.05</v>
      </c>
      <c r="Y329" s="4">
        <f>X329/W329-1</f>
        <v>-4.7507816366687328E-2</v>
      </c>
    </row>
    <row r="330" spans="1:28" ht="15" customHeight="1">
      <c r="A330" s="54" t="s">
        <v>695</v>
      </c>
      <c r="B330" s="37" t="s">
        <v>696</v>
      </c>
      <c r="C330" s="28">
        <v>1056</v>
      </c>
      <c r="E330" s="37" t="s">
        <v>696</v>
      </c>
      <c r="F330" s="28">
        <v>628</v>
      </c>
      <c r="G330" t="b">
        <f>IF(B330=E330,TRUE,FALSE)</f>
        <v>1</v>
      </c>
      <c r="J330" s="25">
        <f>F330-C330</f>
        <v>-428</v>
      </c>
      <c r="K330" s="4">
        <f>F330/C330-1</f>
        <v>-0.40530303030303028</v>
      </c>
      <c r="M330" s="5">
        <v>2630.6</v>
      </c>
      <c r="N330" s="5">
        <v>1312.38</v>
      </c>
      <c r="Q330" s="138">
        <v>9393.64</v>
      </c>
      <c r="U330" s="127">
        <f>N330-M330</f>
        <v>-1318.2199999999998</v>
      </c>
      <c r="V330" s="4">
        <f>IF(M330=0,0,N330/M330-1)</f>
        <v>-0.50111001292480795</v>
      </c>
      <c r="W330" s="18">
        <v>16282.24</v>
      </c>
      <c r="X330" s="18">
        <v>12428.72</v>
      </c>
      <c r="Y330" s="4">
        <f>X330/W330-1</f>
        <v>-0.23667013875240761</v>
      </c>
    </row>
    <row r="331" spans="1:28" ht="15" customHeight="1">
      <c r="A331" t="s">
        <v>697</v>
      </c>
      <c r="B331" t="s">
        <v>698</v>
      </c>
      <c r="C331" s="28">
        <v>932</v>
      </c>
      <c r="E331" t="s">
        <v>698</v>
      </c>
      <c r="F331" s="28">
        <v>487</v>
      </c>
      <c r="G331" t="b">
        <f>IF(B331=E331,TRUE,FALSE)</f>
        <v>1</v>
      </c>
      <c r="J331" s="25">
        <f>F331-C331</f>
        <v>-445</v>
      </c>
      <c r="K331" s="4">
        <f>F331/C331-1</f>
        <v>-0.47746781115879833</v>
      </c>
      <c r="M331" s="5">
        <v>780.68</v>
      </c>
      <c r="N331" s="5">
        <v>387.31</v>
      </c>
      <c r="Q331" s="139">
        <v>1646.45</v>
      </c>
      <c r="U331" s="127">
        <f>N331-M331</f>
        <v>-393.36999999999995</v>
      </c>
      <c r="V331" s="4">
        <f>IF(M331=0,0,N331/M331-1)</f>
        <v>-0.50388123174668231</v>
      </c>
      <c r="W331" s="18">
        <v>33542.68</v>
      </c>
      <c r="X331" s="18">
        <v>17527.13</v>
      </c>
      <c r="Y331" s="4">
        <f>X331/W331-1</f>
        <v>-0.47746781115879822</v>
      </c>
    </row>
    <row r="332" spans="1:28" ht="15" customHeight="1">
      <c r="A332" s="54" t="s">
        <v>699</v>
      </c>
      <c r="B332" s="37" t="s">
        <v>700</v>
      </c>
      <c r="C332" s="28">
        <v>2090</v>
      </c>
      <c r="E332" s="37" t="s">
        <v>700</v>
      </c>
      <c r="F332" s="28">
        <v>1640</v>
      </c>
      <c r="G332" t="b">
        <f>IF(B332=E332,TRUE,FALSE)</f>
        <v>1</v>
      </c>
      <c r="J332" s="25">
        <f>F332-C332</f>
        <v>-450</v>
      </c>
      <c r="K332" s="4">
        <f>F332/C332-1</f>
        <v>-0.21531100478468901</v>
      </c>
      <c r="M332" s="5">
        <v>4259.1499999999996</v>
      </c>
      <c r="N332" s="5">
        <v>2995.03</v>
      </c>
      <c r="Q332" s="139">
        <v>13038.48</v>
      </c>
      <c r="U332" s="127">
        <f>N332-M332</f>
        <v>-1264.1199999999994</v>
      </c>
      <c r="V332" s="4">
        <f>IF(M332=0,0,N332/M332-1)</f>
        <v>-0.29680100489534289</v>
      </c>
      <c r="W332" s="18">
        <v>54643.3</v>
      </c>
      <c r="X332" s="18">
        <v>44233.37</v>
      </c>
      <c r="Y332" s="4">
        <f>X332/W332-1</f>
        <v>-0.19050697889768731</v>
      </c>
    </row>
    <row r="333" spans="1:28" ht="15" customHeight="1">
      <c r="A333" t="s">
        <v>701</v>
      </c>
      <c r="B333" s="27" t="s">
        <v>702</v>
      </c>
      <c r="C333" s="28">
        <v>2649</v>
      </c>
      <c r="E333" s="27" t="s">
        <v>702</v>
      </c>
      <c r="F333" s="28">
        <v>2185</v>
      </c>
      <c r="G333" t="b">
        <f>IF(B333=E333,TRUE,FALSE)</f>
        <v>1</v>
      </c>
      <c r="J333" s="25">
        <f>F333-C333</f>
        <v>-464</v>
      </c>
      <c r="K333" s="4">
        <f>F333/C333-1</f>
        <v>-0.1751604379010947</v>
      </c>
      <c r="M333" s="5">
        <v>3587.92</v>
      </c>
      <c r="N333" s="5">
        <v>2892.82</v>
      </c>
      <c r="Q333" s="139">
        <v>20853.28</v>
      </c>
      <c r="U333" s="127">
        <f>N333-M333</f>
        <v>-695.09999999999991</v>
      </c>
      <c r="V333" s="4">
        <f>IF(M333=0,0,N333/M333-1)</f>
        <v>-0.19373341657562038</v>
      </c>
      <c r="W333" s="18">
        <v>85575.680000000008</v>
      </c>
      <c r="X333" s="18">
        <v>74230.080000000002</v>
      </c>
      <c r="Y333" s="4">
        <f>X333/W333-1</f>
        <v>-0.13257972358501857</v>
      </c>
    </row>
    <row r="334" spans="1:28" ht="15" customHeight="1">
      <c r="A334" t="s">
        <v>703</v>
      </c>
      <c r="B334" t="s">
        <v>704</v>
      </c>
      <c r="C334" s="28">
        <v>4170</v>
      </c>
      <c r="E334" t="s">
        <v>704</v>
      </c>
      <c r="F334" s="28">
        <v>3698</v>
      </c>
      <c r="G334" t="b">
        <f>IF(B334=E334,TRUE,FALSE)</f>
        <v>1</v>
      </c>
      <c r="J334" s="25">
        <f>F334-C334</f>
        <v>-472</v>
      </c>
      <c r="K334" s="4">
        <f>F334/C334-1</f>
        <v>-0.11318944844124701</v>
      </c>
      <c r="M334" s="5">
        <v>2479.79</v>
      </c>
      <c r="N334" s="5">
        <v>2351.31</v>
      </c>
      <c r="Q334" s="139">
        <v>25781.31</v>
      </c>
      <c r="U334" s="127">
        <f>N334-M334</f>
        <v>-128.48000000000002</v>
      </c>
      <c r="V334" s="4">
        <f>IF(M334=0,0,N334/M334-1)</f>
        <v>-5.1810838821029215E-2</v>
      </c>
      <c r="W334" s="18">
        <v>129774</v>
      </c>
      <c r="X334" s="18">
        <v>113110.22</v>
      </c>
      <c r="Y334" s="4">
        <f>X334/W334-1</f>
        <v>-0.12840615223388352</v>
      </c>
    </row>
    <row r="335" spans="1:28" ht="15" customHeight="1">
      <c r="A335" t="s">
        <v>705</v>
      </c>
      <c r="B335" t="s">
        <v>706</v>
      </c>
      <c r="C335" s="28">
        <v>505</v>
      </c>
      <c r="E335" t="s">
        <v>706</v>
      </c>
      <c r="F335" s="28">
        <v>33</v>
      </c>
      <c r="G335" t="b">
        <f>IF(B335=E335,TRUE,FALSE)</f>
        <v>1</v>
      </c>
      <c r="J335" s="25">
        <f>F335-C335</f>
        <v>-472</v>
      </c>
      <c r="K335" s="4">
        <f>F335/C335-1</f>
        <v>-0.9346534653465346</v>
      </c>
      <c r="M335" s="5">
        <v>1094.01</v>
      </c>
      <c r="N335" s="5">
        <v>43.55</v>
      </c>
      <c r="Q335" s="139">
        <v>191.93</v>
      </c>
      <c r="U335" s="127">
        <f>N335-M335</f>
        <v>-1050.46</v>
      </c>
      <c r="V335" s="4">
        <f>IF(M335=0,0,N335/M335-1)</f>
        <v>-0.96019231999707499</v>
      </c>
      <c r="W335" s="18">
        <v>13629.95</v>
      </c>
      <c r="X335" s="18">
        <v>890.67</v>
      </c>
      <c r="Y335" s="4">
        <f>X335/W335-1</f>
        <v>-0.93465346534653471</v>
      </c>
    </row>
    <row r="336" spans="1:28" ht="15" customHeight="1">
      <c r="A336" t="s">
        <v>707</v>
      </c>
      <c r="B336" t="s">
        <v>708</v>
      </c>
      <c r="C336" s="28">
        <v>727</v>
      </c>
      <c r="E336" t="s">
        <v>708</v>
      </c>
      <c r="F336" s="28">
        <v>230</v>
      </c>
      <c r="G336" t="b">
        <f>IF(B336=E336,TRUE,FALSE)</f>
        <v>1</v>
      </c>
      <c r="J336" s="25">
        <f>F336-C336</f>
        <v>-497</v>
      </c>
      <c r="K336" s="4">
        <f>F336/C336-1</f>
        <v>-0.68363136176066019</v>
      </c>
      <c r="M336" s="5">
        <v>1074.08</v>
      </c>
      <c r="N336" s="5">
        <v>19.420000000000002</v>
      </c>
      <c r="Q336" s="139">
        <v>161.74</v>
      </c>
      <c r="U336" s="127">
        <f>N336-M336</f>
        <v>-1054.6599999999999</v>
      </c>
      <c r="V336" s="4">
        <f>IF(M336=0,0,N336/M336-1)</f>
        <v>-0.98191941009980632</v>
      </c>
      <c r="W336" s="18">
        <v>19588.27</v>
      </c>
      <c r="X336" s="18">
        <v>6205.6</v>
      </c>
      <c r="Y336" s="4">
        <f>X336/W336-1</f>
        <v>-0.68319815889815683</v>
      </c>
    </row>
    <row r="337" spans="1:27" ht="15" customHeight="1">
      <c r="A337" s="54" t="s">
        <v>709</v>
      </c>
      <c r="B337" s="37" t="s">
        <v>710</v>
      </c>
      <c r="C337" s="19">
        <v>1786</v>
      </c>
      <c r="E337" s="37" t="s">
        <v>710</v>
      </c>
      <c r="F337" s="19">
        <v>1288</v>
      </c>
      <c r="G337" t="b">
        <f>IF(B337=E337,TRUE,FALSE)</f>
        <v>1</v>
      </c>
      <c r="J337" s="25">
        <f>F337-C337</f>
        <v>-498</v>
      </c>
      <c r="K337" s="4">
        <f>F337/C337-1</f>
        <v>-0.27883538633818594</v>
      </c>
      <c r="M337" s="5">
        <v>3223.9</v>
      </c>
      <c r="N337" s="5">
        <v>2530.9499999999998</v>
      </c>
      <c r="Q337" s="138">
        <v>18141.04</v>
      </c>
      <c r="U337" s="127">
        <f>N337-M337</f>
        <v>-692.95000000000027</v>
      </c>
      <c r="V337" s="4">
        <f>IF(M337=0,0,N337/M337-1)</f>
        <v>-0.21494153044449282</v>
      </c>
      <c r="W337">
        <v>37429.519999999997</v>
      </c>
      <c r="X337">
        <v>37611.72</v>
      </c>
      <c r="Y337" s="4">
        <f>X337/W337-1</f>
        <v>4.8678155637582599E-3</v>
      </c>
    </row>
    <row r="338" spans="1:27" ht="15" customHeight="1">
      <c r="A338" s="54" t="s">
        <v>711</v>
      </c>
      <c r="B338" s="37" t="s">
        <v>712</v>
      </c>
      <c r="C338" s="19">
        <v>1751</v>
      </c>
      <c r="E338" s="37" t="s">
        <v>712</v>
      </c>
      <c r="F338" s="19">
        <v>1233</v>
      </c>
      <c r="G338" t="b">
        <f>IF(B338=E338,TRUE,FALSE)</f>
        <v>1</v>
      </c>
      <c r="J338" s="25">
        <f>F338-C338</f>
        <v>-518</v>
      </c>
      <c r="K338" s="4">
        <f>F338/C338-1</f>
        <v>-0.29583095374071955</v>
      </c>
      <c r="M338" s="5">
        <v>2476.29</v>
      </c>
      <c r="N338" s="5">
        <v>3191.61</v>
      </c>
      <c r="Q338" s="138">
        <v>19072.419999999998</v>
      </c>
      <c r="U338" s="127">
        <f>N338-M338</f>
        <v>715.32000000000016</v>
      </c>
      <c r="V338" s="4">
        <f>IF(M338=0,0,N338/M338-1)</f>
        <v>0.28886762051294479</v>
      </c>
      <c r="W338">
        <v>33220.15</v>
      </c>
      <c r="X338">
        <v>29575.59</v>
      </c>
      <c r="Y338" s="4">
        <f>X338/W338-1</f>
        <v>-0.10970931798923245</v>
      </c>
    </row>
    <row r="339" spans="1:27" ht="15" customHeight="1">
      <c r="A339" t="s">
        <v>713</v>
      </c>
      <c r="B339" t="s">
        <v>714</v>
      </c>
      <c r="C339" s="28">
        <v>2119</v>
      </c>
      <c r="E339" t="s">
        <v>714</v>
      </c>
      <c r="F339" s="28">
        <v>1591</v>
      </c>
      <c r="G339" t="b">
        <f>IF(B339=E339,TRUE,FALSE)</f>
        <v>1</v>
      </c>
      <c r="J339" s="25">
        <f>F339-C339</f>
        <v>-528</v>
      </c>
      <c r="K339" s="4">
        <f>F339/C339-1</f>
        <v>-0.24917413874469085</v>
      </c>
      <c r="M339" s="5">
        <v>2733.47</v>
      </c>
      <c r="N339" s="5">
        <v>1946.54</v>
      </c>
      <c r="Q339" s="139">
        <v>14411.48</v>
      </c>
      <c r="U339" s="127">
        <f>N339-M339</f>
        <v>-786.92999999999984</v>
      </c>
      <c r="V339" s="4">
        <f>IF(M339=0,0,N339/M339-1)</f>
        <v>-0.28788682517093656</v>
      </c>
      <c r="W339" s="18">
        <v>61922.81</v>
      </c>
      <c r="X339" s="18">
        <v>47698.19</v>
      </c>
      <c r="Y339" s="4">
        <f>X339/W339-1</f>
        <v>-0.2297153504500199</v>
      </c>
    </row>
    <row r="340" spans="1:27" ht="15" customHeight="1">
      <c r="A340" t="s">
        <v>715</v>
      </c>
      <c r="B340" t="s">
        <v>716</v>
      </c>
      <c r="C340" s="28">
        <v>1369</v>
      </c>
      <c r="E340" t="s">
        <v>716</v>
      </c>
      <c r="F340" s="28">
        <v>831</v>
      </c>
      <c r="G340" t="b">
        <f>IF(B340=E340,TRUE,FALSE)</f>
        <v>1</v>
      </c>
      <c r="J340" s="25">
        <f>F340-C340</f>
        <v>-538</v>
      </c>
      <c r="K340" s="4">
        <f>F340/C340-1</f>
        <v>-0.39298758217677132</v>
      </c>
      <c r="M340" s="5">
        <v>1529.23</v>
      </c>
      <c r="N340" s="5">
        <v>696.1</v>
      </c>
      <c r="Q340" s="139">
        <v>2675.48</v>
      </c>
      <c r="U340" s="127">
        <f>N340-M340</f>
        <v>-833.13</v>
      </c>
      <c r="V340" s="4">
        <f>IF(M340=0,0,N340/M340-1)</f>
        <v>-0.54480359396559053</v>
      </c>
      <c r="W340" s="18">
        <v>32787.550000000003</v>
      </c>
      <c r="X340" s="18">
        <v>20614.269999999997</v>
      </c>
      <c r="Y340" s="4">
        <f>X340/W340-1</f>
        <v>-0.37127751234843731</v>
      </c>
    </row>
    <row r="341" spans="1:27" ht="15" customHeight="1">
      <c r="A341" t="s">
        <v>717</v>
      </c>
      <c r="B341" t="s">
        <v>718</v>
      </c>
      <c r="C341" s="28">
        <v>2396</v>
      </c>
      <c r="E341" t="s">
        <v>718</v>
      </c>
      <c r="F341" s="28">
        <v>1826</v>
      </c>
      <c r="G341" t="b">
        <f>IF(B341=E341,TRUE,FALSE)</f>
        <v>1</v>
      </c>
      <c r="J341" s="25">
        <f>F341-C341</f>
        <v>-570</v>
      </c>
      <c r="K341" s="4">
        <f>F341/C341-1</f>
        <v>-0.23789649415692826</v>
      </c>
      <c r="M341" s="5">
        <v>3922.27</v>
      </c>
      <c r="N341" s="5">
        <v>2718.81</v>
      </c>
      <c r="Q341" s="139">
        <v>18960.72</v>
      </c>
      <c r="U341" s="127">
        <f>N341-M341</f>
        <v>-1203.46</v>
      </c>
      <c r="V341" s="4">
        <f>IF(M341=0,0,N341/M341-1)</f>
        <v>-0.30682742391523277</v>
      </c>
      <c r="W341" s="18">
        <v>43082.09</v>
      </c>
      <c r="X341" s="18">
        <v>32848.480000000003</v>
      </c>
      <c r="Y341" s="4">
        <f>X341/W341-1</f>
        <v>-0.23753745465923293</v>
      </c>
      <c r="AA341" t="s">
        <v>719</v>
      </c>
    </row>
    <row r="342" spans="1:27" ht="15" customHeight="1">
      <c r="A342" t="s">
        <v>720</v>
      </c>
      <c r="B342" t="s">
        <v>721</v>
      </c>
      <c r="C342" s="28">
        <v>1308</v>
      </c>
      <c r="E342" t="s">
        <v>721</v>
      </c>
      <c r="F342" s="28">
        <v>732</v>
      </c>
      <c r="G342" t="b">
        <f>IF(B342=E342,TRUE,FALSE)</f>
        <v>1</v>
      </c>
      <c r="J342" s="25">
        <f>F342-C342</f>
        <v>-576</v>
      </c>
      <c r="K342" s="4">
        <f>F342/C342-1</f>
        <v>-0.44036697247706424</v>
      </c>
      <c r="M342" s="5">
        <v>2186.19</v>
      </c>
      <c r="N342" s="5">
        <v>1359.66</v>
      </c>
      <c r="Q342" s="139">
        <v>7750.25</v>
      </c>
      <c r="U342" s="127">
        <f>N342-M342</f>
        <v>-826.53</v>
      </c>
      <c r="V342" s="4">
        <f>IF(M342=0,0,N342/M342-1)</f>
        <v>-0.3780686948526889</v>
      </c>
      <c r="W342" s="18">
        <v>39226.92</v>
      </c>
      <c r="X342" s="18">
        <v>21952.68</v>
      </c>
      <c r="Y342" s="4">
        <f>X342/W342-1</f>
        <v>-0.44036697247706413</v>
      </c>
    </row>
    <row r="343" spans="1:27" ht="15" customHeight="1">
      <c r="A343" t="s">
        <v>722</v>
      </c>
      <c r="B343" t="s">
        <v>723</v>
      </c>
      <c r="C343" s="28">
        <v>2704</v>
      </c>
      <c r="E343" t="s">
        <v>723</v>
      </c>
      <c r="F343" s="28">
        <v>2117</v>
      </c>
      <c r="G343" t="b">
        <f>IF(B343=E343,TRUE,FALSE)</f>
        <v>1</v>
      </c>
      <c r="J343" s="25">
        <f>F343-C343</f>
        <v>-587</v>
      </c>
      <c r="K343" s="4">
        <f>F343/C343-1</f>
        <v>-0.21708579881656809</v>
      </c>
      <c r="M343" s="5">
        <v>4046.38</v>
      </c>
      <c r="N343" s="5">
        <v>2852.03</v>
      </c>
      <c r="Q343" s="139">
        <v>13485.64</v>
      </c>
      <c r="U343" s="127">
        <f>N343-M343</f>
        <v>-1194.3499999999999</v>
      </c>
      <c r="V343" s="4">
        <f>IF(M343=0,0,N343/M343-1)</f>
        <v>-0.29516506111635588</v>
      </c>
      <c r="W343" s="18">
        <v>78883.199999999997</v>
      </c>
      <c r="X343" s="18">
        <v>63393.95</v>
      </c>
      <c r="Y343" s="4">
        <f>X343/W343-1</f>
        <v>-0.19635676544562086</v>
      </c>
    </row>
    <row r="344" spans="1:27" ht="15" customHeight="1">
      <c r="A344" t="s">
        <v>724</v>
      </c>
      <c r="B344" t="s">
        <v>725</v>
      </c>
      <c r="C344" s="28">
        <v>3378</v>
      </c>
      <c r="E344" t="s">
        <v>725</v>
      </c>
      <c r="F344" s="28">
        <v>2751</v>
      </c>
      <c r="G344" t="b">
        <f>IF(B344=E344,TRUE,FALSE)</f>
        <v>1</v>
      </c>
      <c r="J344" s="25">
        <f>F344-C344</f>
        <v>-627</v>
      </c>
      <c r="K344" s="4">
        <f>F344/C344-1</f>
        <v>-0.18561278863232678</v>
      </c>
      <c r="M344" s="5">
        <v>5880.09</v>
      </c>
      <c r="N344" s="5">
        <v>5183.92</v>
      </c>
      <c r="Q344" s="139">
        <v>35694.82</v>
      </c>
      <c r="U344" s="127">
        <f>N344-M344</f>
        <v>-696.17000000000007</v>
      </c>
      <c r="V344" s="4">
        <f>IF(M344=0,0,N344/M344-1)</f>
        <v>-0.11839444634350837</v>
      </c>
      <c r="W344" s="18">
        <v>95953.62</v>
      </c>
      <c r="X344" s="18">
        <v>82034.490000000005</v>
      </c>
      <c r="Y344" s="4">
        <f>X344/W344-1</f>
        <v>-0.14506102010533828</v>
      </c>
      <c r="Z344" t="s">
        <v>726</v>
      </c>
    </row>
    <row r="345" spans="1:27" ht="15" customHeight="1">
      <c r="A345" t="s">
        <v>727</v>
      </c>
      <c r="B345" t="s">
        <v>728</v>
      </c>
      <c r="C345" s="28">
        <v>4349</v>
      </c>
      <c r="E345" t="s">
        <v>728</v>
      </c>
      <c r="F345" s="28">
        <v>3711</v>
      </c>
      <c r="G345" t="b">
        <f>IF(B345=E345,TRUE,FALSE)</f>
        <v>1</v>
      </c>
      <c r="J345" s="25">
        <f>F345-C345</f>
        <v>-638</v>
      </c>
      <c r="K345" s="4">
        <f>F345/C345-1</f>
        <v>-0.14670039089445852</v>
      </c>
      <c r="M345" s="5">
        <v>4735.8999999999996</v>
      </c>
      <c r="N345" s="5">
        <v>7788.44</v>
      </c>
      <c r="Q345" s="139">
        <v>61811.33</v>
      </c>
      <c r="U345" s="127">
        <f>N345-M345</f>
        <v>3052.54</v>
      </c>
      <c r="V345" s="4">
        <f>IF(M345=0,0,N345/M345-1)</f>
        <v>0.64455330560189195</v>
      </c>
      <c r="W345" s="18">
        <v>108285.43</v>
      </c>
      <c r="X345" s="18">
        <v>100138.83</v>
      </c>
      <c r="Y345" s="4">
        <f>X345/W345-1</f>
        <v>-7.523265133638013E-2</v>
      </c>
      <c r="Z345" t="s">
        <v>729</v>
      </c>
    </row>
    <row r="346" spans="1:27" ht="15" customHeight="1">
      <c r="A346" t="s">
        <v>730</v>
      </c>
      <c r="B346" t="s">
        <v>731</v>
      </c>
      <c r="C346" s="28">
        <v>1362</v>
      </c>
      <c r="E346" t="s">
        <v>731</v>
      </c>
      <c r="F346" s="28">
        <v>700</v>
      </c>
      <c r="G346" t="b">
        <f>IF(B346=E346,TRUE,FALSE)</f>
        <v>1</v>
      </c>
      <c r="J346" s="25">
        <f>F346-C346</f>
        <v>-662</v>
      </c>
      <c r="K346" s="4">
        <f>F346/C346-1</f>
        <v>-0.48604992657856094</v>
      </c>
      <c r="M346" s="5">
        <v>1331.59</v>
      </c>
      <c r="N346" s="5">
        <v>892.26</v>
      </c>
      <c r="Q346" s="139">
        <v>3510.99</v>
      </c>
      <c r="U346" s="127">
        <f>N346-M346</f>
        <v>-439.32999999999993</v>
      </c>
      <c r="V346" s="4">
        <f>IF(M346=0,0,N346/M346-1)</f>
        <v>-0.32992888201323223</v>
      </c>
      <c r="W346" s="18">
        <v>17546.32</v>
      </c>
      <c r="X346" s="18">
        <v>10636.03</v>
      </c>
      <c r="Y346" s="4">
        <f>X346/W346-1</f>
        <v>-0.39383129909861436</v>
      </c>
      <c r="Z346" t="s">
        <v>732</v>
      </c>
    </row>
    <row r="347" spans="1:27" ht="15" customHeight="1">
      <c r="A347" s="54" t="s">
        <v>733</v>
      </c>
      <c r="B347" s="37" t="s">
        <v>734</v>
      </c>
      <c r="C347" s="19">
        <v>1019</v>
      </c>
      <c r="E347" s="37" t="s">
        <v>734</v>
      </c>
      <c r="F347" s="19">
        <v>323</v>
      </c>
      <c r="G347" t="b">
        <f>IF(B347=E347,TRUE,FALSE)</f>
        <v>1</v>
      </c>
      <c r="J347" s="25">
        <f>F347-C347</f>
        <v>-696</v>
      </c>
      <c r="K347" s="4">
        <f>F347/C347-1</f>
        <v>-0.68302257114818454</v>
      </c>
      <c r="M347" s="5">
        <v>1319.65</v>
      </c>
      <c r="N347" s="5">
        <v>764.14</v>
      </c>
      <c r="Q347" s="138">
        <v>3128.46</v>
      </c>
      <c r="U347" s="127">
        <f>N347-M347</f>
        <v>-555.5100000000001</v>
      </c>
      <c r="V347" s="4">
        <f>IF(M347=0,0,N347/M347-1)</f>
        <v>-0.42095252529079685</v>
      </c>
      <c r="W347">
        <v>11450.73</v>
      </c>
      <c r="X347">
        <v>6079.39</v>
      </c>
      <c r="Y347" s="4">
        <f>X347/W347-1</f>
        <v>-0.46908275716919356</v>
      </c>
      <c r="AA347" t="s">
        <v>735</v>
      </c>
    </row>
    <row r="348" spans="1:27" ht="15" customHeight="1">
      <c r="A348" t="s">
        <v>736</v>
      </c>
      <c r="B348" t="s">
        <v>737</v>
      </c>
      <c r="C348" s="28">
        <v>2426</v>
      </c>
      <c r="E348" t="s">
        <v>737</v>
      </c>
      <c r="F348" s="28">
        <v>1729</v>
      </c>
      <c r="G348" t="b">
        <f>IF(B348=E348,TRUE,FALSE)</f>
        <v>1</v>
      </c>
      <c r="J348" s="25">
        <f>F348-C348</f>
        <v>-697</v>
      </c>
      <c r="K348" s="4">
        <f>F348/C348-1</f>
        <v>-0.28730420445177252</v>
      </c>
      <c r="M348" s="5">
        <v>3622.56</v>
      </c>
      <c r="N348" s="5">
        <v>3426.58</v>
      </c>
      <c r="Q348" s="139">
        <v>33565.839999999997</v>
      </c>
      <c r="U348" s="127">
        <f>N348-M348</f>
        <v>-195.98000000000002</v>
      </c>
      <c r="V348" s="4">
        <f>IF(M348=0,0,N348/M348-1)</f>
        <v>-5.4099863080252608E-2</v>
      </c>
      <c r="W348" s="18">
        <v>69476.13</v>
      </c>
      <c r="X348" s="18">
        <v>53192.21</v>
      </c>
      <c r="Y348" s="4">
        <f>X348/W348-1</f>
        <v>-0.234381506281366</v>
      </c>
      <c r="Z348" t="s">
        <v>738</v>
      </c>
    </row>
    <row r="349" spans="1:27" ht="15" customHeight="1">
      <c r="A349" t="s">
        <v>739</v>
      </c>
      <c r="B349" t="s">
        <v>740</v>
      </c>
      <c r="C349" s="28">
        <v>2057</v>
      </c>
      <c r="E349" t="s">
        <v>740</v>
      </c>
      <c r="F349" s="28">
        <v>1289</v>
      </c>
      <c r="G349" t="b">
        <f>IF(B349=E349,TRUE,FALSE)</f>
        <v>1</v>
      </c>
      <c r="J349" s="25">
        <f>F349-C349</f>
        <v>-768</v>
      </c>
      <c r="K349" s="4">
        <f>F349/C349-1</f>
        <v>-0.37335926105979578</v>
      </c>
      <c r="M349" s="5">
        <v>2455.88</v>
      </c>
      <c r="N349" s="5">
        <v>1880.75</v>
      </c>
      <c r="Q349" s="139">
        <v>15025.71</v>
      </c>
      <c r="U349" s="127">
        <f>N349-M349</f>
        <v>-575.13000000000011</v>
      </c>
      <c r="V349" s="4">
        <f>IF(M349=0,0,N349/M349-1)</f>
        <v>-0.23418489502744433</v>
      </c>
      <c r="W349" s="18">
        <v>66398.850000000006</v>
      </c>
      <c r="X349" s="18">
        <v>51447.6</v>
      </c>
      <c r="Y349" s="4">
        <f>X349/W349-1</f>
        <v>-0.22517332755010078</v>
      </c>
    </row>
    <row r="350" spans="1:27" ht="15" customHeight="1">
      <c r="A350" s="54" t="s">
        <v>741</v>
      </c>
      <c r="B350" s="37" t="s">
        <v>742</v>
      </c>
      <c r="C350" s="28">
        <v>2250</v>
      </c>
      <c r="E350" s="37" t="s">
        <v>742</v>
      </c>
      <c r="F350" s="28">
        <v>1422</v>
      </c>
      <c r="G350" t="b">
        <f>IF(B350=E350,TRUE,FALSE)</f>
        <v>1</v>
      </c>
      <c r="J350" s="25">
        <f>F350-C350</f>
        <v>-828</v>
      </c>
      <c r="K350" s="4">
        <f>F350/C350-1</f>
        <v>-0.36799999999999999</v>
      </c>
      <c r="M350" s="5">
        <v>3320.91</v>
      </c>
      <c r="N350" s="5">
        <v>4194.75</v>
      </c>
      <c r="Q350" s="139">
        <v>21747.18</v>
      </c>
      <c r="U350" s="127">
        <f>N350-M350</f>
        <v>873.84000000000015</v>
      </c>
      <c r="V350" s="4">
        <f>IF(M350=0,0,N350/M350-1)</f>
        <v>0.26313269555633845</v>
      </c>
      <c r="W350" s="18">
        <v>52167.56</v>
      </c>
      <c r="X350" s="18">
        <v>30442.14</v>
      </c>
      <c r="Y350" s="4">
        <f>X350/W350-1</f>
        <v>-0.41645459362101656</v>
      </c>
      <c r="Z350" t="s">
        <v>743</v>
      </c>
    </row>
    <row r="351" spans="1:27" ht="15" customHeight="1">
      <c r="A351" t="s">
        <v>744</v>
      </c>
      <c r="B351" t="s">
        <v>745</v>
      </c>
      <c r="C351" s="28">
        <v>1186</v>
      </c>
      <c r="E351" t="s">
        <v>745</v>
      </c>
      <c r="F351" s="28">
        <v>324</v>
      </c>
      <c r="G351" t="b">
        <f>IF(B351=E351,TRUE,FALSE)</f>
        <v>1</v>
      </c>
      <c r="J351" s="25">
        <f>F351-C351</f>
        <v>-862</v>
      </c>
      <c r="K351" s="4">
        <f>F351/C351-1</f>
        <v>-0.72681281618887017</v>
      </c>
      <c r="M351" s="5">
        <v>781.32</v>
      </c>
      <c r="N351" s="5">
        <v>287.69</v>
      </c>
      <c r="Q351" s="139">
        <v>2553.42</v>
      </c>
      <c r="U351" s="127">
        <f>N351-M351</f>
        <v>-493.63000000000005</v>
      </c>
      <c r="V351" s="4">
        <f>IF(M351=0,0,N351/M351-1)</f>
        <v>-0.63178979163466953</v>
      </c>
      <c r="W351" s="18">
        <v>42239.01</v>
      </c>
      <c r="X351" s="18">
        <v>11971.06</v>
      </c>
      <c r="Y351" s="4">
        <f>X351/W351-1</f>
        <v>-0.71658758100627828</v>
      </c>
    </row>
    <row r="352" spans="1:27" ht="15" customHeight="1">
      <c r="A352" s="55" t="s">
        <v>746</v>
      </c>
      <c r="B352" s="37" t="s">
        <v>747</v>
      </c>
      <c r="C352" s="28">
        <v>4579</v>
      </c>
      <c r="E352" s="37" t="s">
        <v>747</v>
      </c>
      <c r="F352" s="28">
        <v>3717</v>
      </c>
      <c r="G352" t="b">
        <f>IF(B352=E352,TRUE,FALSE)</f>
        <v>1</v>
      </c>
      <c r="J352" s="25">
        <f>F352-C352</f>
        <v>-862</v>
      </c>
      <c r="K352" s="4">
        <f>F352/C352-1</f>
        <v>-0.18825070976195679</v>
      </c>
      <c r="M352" s="5">
        <v>5650.61</v>
      </c>
      <c r="N352" s="5">
        <v>6111.42</v>
      </c>
      <c r="Q352" s="139">
        <v>37750.769999999997</v>
      </c>
      <c r="U352" s="127">
        <f>N352-M352</f>
        <v>460.8100000000004</v>
      </c>
      <c r="V352" s="4">
        <f>IF(M352=0,0,N352/M352-1)</f>
        <v>8.1550487469494559E-2</v>
      </c>
      <c r="W352" s="18">
        <v>88971.53</v>
      </c>
      <c r="X352" s="18">
        <v>78409.78</v>
      </c>
      <c r="Y352" s="4">
        <f>X352/W352-1</f>
        <v>-0.11870932195950767</v>
      </c>
      <c r="Z352" t="s">
        <v>748</v>
      </c>
    </row>
    <row r="353" spans="1:29" ht="15" customHeight="1">
      <c r="A353" s="54" t="s">
        <v>749</v>
      </c>
      <c r="B353" s="37" t="s">
        <v>750</v>
      </c>
      <c r="C353" s="28">
        <v>1000</v>
      </c>
      <c r="E353" s="37" t="s">
        <v>750</v>
      </c>
      <c r="F353" s="28">
        <v>78</v>
      </c>
      <c r="G353" t="b">
        <f>IF(B353=E353,TRUE,FALSE)</f>
        <v>1</v>
      </c>
      <c r="J353" s="25">
        <f>F353-C353</f>
        <v>-922</v>
      </c>
      <c r="K353" s="4">
        <f>F353/C353-1</f>
        <v>-0.92200000000000004</v>
      </c>
      <c r="M353" s="5">
        <v>2203.33</v>
      </c>
      <c r="N353" s="5">
        <v>131.12</v>
      </c>
      <c r="Q353" s="139">
        <v>697.65</v>
      </c>
      <c r="U353" s="127">
        <f>N353-M353</f>
        <v>-2072.21</v>
      </c>
      <c r="V353" s="4">
        <f>IF(M353=0,0,N353/M353-1)</f>
        <v>-0.94049007638438187</v>
      </c>
      <c r="W353" s="18">
        <v>31979.439999999999</v>
      </c>
      <c r="X353" s="18">
        <v>2462.91</v>
      </c>
      <c r="Y353" s="4">
        <f>X353/W353-1</f>
        <v>-0.92298458009270956</v>
      </c>
      <c r="Z353" t="s">
        <v>751</v>
      </c>
    </row>
    <row r="354" spans="1:29" ht="15" customHeight="1">
      <c r="A354" t="s">
        <v>752</v>
      </c>
      <c r="B354" t="s">
        <v>753</v>
      </c>
      <c r="C354" s="28">
        <v>4748</v>
      </c>
      <c r="E354" t="s">
        <v>753</v>
      </c>
      <c r="F354" s="28">
        <v>3777</v>
      </c>
      <c r="G354" t="b">
        <f>IF(B354=E354,TRUE,FALSE)</f>
        <v>1</v>
      </c>
      <c r="J354" s="25">
        <f>F354-C354</f>
        <v>-971</v>
      </c>
      <c r="K354" s="4">
        <f>F354/C354-1</f>
        <v>-0.20450716090985677</v>
      </c>
      <c r="M354" s="5">
        <v>4144.3900000000003</v>
      </c>
      <c r="N354" s="5">
        <v>3744.41</v>
      </c>
      <c r="Q354" s="139">
        <v>30705.98</v>
      </c>
      <c r="U354" s="127">
        <f>N354-M354</f>
        <v>-399.98000000000047</v>
      </c>
      <c r="V354" s="4">
        <f>IF(M354=0,0,N354/M354-1)</f>
        <v>-9.6511187412381627E-2</v>
      </c>
      <c r="W354" s="18">
        <v>113175.97</v>
      </c>
      <c r="X354" s="18">
        <v>98996.66</v>
      </c>
      <c r="Y354" s="4">
        <f>X354/W354-1</f>
        <v>-0.12528551776494601</v>
      </c>
      <c r="Z354" t="s">
        <v>754</v>
      </c>
    </row>
    <row r="355" spans="1:29" ht="14.25" customHeight="1">
      <c r="A355" t="s">
        <v>755</v>
      </c>
      <c r="B355" t="s">
        <v>756</v>
      </c>
      <c r="C355" s="28">
        <v>4097</v>
      </c>
      <c r="E355" t="s">
        <v>756</v>
      </c>
      <c r="F355" s="28">
        <v>3063</v>
      </c>
      <c r="G355" t="b">
        <f>IF(B355=E355,TRUE,FALSE)</f>
        <v>1</v>
      </c>
      <c r="J355" s="25">
        <f>F355-C355</f>
        <v>-1034</v>
      </c>
      <c r="K355" s="4">
        <f>F355/C355-1</f>
        <v>-0.25237979009030997</v>
      </c>
      <c r="M355" s="5">
        <v>1593.78</v>
      </c>
      <c r="N355" s="5">
        <v>1002.38</v>
      </c>
      <c r="Q355" s="139">
        <v>13860.16</v>
      </c>
      <c r="U355" s="127">
        <f>N355-M355</f>
        <v>-591.4</v>
      </c>
      <c r="V355" s="4">
        <f>IF(M355=0,0,N355/M355-1)</f>
        <v>-0.37106752500345086</v>
      </c>
      <c r="W355" s="18">
        <v>158825.03</v>
      </c>
      <c r="X355" s="18">
        <v>111267.39</v>
      </c>
      <c r="Y355" s="4">
        <f>X355/W355-1</f>
        <v>-0.29943416349425533</v>
      </c>
    </row>
    <row r="356" spans="1:29" ht="15" customHeight="1">
      <c r="A356" s="54" t="s">
        <v>757</v>
      </c>
      <c r="B356" s="37" t="s">
        <v>758</v>
      </c>
      <c r="C356" s="28">
        <v>1172</v>
      </c>
      <c r="E356" s="37" t="s">
        <v>758</v>
      </c>
      <c r="F356" s="28">
        <v>14</v>
      </c>
      <c r="G356" t="b">
        <f>IF(B356=E356,TRUE,FALSE)</f>
        <v>1</v>
      </c>
      <c r="J356" s="25">
        <f>F356-C356</f>
        <v>-1158</v>
      </c>
      <c r="K356" s="4">
        <f>F356/C356-1</f>
        <v>-0.98805460750853247</v>
      </c>
      <c r="M356" s="5">
        <v>2246.7600000000002</v>
      </c>
      <c r="N356" s="5">
        <v>0</v>
      </c>
      <c r="Q356" s="139">
        <v>0</v>
      </c>
      <c r="U356" s="127">
        <f>N356-M356</f>
        <v>-2246.7600000000002</v>
      </c>
      <c r="V356" s="4">
        <f>IF(M356=0,0,N356/M356-1)</f>
        <v>-1</v>
      </c>
      <c r="W356" s="18">
        <v>29260.79</v>
      </c>
      <c r="X356" s="18">
        <v>349.11</v>
      </c>
      <c r="Y356" s="4">
        <f>X356/W356-1</f>
        <v>-0.98806901659182822</v>
      </c>
      <c r="Z356" t="s">
        <v>759</v>
      </c>
    </row>
    <row r="357" spans="1:29" ht="15" customHeight="1">
      <c r="A357" t="s">
        <v>760</v>
      </c>
      <c r="B357" t="s">
        <v>761</v>
      </c>
      <c r="C357" s="28">
        <v>3931</v>
      </c>
      <c r="E357" t="s">
        <v>761</v>
      </c>
      <c r="F357" s="28">
        <v>2677</v>
      </c>
      <c r="G357" t="b">
        <f>IF(B357=E357,TRUE,FALSE)</f>
        <v>1</v>
      </c>
      <c r="J357" s="25">
        <f>F357-C357</f>
        <v>-1254</v>
      </c>
      <c r="K357" s="4">
        <f>F357/C357-1</f>
        <v>-0.31900279827016031</v>
      </c>
      <c r="M357" s="5">
        <v>4374.45</v>
      </c>
      <c r="N357" s="5">
        <v>3265.84</v>
      </c>
      <c r="Q357" s="139">
        <v>15626.55</v>
      </c>
      <c r="U357" s="127">
        <f>N357-M357</f>
        <v>-1108.6099999999997</v>
      </c>
      <c r="V357" s="4">
        <f>IF(M357=0,0,N357/M357-1)</f>
        <v>-0.25342843100275458</v>
      </c>
      <c r="W357" s="18">
        <v>81257.290000000008</v>
      </c>
      <c r="X357" s="18">
        <v>59064.740000000005</v>
      </c>
      <c r="Y357" s="4">
        <f>X357/W357-1</f>
        <v>-0.27311457224330271</v>
      </c>
      <c r="Z357" t="s">
        <v>762</v>
      </c>
    </row>
    <row r="358" spans="1:29" ht="15" customHeight="1">
      <c r="A358" t="s">
        <v>763</v>
      </c>
      <c r="B358" t="s">
        <v>764</v>
      </c>
      <c r="C358" s="28">
        <v>1472</v>
      </c>
      <c r="E358" t="s">
        <v>764</v>
      </c>
      <c r="F358" s="28">
        <v>123</v>
      </c>
      <c r="G358" t="b">
        <f>IF(B358=E358,TRUE,FALSE)</f>
        <v>1</v>
      </c>
      <c r="J358" s="25">
        <f>F358-C358</f>
        <v>-1349</v>
      </c>
      <c r="K358" s="4">
        <f>F358/C358-1</f>
        <v>-0.91644021739130432</v>
      </c>
      <c r="M358" s="5">
        <v>2451.9299999999998</v>
      </c>
      <c r="N358" s="5">
        <v>0</v>
      </c>
      <c r="Q358" s="139">
        <v>0</v>
      </c>
      <c r="U358" s="127">
        <f>N358-M358</f>
        <v>-2451.9299999999998</v>
      </c>
      <c r="V358" s="4">
        <f>IF(M358=0,0,N358/M358-1)</f>
        <v>-1</v>
      </c>
      <c r="W358" s="18">
        <v>31087.56</v>
      </c>
      <c r="X358" s="18">
        <v>2704.33</v>
      </c>
      <c r="Y358" s="4">
        <f>X358/W358-1</f>
        <v>-0.91300925514900499</v>
      </c>
      <c r="Z358" t="s">
        <v>765</v>
      </c>
    </row>
    <row r="359" spans="1:29" ht="15" customHeight="1">
      <c r="A359" t="s">
        <v>766</v>
      </c>
      <c r="B359" t="s">
        <v>767</v>
      </c>
      <c r="C359" s="28">
        <v>4755</v>
      </c>
      <c r="E359" t="s">
        <v>767</v>
      </c>
      <c r="F359" s="28">
        <v>3158</v>
      </c>
      <c r="G359" t="b">
        <f>IF(B359=E359,TRUE,FALSE)</f>
        <v>1</v>
      </c>
      <c r="J359" s="25">
        <f>F359-C359</f>
        <v>-1597</v>
      </c>
      <c r="K359" s="4">
        <f>F359/C359-1</f>
        <v>-0.335856992639327</v>
      </c>
      <c r="M359" s="5">
        <v>4664.1499999999996</v>
      </c>
      <c r="N359" s="5">
        <v>4475.8599999999997</v>
      </c>
      <c r="Q359" s="139">
        <v>32224.91</v>
      </c>
      <c r="U359" s="127">
        <f>N359-M359</f>
        <v>-188.28999999999996</v>
      </c>
      <c r="V359" s="4">
        <f>IF(M359=0,0,N359/M359-1)</f>
        <v>-4.0369627906478134E-2</v>
      </c>
      <c r="W359" s="18">
        <v>152563.32</v>
      </c>
      <c r="X359" s="18">
        <v>109586.88</v>
      </c>
      <c r="Y359" s="4">
        <f>X359/W359-1</f>
        <v>-0.28169575753857479</v>
      </c>
      <c r="Z359" t="s">
        <v>768</v>
      </c>
    </row>
    <row r="360" spans="1:29" ht="15" customHeight="1">
      <c r="A360" t="s">
        <v>769</v>
      </c>
      <c r="B360" t="s">
        <v>770</v>
      </c>
      <c r="C360" s="28">
        <v>9389</v>
      </c>
      <c r="E360" t="s">
        <v>770</v>
      </c>
      <c r="F360" s="28">
        <v>7740</v>
      </c>
      <c r="G360" t="b">
        <f>IF(B360=E360,TRUE,FALSE)</f>
        <v>1</v>
      </c>
      <c r="J360" s="25">
        <f>F360-C360</f>
        <v>-1649</v>
      </c>
      <c r="K360" s="4">
        <f>F360/C360-1</f>
        <v>-0.17563105762061992</v>
      </c>
      <c r="M360" s="5">
        <v>11446.95</v>
      </c>
      <c r="N360" s="5">
        <v>11318.28</v>
      </c>
      <c r="Q360" s="139">
        <v>66704.87</v>
      </c>
      <c r="U360" s="127">
        <f>N360-M360</f>
        <v>-128.67000000000007</v>
      </c>
      <c r="V360" s="4">
        <f>IF(M360=0,0,N360/M360-1)</f>
        <v>-1.124054879247316E-2</v>
      </c>
      <c r="W360" s="18">
        <v>243392.97000000003</v>
      </c>
      <c r="X360" s="18">
        <v>216070.33999999997</v>
      </c>
      <c r="Y360" s="4">
        <f>X360/W360-1</f>
        <v>-0.11225726856449492</v>
      </c>
    </row>
    <row r="361" spans="1:29" ht="15" customHeight="1">
      <c r="A361" t="s">
        <v>771</v>
      </c>
      <c r="B361" t="s">
        <v>772</v>
      </c>
      <c r="C361" s="28">
        <v>7746</v>
      </c>
      <c r="E361" t="s">
        <v>772</v>
      </c>
      <c r="F361" s="28">
        <v>5994</v>
      </c>
      <c r="G361" t="b">
        <f>IF(B361=E361,TRUE,FALSE)</f>
        <v>1</v>
      </c>
      <c r="J361" s="25">
        <f>F361-C361</f>
        <v>-1752</v>
      </c>
      <c r="K361" s="4">
        <f>F361/C361-1</f>
        <v>-0.22618125484120832</v>
      </c>
      <c r="M361" s="5">
        <v>8776.73</v>
      </c>
      <c r="N361" s="5">
        <v>8176.97</v>
      </c>
      <c r="Q361" s="139">
        <v>56418.84</v>
      </c>
      <c r="U361" s="127">
        <f>N361-M361</f>
        <v>-599.75999999999931</v>
      </c>
      <c r="V361" s="4">
        <f>IF(M361=0,0,N361/M361-1)</f>
        <v>-6.8335245586909843E-2</v>
      </c>
      <c r="W361" s="18">
        <v>229983.3</v>
      </c>
      <c r="X361" s="18">
        <v>197386.52</v>
      </c>
      <c r="Y361" s="4">
        <f>X361/W361-1</f>
        <v>-0.14173542165887698</v>
      </c>
      <c r="Z361" t="s">
        <v>773</v>
      </c>
    </row>
    <row r="362" spans="1:29" ht="15" customHeight="1">
      <c r="A362" t="s">
        <v>774</v>
      </c>
      <c r="B362" t="s">
        <v>775</v>
      </c>
      <c r="C362" s="28">
        <v>14677</v>
      </c>
      <c r="E362" t="s">
        <v>775</v>
      </c>
      <c r="F362" s="28">
        <v>12784</v>
      </c>
      <c r="G362" t="b">
        <f>IF(B362=E362,TRUE,FALSE)</f>
        <v>1</v>
      </c>
      <c r="J362" s="25">
        <f>F362-C362</f>
        <v>-1893</v>
      </c>
      <c r="K362" s="4">
        <f>F362/C362-1</f>
        <v>-0.12897731143966751</v>
      </c>
      <c r="M362" s="5">
        <v>16302.34</v>
      </c>
      <c r="N362" s="5">
        <v>13262.56</v>
      </c>
      <c r="Q362" s="139">
        <v>110276.62</v>
      </c>
      <c r="U362" s="127">
        <f>N362-M362</f>
        <v>-3039.7800000000007</v>
      </c>
      <c r="V362" s="4">
        <f>IF(M362=0,0,N362/M362-1)</f>
        <v>-0.18646280227255718</v>
      </c>
      <c r="W362" s="18">
        <v>448256.11999999994</v>
      </c>
      <c r="X362" s="18">
        <v>424596.69</v>
      </c>
      <c r="Y362" s="4">
        <f>X362/W362-1</f>
        <v>-5.2781052939109729E-2</v>
      </c>
      <c r="Z362" t="s">
        <v>776</v>
      </c>
    </row>
    <row r="363" spans="1:29" ht="15" customHeight="1">
      <c r="A363" s="37" t="s">
        <v>777</v>
      </c>
      <c r="B363" s="37" t="s">
        <v>778</v>
      </c>
      <c r="C363" s="28">
        <v>6975</v>
      </c>
      <c r="E363" s="37" t="s">
        <v>778</v>
      </c>
      <c r="F363" s="28">
        <v>4801</v>
      </c>
      <c r="G363" t="b">
        <f>IF(B363=E363,TRUE,FALSE)</f>
        <v>1</v>
      </c>
      <c r="J363" s="25">
        <f>F363-C363</f>
        <v>-2174</v>
      </c>
      <c r="K363" s="4">
        <f>F363/C363-1</f>
        <v>-0.31168458781362007</v>
      </c>
      <c r="M363" s="5">
        <v>7621.34</v>
      </c>
      <c r="N363" s="5">
        <v>7390.4</v>
      </c>
      <c r="Q363" s="139">
        <v>45528.2</v>
      </c>
      <c r="U363" s="127">
        <f>N363-M363</f>
        <v>-230.94000000000051</v>
      </c>
      <c r="V363" s="4">
        <f>IF(M363=0,0,N363/M363-1)</f>
        <v>-3.030175795857426E-2</v>
      </c>
      <c r="W363" s="18">
        <v>150160.99000000002</v>
      </c>
      <c r="X363" s="18">
        <v>129118.97</v>
      </c>
      <c r="Y363" s="4">
        <f>X363/W363-1</f>
        <v>-0.14012973675786244</v>
      </c>
      <c r="Z363" t="s">
        <v>779</v>
      </c>
    </row>
    <row r="364" spans="1:29" ht="15" customHeight="1">
      <c r="A364" t="s">
        <v>780</v>
      </c>
      <c r="B364" t="s">
        <v>781</v>
      </c>
      <c r="C364" s="28">
        <v>19564</v>
      </c>
      <c r="E364" t="s">
        <v>781</v>
      </c>
      <c r="F364" s="28">
        <v>16575</v>
      </c>
      <c r="G364" t="b">
        <f>IF(B364=E364,TRUE,FALSE)</f>
        <v>1</v>
      </c>
      <c r="J364" s="25">
        <f>F364-C364</f>
        <v>-2989</v>
      </c>
      <c r="K364" s="4">
        <f>F364/C364-1</f>
        <v>-0.15278061746064198</v>
      </c>
      <c r="M364" s="5">
        <v>13044.94</v>
      </c>
      <c r="N364" s="5">
        <v>13219.11</v>
      </c>
      <c r="Q364" s="139">
        <v>133321.55000000002</v>
      </c>
      <c r="U364" s="127">
        <f>N364-M364</f>
        <v>174.17000000000007</v>
      </c>
      <c r="V364" s="4">
        <f>IF(M364=0,0,N364/M364-1)</f>
        <v>1.3351537071078834E-2</v>
      </c>
      <c r="W364" s="18">
        <v>586050.79</v>
      </c>
      <c r="X364" s="18">
        <v>546790.53</v>
      </c>
      <c r="Y364" s="4">
        <f>X364/W364-1</f>
        <v>-6.6991224429541307E-2</v>
      </c>
      <c r="Z364" t="s">
        <v>782</v>
      </c>
      <c r="AC364" t="s">
        <v>783</v>
      </c>
    </row>
    <row r="365" spans="1:29" ht="15" customHeight="1">
      <c r="A365" t="s">
        <v>784</v>
      </c>
      <c r="B365" t="s">
        <v>785</v>
      </c>
      <c r="C365" s="28">
        <v>11712</v>
      </c>
      <c r="E365" t="s">
        <v>785</v>
      </c>
      <c r="F365" s="28">
        <v>7838</v>
      </c>
      <c r="G365" t="b">
        <f>IF(B365=E365,TRUE,FALSE)</f>
        <v>1</v>
      </c>
      <c r="J365" s="25">
        <f>F365-C365</f>
        <v>-3874</v>
      </c>
      <c r="K365" s="4">
        <f>F365/C365-1</f>
        <v>-0.33077185792349728</v>
      </c>
      <c r="M365" s="5">
        <v>16996.14</v>
      </c>
      <c r="N365" s="5">
        <v>11824.06</v>
      </c>
      <c r="Q365" s="139">
        <v>97965.54</v>
      </c>
      <c r="U365" s="127">
        <f>N365-M365</f>
        <v>-5172.08</v>
      </c>
      <c r="V365" s="4">
        <f>IF(M365=0,0,N365/M365-1)</f>
        <v>-0.30430909606534196</v>
      </c>
      <c r="W365" s="18">
        <v>350732.7</v>
      </c>
      <c r="X365" s="18">
        <v>234718.7</v>
      </c>
      <c r="Y365" s="4">
        <f>X365/W365-1</f>
        <v>-0.33077611525814388</v>
      </c>
      <c r="Z365" t="s">
        <v>786</v>
      </c>
      <c r="AC365" t="s">
        <v>787</v>
      </c>
    </row>
    <row r="366" spans="1:29" ht="15" customHeight="1">
      <c r="A366" t="s">
        <v>788</v>
      </c>
      <c r="B366" t="s">
        <v>789</v>
      </c>
      <c r="C366" s="28">
        <v>21028</v>
      </c>
      <c r="E366" t="s">
        <v>789</v>
      </c>
      <c r="F366" s="28">
        <v>16417</v>
      </c>
      <c r="G366" t="b">
        <f>IF(B366=E366,TRUE,FALSE)</f>
        <v>1</v>
      </c>
      <c r="J366" s="25">
        <f>F366-C366</f>
        <v>-4611</v>
      </c>
      <c r="K366" s="4">
        <f>F366/C366-1</f>
        <v>-0.21927905649610047</v>
      </c>
      <c r="M366" s="5">
        <v>13741.31</v>
      </c>
      <c r="N366" s="5">
        <v>14701.22</v>
      </c>
      <c r="Q366" s="139">
        <v>77139.66</v>
      </c>
      <c r="U366" s="127">
        <f>N366-M366</f>
        <v>959.90999999999985</v>
      </c>
      <c r="V366" s="4">
        <f>IF(M366=0,0,N366/M366-1)</f>
        <v>6.9855785219895328E-2</v>
      </c>
      <c r="W366" s="18">
        <v>437769.82</v>
      </c>
      <c r="X366" s="18">
        <v>390889.17</v>
      </c>
      <c r="Y366" s="4">
        <f>X366/W366-1</f>
        <v>-0.10708972582897569</v>
      </c>
      <c r="AC366" t="s">
        <v>790</v>
      </c>
    </row>
    <row r="367" spans="1:29" ht="15" customHeight="1">
      <c r="A367" t="s">
        <v>791</v>
      </c>
      <c r="B367" t="s">
        <v>792</v>
      </c>
      <c r="C367" s="28">
        <v>25279</v>
      </c>
      <c r="E367" t="s">
        <v>792</v>
      </c>
      <c r="F367" s="28">
        <v>20656</v>
      </c>
      <c r="G367" t="b">
        <f>IF(B367=E367,TRUE,FALSE)</f>
        <v>1</v>
      </c>
      <c r="J367" s="25">
        <f>F367-C367</f>
        <v>-4623</v>
      </c>
      <c r="K367" s="4">
        <f>F367/C367-1</f>
        <v>-0.18287906958344868</v>
      </c>
      <c r="M367" s="5">
        <v>34507.35</v>
      </c>
      <c r="N367" s="5">
        <v>37188.15</v>
      </c>
      <c r="Q367" s="139">
        <v>203958.91</v>
      </c>
      <c r="U367" s="127">
        <f>N367-M367</f>
        <v>2680.8000000000029</v>
      </c>
      <c r="V367" s="4">
        <f>IF(M367=0,0,N367/M367-1)</f>
        <v>7.7687796947606858E-2</v>
      </c>
      <c r="W367" s="18">
        <v>612359.05000000005</v>
      </c>
      <c r="X367" s="18">
        <v>571653.25</v>
      </c>
      <c r="Y367" s="4">
        <f>X367/W367-1</f>
        <v>-6.6473746080832896E-2</v>
      </c>
      <c r="AC367" t="s">
        <v>793</v>
      </c>
    </row>
    <row r="368" spans="1:29" ht="15" customHeight="1">
      <c r="A368" t="s">
        <v>794</v>
      </c>
      <c r="B368" t="s">
        <v>795</v>
      </c>
      <c r="C368" s="28">
        <v>48514</v>
      </c>
      <c r="E368" t="s">
        <v>795</v>
      </c>
      <c r="F368" s="28">
        <v>30502</v>
      </c>
      <c r="G368" t="b">
        <f>IF(B368=E368,TRUE,FALSE)</f>
        <v>1</v>
      </c>
      <c r="J368" s="25">
        <f>F368-C368</f>
        <v>-18012</v>
      </c>
      <c r="K368" s="4">
        <f>F368/C368-1</f>
        <v>-0.3712742713443542</v>
      </c>
      <c r="M368" s="5">
        <v>61471.33</v>
      </c>
      <c r="N368" s="5">
        <v>49158.46</v>
      </c>
      <c r="Q368" s="139">
        <v>325674.03000000003</v>
      </c>
      <c r="U368" s="127">
        <f>N368-M368</f>
        <v>-12312.870000000003</v>
      </c>
      <c r="V368" s="4">
        <f>IF(M368=0,0,N368/M368-1)</f>
        <v>-0.20030264515181306</v>
      </c>
      <c r="W368" s="18">
        <v>1359806.78</v>
      </c>
      <c r="X368" s="18">
        <v>997240.75</v>
      </c>
      <c r="Y368" s="4">
        <f>X368/W368-1</f>
        <v>-0.2666305502609716</v>
      </c>
      <c r="AC368" t="s">
        <v>796</v>
      </c>
    </row>
    <row r="369" spans="1:25" ht="15" customHeight="1">
      <c r="A369" s="143"/>
      <c r="B369" s="37"/>
      <c r="C369" s="28"/>
      <c r="E369" s="37"/>
      <c r="F369" s="28"/>
      <c r="J369" s="25"/>
      <c r="K369" s="4"/>
      <c r="Q369" s="138"/>
      <c r="V369" s="4"/>
      <c r="W369" s="18"/>
      <c r="X369" s="18"/>
      <c r="Y369" s="4"/>
    </row>
    <row r="370" spans="1:25" ht="15" customHeight="1">
      <c r="A370" s="143"/>
      <c r="B370" s="37"/>
      <c r="C370" s="28"/>
      <c r="E370" s="37"/>
      <c r="F370" s="28"/>
      <c r="J370" s="25"/>
      <c r="K370" s="4"/>
      <c r="Q370" s="138"/>
      <c r="V370" s="4"/>
      <c r="W370" s="18"/>
      <c r="X370" s="18"/>
      <c r="Y370" s="4"/>
    </row>
    <row r="371" spans="1:25" ht="15" customHeight="1">
      <c r="A371" s="143"/>
      <c r="B371" s="37"/>
      <c r="C371" s="28"/>
      <c r="E371" s="37"/>
      <c r="F371" s="28"/>
      <c r="J371" s="25"/>
      <c r="K371" s="4"/>
      <c r="Q371" s="138"/>
      <c r="V371" s="4"/>
      <c r="W371" s="18"/>
      <c r="X371" s="18"/>
      <c r="Y371" s="4"/>
    </row>
    <row r="372" spans="1:25" ht="15" customHeight="1">
      <c r="A372" s="54"/>
      <c r="B372" s="37"/>
      <c r="E372" s="37"/>
    </row>
    <row r="373" spans="1:25" ht="15" customHeight="1">
      <c r="C373" s="3" t="s">
        <v>797</v>
      </c>
      <c r="D373" s="3"/>
      <c r="E373" s="3"/>
      <c r="F373" s="3" t="s">
        <v>797</v>
      </c>
      <c r="G373" s="3"/>
      <c r="H373" s="3"/>
      <c r="I373" s="3"/>
      <c r="J373" s="3" t="s">
        <v>798</v>
      </c>
      <c r="K373" s="31"/>
      <c r="L373" s="3"/>
      <c r="M373" s="33" t="s">
        <v>799</v>
      </c>
      <c r="N373" s="33" t="s">
        <v>799</v>
      </c>
      <c r="O373" s="3"/>
      <c r="Q373" s="33" t="s">
        <v>800</v>
      </c>
      <c r="R373" s="3"/>
      <c r="U373" s="128" t="s">
        <v>801</v>
      </c>
      <c r="V373" s="3"/>
      <c r="W373" s="35" t="s">
        <v>3</v>
      </c>
      <c r="X373" s="35" t="s">
        <v>3</v>
      </c>
      <c r="Y373" s="35"/>
    </row>
    <row r="374" spans="1:25" ht="15" customHeight="1">
      <c r="A374" s="20"/>
      <c r="C374" s="25">
        <f>SUM(C3:C368)</f>
        <v>773195</v>
      </c>
      <c r="F374" s="25">
        <f>SUM(F3:F368)</f>
        <v>799507</v>
      </c>
      <c r="J374" s="25">
        <f>SUM(J3:J368)</f>
        <v>26312</v>
      </c>
      <c r="M374" s="18">
        <f>SUM(M3:M368)</f>
        <v>1022814.5699999998</v>
      </c>
      <c r="N374" s="18">
        <f>SUM(N3:N368)</f>
        <v>1051966.6800000013</v>
      </c>
      <c r="Q374" s="18">
        <f>SUM(Q3:Q368)</f>
        <v>7139103.2299999986</v>
      </c>
      <c r="U374" s="127">
        <f>N374-M374</f>
        <v>29152.110000001499</v>
      </c>
      <c r="V374" s="4">
        <f>IF(M374=0,0,N374/M374-1)</f>
        <v>2.8501852491211066E-2</v>
      </c>
      <c r="W374" s="30">
        <f>SUM(W3:W368)</f>
        <v>21310434.25</v>
      </c>
      <c r="X374" s="30">
        <v>22549338</v>
      </c>
      <c r="Y374" s="31">
        <f>X374/W374-1</f>
        <v>5.8136016163068183E-2</v>
      </c>
    </row>
    <row r="376" spans="1:25" ht="15" customHeight="1">
      <c r="F376" s="19">
        <f>F374-C374</f>
        <v>26312</v>
      </c>
      <c r="N376" s="33" t="s">
        <v>802</v>
      </c>
      <c r="Q376" s="26">
        <f>N374/Q374</f>
        <v>0.14735277612731781</v>
      </c>
      <c r="W376" s="3" t="s">
        <v>803</v>
      </c>
      <c r="X376" s="3" t="s">
        <v>803</v>
      </c>
    </row>
    <row r="377" spans="1:25" ht="15" customHeight="1">
      <c r="F377" s="4">
        <f>F374/C374-1</f>
        <v>3.4030225234255251E-2</v>
      </c>
      <c r="W377" s="32">
        <f>M374/W374</f>
        <v>4.7995951560677361E-2</v>
      </c>
      <c r="X377" s="32">
        <f>N374/X374</f>
        <v>4.6651776650826794E-2</v>
      </c>
    </row>
    <row r="380" spans="1:25" ht="15" customHeight="1">
      <c r="W380" s="35"/>
      <c r="X380" s="35"/>
    </row>
    <row r="381" spans="1:25" ht="15" customHeight="1">
      <c r="V381" s="3"/>
      <c r="W381" s="30"/>
      <c r="X381" s="30"/>
    </row>
    <row r="382" spans="1:25" ht="15" customHeight="1">
      <c r="V382" s="3"/>
    </row>
    <row r="383" spans="1:25" ht="15" customHeight="1">
      <c r="V383" s="3"/>
    </row>
    <row r="387" spans="23:24" ht="15" customHeight="1">
      <c r="W387" s="3"/>
      <c r="X387" s="3"/>
    </row>
  </sheetData>
  <autoFilter ref="A2:AD2" xr:uid="{00000000-0001-0000-0000-000000000000}"/>
  <sortState xmlns:xlrd2="http://schemas.microsoft.com/office/spreadsheetml/2017/richdata2" ref="J3:K219">
    <sortCondition descending="1" ref="J3:J219"/>
  </sortState>
  <mergeCells count="6">
    <mergeCell ref="W1:X1"/>
    <mergeCell ref="U1:V1"/>
    <mergeCell ref="B1:C1"/>
    <mergeCell ref="J1:K1"/>
    <mergeCell ref="M1:N1"/>
    <mergeCell ref="E1:F1"/>
  </mergeCells>
  <phoneticPr fontId="3" type="noConversion"/>
  <conditionalFormatting sqref="D171 H171:I171 L171 O171:P171 R171:T171 J373:J377 J381:J1048576 J2:J371">
    <cfRule type="cellIs" dxfId="43" priority="23" operator="greaterThan">
      <formula>500</formula>
    </cfRule>
  </conditionalFormatting>
  <conditionalFormatting sqref="J3:J371">
    <cfRule type="cellIs" dxfId="42" priority="29" operator="lessThan">
      <formula>-100</formula>
    </cfRule>
  </conditionalFormatting>
  <conditionalFormatting sqref="J373">
    <cfRule type="cellIs" dxfId="41" priority="2" operator="lessThan">
      <formula>-100</formula>
    </cfRule>
  </conditionalFormatting>
  <conditionalFormatting sqref="K373:K1048576 K3:K371">
    <cfRule type="cellIs" dxfId="40" priority="3" operator="lessThan">
      <formula>-0.2</formula>
    </cfRule>
  </conditionalFormatting>
  <conditionalFormatting sqref="K3:K371">
    <cfRule type="cellIs" dxfId="39" priority="15" operator="lessThan">
      <formula>-10%</formula>
    </cfRule>
    <cfRule type="cellIs" dxfId="38" priority="46" operator="greaterThan">
      <formula>0.2</formula>
    </cfRule>
  </conditionalFormatting>
  <conditionalFormatting sqref="K373">
    <cfRule type="cellIs" dxfId="37" priority="5" operator="greaterThan">
      <formula>0.2</formula>
    </cfRule>
  </conditionalFormatting>
  <conditionalFormatting sqref="V374 V3:V371">
    <cfRule type="cellIs" dxfId="36" priority="14" operator="greaterThan">
      <formula>0.5</formula>
    </cfRule>
  </conditionalFormatting>
  <conditionalFormatting sqref="Y3:Y371">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374">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E220"/>
  <sheetViews>
    <sheetView zoomScaleNormal="100" workbookViewId="0">
      <pane xSplit="2" ySplit="2" topLeftCell="J120" activePane="bottomRight" state="frozen"/>
      <selection pane="bottomRight" activeCell="AD136" sqref="AD136"/>
      <selection pane="bottomLeft"/>
      <selection pane="topRight"/>
    </sheetView>
  </sheetViews>
  <sheetFormatPr defaultRowHeight="15" customHeight="1"/>
  <cols>
    <col min="1" max="1" width="66.42578125" customWidth="1"/>
    <col min="2" max="2" width="13.85546875" bestFit="1"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138" customWidth="1"/>
    <col min="18" max="19" width="0.85546875" customWidth="1"/>
    <col min="20" max="20" width="11.85546875" style="116" bestFit="1" customWidth="1"/>
    <col min="22" max="22" width="0.85546875" customWidth="1"/>
    <col min="23" max="24" width="7" hidden="1" customWidth="1"/>
    <col min="25" max="25" width="13.7109375" hidden="1" customWidth="1"/>
    <col min="26" max="26" width="7.42578125" style="14" hidden="1" customWidth="1"/>
    <col min="27" max="28" width="13.28515625" customWidth="1"/>
  </cols>
  <sheetData>
    <row r="1" spans="1:31">
      <c r="B1" s="154">
        <v>45931</v>
      </c>
      <c r="C1" s="153"/>
      <c r="E1" s="154">
        <v>45962</v>
      </c>
      <c r="F1" s="153"/>
      <c r="J1" s="155"/>
      <c r="K1" s="155"/>
      <c r="M1" s="156" t="s">
        <v>0</v>
      </c>
      <c r="N1" s="156"/>
      <c r="O1" s="1"/>
      <c r="Q1" s="137" t="s">
        <v>1</v>
      </c>
      <c r="R1" s="1"/>
      <c r="T1" s="153" t="s">
        <v>2</v>
      </c>
      <c r="U1" s="153"/>
      <c r="W1" s="155" t="s">
        <v>804</v>
      </c>
      <c r="X1" s="155"/>
      <c r="Y1" s="155"/>
      <c r="Z1" s="155"/>
      <c r="AA1" s="153" t="s">
        <v>3</v>
      </c>
      <c r="AB1" s="153"/>
    </row>
    <row r="2" spans="1:31">
      <c r="A2" t="s">
        <v>4</v>
      </c>
      <c r="B2" s="3" t="s">
        <v>5</v>
      </c>
      <c r="C2" s="3" t="s">
        <v>6</v>
      </c>
      <c r="E2" s="3" t="s">
        <v>5</v>
      </c>
      <c r="F2" s="3" t="s">
        <v>6</v>
      </c>
      <c r="G2" t="s">
        <v>7</v>
      </c>
      <c r="J2" t="s">
        <v>8</v>
      </c>
      <c r="K2" t="s">
        <v>9</v>
      </c>
      <c r="M2" t="s">
        <v>10</v>
      </c>
      <c r="N2" t="s">
        <v>14</v>
      </c>
      <c r="Q2" s="138" t="s">
        <v>12</v>
      </c>
      <c r="T2" s="116" t="s">
        <v>13</v>
      </c>
      <c r="U2" t="s">
        <v>9</v>
      </c>
      <c r="W2" t="s">
        <v>18</v>
      </c>
      <c r="X2" t="s">
        <v>15</v>
      </c>
      <c r="Y2" t="s">
        <v>805</v>
      </c>
      <c r="Z2" s="14" t="s">
        <v>806</v>
      </c>
      <c r="AA2" t="s">
        <v>10</v>
      </c>
      <c r="AB2" t="s">
        <v>14</v>
      </c>
      <c r="AC2" t="s">
        <v>9</v>
      </c>
      <c r="AD2" t="s">
        <v>17</v>
      </c>
      <c r="AE2" t="s">
        <v>15</v>
      </c>
    </row>
    <row r="3" spans="1:31" ht="13.5" customHeight="1">
      <c r="A3" t="s">
        <v>807</v>
      </c>
      <c r="B3" t="s">
        <v>808</v>
      </c>
      <c r="C3" s="19">
        <v>6118</v>
      </c>
      <c r="E3" t="s">
        <v>808</v>
      </c>
      <c r="F3" s="19">
        <v>8594</v>
      </c>
      <c r="G3" t="b">
        <f>IF(B3=E3,TRUE,FALSE)</f>
        <v>1</v>
      </c>
      <c r="J3" s="25">
        <f>F3-C3</f>
        <v>2476</v>
      </c>
      <c r="K3" s="4">
        <f>F3/C3-1</f>
        <v>0.4047074207257273</v>
      </c>
      <c r="M3" s="5">
        <v>4995.87</v>
      </c>
      <c r="N3" s="5">
        <v>8479.31</v>
      </c>
      <c r="Q3" s="139">
        <v>54873.32</v>
      </c>
      <c r="T3" s="114">
        <f>N3-M3</f>
        <v>3483.4399999999996</v>
      </c>
      <c r="U3" s="4">
        <f>IF(M3=0,0,N3/M3-1)</f>
        <v>0.6972639400144518</v>
      </c>
      <c r="AA3" s="18">
        <v>133911.20000000001</v>
      </c>
      <c r="AB3" s="18">
        <v>166140.91</v>
      </c>
      <c r="AC3" s="4">
        <f>AB3/AA3-1</f>
        <v>0.24067971909743169</v>
      </c>
    </row>
    <row r="4" spans="1:31" ht="13.9" customHeight="1">
      <c r="A4" s="27" t="s">
        <v>809</v>
      </c>
      <c r="B4" s="27" t="s">
        <v>810</v>
      </c>
      <c r="C4" s="19">
        <v>571</v>
      </c>
      <c r="E4" s="27" t="s">
        <v>810</v>
      </c>
      <c r="F4" s="19">
        <v>2700</v>
      </c>
      <c r="G4" t="b">
        <f>IF(B4=E4,TRUE,FALSE)</f>
        <v>1</v>
      </c>
      <c r="J4" s="25">
        <f>F4-C4</f>
        <v>2129</v>
      </c>
      <c r="K4" s="4">
        <f t="shared" ref="K4:K67" si="0">F4/C4-1</f>
        <v>3.7285464098073557</v>
      </c>
      <c r="M4" s="5">
        <v>1249.99</v>
      </c>
      <c r="N4" s="5">
        <v>2524.6799999999998</v>
      </c>
      <c r="Q4" s="139">
        <v>18000.63</v>
      </c>
      <c r="T4" s="114">
        <f>N4-M4</f>
        <v>1274.6899999999998</v>
      </c>
      <c r="U4" s="4">
        <f>IF(M4=0,0,N4/M4-1)</f>
        <v>1.0197601580812643</v>
      </c>
      <c r="AA4" s="18">
        <v>10469.09</v>
      </c>
      <c r="AB4" s="18">
        <v>46065</v>
      </c>
      <c r="AC4" s="4">
        <f>AB4/AA4-1</f>
        <v>3.400095901362965</v>
      </c>
    </row>
    <row r="5" spans="1:31" ht="14.25" customHeight="1">
      <c r="A5" t="s">
        <v>811</v>
      </c>
      <c r="B5" t="s">
        <v>812</v>
      </c>
      <c r="C5" s="19">
        <v>3122</v>
      </c>
      <c r="E5" t="s">
        <v>812</v>
      </c>
      <c r="F5" s="19">
        <v>4905</v>
      </c>
      <c r="G5" t="b">
        <f>IF(B5=E5,TRUE,FALSE)</f>
        <v>1</v>
      </c>
      <c r="J5" s="25">
        <f>F5-C5</f>
        <v>1783</v>
      </c>
      <c r="K5" s="4">
        <f t="shared" si="0"/>
        <v>0.57110826393337599</v>
      </c>
      <c r="M5" s="5">
        <v>2449.98</v>
      </c>
      <c r="N5" s="5">
        <v>3871.16</v>
      </c>
      <c r="Q5" s="139">
        <v>29750.2</v>
      </c>
      <c r="T5" s="114">
        <f>N5-M5</f>
        <v>1421.1799999999998</v>
      </c>
      <c r="U5" s="4">
        <f>IF(M5=0,0,N5/M5-1)</f>
        <v>0.58007820472003857</v>
      </c>
      <c r="AA5" s="18">
        <v>68341.429999999993</v>
      </c>
      <c r="AB5" s="18">
        <v>94902.12</v>
      </c>
      <c r="AC5" s="4">
        <f>AB5/AA5-1</f>
        <v>0.38864697446336738</v>
      </c>
    </row>
    <row r="6" spans="1:31" ht="13.9" customHeight="1">
      <c r="A6" t="s">
        <v>813</v>
      </c>
      <c r="B6" t="s">
        <v>814</v>
      </c>
      <c r="C6" s="19">
        <v>636</v>
      </c>
      <c r="E6" t="s">
        <v>814</v>
      </c>
      <c r="F6" s="19">
        <v>1953</v>
      </c>
      <c r="G6" t="b">
        <f>IF(B6=E6,TRUE,FALSE)</f>
        <v>1</v>
      </c>
      <c r="J6" s="25">
        <f>F6-C6</f>
        <v>1317</v>
      </c>
      <c r="K6" s="4">
        <f t="shared" si="0"/>
        <v>2.0707547169811322</v>
      </c>
      <c r="M6" s="5">
        <v>654.66999999999996</v>
      </c>
      <c r="N6" s="5">
        <v>2302.62</v>
      </c>
      <c r="Q6" s="139">
        <v>10069.74</v>
      </c>
      <c r="T6" s="114">
        <f>N6-M6</f>
        <v>1647.9499999999998</v>
      </c>
      <c r="U6" s="4">
        <f>IF(M6=0,0,N6/M6-1)</f>
        <v>2.5172224174011335</v>
      </c>
      <c r="AA6" s="18">
        <v>10821.08</v>
      </c>
      <c r="AB6" s="18">
        <v>33209.269999999997</v>
      </c>
      <c r="AC6" s="4">
        <f>AB6/AA6-1</f>
        <v>2.0689422867218425</v>
      </c>
    </row>
    <row r="7" spans="1:31" ht="13.9" customHeight="1">
      <c r="A7" t="s">
        <v>815</v>
      </c>
      <c r="B7" t="s">
        <v>816</v>
      </c>
      <c r="C7" s="19">
        <v>60814</v>
      </c>
      <c r="E7" t="s">
        <v>816</v>
      </c>
      <c r="F7" s="19">
        <v>62048</v>
      </c>
      <c r="G7" t="b">
        <f>IF(B7=E7,TRUE,FALSE)</f>
        <v>1</v>
      </c>
      <c r="J7" s="25">
        <f>F7-C7</f>
        <v>1234</v>
      </c>
      <c r="K7" s="4">
        <f t="shared" si="0"/>
        <v>2.0291380274279014E-2</v>
      </c>
      <c r="M7" s="5">
        <v>62427.909999999996</v>
      </c>
      <c r="N7" s="5">
        <v>59832.72</v>
      </c>
      <c r="Q7" s="139">
        <v>248399.03</v>
      </c>
      <c r="T7" s="114">
        <f>N7-M7</f>
        <v>-2595.1899999999951</v>
      </c>
      <c r="U7" s="4">
        <f>IF(M7=0,0,N7/M7-1)</f>
        <v>-4.1570989642292888E-2</v>
      </c>
      <c r="W7" t="s">
        <v>817</v>
      </c>
      <c r="AA7" s="18">
        <v>1030695.41</v>
      </c>
      <c r="AB7" s="18">
        <v>1011061.59</v>
      </c>
      <c r="AC7" s="4">
        <f>AB7/AA7-1</f>
        <v>-1.9049100063422308E-2</v>
      </c>
    </row>
    <row r="8" spans="1:31" ht="13.5" customHeight="1">
      <c r="A8" t="s">
        <v>818</v>
      </c>
      <c r="B8" t="s">
        <v>819</v>
      </c>
      <c r="C8" s="19">
        <v>8015</v>
      </c>
      <c r="E8" t="s">
        <v>819</v>
      </c>
      <c r="F8" s="19">
        <v>9082</v>
      </c>
      <c r="G8" t="b">
        <f>IF(B8=E8,TRUE,FALSE)</f>
        <v>1</v>
      </c>
      <c r="J8" s="25">
        <f>F8-C8</f>
        <v>1067</v>
      </c>
      <c r="K8" s="4">
        <f t="shared" si="0"/>
        <v>0.13312538989394884</v>
      </c>
      <c r="M8" s="5">
        <v>1152.45</v>
      </c>
      <c r="N8" s="5">
        <v>656.53</v>
      </c>
      <c r="Q8" s="139">
        <v>8652.76</v>
      </c>
      <c r="T8" s="114">
        <f>N8-M8</f>
        <v>-495.92000000000007</v>
      </c>
      <c r="U8" s="4">
        <f>IF(M8=0,0,N8/M8-1)</f>
        <v>-0.43031801813527704</v>
      </c>
      <c r="AA8" s="18">
        <v>246954.94</v>
      </c>
      <c r="AB8" s="18">
        <v>276961.69999999995</v>
      </c>
      <c r="AC8" s="4">
        <f>AB8/AA8-1</f>
        <v>0.12150702472280961</v>
      </c>
    </row>
    <row r="9" spans="1:31" ht="12.75" customHeight="1">
      <c r="A9" s="130" t="s">
        <v>820</v>
      </c>
      <c r="B9" s="37" t="s">
        <v>821</v>
      </c>
      <c r="C9">
        <v>417</v>
      </c>
      <c r="E9" s="37" t="s">
        <v>821</v>
      </c>
      <c r="F9">
        <v>1454</v>
      </c>
      <c r="G9" t="b">
        <f>IF(B9=E9,TRUE,FALSE)</f>
        <v>1</v>
      </c>
      <c r="J9" s="25">
        <f>F9-C9</f>
        <v>1037</v>
      </c>
      <c r="K9" s="4">
        <f t="shared" si="0"/>
        <v>2.4868105515587531</v>
      </c>
      <c r="M9" s="131">
        <v>736.71</v>
      </c>
      <c r="N9" s="131">
        <v>1188.71</v>
      </c>
      <c r="Q9" s="139">
        <v>5438.84</v>
      </c>
      <c r="T9" s="114">
        <f>N9-M9</f>
        <v>452</v>
      </c>
      <c r="U9" s="4">
        <f>IF(M9=0,0,N9/M9-1)</f>
        <v>0.61353857012935897</v>
      </c>
      <c r="AA9">
        <v>5971.12</v>
      </c>
      <c r="AB9">
        <v>16702.29</v>
      </c>
      <c r="AC9" s="4">
        <f>AB9/AA9-1</f>
        <v>1.7971787537346429</v>
      </c>
    </row>
    <row r="10" spans="1:31" ht="13.9" customHeight="1">
      <c r="A10" s="136" t="s">
        <v>822</v>
      </c>
      <c r="B10" s="37" t="s">
        <v>823</v>
      </c>
      <c r="C10" s="19">
        <v>1147</v>
      </c>
      <c r="E10" s="37" t="s">
        <v>823</v>
      </c>
      <c r="F10" s="19">
        <v>1995</v>
      </c>
      <c r="G10" t="b">
        <f>IF(B10=E10,TRUE,FALSE)</f>
        <v>1</v>
      </c>
      <c r="J10" s="25">
        <f>F10-C10</f>
        <v>848</v>
      </c>
      <c r="K10" s="4">
        <f t="shared" si="0"/>
        <v>0.73931996512641684</v>
      </c>
      <c r="M10" s="131">
        <v>1423.83</v>
      </c>
      <c r="N10" s="131">
        <v>1933.15</v>
      </c>
      <c r="Q10" s="138">
        <v>10421.23</v>
      </c>
      <c r="AA10">
        <v>15459.25</v>
      </c>
      <c r="AB10">
        <v>23289.09</v>
      </c>
      <c r="AC10" s="4">
        <f>AB10/AA10-1</f>
        <v>0.50648252664262494</v>
      </c>
    </row>
    <row r="11" spans="1:31" ht="13.9" customHeight="1">
      <c r="A11" t="s">
        <v>824</v>
      </c>
      <c r="B11" t="s">
        <v>825</v>
      </c>
      <c r="C11" s="19">
        <v>283</v>
      </c>
      <c r="E11" t="s">
        <v>825</v>
      </c>
      <c r="F11" s="19">
        <v>1088</v>
      </c>
      <c r="G11" t="b">
        <f>IF(B11=E11,TRUE,FALSE)</f>
        <v>1</v>
      </c>
      <c r="J11" s="25">
        <f>F11-C11</f>
        <v>805</v>
      </c>
      <c r="K11" s="4">
        <f t="shared" si="0"/>
        <v>2.8445229681978796</v>
      </c>
      <c r="M11" s="5">
        <v>284.38</v>
      </c>
      <c r="N11" s="5">
        <v>1009.35</v>
      </c>
      <c r="Q11" s="139">
        <v>6299.76</v>
      </c>
      <c r="T11" s="114">
        <f>N11-M11</f>
        <v>724.97</v>
      </c>
      <c r="U11" s="4">
        <f>IF(M11=0,0,N11/M11-1)</f>
        <v>2.5493002320838318</v>
      </c>
      <c r="AA11" s="18">
        <v>4986.38</v>
      </c>
      <c r="AB11" s="18">
        <v>17435.87</v>
      </c>
      <c r="AC11" s="4">
        <f>AB11/AA11-1</f>
        <v>2.4966990080980587</v>
      </c>
    </row>
    <row r="12" spans="1:31" ht="13.9" customHeight="1">
      <c r="A12" t="s">
        <v>826</v>
      </c>
      <c r="B12" t="s">
        <v>827</v>
      </c>
      <c r="C12" s="19">
        <v>1066</v>
      </c>
      <c r="E12" t="s">
        <v>827</v>
      </c>
      <c r="F12" s="19">
        <v>1849</v>
      </c>
      <c r="G12" t="b">
        <f>IF(B12=E12,TRUE,FALSE)</f>
        <v>1</v>
      </c>
      <c r="J12" s="25">
        <f>F12-C12</f>
        <v>783</v>
      </c>
      <c r="K12" s="4">
        <f t="shared" si="0"/>
        <v>0.73452157598499057</v>
      </c>
      <c r="M12" s="5">
        <v>1653.39</v>
      </c>
      <c r="N12" s="5">
        <v>2161.12</v>
      </c>
      <c r="Q12" s="139">
        <v>14793.57</v>
      </c>
      <c r="T12" s="114">
        <f>N12-M12</f>
        <v>507.72999999999979</v>
      </c>
      <c r="U12" s="4">
        <f>IF(M12=0,0,N12/M12-1)</f>
        <v>0.30708423300007848</v>
      </c>
      <c r="Y12" t="s">
        <v>828</v>
      </c>
      <c r="AA12" s="18">
        <v>31920.1</v>
      </c>
      <c r="AB12" s="18">
        <v>55362.25</v>
      </c>
      <c r="AC12" s="4">
        <f>AB12/AA12-1</f>
        <v>0.73440089473403902</v>
      </c>
    </row>
    <row r="13" spans="1:31" ht="13.9" customHeight="1">
      <c r="A13" t="s">
        <v>829</v>
      </c>
      <c r="B13" t="s">
        <v>830</v>
      </c>
      <c r="C13" s="19">
        <v>1145</v>
      </c>
      <c r="E13" t="s">
        <v>830</v>
      </c>
      <c r="F13" s="19">
        <v>1923</v>
      </c>
      <c r="G13" t="b">
        <f>IF(B13=E13,TRUE,FALSE)</f>
        <v>1</v>
      </c>
      <c r="J13" s="25">
        <f>F13-C13</f>
        <v>778</v>
      </c>
      <c r="K13" s="4">
        <f t="shared" si="0"/>
        <v>0.67947598253275099</v>
      </c>
      <c r="M13" s="5">
        <v>1001.04</v>
      </c>
      <c r="N13" s="5">
        <v>1131.58</v>
      </c>
      <c r="Q13" s="139">
        <v>6557.13</v>
      </c>
      <c r="T13" s="114">
        <f>N13-M13</f>
        <v>130.53999999999996</v>
      </c>
      <c r="U13" s="4">
        <f>IF(M13=0,0,N13/M13-1)</f>
        <v>0.13040437944537686</v>
      </c>
      <c r="AA13" s="18">
        <v>36337.61</v>
      </c>
      <c r="AB13" s="18">
        <v>54569.81</v>
      </c>
      <c r="AC13" s="4">
        <f>AB13/AA13-1</f>
        <v>0.50174461116182378</v>
      </c>
    </row>
    <row r="14" spans="1:31" ht="13.9" customHeight="1">
      <c r="A14" t="s">
        <v>831</v>
      </c>
      <c r="B14" t="s">
        <v>832</v>
      </c>
      <c r="C14" s="19">
        <v>873</v>
      </c>
      <c r="D14" s="5"/>
      <c r="E14" t="s">
        <v>832</v>
      </c>
      <c r="F14" s="19">
        <v>1619</v>
      </c>
      <c r="G14" t="b">
        <f>IF(B14=E14,TRUE,FALSE)</f>
        <v>1</v>
      </c>
      <c r="H14" s="5"/>
      <c r="I14" s="5"/>
      <c r="J14" s="25">
        <f>F14-C14</f>
        <v>746</v>
      </c>
      <c r="K14" s="4">
        <f t="shared" si="0"/>
        <v>0.85452462772050408</v>
      </c>
      <c r="L14" s="5"/>
      <c r="M14" s="5">
        <v>1860.89</v>
      </c>
      <c r="N14" s="5">
        <v>2344.86</v>
      </c>
      <c r="O14" s="5"/>
      <c r="P14" s="5"/>
      <c r="Q14" s="139">
        <v>14241.46</v>
      </c>
      <c r="R14" s="5"/>
      <c r="S14" s="5"/>
      <c r="T14" s="114">
        <f>N14-M14</f>
        <v>483.97</v>
      </c>
      <c r="U14" s="4">
        <f>IF(M14=0,0,N14/M14-1)</f>
        <v>0.26007448049051796</v>
      </c>
      <c r="V14" s="5"/>
      <c r="W14" s="5"/>
      <c r="X14" s="5"/>
      <c r="Y14" s="5"/>
      <c r="Z14" s="15"/>
      <c r="AA14" s="18">
        <v>15832.23</v>
      </c>
      <c r="AB14" s="18">
        <v>24745.360000000001</v>
      </c>
      <c r="AC14" s="4">
        <f>AB14/AA14-1</f>
        <v>0.5629737566975721</v>
      </c>
    </row>
    <row r="15" spans="1:31" ht="13.9" customHeight="1">
      <c r="A15" t="s">
        <v>833</v>
      </c>
      <c r="B15" t="s">
        <v>834</v>
      </c>
      <c r="C15" s="19">
        <v>368</v>
      </c>
      <c r="E15" t="s">
        <v>834</v>
      </c>
      <c r="F15" s="19">
        <v>1082</v>
      </c>
      <c r="G15" t="b">
        <f>IF(B15=E15,TRUE,FALSE)</f>
        <v>1</v>
      </c>
      <c r="J15" s="25">
        <f>F15-C15</f>
        <v>714</v>
      </c>
      <c r="K15" s="4">
        <f t="shared" si="0"/>
        <v>1.9402173913043477</v>
      </c>
      <c r="M15" s="5">
        <v>667.3</v>
      </c>
      <c r="N15" s="5">
        <v>1556.34</v>
      </c>
      <c r="Q15" s="139">
        <v>6220.7</v>
      </c>
      <c r="T15" s="114">
        <f>N15-M15</f>
        <v>889.04</v>
      </c>
      <c r="U15" s="4">
        <f>IF(M15=0,0,N15/M15-1)</f>
        <v>1.3322943203956243</v>
      </c>
      <c r="AA15" s="18">
        <v>6412.32</v>
      </c>
      <c r="AB15" s="18">
        <v>15785.39</v>
      </c>
      <c r="AC15" s="4">
        <f>AB15/AA15-1</f>
        <v>1.4617283604062181</v>
      </c>
    </row>
    <row r="16" spans="1:31" ht="13.9" customHeight="1">
      <c r="A16" t="s">
        <v>835</v>
      </c>
      <c r="B16" t="s">
        <v>836</v>
      </c>
      <c r="C16" s="19">
        <v>1581</v>
      </c>
      <c r="D16" s="5"/>
      <c r="E16" t="s">
        <v>836</v>
      </c>
      <c r="F16" s="19">
        <v>2251</v>
      </c>
      <c r="G16" t="b">
        <f>IF(B16=E16,TRUE,FALSE)</f>
        <v>1</v>
      </c>
      <c r="H16" s="5"/>
      <c r="I16" s="5"/>
      <c r="J16" s="25">
        <f>F16-C16</f>
        <v>670</v>
      </c>
      <c r="K16" s="4">
        <f t="shared" si="0"/>
        <v>0.42378241619228341</v>
      </c>
      <c r="L16" s="5"/>
      <c r="M16" s="5">
        <v>2181.39</v>
      </c>
      <c r="N16" s="5">
        <v>2929.85</v>
      </c>
      <c r="O16" s="5"/>
      <c r="P16" s="5"/>
      <c r="Q16" s="139">
        <v>15879.13</v>
      </c>
      <c r="R16" s="5"/>
      <c r="S16" s="5"/>
      <c r="T16" s="114">
        <f>N16-M16</f>
        <v>748.46</v>
      </c>
      <c r="U16" s="4">
        <f>IF(M16=0,0,N16/M16-1)</f>
        <v>0.34311150229899279</v>
      </c>
      <c r="V16" s="5"/>
      <c r="W16" s="5"/>
      <c r="X16" s="5"/>
      <c r="Y16" s="5"/>
      <c r="Z16" s="15"/>
      <c r="AA16" s="18">
        <v>34832.69</v>
      </c>
      <c r="AB16" s="18">
        <v>47176.99</v>
      </c>
      <c r="AC16" s="4">
        <f>AB16/AA16-1</f>
        <v>0.35438836334489232</v>
      </c>
    </row>
    <row r="17" spans="1:30" ht="13.9" customHeight="1">
      <c r="A17" s="54" t="s">
        <v>837</v>
      </c>
      <c r="B17" s="37" t="s">
        <v>838</v>
      </c>
      <c r="C17" s="19">
        <v>58</v>
      </c>
      <c r="E17" s="37" t="s">
        <v>838</v>
      </c>
      <c r="F17" s="19">
        <v>698</v>
      </c>
      <c r="G17" t="b">
        <f>IF(B17=E17,TRUE,FALSE)</f>
        <v>1</v>
      </c>
      <c r="J17" s="25">
        <f>F17-C17</f>
        <v>640</v>
      </c>
      <c r="K17" s="4">
        <f t="shared" si="0"/>
        <v>11.03448275862069</v>
      </c>
      <c r="M17" s="5">
        <v>155.04</v>
      </c>
      <c r="N17" s="5">
        <v>1450.08</v>
      </c>
      <c r="Q17" s="139">
        <v>6581.87</v>
      </c>
      <c r="T17" s="114">
        <f>N17-M17</f>
        <v>1295.04</v>
      </c>
      <c r="U17" s="4">
        <f>IF(M17=0,0,N17/M17-1)</f>
        <v>8.3529411764705888</v>
      </c>
      <c r="AA17" s="18">
        <v>1379.42</v>
      </c>
      <c r="AB17" s="18">
        <v>10145.82</v>
      </c>
      <c r="AC17" s="4">
        <f>AB17/AA17-1</f>
        <v>6.3551347667860396</v>
      </c>
    </row>
    <row r="18" spans="1:30" ht="13.9" customHeight="1">
      <c r="A18" s="54" t="s">
        <v>839</v>
      </c>
      <c r="B18" s="37" t="s">
        <v>840</v>
      </c>
      <c r="C18" s="19">
        <v>56</v>
      </c>
      <c r="E18" s="37" t="s">
        <v>840</v>
      </c>
      <c r="F18" s="19">
        <v>682</v>
      </c>
      <c r="G18" t="b">
        <f>IF(B18=E18,TRUE,FALSE)</f>
        <v>1</v>
      </c>
      <c r="J18" s="25">
        <f>F18-C18</f>
        <v>626</v>
      </c>
      <c r="K18" s="4">
        <f t="shared" si="0"/>
        <v>11.178571428571429</v>
      </c>
      <c r="M18" s="5">
        <v>78.95</v>
      </c>
      <c r="N18" s="5">
        <v>1178.6400000000001</v>
      </c>
      <c r="Q18" s="139">
        <v>6901.99</v>
      </c>
      <c r="T18" s="114">
        <f>N18-M18</f>
        <v>1099.69</v>
      </c>
      <c r="U18" s="4">
        <f>IF(M18=0,0,N18/M18-1)</f>
        <v>13.928942368587714</v>
      </c>
      <c r="AA18" s="18">
        <v>1349.44</v>
      </c>
      <c r="AB18" s="18">
        <v>7823.18</v>
      </c>
      <c r="AC18" s="4">
        <f>AB18/AA18-1</f>
        <v>4.7973529760493241</v>
      </c>
    </row>
    <row r="19" spans="1:30" ht="13.9" customHeight="1">
      <c r="A19" s="54" t="s">
        <v>841</v>
      </c>
      <c r="B19" s="37" t="s">
        <v>842</v>
      </c>
      <c r="C19">
        <v>451</v>
      </c>
      <c r="E19" s="37" t="s">
        <v>842</v>
      </c>
      <c r="F19">
        <v>1073</v>
      </c>
      <c r="G19" t="b">
        <f>IF(B19=E19,TRUE,FALSE)</f>
        <v>1</v>
      </c>
      <c r="J19" s="25">
        <f>F19-C19</f>
        <v>622</v>
      </c>
      <c r="K19" s="4">
        <f t="shared" si="0"/>
        <v>1.379157427937916</v>
      </c>
      <c r="M19" s="5">
        <v>745.5</v>
      </c>
      <c r="N19" s="5">
        <v>1286.97</v>
      </c>
      <c r="Q19" s="139">
        <v>5464.79</v>
      </c>
      <c r="T19" s="114"/>
      <c r="U19" s="4"/>
      <c r="AA19" s="18">
        <v>10433.17</v>
      </c>
      <c r="AB19" s="18">
        <v>23218.67</v>
      </c>
      <c r="AC19" s="4">
        <f>AB19/AA19-1</f>
        <v>1.2254664689638908</v>
      </c>
    </row>
    <row r="20" spans="1:30" ht="13.9" customHeight="1">
      <c r="A20" t="s">
        <v>843</v>
      </c>
      <c r="B20" t="s">
        <v>844</v>
      </c>
      <c r="C20" s="19">
        <v>660</v>
      </c>
      <c r="E20" t="s">
        <v>844</v>
      </c>
      <c r="F20" s="19">
        <v>1278</v>
      </c>
      <c r="G20" t="b">
        <f>IF(B20=E20,TRUE,FALSE)</f>
        <v>1</v>
      </c>
      <c r="J20" s="25">
        <f>F20-C20</f>
        <v>618</v>
      </c>
      <c r="K20" s="4">
        <f t="shared" si="0"/>
        <v>0.93636363636363629</v>
      </c>
      <c r="M20" s="5">
        <v>817.57</v>
      </c>
      <c r="N20" s="5">
        <v>1370.71</v>
      </c>
      <c r="Q20" s="139">
        <v>6623.38</v>
      </c>
      <c r="T20" s="114">
        <f>N20-M20</f>
        <v>553.14</v>
      </c>
      <c r="U20" s="4">
        <f>IF(M20=0,0,N20/M20-1)</f>
        <v>0.67656592096089629</v>
      </c>
      <c r="AA20" s="18">
        <v>10432.040000000001</v>
      </c>
      <c r="AB20" s="18">
        <v>18900.080000000002</v>
      </c>
      <c r="AC20" s="4">
        <f>AB20/AA20-1</f>
        <v>0.81173385071376258</v>
      </c>
    </row>
    <row r="21" spans="1:30" ht="13.9" customHeight="1">
      <c r="A21" t="s">
        <v>845</v>
      </c>
      <c r="B21" t="s">
        <v>846</v>
      </c>
      <c r="C21" s="19">
        <v>386</v>
      </c>
      <c r="E21" t="s">
        <v>846</v>
      </c>
      <c r="F21" s="19">
        <v>1002</v>
      </c>
      <c r="G21" t="b">
        <f>IF(B21=E21,TRUE,FALSE)</f>
        <v>1</v>
      </c>
      <c r="J21" s="25">
        <f>F21-C21</f>
        <v>616</v>
      </c>
      <c r="K21" s="4">
        <f t="shared" si="0"/>
        <v>1.5958549222797926</v>
      </c>
      <c r="M21" s="5">
        <v>263.42</v>
      </c>
      <c r="N21" s="5">
        <v>405.98</v>
      </c>
      <c r="Q21" s="139">
        <v>1893.63</v>
      </c>
      <c r="T21" s="114">
        <f>N21-M21</f>
        <v>142.56</v>
      </c>
      <c r="U21" s="4">
        <f>IF(M21=0,0,N21/M21-1)</f>
        <v>0.54118897578012293</v>
      </c>
      <c r="AA21" s="18">
        <v>9966.0499999999993</v>
      </c>
      <c r="AB21" s="18">
        <v>28010.65</v>
      </c>
      <c r="AC21" s="4">
        <f>AB21/AA21-1</f>
        <v>1.8106070108016721</v>
      </c>
    </row>
    <row r="22" spans="1:30" ht="13.9" customHeight="1">
      <c r="A22" t="s">
        <v>847</v>
      </c>
      <c r="B22" t="s">
        <v>848</v>
      </c>
      <c r="C22" s="19">
        <v>2193</v>
      </c>
      <c r="E22" t="s">
        <v>848</v>
      </c>
      <c r="F22" s="19">
        <v>2766</v>
      </c>
      <c r="G22" t="b">
        <f>IF(B22=E22,TRUE,FALSE)</f>
        <v>1</v>
      </c>
      <c r="J22" s="25">
        <f>F22-C22</f>
        <v>573</v>
      </c>
      <c r="K22" s="4">
        <f t="shared" si="0"/>
        <v>0.26128590971272225</v>
      </c>
      <c r="M22" s="5">
        <v>1668.28</v>
      </c>
      <c r="N22" s="5">
        <v>2398.94</v>
      </c>
      <c r="Q22" s="139">
        <v>10148.08</v>
      </c>
      <c r="T22" s="114">
        <f>N22-M22</f>
        <v>730.66000000000008</v>
      </c>
      <c r="U22" s="4">
        <f>IF(M22=0,0,N22/M22-1)</f>
        <v>0.43797204306231574</v>
      </c>
      <c r="AA22" s="18">
        <v>65650.399999999994</v>
      </c>
      <c r="AB22" s="18">
        <v>82841.7</v>
      </c>
      <c r="AC22" s="4">
        <f>AB22/AA22-1</f>
        <v>0.26186131386861322</v>
      </c>
    </row>
    <row r="23" spans="1:30" ht="13.9" customHeight="1">
      <c r="A23" s="54" t="s">
        <v>849</v>
      </c>
      <c r="B23" s="37" t="s">
        <v>850</v>
      </c>
      <c r="C23" s="19">
        <v>717</v>
      </c>
      <c r="E23" s="37" t="s">
        <v>850</v>
      </c>
      <c r="F23" s="19">
        <v>1283</v>
      </c>
      <c r="G23" t="b">
        <f>IF(B23=E23,TRUE,FALSE)</f>
        <v>1</v>
      </c>
      <c r="J23" s="25">
        <f>F23-C23</f>
        <v>566</v>
      </c>
      <c r="K23" s="4">
        <f t="shared" si="0"/>
        <v>0.78940027894002784</v>
      </c>
      <c r="M23" s="5">
        <v>1114.1199999999999</v>
      </c>
      <c r="N23" s="5">
        <v>1348.5</v>
      </c>
      <c r="Q23" s="139">
        <v>7227.44</v>
      </c>
      <c r="T23" s="114">
        <f>N23-M23</f>
        <v>234.38000000000011</v>
      </c>
      <c r="U23" s="4">
        <f>IF(M23=0,0,N23/M23-1)</f>
        <v>0.21037231177970073</v>
      </c>
      <c r="AA23" s="18">
        <v>9478.41</v>
      </c>
      <c r="AB23" s="18">
        <v>15899.49</v>
      </c>
      <c r="AC23" s="4">
        <f>AB23/AA23-1</f>
        <v>0.6774427356487005</v>
      </c>
    </row>
    <row r="24" spans="1:30" ht="13.9" customHeight="1">
      <c r="A24" t="s">
        <v>851</v>
      </c>
      <c r="B24" s="27" t="s">
        <v>852</v>
      </c>
      <c r="C24" s="19">
        <v>382</v>
      </c>
      <c r="E24" t="s">
        <v>852</v>
      </c>
      <c r="F24" s="19">
        <v>859</v>
      </c>
      <c r="G24" t="b">
        <f>IF(B24=E24,TRUE,FALSE)</f>
        <v>1</v>
      </c>
      <c r="J24" s="25">
        <f>F24-C24</f>
        <v>477</v>
      </c>
      <c r="K24" s="4">
        <f t="shared" si="0"/>
        <v>1.24869109947644</v>
      </c>
      <c r="M24" s="5">
        <v>626.19000000000005</v>
      </c>
      <c r="N24" s="5">
        <v>1170.46</v>
      </c>
      <c r="Q24" s="139">
        <v>4009.1499999999996</v>
      </c>
      <c r="T24" s="114">
        <f>N24-M24</f>
        <v>544.27</v>
      </c>
      <c r="U24" s="4">
        <f>IF(M24=0,0,N24/M24-1)</f>
        <v>0.86917708682668193</v>
      </c>
      <c r="AA24" s="18">
        <v>5364.47</v>
      </c>
      <c r="AB24" s="18">
        <v>9543.2800000000007</v>
      </c>
      <c r="AC24" s="4">
        <f>AB24/AA24-1</f>
        <v>0.7789790976555</v>
      </c>
    </row>
    <row r="25" spans="1:30" ht="13.9" customHeight="1">
      <c r="A25" t="s">
        <v>853</v>
      </c>
      <c r="B25" t="s">
        <v>854</v>
      </c>
      <c r="C25" s="19">
        <v>1858</v>
      </c>
      <c r="E25" t="s">
        <v>854</v>
      </c>
      <c r="F25" s="19">
        <v>2313</v>
      </c>
      <c r="G25" t="b">
        <f>IF(B25=E25,TRUE,FALSE)</f>
        <v>1</v>
      </c>
      <c r="J25" s="25">
        <f>F25-C25</f>
        <v>455</v>
      </c>
      <c r="K25" s="4">
        <f t="shared" si="0"/>
        <v>0.24488697524219583</v>
      </c>
      <c r="M25" s="5">
        <v>1813.32</v>
      </c>
      <c r="N25" s="5">
        <v>1468.9</v>
      </c>
      <c r="Q25" s="139">
        <v>8842.11</v>
      </c>
      <c r="T25" s="114">
        <f>N25-M25</f>
        <v>-344.41999999999985</v>
      </c>
      <c r="U25" s="4">
        <f>IF(M25=0,0,N25/M25-1)</f>
        <v>-0.18993889660953378</v>
      </c>
      <c r="AA25" s="18">
        <v>39533.24</v>
      </c>
      <c r="AB25" s="18">
        <v>47218.13</v>
      </c>
      <c r="AC25" s="4">
        <f>AB25/AA25-1</f>
        <v>0.19439059383951318</v>
      </c>
    </row>
    <row r="26" spans="1:30" ht="13.9" customHeight="1">
      <c r="A26" t="s">
        <v>855</v>
      </c>
      <c r="B26" t="s">
        <v>856</v>
      </c>
      <c r="C26" s="19">
        <v>1029</v>
      </c>
      <c r="E26" t="s">
        <v>856</v>
      </c>
      <c r="F26" s="19">
        <v>1429</v>
      </c>
      <c r="G26" t="b">
        <f>IF(B26=E26,TRUE,FALSE)</f>
        <v>1</v>
      </c>
      <c r="J26" s="25">
        <f>F26-C26</f>
        <v>400</v>
      </c>
      <c r="K26" s="4">
        <f t="shared" si="0"/>
        <v>0.38872691933916426</v>
      </c>
      <c r="M26" s="5">
        <v>469.12</v>
      </c>
      <c r="N26" s="5">
        <v>563.91</v>
      </c>
      <c r="Q26" s="139">
        <v>3622.29</v>
      </c>
      <c r="T26" s="114">
        <f>N26-M26</f>
        <v>94.789999999999964</v>
      </c>
      <c r="U26" s="4">
        <f>IF(M26=0,0,N26/M26-1)</f>
        <v>0.20205917462482947</v>
      </c>
      <c r="AA26" s="18">
        <v>21798.870000000003</v>
      </c>
      <c r="AB26" s="18">
        <v>32822.99</v>
      </c>
      <c r="AC26" s="4">
        <f>AB26/AA26-1</f>
        <v>0.50571979189746963</v>
      </c>
      <c r="AD26" t="s">
        <v>857</v>
      </c>
    </row>
    <row r="27" spans="1:30" ht="13.9" customHeight="1">
      <c r="A27" s="27" t="s">
        <v>858</v>
      </c>
      <c r="B27" s="37" t="s">
        <v>859</v>
      </c>
      <c r="C27" s="19">
        <v>725</v>
      </c>
      <c r="E27" s="37" t="s">
        <v>859</v>
      </c>
      <c r="F27" s="19">
        <v>1120</v>
      </c>
      <c r="G27" t="b">
        <f>IF(B27=E27,TRUE,FALSE)</f>
        <v>1</v>
      </c>
      <c r="J27" s="25">
        <f>F27-C27</f>
        <v>395</v>
      </c>
      <c r="K27" s="4">
        <f t="shared" si="0"/>
        <v>0.54482758620689653</v>
      </c>
      <c r="M27" s="5">
        <v>594.29</v>
      </c>
      <c r="N27" s="5">
        <v>682.82</v>
      </c>
      <c r="Q27" s="139">
        <v>2151.35</v>
      </c>
      <c r="T27" s="114">
        <f>N27-M27</f>
        <v>88.530000000000086</v>
      </c>
      <c r="U27" s="4">
        <f>IF(M27=0,0,N27/M27-1)</f>
        <v>0.14896767571387715</v>
      </c>
      <c r="AA27" s="18">
        <v>9600.83</v>
      </c>
      <c r="AB27" s="18">
        <v>13001.3</v>
      </c>
      <c r="AC27" s="4">
        <f>AB27/AA27-1</f>
        <v>0.35418500275497</v>
      </c>
    </row>
    <row r="28" spans="1:30" ht="13.9" customHeight="1">
      <c r="A28" t="s">
        <v>860</v>
      </c>
      <c r="B28" t="s">
        <v>861</v>
      </c>
      <c r="C28" s="19">
        <v>2408</v>
      </c>
      <c r="E28" t="s">
        <v>861</v>
      </c>
      <c r="F28" s="19">
        <v>2790</v>
      </c>
      <c r="G28" t="b">
        <f>IF(B28=E28,TRUE,FALSE)</f>
        <v>1</v>
      </c>
      <c r="J28" s="25">
        <f>F28-C28</f>
        <v>382</v>
      </c>
      <c r="K28" s="4">
        <f t="shared" si="0"/>
        <v>0.15863787375415273</v>
      </c>
      <c r="M28" s="5">
        <v>2462.63</v>
      </c>
      <c r="N28" s="5">
        <v>1924.04</v>
      </c>
      <c r="Q28" s="139">
        <v>11310.75</v>
      </c>
      <c r="T28" s="114">
        <f>N28-M28</f>
        <v>-538.59000000000015</v>
      </c>
      <c r="U28" s="4">
        <f>IF(M28=0,0,N28/M28-1)</f>
        <v>-0.21870520541047589</v>
      </c>
      <c r="W28" t="s">
        <v>862</v>
      </c>
      <c r="AA28" s="18">
        <v>42521.29</v>
      </c>
      <c r="AB28" s="18">
        <v>47893.9</v>
      </c>
      <c r="AC28" s="4">
        <f>AB28/AA28-1</f>
        <v>0.12635105849328654</v>
      </c>
    </row>
    <row r="29" spans="1:30" ht="13.9" customHeight="1">
      <c r="A29" t="s">
        <v>863</v>
      </c>
      <c r="B29" t="s">
        <v>864</v>
      </c>
      <c r="C29" s="19">
        <v>1477</v>
      </c>
      <c r="E29" t="s">
        <v>864</v>
      </c>
      <c r="F29" s="19">
        <v>1856</v>
      </c>
      <c r="G29" t="b">
        <f>IF(B29=E29,TRUE,FALSE)</f>
        <v>1</v>
      </c>
      <c r="J29" s="25">
        <f>F29-C29</f>
        <v>379</v>
      </c>
      <c r="K29" s="4">
        <f t="shared" si="0"/>
        <v>0.25660121868652674</v>
      </c>
      <c r="M29" s="5">
        <v>1552.7</v>
      </c>
      <c r="N29" s="5">
        <v>1395.52</v>
      </c>
      <c r="Q29" s="139">
        <v>8937.1200000000008</v>
      </c>
      <c r="T29" s="114">
        <f>N29-M29</f>
        <v>-157.18000000000006</v>
      </c>
      <c r="U29" s="4">
        <f>IF(M29=0,0,N29/M29-1)</f>
        <v>-0.10123011528305537</v>
      </c>
      <c r="AA29" s="18">
        <v>27584.63</v>
      </c>
      <c r="AB29" s="18">
        <v>31590.240000000002</v>
      </c>
      <c r="AC29" s="4">
        <f>AB29/AA29-1</f>
        <v>0.14521166316169554</v>
      </c>
    </row>
    <row r="30" spans="1:30" ht="13.9" customHeight="1">
      <c r="A30" t="s">
        <v>865</v>
      </c>
      <c r="B30" t="s">
        <v>866</v>
      </c>
      <c r="C30" s="19">
        <v>768</v>
      </c>
      <c r="E30" t="s">
        <v>866</v>
      </c>
      <c r="F30" s="19">
        <v>1138</v>
      </c>
      <c r="G30" t="b">
        <f>IF(B30=E30,TRUE,FALSE)</f>
        <v>1</v>
      </c>
      <c r="J30" s="25">
        <f>F30-C30</f>
        <v>370</v>
      </c>
      <c r="K30" s="4">
        <f t="shared" si="0"/>
        <v>0.48177083333333326</v>
      </c>
      <c r="M30" s="5">
        <v>510.62</v>
      </c>
      <c r="N30" s="5">
        <v>408.46</v>
      </c>
      <c r="Q30" s="139">
        <v>3842.2700000000004</v>
      </c>
      <c r="T30" s="114">
        <f>N30-M30</f>
        <v>-102.16000000000003</v>
      </c>
      <c r="U30" s="4">
        <f>IF(M30=0,0,N30/M30-1)</f>
        <v>-0.20007050252634062</v>
      </c>
      <c r="AA30" s="18">
        <v>21851.56</v>
      </c>
      <c r="AB30" s="18">
        <v>28300.19</v>
      </c>
      <c r="AC30" s="4">
        <f>AB30/AA30-1</f>
        <v>0.29511073808917976</v>
      </c>
    </row>
    <row r="31" spans="1:30" ht="13.9" customHeight="1">
      <c r="A31" s="27" t="s">
        <v>867</v>
      </c>
      <c r="B31" s="27" t="s">
        <v>868</v>
      </c>
      <c r="C31" s="19">
        <v>424</v>
      </c>
      <c r="E31" s="27" t="s">
        <v>868</v>
      </c>
      <c r="F31" s="19">
        <v>793</v>
      </c>
      <c r="G31" t="b">
        <f>IF(B31=E31,TRUE,FALSE)</f>
        <v>1</v>
      </c>
      <c r="J31" s="25">
        <f>F31-C31</f>
        <v>369</v>
      </c>
      <c r="K31" s="4">
        <f t="shared" si="0"/>
        <v>0.87028301886792447</v>
      </c>
      <c r="M31" s="5">
        <v>869.19</v>
      </c>
      <c r="N31" s="5">
        <v>1251.94</v>
      </c>
      <c r="Q31" s="139">
        <v>5875</v>
      </c>
      <c r="T31" s="114">
        <f>N31-M31</f>
        <v>382.75</v>
      </c>
      <c r="U31" s="4">
        <f>IF(M31=0,0,N31/M31-1)</f>
        <v>0.44035251210897508</v>
      </c>
      <c r="AA31" s="18">
        <v>5799.62</v>
      </c>
      <c r="AB31" s="18">
        <v>10365.870000000001</v>
      </c>
      <c r="AC31" s="4">
        <f>AB31/AA31-1</f>
        <v>0.78733606684575896</v>
      </c>
    </row>
    <row r="32" spans="1:30" ht="13.9" customHeight="1">
      <c r="A32" t="s">
        <v>869</v>
      </c>
      <c r="B32" t="s">
        <v>870</v>
      </c>
      <c r="C32" s="19">
        <v>734</v>
      </c>
      <c r="E32" t="s">
        <v>870</v>
      </c>
      <c r="F32" s="19">
        <v>1092</v>
      </c>
      <c r="G32" t="b">
        <f>IF(B32=E32,TRUE,FALSE)</f>
        <v>1</v>
      </c>
      <c r="J32" s="25">
        <f>F32-C32</f>
        <v>358</v>
      </c>
      <c r="K32" s="4">
        <f t="shared" si="0"/>
        <v>0.4877384196185286</v>
      </c>
      <c r="L32" s="5"/>
      <c r="M32" s="5">
        <v>256.81</v>
      </c>
      <c r="N32" s="5">
        <v>312.45</v>
      </c>
      <c r="O32" s="5"/>
      <c r="P32" s="5"/>
      <c r="Q32" s="139">
        <v>3688.86</v>
      </c>
      <c r="R32" s="5"/>
      <c r="S32" s="5"/>
      <c r="T32" s="114">
        <f>N32-M32</f>
        <v>55.639999999999986</v>
      </c>
      <c r="U32" s="4">
        <f>IF(M32=0,0,N32/M32-1)</f>
        <v>0.21665822981971106</v>
      </c>
      <c r="V32" s="5"/>
      <c r="W32" s="5"/>
      <c r="X32" s="5"/>
      <c r="Y32" s="5"/>
      <c r="Z32" s="15"/>
      <c r="AA32" s="18">
        <v>21212.560000000001</v>
      </c>
      <c r="AB32" s="18">
        <v>27307.72</v>
      </c>
      <c r="AC32" s="4">
        <f>AB32/AA32-1</f>
        <v>0.28733731336528923</v>
      </c>
    </row>
    <row r="33" spans="1:30">
      <c r="A33" t="s">
        <v>871</v>
      </c>
      <c r="B33" t="s">
        <v>872</v>
      </c>
      <c r="C33" s="19">
        <v>3241</v>
      </c>
      <c r="E33" t="s">
        <v>872</v>
      </c>
      <c r="F33" s="19">
        <v>3586</v>
      </c>
      <c r="G33" t="b">
        <f>IF(B33=E33,TRUE,FALSE)</f>
        <v>1</v>
      </c>
      <c r="J33" s="25">
        <f>F33-C33</f>
        <v>345</v>
      </c>
      <c r="K33" s="4">
        <f t="shared" si="0"/>
        <v>0.10644862696698554</v>
      </c>
      <c r="M33" s="5">
        <v>4394.16</v>
      </c>
      <c r="N33" s="5">
        <v>4852.7299999999996</v>
      </c>
      <c r="Q33" s="139">
        <v>23073.3</v>
      </c>
      <c r="T33" s="114">
        <f>N33-M33</f>
        <v>458.56999999999971</v>
      </c>
      <c r="U33" s="4">
        <f>IF(M33=0,0,N33/M33-1)</f>
        <v>0.10435896735667338</v>
      </c>
      <c r="W33" t="s">
        <v>873</v>
      </c>
      <c r="Y33" t="s">
        <v>874</v>
      </c>
      <c r="Z33" s="14" t="s">
        <v>875</v>
      </c>
      <c r="AA33" s="18">
        <v>82766.069999999992</v>
      </c>
      <c r="AB33" s="18">
        <v>92064.38</v>
      </c>
      <c r="AC33" s="4">
        <f>AB33/AA33-1</f>
        <v>0.11234446676035259</v>
      </c>
    </row>
    <row r="34" spans="1:30">
      <c r="A34" t="s">
        <v>876</v>
      </c>
      <c r="B34" t="s">
        <v>877</v>
      </c>
      <c r="C34" s="19">
        <v>783</v>
      </c>
      <c r="E34" t="s">
        <v>877</v>
      </c>
      <c r="F34" s="19">
        <v>1122</v>
      </c>
      <c r="G34" t="b">
        <f>IF(B34=E34,TRUE,FALSE)</f>
        <v>1</v>
      </c>
      <c r="J34" s="25">
        <f>F34-C34</f>
        <v>339</v>
      </c>
      <c r="K34" s="4">
        <f t="shared" si="0"/>
        <v>0.43295019157088133</v>
      </c>
      <c r="M34" s="5">
        <v>0</v>
      </c>
      <c r="N34" s="5">
        <v>0</v>
      </c>
      <c r="Q34" s="139">
        <v>0</v>
      </c>
      <c r="T34" s="114">
        <v>0</v>
      </c>
      <c r="U34" s="4">
        <f>IF(M34=0,0,N34/M34-1)</f>
        <v>0</v>
      </c>
      <c r="AA34" s="18">
        <v>29363.41</v>
      </c>
      <c r="AB34" s="18">
        <v>41613.360000000001</v>
      </c>
      <c r="AC34" s="4">
        <f>AB34/AA34-1</f>
        <v>0.41718417581609213</v>
      </c>
    </row>
    <row r="35" spans="1:30">
      <c r="A35" t="s">
        <v>878</v>
      </c>
      <c r="B35" t="s">
        <v>879</v>
      </c>
      <c r="C35" s="19">
        <v>299</v>
      </c>
      <c r="E35" t="s">
        <v>879</v>
      </c>
      <c r="F35" s="19">
        <v>635</v>
      </c>
      <c r="G35" t="b">
        <f>IF(B35=E35,TRUE,FALSE)</f>
        <v>1</v>
      </c>
      <c r="J35" s="25">
        <f>F35-C35</f>
        <v>336</v>
      </c>
      <c r="K35" s="4">
        <f t="shared" si="0"/>
        <v>1.1237458193979935</v>
      </c>
      <c r="M35" s="5">
        <v>484.02</v>
      </c>
      <c r="N35" s="5">
        <v>1332.48</v>
      </c>
      <c r="Q35" s="139">
        <v>4511.2299999999996</v>
      </c>
      <c r="T35" s="114">
        <f>N35-M35</f>
        <v>848.46</v>
      </c>
      <c r="U35" s="4">
        <f>IF(M35=0,0,N35/M35-1)</f>
        <v>1.7529440932192886</v>
      </c>
      <c r="AA35" s="18">
        <v>5963.85</v>
      </c>
      <c r="AB35" s="18">
        <v>12148.35</v>
      </c>
      <c r="AC35" s="4">
        <f>AB35/AA35-1</f>
        <v>1.0369979124223447</v>
      </c>
      <c r="AD35" t="s">
        <v>880</v>
      </c>
    </row>
    <row r="36" spans="1:30">
      <c r="A36" t="s">
        <v>881</v>
      </c>
      <c r="B36" t="s">
        <v>882</v>
      </c>
      <c r="C36" s="19">
        <v>2200</v>
      </c>
      <c r="E36" t="s">
        <v>882</v>
      </c>
      <c r="F36" s="19">
        <v>2523</v>
      </c>
      <c r="G36" t="b">
        <f>IF(B36=E36,TRUE,FALSE)</f>
        <v>1</v>
      </c>
      <c r="J36" s="25">
        <f>F36-C36</f>
        <v>323</v>
      </c>
      <c r="K36" s="4">
        <f t="shared" si="0"/>
        <v>0.14681818181818174</v>
      </c>
      <c r="M36" s="5">
        <v>2106.71</v>
      </c>
      <c r="N36" s="5">
        <v>1948.87</v>
      </c>
      <c r="Q36" s="139">
        <v>15318.69</v>
      </c>
      <c r="T36" s="114">
        <f>N36-M36</f>
        <v>-157.84000000000015</v>
      </c>
      <c r="U36" s="4">
        <f>IF(M36=0,0,N36/M36-1)</f>
        <v>-7.4922509505342516E-2</v>
      </c>
      <c r="AA36" s="18">
        <v>63353.36</v>
      </c>
      <c r="AB36" s="18">
        <v>70550.37</v>
      </c>
      <c r="AC36" s="4">
        <f>AB36/AA36-1</f>
        <v>0.11360107814329012</v>
      </c>
    </row>
    <row r="37" spans="1:30">
      <c r="A37" t="s">
        <v>883</v>
      </c>
      <c r="B37" s="27" t="s">
        <v>884</v>
      </c>
      <c r="C37" s="19">
        <v>317</v>
      </c>
      <c r="E37" s="27" t="s">
        <v>884</v>
      </c>
      <c r="F37" s="19">
        <v>633</v>
      </c>
      <c r="G37" t="b">
        <f>IF(B37=E37,TRUE,FALSE)</f>
        <v>1</v>
      </c>
      <c r="J37" s="25">
        <f>F37-C37</f>
        <v>316</v>
      </c>
      <c r="K37" s="4">
        <f t="shared" si="0"/>
        <v>0.99684542586750791</v>
      </c>
      <c r="M37" s="5">
        <v>148.77000000000001</v>
      </c>
      <c r="N37" s="5">
        <v>254.13</v>
      </c>
      <c r="Q37" s="139">
        <v>1226.17</v>
      </c>
      <c r="T37" s="114">
        <f>N37-M37</f>
        <v>105.35999999999999</v>
      </c>
      <c r="U37" s="4">
        <f>IF(M37=0,0,N37/M37-1)</f>
        <v>0.70820729985884245</v>
      </c>
      <c r="AA37" s="18">
        <v>6407.41</v>
      </c>
      <c r="AB37" s="18">
        <v>13918.57</v>
      </c>
      <c r="AC37" s="4">
        <f>AB37/AA37-1</f>
        <v>1.1722614909924602</v>
      </c>
    </row>
    <row r="38" spans="1:30">
      <c r="A38" t="s">
        <v>885</v>
      </c>
      <c r="B38" t="s">
        <v>886</v>
      </c>
      <c r="C38" s="19">
        <v>1105</v>
      </c>
      <c r="E38" t="s">
        <v>886</v>
      </c>
      <c r="F38" s="19">
        <v>1400</v>
      </c>
      <c r="G38" t="b">
        <f>IF(B38=E38,TRUE,FALSE)</f>
        <v>1</v>
      </c>
      <c r="J38" s="25">
        <f>F38-C38</f>
        <v>295</v>
      </c>
      <c r="K38" s="4">
        <f t="shared" si="0"/>
        <v>0.26696832579185514</v>
      </c>
      <c r="M38" s="5">
        <v>821.42</v>
      </c>
      <c r="N38" s="5">
        <v>1329.17</v>
      </c>
      <c r="Q38" s="139">
        <v>8148.76</v>
      </c>
      <c r="T38" s="114">
        <f>N38-M38</f>
        <v>507.75000000000011</v>
      </c>
      <c r="U38" s="4">
        <f>IF(M38=0,0,N38/M38-1)</f>
        <v>0.61813688490662533</v>
      </c>
      <c r="AA38" s="18">
        <v>24364.42</v>
      </c>
      <c r="AB38" s="18">
        <v>29346.35</v>
      </c>
      <c r="AC38" s="4">
        <f>AB38/AA38-1</f>
        <v>0.20447562470192193</v>
      </c>
    </row>
    <row r="39" spans="1:30">
      <c r="A39" s="142" t="s">
        <v>887</v>
      </c>
      <c r="B39" s="37" t="s">
        <v>888</v>
      </c>
      <c r="C39">
        <v>846</v>
      </c>
      <c r="E39" s="37" t="s">
        <v>888</v>
      </c>
      <c r="F39">
        <v>1136</v>
      </c>
      <c r="G39" t="b">
        <f>IF(B39=E39,TRUE,FALSE)</f>
        <v>1</v>
      </c>
      <c r="J39" s="25">
        <f>F39-C39</f>
        <v>290</v>
      </c>
      <c r="K39" s="4">
        <f t="shared" si="0"/>
        <v>0.34278959810874698</v>
      </c>
      <c r="M39" s="131">
        <v>1017.72</v>
      </c>
      <c r="N39" s="131">
        <v>1623.76</v>
      </c>
      <c r="Q39" s="139">
        <v>7679.87</v>
      </c>
      <c r="T39" s="114">
        <f>N39-M39</f>
        <v>606.04</v>
      </c>
      <c r="U39" s="4">
        <f>IF(M39=0,0,N39/M39-1)</f>
        <v>0.59548795346460714</v>
      </c>
      <c r="AA39">
        <v>21617.73</v>
      </c>
      <c r="AB39">
        <v>26586.34</v>
      </c>
      <c r="AC39" s="4">
        <f>AB39/AA39-1</f>
        <v>0.22983958075154054</v>
      </c>
    </row>
    <row r="40" spans="1:30">
      <c r="A40" t="s">
        <v>889</v>
      </c>
      <c r="B40" t="s">
        <v>890</v>
      </c>
      <c r="C40" s="19">
        <v>1131</v>
      </c>
      <c r="E40" t="s">
        <v>890</v>
      </c>
      <c r="F40" s="19">
        <v>1419</v>
      </c>
      <c r="G40" t="b">
        <f>IF(B40=E40,TRUE,FALSE)</f>
        <v>1</v>
      </c>
      <c r="J40" s="25">
        <f>F40-C40</f>
        <v>288</v>
      </c>
      <c r="K40" s="4">
        <f t="shared" si="0"/>
        <v>0.25464190981432355</v>
      </c>
      <c r="M40" s="5">
        <v>829.84</v>
      </c>
      <c r="N40" s="5">
        <v>832.82</v>
      </c>
      <c r="Q40" s="139">
        <v>5309.97</v>
      </c>
      <c r="T40" s="114">
        <f>N40-M40</f>
        <v>2.9800000000000182</v>
      </c>
      <c r="U40" s="4">
        <f>IF(M40=0,0,N40/M40-1)</f>
        <v>3.5910536970982232E-3</v>
      </c>
      <c r="AA40" s="18">
        <v>21594.69</v>
      </c>
      <c r="AB40" s="18">
        <v>24469.85</v>
      </c>
      <c r="AC40" s="4">
        <f>AB40/AA40-1</f>
        <v>0.13314198999846716</v>
      </c>
    </row>
    <row r="41" spans="1:30">
      <c r="A41" t="s">
        <v>891</v>
      </c>
      <c r="B41" t="s">
        <v>892</v>
      </c>
      <c r="C41" s="19">
        <v>638</v>
      </c>
      <c r="E41" t="s">
        <v>892</v>
      </c>
      <c r="F41" s="19">
        <v>906</v>
      </c>
      <c r="G41" t="b">
        <f>IF(B41=E41,TRUE,FALSE)</f>
        <v>1</v>
      </c>
      <c r="J41" s="25">
        <f>F41-C41</f>
        <v>268</v>
      </c>
      <c r="K41" s="4">
        <f t="shared" si="0"/>
        <v>0.42006269592476486</v>
      </c>
      <c r="M41" s="5">
        <v>697.04</v>
      </c>
      <c r="N41" s="5">
        <v>746.5</v>
      </c>
      <c r="Q41" s="139">
        <v>4233.0200000000004</v>
      </c>
      <c r="T41" s="114">
        <f>N41-M41</f>
        <v>49.460000000000036</v>
      </c>
      <c r="U41" s="4">
        <f>IF(M41=0,0,N41/M41-1)</f>
        <v>7.0957190405141812E-2</v>
      </c>
      <c r="AA41" s="18">
        <v>12423.86</v>
      </c>
      <c r="AB41" s="18">
        <v>15678.36</v>
      </c>
      <c r="AC41" s="4">
        <f>AB41/AA41-1</f>
        <v>0.26195562409750273</v>
      </c>
    </row>
    <row r="42" spans="1:30">
      <c r="A42" s="142" t="s">
        <v>893</v>
      </c>
      <c r="B42" s="37" t="s">
        <v>894</v>
      </c>
      <c r="C42">
        <v>923</v>
      </c>
      <c r="E42" s="37" t="s">
        <v>894</v>
      </c>
      <c r="F42">
        <v>1180</v>
      </c>
      <c r="G42" t="b">
        <f>IF(B42=E42,TRUE,FALSE)</f>
        <v>1</v>
      </c>
      <c r="J42" s="25">
        <f>F42-C42</f>
        <v>257</v>
      </c>
      <c r="K42" s="4">
        <f t="shared" si="0"/>
        <v>0.2784398699891657</v>
      </c>
      <c r="M42" s="131">
        <v>0</v>
      </c>
      <c r="N42" s="131">
        <v>532.66</v>
      </c>
      <c r="Q42" s="139">
        <v>4771.6499999999996</v>
      </c>
      <c r="T42" s="114">
        <f>N42-M42</f>
        <v>532.66</v>
      </c>
      <c r="U42" s="4">
        <f>IF(M42=0,0,N42/M42-1)</f>
        <v>0</v>
      </c>
      <c r="AA42">
        <v>26289.81</v>
      </c>
      <c r="AB42">
        <v>34496.410000000003</v>
      </c>
      <c r="AC42" s="4">
        <f>AB42/AA42-1</f>
        <v>0.31215896957794675</v>
      </c>
    </row>
    <row r="43" spans="1:30">
      <c r="A43" t="s">
        <v>895</v>
      </c>
      <c r="B43" t="s">
        <v>896</v>
      </c>
      <c r="C43" s="19">
        <v>1249</v>
      </c>
      <c r="E43" t="s">
        <v>896</v>
      </c>
      <c r="F43" s="19">
        <v>1505</v>
      </c>
      <c r="G43" t="b">
        <f>IF(B43=E43,TRUE,FALSE)</f>
        <v>1</v>
      </c>
      <c r="J43" s="25">
        <f>F43-C43</f>
        <v>256</v>
      </c>
      <c r="K43" s="4">
        <f t="shared" si="0"/>
        <v>0.20496397117694154</v>
      </c>
      <c r="M43" s="5">
        <v>957.46</v>
      </c>
      <c r="N43" s="5">
        <v>745.23</v>
      </c>
      <c r="Q43" s="139">
        <v>4033.65</v>
      </c>
      <c r="T43" s="114">
        <f>N43-M43</f>
        <v>-212.23000000000002</v>
      </c>
      <c r="U43" s="4">
        <f>IF(M43=0,0,N43/M43-1)</f>
        <v>-0.22165939047062022</v>
      </c>
      <c r="W43" t="s">
        <v>897</v>
      </c>
      <c r="Y43" t="s">
        <v>898</v>
      </c>
      <c r="AA43" s="18">
        <v>32717.08</v>
      </c>
      <c r="AB43" s="18">
        <v>42252.56</v>
      </c>
      <c r="AC43" s="4">
        <f>AB43/AA43-1</f>
        <v>0.2914526602007268</v>
      </c>
    </row>
    <row r="44" spans="1:30">
      <c r="A44" t="s">
        <v>899</v>
      </c>
      <c r="B44" s="5" t="s">
        <v>900</v>
      </c>
      <c r="C44" s="19">
        <v>487</v>
      </c>
      <c r="D44" s="5"/>
      <c r="E44" t="s">
        <v>900</v>
      </c>
      <c r="F44" s="19">
        <v>739</v>
      </c>
      <c r="G44" t="b">
        <f>IF(B44=E44,TRUE,FALSE)</f>
        <v>1</v>
      </c>
      <c r="H44" s="5"/>
      <c r="I44" s="5"/>
      <c r="J44" s="25">
        <f>F44-C44</f>
        <v>252</v>
      </c>
      <c r="K44" s="4">
        <f t="shared" si="0"/>
        <v>0.51745379876796704</v>
      </c>
      <c r="L44" s="5"/>
      <c r="M44" s="5">
        <v>383.64</v>
      </c>
      <c r="N44" s="5">
        <v>463.14</v>
      </c>
      <c r="O44" s="5"/>
      <c r="P44" s="5"/>
      <c r="Q44" s="139">
        <v>3176.89</v>
      </c>
      <c r="R44" s="5"/>
      <c r="S44" s="5"/>
      <c r="T44" s="114">
        <f>N44-M44</f>
        <v>79.5</v>
      </c>
      <c r="U44" s="4">
        <f>IF(M44=0,0,N44/M44-1)</f>
        <v>0.2072255239286831</v>
      </c>
      <c r="V44" s="5"/>
      <c r="W44" s="5"/>
      <c r="X44" s="5"/>
      <c r="Y44" s="5"/>
      <c r="Z44" s="15"/>
      <c r="AA44" s="18">
        <v>8690.74</v>
      </c>
      <c r="AB44" s="18">
        <v>14769.01</v>
      </c>
      <c r="AC44" s="4">
        <f>AB44/AA44-1</f>
        <v>0.69939613887885277</v>
      </c>
      <c r="AD44" t="s">
        <v>857</v>
      </c>
    </row>
    <row r="45" spans="1:30">
      <c r="A45" t="s">
        <v>901</v>
      </c>
      <c r="B45" t="s">
        <v>902</v>
      </c>
      <c r="C45" s="19">
        <v>947</v>
      </c>
      <c r="E45" t="s">
        <v>902</v>
      </c>
      <c r="F45" s="19">
        <v>1192</v>
      </c>
      <c r="G45" t="b">
        <f>IF(B45=E45,TRUE,FALSE)</f>
        <v>1</v>
      </c>
      <c r="J45" s="25">
        <f>F45-C45</f>
        <v>245</v>
      </c>
      <c r="K45" s="4">
        <f t="shared" si="0"/>
        <v>0.25871172122492081</v>
      </c>
      <c r="M45" s="5">
        <v>1816.08</v>
      </c>
      <c r="N45" s="5">
        <v>1862.84</v>
      </c>
      <c r="Q45" s="139">
        <v>6763.75</v>
      </c>
      <c r="T45" s="114">
        <f>N45-M45</f>
        <v>46.759999999999991</v>
      </c>
      <c r="U45" s="4">
        <f>IF(M45=0,0,N45/M45-1)</f>
        <v>2.5747764415664509E-2</v>
      </c>
      <c r="AA45" s="18">
        <v>17536.41</v>
      </c>
      <c r="AB45" s="18">
        <v>19695.29</v>
      </c>
      <c r="AC45" s="4">
        <f>AB45/AA45-1</f>
        <v>0.12310843553498119</v>
      </c>
    </row>
    <row r="46" spans="1:30">
      <c r="A46" t="s">
        <v>903</v>
      </c>
      <c r="B46" t="s">
        <v>904</v>
      </c>
      <c r="C46" s="19">
        <v>317</v>
      </c>
      <c r="D46" s="5"/>
      <c r="E46" t="s">
        <v>904</v>
      </c>
      <c r="F46" s="19">
        <v>551</v>
      </c>
      <c r="G46" t="b">
        <f>IF(B46=E46,TRUE,FALSE)</f>
        <v>1</v>
      </c>
      <c r="H46" s="5"/>
      <c r="I46" s="5"/>
      <c r="J46" s="25">
        <f>F46-C46</f>
        <v>234</v>
      </c>
      <c r="K46" s="4">
        <f t="shared" si="0"/>
        <v>0.73817034700315465</v>
      </c>
      <c r="L46" s="5"/>
      <c r="M46" s="5">
        <v>218.21</v>
      </c>
      <c r="N46" s="5">
        <v>300.38</v>
      </c>
      <c r="O46" s="5"/>
      <c r="P46" s="5"/>
      <c r="Q46" s="139">
        <v>923.9</v>
      </c>
      <c r="R46" s="5"/>
      <c r="S46" s="5"/>
      <c r="T46" s="114">
        <f>N46-M46</f>
        <v>82.169999999999987</v>
      </c>
      <c r="U46" s="4">
        <f>IF(M46=0,0,N46/M46-1)</f>
        <v>0.37656386050135193</v>
      </c>
      <c r="V46" s="5"/>
      <c r="W46" s="5"/>
      <c r="X46" s="5"/>
      <c r="Y46" s="5"/>
      <c r="Z46" s="15"/>
      <c r="AA46" s="18">
        <v>7793.77</v>
      </c>
      <c r="AB46" s="18">
        <v>14870.95</v>
      </c>
      <c r="AC46" s="4">
        <f>AB46/AA46-1</f>
        <v>0.90805604989626332</v>
      </c>
    </row>
    <row r="47" spans="1:30">
      <c r="A47" t="s">
        <v>905</v>
      </c>
      <c r="B47" t="s">
        <v>906</v>
      </c>
      <c r="C47" s="19">
        <v>341</v>
      </c>
      <c r="E47" t="s">
        <v>906</v>
      </c>
      <c r="F47" s="19">
        <v>570</v>
      </c>
      <c r="G47" t="b">
        <f>IF(B47=E47,TRUE,FALSE)</f>
        <v>1</v>
      </c>
      <c r="J47" s="25">
        <f>F47-C47</f>
        <v>229</v>
      </c>
      <c r="K47" s="4">
        <f t="shared" si="0"/>
        <v>0.67155425219941356</v>
      </c>
      <c r="M47" s="5">
        <v>245.26</v>
      </c>
      <c r="N47" s="5">
        <v>143.51</v>
      </c>
      <c r="Q47" s="139">
        <v>944.78</v>
      </c>
      <c r="T47" s="114">
        <f>N47-M47</f>
        <v>-101.75</v>
      </c>
      <c r="U47" s="4">
        <f>IF(M47=0,0,N47/M47-1)</f>
        <v>-0.41486585664193099</v>
      </c>
      <c r="AA47" s="18">
        <v>7491.57</v>
      </c>
      <c r="AB47" s="18">
        <v>12533.86</v>
      </c>
      <c r="AC47" s="4">
        <f>AB47/AA47-1</f>
        <v>0.67306185485819414</v>
      </c>
    </row>
    <row r="48" spans="1:30">
      <c r="A48" s="54" t="s">
        <v>907</v>
      </c>
      <c r="B48" s="37" t="s">
        <v>908</v>
      </c>
      <c r="C48">
        <v>802</v>
      </c>
      <c r="E48" s="37" t="s">
        <v>908</v>
      </c>
      <c r="F48">
        <v>1001</v>
      </c>
      <c r="G48" t="b">
        <f>IF(B48=E48,TRUE,FALSE)</f>
        <v>1</v>
      </c>
      <c r="J48" s="25">
        <f>F48-C48</f>
        <v>199</v>
      </c>
      <c r="K48" s="4">
        <f t="shared" si="0"/>
        <v>0.24812967581047385</v>
      </c>
      <c r="M48" s="5">
        <v>1257.83</v>
      </c>
      <c r="N48" s="5">
        <v>1371.56</v>
      </c>
      <c r="Q48" s="139">
        <v>6178.91</v>
      </c>
      <c r="T48" s="114"/>
      <c r="U48" s="4"/>
      <c r="AA48" s="18">
        <v>9509.7900000000009</v>
      </c>
      <c r="AB48" s="18">
        <v>11191.07</v>
      </c>
      <c r="AC48" s="4">
        <f>AB48/AA48-1</f>
        <v>0.17679465056536459</v>
      </c>
    </row>
    <row r="49" spans="1:30">
      <c r="A49" s="54" t="s">
        <v>909</v>
      </c>
      <c r="B49" s="37" t="s">
        <v>910</v>
      </c>
      <c r="C49" s="19">
        <v>349</v>
      </c>
      <c r="E49" s="37" t="s">
        <v>910</v>
      </c>
      <c r="F49" s="19">
        <v>544</v>
      </c>
      <c r="G49" t="b">
        <f>IF(B49=E49,TRUE,FALSE)</f>
        <v>1</v>
      </c>
      <c r="J49" s="25">
        <f>F49-C49</f>
        <v>195</v>
      </c>
      <c r="K49" s="4">
        <f t="shared" si="0"/>
        <v>0.55873925501432664</v>
      </c>
      <c r="M49" s="5">
        <v>1000.42</v>
      </c>
      <c r="N49" s="5">
        <v>1203.94</v>
      </c>
      <c r="Q49" s="139">
        <v>4094.89</v>
      </c>
      <c r="T49" s="114">
        <f>N49-M49</f>
        <v>203.5200000000001</v>
      </c>
      <c r="U49" s="4">
        <f>IF(M49=0,0,N49/M49-1)</f>
        <v>0.20343455748585604</v>
      </c>
      <c r="AA49" s="18">
        <v>6531.88</v>
      </c>
      <c r="AB49" s="18">
        <v>8801.4</v>
      </c>
      <c r="AC49" s="4">
        <f>AB49/AA49-1</f>
        <v>0.34745280072505924</v>
      </c>
      <c r="AD49" s="152" t="s">
        <v>911</v>
      </c>
    </row>
    <row r="50" spans="1:30">
      <c r="A50" t="s">
        <v>912</v>
      </c>
      <c r="B50" t="s">
        <v>913</v>
      </c>
      <c r="C50" s="19">
        <v>505</v>
      </c>
      <c r="E50" t="s">
        <v>913</v>
      </c>
      <c r="F50" s="19">
        <v>693</v>
      </c>
      <c r="G50" t="b">
        <f>IF(B50=E50,TRUE,FALSE)</f>
        <v>1</v>
      </c>
      <c r="J50" s="25">
        <f>F50-C50</f>
        <v>188</v>
      </c>
      <c r="K50" s="4">
        <f t="shared" si="0"/>
        <v>0.37227722772277239</v>
      </c>
      <c r="M50" s="5">
        <v>507.04</v>
      </c>
      <c r="N50" s="5">
        <v>451.39</v>
      </c>
      <c r="Q50" s="139">
        <v>2238.44</v>
      </c>
      <c r="T50" s="114">
        <f>N50-M50</f>
        <v>-55.650000000000034</v>
      </c>
      <c r="U50" s="4">
        <f>IF(M50=0,0,N50/M50-1)</f>
        <v>-0.109754654465131</v>
      </c>
      <c r="AA50" s="18">
        <v>9148.58</v>
      </c>
      <c r="AB50" s="18">
        <v>11332.65</v>
      </c>
      <c r="AC50" s="4">
        <f>AB50/AA50-1</f>
        <v>0.23873322417249443</v>
      </c>
    </row>
    <row r="51" spans="1:30">
      <c r="A51" s="37" t="s">
        <v>914</v>
      </c>
      <c r="B51" s="37" t="s">
        <v>915</v>
      </c>
      <c r="C51" s="19">
        <v>340</v>
      </c>
      <c r="E51" s="37" t="s">
        <v>915</v>
      </c>
      <c r="F51" s="19">
        <v>519</v>
      </c>
      <c r="G51" t="b">
        <f>IF(B51=E51,TRUE,FALSE)</f>
        <v>1</v>
      </c>
      <c r="J51" s="25">
        <f>F51-C51</f>
        <v>179</v>
      </c>
      <c r="K51" s="4">
        <f t="shared" si="0"/>
        <v>0.52647058823529402</v>
      </c>
      <c r="M51" s="5">
        <v>153.82</v>
      </c>
      <c r="N51" s="5">
        <v>122.89</v>
      </c>
      <c r="Q51" s="139">
        <v>807.1</v>
      </c>
      <c r="T51" s="114">
        <f>N51-M51</f>
        <v>-30.929999999999993</v>
      </c>
      <c r="U51" s="4">
        <f>IF(M51=0,0,N51/M51-1)</f>
        <v>-0.20107918346118836</v>
      </c>
      <c r="AA51" s="18">
        <v>7475.72</v>
      </c>
      <c r="AB51" s="18">
        <v>9866.92</v>
      </c>
      <c r="AC51" s="4">
        <f>AB51/AA51-1</f>
        <v>0.31986216712236404</v>
      </c>
    </row>
    <row r="52" spans="1:30">
      <c r="A52" t="s">
        <v>916</v>
      </c>
      <c r="B52" t="s">
        <v>917</v>
      </c>
      <c r="C52" s="19">
        <v>342</v>
      </c>
      <c r="E52" t="s">
        <v>917</v>
      </c>
      <c r="F52" s="19">
        <v>497</v>
      </c>
      <c r="G52" t="b">
        <f>IF(B52=E52,TRUE,FALSE)</f>
        <v>1</v>
      </c>
      <c r="J52" s="25">
        <f>F52-C52</f>
        <v>155</v>
      </c>
      <c r="K52" s="4">
        <f t="shared" si="0"/>
        <v>0.45321637426900585</v>
      </c>
      <c r="M52" s="5">
        <v>118.12</v>
      </c>
      <c r="N52" s="5">
        <v>193.06</v>
      </c>
      <c r="Q52" s="139">
        <v>2213.71</v>
      </c>
      <c r="T52" s="114">
        <f>N52-M52</f>
        <v>74.94</v>
      </c>
      <c r="U52" s="4">
        <f>IF(M52=0,0,N52/M52-1)</f>
        <v>0.63443955299695221</v>
      </c>
      <c r="AA52" s="18">
        <v>9883.98</v>
      </c>
      <c r="AB52" s="18">
        <v>12723.13</v>
      </c>
      <c r="AC52" s="4">
        <f>AB52/AA52-1</f>
        <v>0.28724764720284734</v>
      </c>
    </row>
    <row r="53" spans="1:30">
      <c r="A53" t="s">
        <v>918</v>
      </c>
      <c r="B53" t="s">
        <v>919</v>
      </c>
      <c r="C53" s="19">
        <v>799</v>
      </c>
      <c r="E53" t="s">
        <v>919</v>
      </c>
      <c r="F53" s="19">
        <v>940</v>
      </c>
      <c r="G53" t="b">
        <f>IF(B53=E53,TRUE,FALSE)</f>
        <v>1</v>
      </c>
      <c r="J53" s="25">
        <f>F53-C53</f>
        <v>141</v>
      </c>
      <c r="K53" s="4">
        <f t="shared" si="0"/>
        <v>0.17647058823529416</v>
      </c>
      <c r="M53" s="5">
        <v>560.98</v>
      </c>
      <c r="N53" s="5">
        <v>654.91999999999996</v>
      </c>
      <c r="Q53" s="139">
        <v>4012.78</v>
      </c>
      <c r="T53" s="114">
        <f>N53-M53</f>
        <v>93.939999999999941</v>
      </c>
      <c r="U53" s="4">
        <f>IF(M53=0,0,N53/M53-1)</f>
        <v>0.16745695033691033</v>
      </c>
      <c r="AA53" s="18">
        <v>21566.86</v>
      </c>
      <c r="AB53" s="18">
        <v>23990.639999999999</v>
      </c>
      <c r="AC53" s="4">
        <f>AB53/AA53-1</f>
        <v>0.11238446394143597</v>
      </c>
    </row>
    <row r="54" spans="1:30">
      <c r="A54" t="s">
        <v>920</v>
      </c>
      <c r="B54" t="s">
        <v>921</v>
      </c>
      <c r="C54" s="19">
        <v>1144</v>
      </c>
      <c r="E54" t="s">
        <v>921</v>
      </c>
      <c r="F54" s="19">
        <v>1284</v>
      </c>
      <c r="G54" t="b">
        <f>IF(B54=E54,TRUE,FALSE)</f>
        <v>1</v>
      </c>
      <c r="J54" s="25">
        <f>F54-C54</f>
        <v>140</v>
      </c>
      <c r="K54" s="4">
        <f t="shared" si="0"/>
        <v>0.12237762237762229</v>
      </c>
      <c r="M54" s="5">
        <v>1265.54</v>
      </c>
      <c r="N54" s="5">
        <v>1038.3399999999999</v>
      </c>
      <c r="Q54" s="139">
        <v>5721.62</v>
      </c>
      <c r="T54" s="114">
        <f>N54-M54</f>
        <v>-227.20000000000005</v>
      </c>
      <c r="U54" s="4">
        <f>IF(M54=0,0,N54/M54-1)</f>
        <v>-0.17952810657900975</v>
      </c>
      <c r="W54" t="s">
        <v>922</v>
      </c>
      <c r="Y54" t="s">
        <v>923</v>
      </c>
      <c r="AA54" s="18">
        <v>28255.919999999998</v>
      </c>
      <c r="AB54" s="18">
        <v>31107.34</v>
      </c>
      <c r="AC54" s="4">
        <f>AB54/AA54-1</f>
        <v>0.10091407393565666</v>
      </c>
    </row>
    <row r="55" spans="1:30">
      <c r="A55" t="s">
        <v>924</v>
      </c>
      <c r="B55" t="s">
        <v>925</v>
      </c>
      <c r="C55" s="19">
        <v>1674</v>
      </c>
      <c r="D55" s="5"/>
      <c r="E55" t="s">
        <v>925</v>
      </c>
      <c r="F55" s="19">
        <v>1803</v>
      </c>
      <c r="G55" t="b">
        <f>IF(B55=E55,TRUE,FALSE)</f>
        <v>1</v>
      </c>
      <c r="H55" s="5"/>
      <c r="I55" s="5"/>
      <c r="J55" s="25">
        <f>F55-C55</f>
        <v>129</v>
      </c>
      <c r="K55" s="4">
        <f t="shared" si="0"/>
        <v>7.7060931899641583E-2</v>
      </c>
      <c r="L55" s="5"/>
      <c r="M55" s="5">
        <v>2232.62</v>
      </c>
      <c r="N55" s="5">
        <v>2029.36</v>
      </c>
      <c r="O55" s="5"/>
      <c r="P55" s="5"/>
      <c r="Q55" s="139">
        <v>13810.87</v>
      </c>
      <c r="R55" s="5"/>
      <c r="S55" s="5"/>
      <c r="T55" s="114">
        <f>N55-M55</f>
        <v>-203.26</v>
      </c>
      <c r="U55" s="4">
        <f>IF(M55=0,0,N55/M55-1)</f>
        <v>-9.1041019071763207E-2</v>
      </c>
      <c r="V55" s="5"/>
      <c r="W55" s="5"/>
      <c r="X55" s="5"/>
      <c r="Y55" s="5"/>
      <c r="Z55" s="15"/>
      <c r="AA55" s="18">
        <v>40515.51</v>
      </c>
      <c r="AB55" s="18">
        <v>42061.22</v>
      </c>
      <c r="AC55" s="4">
        <f>AB55/AA55-1</f>
        <v>3.8151068566087298E-2</v>
      </c>
    </row>
    <row r="56" spans="1:30">
      <c r="A56" s="5" t="s">
        <v>926</v>
      </c>
      <c r="B56" s="27" t="s">
        <v>927</v>
      </c>
      <c r="C56" s="19">
        <v>542</v>
      </c>
      <c r="D56" s="5"/>
      <c r="E56" s="27" t="s">
        <v>927</v>
      </c>
      <c r="F56" s="19">
        <v>651</v>
      </c>
      <c r="G56" t="b">
        <f>IF(B56=E56,TRUE,FALSE)</f>
        <v>1</v>
      </c>
      <c r="H56" s="5"/>
      <c r="I56" s="5"/>
      <c r="J56" s="25">
        <f>F56-C56</f>
        <v>109</v>
      </c>
      <c r="K56" s="4">
        <f t="shared" si="0"/>
        <v>0.20110701107011075</v>
      </c>
      <c r="L56" s="5"/>
      <c r="M56" s="5">
        <v>241.83</v>
      </c>
      <c r="N56" s="5">
        <v>293.91000000000003</v>
      </c>
      <c r="O56" s="5"/>
      <c r="P56" s="5"/>
      <c r="Q56" s="139">
        <v>2649.68</v>
      </c>
      <c r="R56" s="5"/>
      <c r="S56" s="5"/>
      <c r="T56" s="114">
        <f>N56-M56</f>
        <v>52.080000000000013</v>
      </c>
      <c r="U56" s="5">
        <f>IF(M56=0,0,N56/M56-1)</f>
        <v>0.21535789604267475</v>
      </c>
      <c r="V56" s="5"/>
      <c r="W56" s="5"/>
      <c r="X56" s="5"/>
      <c r="Y56" s="5"/>
      <c r="Z56" s="15"/>
      <c r="AA56" s="18">
        <v>7581.88</v>
      </c>
      <c r="AB56" s="18">
        <v>9107.07</v>
      </c>
      <c r="AC56" s="4">
        <f>AB56/AA56-1</f>
        <v>0.20116250850712492</v>
      </c>
    </row>
    <row r="57" spans="1:30">
      <c r="A57" s="54" t="s">
        <v>928</v>
      </c>
      <c r="B57" s="37" t="s">
        <v>929</v>
      </c>
      <c r="C57" s="19">
        <v>416</v>
      </c>
      <c r="E57" s="37" t="s">
        <v>929</v>
      </c>
      <c r="F57" s="19">
        <v>522</v>
      </c>
      <c r="G57" t="b">
        <f>IF(B57=E57,TRUE,FALSE)</f>
        <v>1</v>
      </c>
      <c r="J57" s="25">
        <f>F57-C57</f>
        <v>106</v>
      </c>
      <c r="K57" s="4">
        <f t="shared" si="0"/>
        <v>0.25480769230769229</v>
      </c>
      <c r="M57" s="5">
        <v>884.49</v>
      </c>
      <c r="N57" s="5">
        <v>1072.75</v>
      </c>
      <c r="Q57" s="139">
        <v>4288.25</v>
      </c>
      <c r="T57" s="114">
        <f>N57-M57</f>
        <v>188.26</v>
      </c>
      <c r="U57" s="4">
        <f>IF(M57=0,0,N57/M57-1)</f>
        <v>0.21284582075546354</v>
      </c>
      <c r="AA57" s="18">
        <v>6490.84</v>
      </c>
      <c r="AB57" s="18">
        <v>5919.04</v>
      </c>
      <c r="AC57" s="4">
        <f>AB57/AA57-1</f>
        <v>-8.8093374663371748E-2</v>
      </c>
    </row>
    <row r="58" spans="1:30">
      <c r="A58" t="s">
        <v>930</v>
      </c>
      <c r="B58" t="s">
        <v>931</v>
      </c>
      <c r="C58" s="19">
        <v>1398</v>
      </c>
      <c r="E58" t="s">
        <v>931</v>
      </c>
      <c r="F58" s="19">
        <v>1502</v>
      </c>
      <c r="G58" t="b">
        <f>IF(B58=E58,TRUE,FALSE)</f>
        <v>1</v>
      </c>
      <c r="J58" s="25">
        <f>F58-C58</f>
        <v>104</v>
      </c>
      <c r="K58" s="4">
        <f t="shared" si="0"/>
        <v>7.4391988555078781E-2</v>
      </c>
      <c r="M58" s="5">
        <v>1476.1</v>
      </c>
      <c r="N58" s="5">
        <v>1432.25</v>
      </c>
      <c r="Q58" s="139">
        <v>13419.09</v>
      </c>
      <c r="T58" s="114">
        <f>N58-M58</f>
        <v>-43.849999999999909</v>
      </c>
      <c r="U58" s="4">
        <f>IF(M58=0,0,N58/M58-1)</f>
        <v>-2.9706659440417282E-2</v>
      </c>
      <c r="AA58" s="18">
        <v>39991.21</v>
      </c>
      <c r="AB58" s="18">
        <v>42090.28</v>
      </c>
      <c r="AC58" s="4">
        <f>AB58/AA58-1</f>
        <v>5.248828430047503E-2</v>
      </c>
    </row>
    <row r="59" spans="1:30">
      <c r="A59" t="s">
        <v>932</v>
      </c>
      <c r="B59" t="s">
        <v>933</v>
      </c>
      <c r="C59" s="19">
        <v>507</v>
      </c>
      <c r="E59" t="s">
        <v>933</v>
      </c>
      <c r="F59" s="19">
        <v>609</v>
      </c>
      <c r="G59" t="b">
        <f>IF(B59=E59,TRUE,FALSE)</f>
        <v>1</v>
      </c>
      <c r="J59" s="25">
        <f>F59-C59</f>
        <v>102</v>
      </c>
      <c r="K59" s="4">
        <f t="shared" si="0"/>
        <v>0.20118343195266264</v>
      </c>
      <c r="M59" s="5">
        <v>91.33</v>
      </c>
      <c r="N59" s="5">
        <v>118.47</v>
      </c>
      <c r="Q59" s="139">
        <v>2765.85</v>
      </c>
      <c r="T59" s="114">
        <f>N59-M59</f>
        <v>27.14</v>
      </c>
      <c r="U59" s="4">
        <f>IF(M59=0,0,N59/M59-1)</f>
        <v>0.29716413007774012</v>
      </c>
      <c r="AA59" s="18">
        <v>7397.65</v>
      </c>
      <c r="AB59" s="18">
        <v>8296.15</v>
      </c>
      <c r="AC59" s="4">
        <f>AB59/AA59-1</f>
        <v>0.12145748987854255</v>
      </c>
    </row>
    <row r="60" spans="1:30">
      <c r="A60" t="s">
        <v>934</v>
      </c>
      <c r="B60" t="s">
        <v>935</v>
      </c>
      <c r="C60" s="19">
        <v>504</v>
      </c>
      <c r="E60" t="s">
        <v>935</v>
      </c>
      <c r="F60" s="19">
        <v>602</v>
      </c>
      <c r="G60" t="b">
        <f>IF(B60=E60,TRUE,FALSE)</f>
        <v>1</v>
      </c>
      <c r="J60" s="25">
        <f>F60-C60</f>
        <v>98</v>
      </c>
      <c r="K60" s="4">
        <f t="shared" si="0"/>
        <v>0.19444444444444442</v>
      </c>
      <c r="M60" s="5">
        <v>188.15</v>
      </c>
      <c r="N60" s="5">
        <v>181.18</v>
      </c>
      <c r="Q60" s="139">
        <v>737.66</v>
      </c>
      <c r="T60" s="114">
        <v>0</v>
      </c>
      <c r="U60" s="4">
        <f>IF(M60=0,0,N60/M60-1)</f>
        <v>-3.7044910975285616E-2</v>
      </c>
      <c r="W60" t="s">
        <v>936</v>
      </c>
      <c r="Y60" t="s">
        <v>937</v>
      </c>
      <c r="Z60" s="14" t="s">
        <v>938</v>
      </c>
      <c r="AA60" s="18">
        <v>10793.91</v>
      </c>
      <c r="AB60" s="18">
        <v>11791.13</v>
      </c>
      <c r="AC60" s="4">
        <f>AB60/AA60-1</f>
        <v>9.2387281346611116E-2</v>
      </c>
    </row>
    <row r="61" spans="1:30">
      <c r="A61" t="s">
        <v>939</v>
      </c>
      <c r="B61" t="s">
        <v>940</v>
      </c>
      <c r="C61" s="19">
        <v>788</v>
      </c>
      <c r="E61" t="s">
        <v>940</v>
      </c>
      <c r="F61" s="19">
        <v>881</v>
      </c>
      <c r="G61" t="b">
        <f>IF(B61=E61,TRUE,FALSE)</f>
        <v>1</v>
      </c>
      <c r="J61" s="25">
        <f>F61-C61</f>
        <v>93</v>
      </c>
      <c r="K61" s="4">
        <f t="shared" si="0"/>
        <v>0.11802030456852797</v>
      </c>
      <c r="M61" s="5">
        <v>797.35</v>
      </c>
      <c r="N61" s="5">
        <v>475.34</v>
      </c>
      <c r="Q61" s="139">
        <v>5012.95</v>
      </c>
      <c r="T61" s="114">
        <f>N61-M61</f>
        <v>-322.01000000000005</v>
      </c>
      <c r="U61" s="4">
        <f>IF(M61=0,0,N61/M61-1)</f>
        <v>-0.40385025396626328</v>
      </c>
      <c r="AA61" s="18">
        <v>22838.9</v>
      </c>
      <c r="AB61" s="18">
        <v>25533.52</v>
      </c>
      <c r="AC61" s="4">
        <f>AB61/AA61-1</f>
        <v>0.11798379081304256</v>
      </c>
    </row>
    <row r="62" spans="1:30">
      <c r="A62" t="s">
        <v>941</v>
      </c>
      <c r="B62" t="s">
        <v>942</v>
      </c>
      <c r="C62" s="19">
        <v>328</v>
      </c>
      <c r="E62" t="s">
        <v>942</v>
      </c>
      <c r="F62" s="19">
        <v>421</v>
      </c>
      <c r="G62" t="b">
        <f>IF(B62=E62,TRUE,FALSE)</f>
        <v>1</v>
      </c>
      <c r="J62" s="25">
        <f>F62-C62</f>
        <v>93</v>
      </c>
      <c r="K62" s="4">
        <f t="shared" si="0"/>
        <v>0.28353658536585358</v>
      </c>
      <c r="M62" s="5">
        <v>234.59</v>
      </c>
      <c r="N62" s="5">
        <v>216</v>
      </c>
      <c r="Q62" s="139">
        <v>983.44</v>
      </c>
      <c r="T62" s="114">
        <f>N62-M62</f>
        <v>-18.590000000000003</v>
      </c>
      <c r="U62" s="4">
        <f>IF(M62=0,0,N62/M62-1)</f>
        <v>-7.9244639583955001E-2</v>
      </c>
      <c r="AA62" s="18">
        <v>6215.6</v>
      </c>
      <c r="AB62" s="18">
        <v>7977.95</v>
      </c>
      <c r="AC62" s="4">
        <f>AB62/AA62-1</f>
        <v>0.28353658536585358</v>
      </c>
    </row>
    <row r="63" spans="1:30">
      <c r="A63" s="27" t="s">
        <v>943</v>
      </c>
      <c r="B63" s="37" t="s">
        <v>944</v>
      </c>
      <c r="C63" s="19">
        <v>802</v>
      </c>
      <c r="E63" s="37" t="s">
        <v>944</v>
      </c>
      <c r="F63" s="19">
        <v>868</v>
      </c>
      <c r="G63" t="b">
        <f>IF(B63=E63,TRUE,FALSE)</f>
        <v>1</v>
      </c>
      <c r="J63" s="25">
        <f>F63-C63</f>
        <v>66</v>
      </c>
      <c r="K63" s="4">
        <f t="shared" si="0"/>
        <v>8.2294264339152212E-2</v>
      </c>
      <c r="M63" s="5">
        <v>1039.3399999999999</v>
      </c>
      <c r="N63" s="5">
        <v>817.68</v>
      </c>
      <c r="Q63" s="139">
        <v>3375.85</v>
      </c>
      <c r="T63" s="114">
        <f>N63-M63</f>
        <v>-221.65999999999997</v>
      </c>
      <c r="U63" s="4">
        <f>IF(M63=0,0,N63/M63-1)</f>
        <v>-0.21326995978216945</v>
      </c>
      <c r="AA63" s="18">
        <v>17068.09</v>
      </c>
      <c r="AB63" s="18">
        <v>18528.349999999999</v>
      </c>
      <c r="AC63" s="4">
        <f>AB63/AA63-1</f>
        <v>8.5554974223829294E-2</v>
      </c>
    </row>
    <row r="64" spans="1:30">
      <c r="A64" s="27" t="s">
        <v>945</v>
      </c>
      <c r="B64" s="27" t="s">
        <v>946</v>
      </c>
      <c r="C64" s="19">
        <v>939</v>
      </c>
      <c r="E64" s="27" t="s">
        <v>946</v>
      </c>
      <c r="F64" s="19">
        <v>1004</v>
      </c>
      <c r="G64" t="b">
        <f>IF(B64=E64,TRUE,FALSE)</f>
        <v>1</v>
      </c>
      <c r="J64" s="25">
        <f>F64-C64</f>
        <v>65</v>
      </c>
      <c r="K64" s="4">
        <f t="shared" si="0"/>
        <v>6.9222577209797631E-2</v>
      </c>
      <c r="M64" s="5">
        <v>472.54</v>
      </c>
      <c r="N64" s="5">
        <v>451.56</v>
      </c>
      <c r="Q64" s="139">
        <v>2608.5100000000002</v>
      </c>
      <c r="T64" s="114">
        <f>N64-M64</f>
        <v>-20.980000000000018</v>
      </c>
      <c r="U64" s="4">
        <f>IF(M64=0,0,N64/M64-1)</f>
        <v>-4.4398357810979006E-2</v>
      </c>
      <c r="AA64" s="18">
        <v>14715.43</v>
      </c>
      <c r="AB64" s="18">
        <v>15586.74</v>
      </c>
      <c r="AC64" s="4">
        <f>AB64/AA64-1</f>
        <v>5.9210638085329448E-2</v>
      </c>
    </row>
    <row r="65" spans="1:29">
      <c r="A65" t="s">
        <v>947</v>
      </c>
      <c r="B65" t="s">
        <v>948</v>
      </c>
      <c r="C65" s="19">
        <v>669</v>
      </c>
      <c r="E65" t="s">
        <v>948</v>
      </c>
      <c r="F65" s="19">
        <v>731</v>
      </c>
      <c r="G65" t="b">
        <f>IF(B65=E65,TRUE,FALSE)</f>
        <v>1</v>
      </c>
      <c r="J65" s="25">
        <f>F65-C65</f>
        <v>62</v>
      </c>
      <c r="K65" s="4">
        <f t="shared" si="0"/>
        <v>9.2675635276532109E-2</v>
      </c>
      <c r="M65" s="5">
        <v>395.05</v>
      </c>
      <c r="N65" s="5">
        <v>447.89000000000004</v>
      </c>
      <c r="Q65" s="139">
        <v>3227.96</v>
      </c>
      <c r="T65" s="114">
        <f>N65-M65</f>
        <v>52.840000000000032</v>
      </c>
      <c r="U65" s="4">
        <f>IF(M65=0,0,N65/M65-1)</f>
        <v>0.13375522085811919</v>
      </c>
      <c r="AA65" s="18">
        <v>19308.59</v>
      </c>
      <c r="AB65" s="18">
        <v>21020.850000000002</v>
      </c>
      <c r="AC65" s="4">
        <f>AB65/AA65-1</f>
        <v>8.8678665816613433E-2</v>
      </c>
    </row>
    <row r="66" spans="1:29">
      <c r="A66" t="s">
        <v>949</v>
      </c>
      <c r="B66" t="s">
        <v>950</v>
      </c>
      <c r="C66" s="19">
        <v>2894</v>
      </c>
      <c r="E66" t="s">
        <v>950</v>
      </c>
      <c r="F66" s="19">
        <v>2953</v>
      </c>
      <c r="G66" t="b">
        <f>IF(B66=E66,TRUE,FALSE)</f>
        <v>1</v>
      </c>
      <c r="J66" s="25">
        <f>F66-C66</f>
        <v>59</v>
      </c>
      <c r="K66" s="4">
        <f t="shared" si="0"/>
        <v>2.0387007601935014E-2</v>
      </c>
      <c r="M66" s="5">
        <v>2247.39</v>
      </c>
      <c r="N66" s="5">
        <v>1953.44</v>
      </c>
      <c r="Q66" s="139">
        <v>15001.59</v>
      </c>
      <c r="T66" s="114">
        <f>N66-M66</f>
        <v>-293.94999999999982</v>
      </c>
      <c r="U66" s="4">
        <f>IF(M66=0,0,N66/M66-1)</f>
        <v>-0.13079616799932359</v>
      </c>
      <c r="AA66" s="18">
        <v>61075.62</v>
      </c>
      <c r="AB66" s="18">
        <v>61666.61</v>
      </c>
      <c r="AC66" s="4">
        <f>AB66/AA66-1</f>
        <v>9.6763651355482594E-3</v>
      </c>
    </row>
    <row r="67" spans="1:29" ht="16.5">
      <c r="A67" s="24" t="s">
        <v>951</v>
      </c>
      <c r="B67" s="23" t="s">
        <v>952</v>
      </c>
      <c r="C67" s="19">
        <v>828</v>
      </c>
      <c r="D67" s="5"/>
      <c r="E67" s="23" t="s">
        <v>952</v>
      </c>
      <c r="F67" s="19">
        <v>884</v>
      </c>
      <c r="G67" t="b">
        <f>IF(B67=E67,TRUE,FALSE)</f>
        <v>1</v>
      </c>
      <c r="H67" s="5"/>
      <c r="I67" s="5"/>
      <c r="J67" s="25">
        <f>F67-C67</f>
        <v>56</v>
      </c>
      <c r="K67" s="4">
        <f t="shared" si="0"/>
        <v>6.7632850241545972E-2</v>
      </c>
      <c r="L67" s="5"/>
      <c r="M67" s="5">
        <v>1145.79</v>
      </c>
      <c r="N67" s="5">
        <v>899.22</v>
      </c>
      <c r="O67" s="5"/>
      <c r="P67" s="5"/>
      <c r="Q67" s="139">
        <v>4274.71</v>
      </c>
      <c r="R67" s="5"/>
      <c r="S67" s="5"/>
      <c r="T67" s="114">
        <f>N67-M67</f>
        <v>-246.56999999999994</v>
      </c>
      <c r="U67" s="4">
        <f>IF(M67=0,0,N67/M67-1)</f>
        <v>-0.21519650197680196</v>
      </c>
      <c r="V67" s="5"/>
      <c r="W67" s="5"/>
      <c r="X67" s="5"/>
      <c r="Y67" s="5"/>
      <c r="Z67" s="15"/>
      <c r="AA67" s="18">
        <v>12410.67</v>
      </c>
      <c r="AB67" s="18">
        <v>12751.51</v>
      </c>
      <c r="AC67" s="4">
        <f>AB67/AA67-1</f>
        <v>2.7463464905601365E-2</v>
      </c>
    </row>
    <row r="68" spans="1:29" ht="13.5" customHeight="1">
      <c r="A68" s="5" t="s">
        <v>953</v>
      </c>
      <c r="B68" s="5" t="s">
        <v>954</v>
      </c>
      <c r="C68" s="19">
        <v>479</v>
      </c>
      <c r="D68" s="5"/>
      <c r="E68" t="s">
        <v>954</v>
      </c>
      <c r="F68" s="19">
        <v>530</v>
      </c>
      <c r="G68" t="b">
        <f>IF(B68=E68,TRUE,FALSE)</f>
        <v>1</v>
      </c>
      <c r="H68" s="5"/>
      <c r="I68" s="5"/>
      <c r="J68" s="25">
        <f>F68-C68</f>
        <v>51</v>
      </c>
      <c r="K68" s="4">
        <f t="shared" ref="K68:K131" si="1">F68/C68-1</f>
        <v>0.10647181628392488</v>
      </c>
      <c r="L68" s="5"/>
      <c r="M68" s="5">
        <v>334.2</v>
      </c>
      <c r="N68" s="5">
        <v>0</v>
      </c>
      <c r="O68" s="5"/>
      <c r="P68" s="5"/>
      <c r="Q68" s="139">
        <v>0</v>
      </c>
      <c r="R68" s="5"/>
      <c r="S68" s="5"/>
      <c r="T68" s="114">
        <f>N68-M68</f>
        <v>-334.2</v>
      </c>
      <c r="U68" s="4">
        <f>IF(M68=0,0,N68/M68-1)</f>
        <v>-1</v>
      </c>
      <c r="V68" s="5"/>
      <c r="W68" s="5"/>
      <c r="X68" s="5"/>
      <c r="Y68" s="5"/>
      <c r="Z68" s="15"/>
      <c r="AA68" s="18">
        <v>13074.61</v>
      </c>
      <c r="AB68" s="18">
        <v>15894.4</v>
      </c>
      <c r="AC68" s="4">
        <f>AB68/AA68-1</f>
        <v>0.21566914806636661</v>
      </c>
    </row>
    <row r="69" spans="1:29">
      <c r="A69" t="s">
        <v>955</v>
      </c>
      <c r="B69" t="s">
        <v>956</v>
      </c>
      <c r="C69" s="19">
        <v>826</v>
      </c>
      <c r="D69" s="5"/>
      <c r="E69" t="s">
        <v>956</v>
      </c>
      <c r="F69" s="19">
        <v>873</v>
      </c>
      <c r="G69" t="b">
        <f>IF(B69=E69,TRUE,FALSE)</f>
        <v>1</v>
      </c>
      <c r="H69" s="5"/>
      <c r="I69" s="5"/>
      <c r="J69" s="25">
        <f>F69-C69</f>
        <v>47</v>
      </c>
      <c r="K69" s="4">
        <f t="shared" si="1"/>
        <v>5.6900726392251855E-2</v>
      </c>
      <c r="L69" s="5"/>
      <c r="M69" s="5">
        <v>1244.05</v>
      </c>
      <c r="N69" s="5">
        <v>1113.42</v>
      </c>
      <c r="O69" s="5"/>
      <c r="P69" s="5"/>
      <c r="Q69" s="139">
        <v>6459.75</v>
      </c>
      <c r="R69" s="5"/>
      <c r="S69" s="5"/>
      <c r="T69" s="114">
        <f>N69-M69</f>
        <v>-130.62999999999988</v>
      </c>
      <c r="U69" s="4">
        <f>IF(M69=0,0,N69/M69-1)</f>
        <v>-0.10500381817451054</v>
      </c>
      <c r="V69" s="5"/>
      <c r="W69" s="5"/>
      <c r="X69" s="5"/>
      <c r="Y69" s="5"/>
      <c r="Z69" s="15"/>
      <c r="AA69" s="18">
        <v>24735.1</v>
      </c>
      <c r="AB69" s="18">
        <v>26141.85</v>
      </c>
      <c r="AC69" s="4">
        <f>AB69/AA69-1</f>
        <v>5.6872622305953913E-2</v>
      </c>
    </row>
    <row r="70" spans="1:29">
      <c r="A70" t="s">
        <v>957</v>
      </c>
      <c r="B70" s="27" t="s">
        <v>958</v>
      </c>
      <c r="C70" s="19">
        <v>988</v>
      </c>
      <c r="D70" s="19"/>
      <c r="E70" s="27" t="s">
        <v>958</v>
      </c>
      <c r="F70" s="19">
        <v>1035</v>
      </c>
      <c r="G70" t="b">
        <f>IF(B70=E70,TRUE,FALSE)</f>
        <v>1</v>
      </c>
      <c r="J70" s="25">
        <f>F70-C70</f>
        <v>47</v>
      </c>
      <c r="K70" s="4">
        <f t="shared" si="1"/>
        <v>4.7570850202429238E-2</v>
      </c>
      <c r="M70" s="19">
        <v>1576.07</v>
      </c>
      <c r="N70" s="19">
        <v>1192.51</v>
      </c>
      <c r="Q70" s="139">
        <v>5512.52</v>
      </c>
      <c r="T70" s="116">
        <f>N70-M70</f>
        <v>-383.55999999999995</v>
      </c>
      <c r="U70" s="4">
        <f>IF(M70=0,0,N70/M70-1)</f>
        <v>-0.2433648251663949</v>
      </c>
      <c r="AA70" s="18">
        <v>19071.16</v>
      </c>
      <c r="AB70" s="18">
        <v>20571.97</v>
      </c>
      <c r="AC70" s="4">
        <f>AB70/AA70-1</f>
        <v>7.8695265521342206E-2</v>
      </c>
    </row>
    <row r="71" spans="1:29" ht="13.9" customHeight="1">
      <c r="A71" t="s">
        <v>959</v>
      </c>
      <c r="B71" t="s">
        <v>960</v>
      </c>
      <c r="C71" s="19">
        <v>835</v>
      </c>
      <c r="E71" t="s">
        <v>960</v>
      </c>
      <c r="F71" s="19">
        <v>880</v>
      </c>
      <c r="G71" t="b">
        <f>IF(B71=E71,TRUE,FALSE)</f>
        <v>1</v>
      </c>
      <c r="J71" s="25">
        <f>F71-C71</f>
        <v>45</v>
      </c>
      <c r="K71" s="4">
        <f t="shared" si="1"/>
        <v>5.3892215568862367E-2</v>
      </c>
      <c r="M71" s="5">
        <v>735.84</v>
      </c>
      <c r="N71" s="5">
        <v>623.91</v>
      </c>
      <c r="Q71" s="139">
        <v>3407.89</v>
      </c>
      <c r="T71" s="114">
        <f>N71-M71</f>
        <v>-111.93000000000006</v>
      </c>
      <c r="U71" s="4">
        <f>IF(M71=0,0,N71/M71-1)</f>
        <v>-0.15211187214611877</v>
      </c>
      <c r="AA71" s="18">
        <v>14186.65</v>
      </c>
      <c r="AB71" s="18">
        <v>14951.2</v>
      </c>
      <c r="AC71" s="4">
        <f>AB71/AA71-1</f>
        <v>5.3892215568862367E-2</v>
      </c>
    </row>
    <row r="72" spans="1:29" ht="13.9" customHeight="1">
      <c r="A72" t="s">
        <v>961</v>
      </c>
      <c r="B72" t="s">
        <v>962</v>
      </c>
      <c r="C72" s="19">
        <v>561</v>
      </c>
      <c r="E72" t="s">
        <v>962</v>
      </c>
      <c r="F72" s="19">
        <v>605</v>
      </c>
      <c r="G72" t="b">
        <f>IF(B72=E72,TRUE,FALSE)</f>
        <v>1</v>
      </c>
      <c r="J72" s="25">
        <f>F72-C72</f>
        <v>44</v>
      </c>
      <c r="K72" s="4">
        <f t="shared" si="1"/>
        <v>7.8431372549019551E-2</v>
      </c>
      <c r="M72" s="5">
        <v>331.1</v>
      </c>
      <c r="N72" s="5">
        <v>289.64999999999998</v>
      </c>
      <c r="Q72" s="139">
        <v>1794.66</v>
      </c>
      <c r="T72" s="114">
        <f>N72-M72</f>
        <v>-41.450000000000045</v>
      </c>
      <c r="U72" s="4">
        <f>IF(M72=0,0,N72/M72-1)</f>
        <v>-0.12518876472364859</v>
      </c>
      <c r="W72" t="s">
        <v>963</v>
      </c>
      <c r="Y72" s="4" t="s">
        <v>964</v>
      </c>
      <c r="AA72" s="18">
        <v>10421.02</v>
      </c>
      <c r="AB72" s="18">
        <v>11043.4</v>
      </c>
      <c r="AC72" s="4">
        <f>AB72/AA72-1</f>
        <v>5.9723520346376846E-2</v>
      </c>
    </row>
    <row r="73" spans="1:29" ht="13.9" customHeight="1">
      <c r="A73" t="s">
        <v>965</v>
      </c>
      <c r="B73" t="s">
        <v>966</v>
      </c>
      <c r="C73" s="19">
        <v>306</v>
      </c>
      <c r="E73" t="s">
        <v>966</v>
      </c>
      <c r="F73" s="19">
        <v>346</v>
      </c>
      <c r="G73" t="b">
        <f>IF(B73=E73,TRUE,FALSE)</f>
        <v>1</v>
      </c>
      <c r="J73" s="25">
        <f>F73-C73</f>
        <v>40</v>
      </c>
      <c r="K73" s="4">
        <f t="shared" si="1"/>
        <v>0.13071895424836599</v>
      </c>
      <c r="M73" s="5">
        <v>139.72999999999999</v>
      </c>
      <c r="N73" s="5">
        <v>111.63</v>
      </c>
      <c r="Q73" s="139">
        <v>526.79999999999995</v>
      </c>
      <c r="T73" s="114">
        <f>N73-M73</f>
        <v>-28.099999999999994</v>
      </c>
      <c r="U73" s="4">
        <f>IF(M73=0,0,N73/M73-1)</f>
        <v>-0.2011021255278036</v>
      </c>
      <c r="AA73" s="18">
        <v>6716.7</v>
      </c>
      <c r="AB73" s="18">
        <v>7594.7</v>
      </c>
      <c r="AC73" s="4">
        <f>AB73/AA73-1</f>
        <v>0.13071895424836599</v>
      </c>
    </row>
    <row r="74" spans="1:29" ht="13.9" customHeight="1">
      <c r="A74" t="s">
        <v>967</v>
      </c>
      <c r="B74" t="s">
        <v>968</v>
      </c>
      <c r="C74" s="19">
        <v>310</v>
      </c>
      <c r="E74" t="s">
        <v>968</v>
      </c>
      <c r="F74" s="19">
        <v>347</v>
      </c>
      <c r="G74" t="b">
        <f>IF(B74=E74,TRUE,FALSE)</f>
        <v>1</v>
      </c>
      <c r="J74" s="25">
        <f>F74-C74</f>
        <v>37</v>
      </c>
      <c r="K74" s="4">
        <f t="shared" si="1"/>
        <v>0.11935483870967745</v>
      </c>
      <c r="M74" s="5">
        <v>278.68</v>
      </c>
      <c r="N74" s="5">
        <v>250.69</v>
      </c>
      <c r="Q74" s="139">
        <v>919.09</v>
      </c>
      <c r="T74" s="114">
        <f>N74-M74</f>
        <v>-27.990000000000009</v>
      </c>
      <c r="U74" s="4">
        <f>IF(M74=0,0,N74/M74-1)</f>
        <v>-0.10043777809674181</v>
      </c>
      <c r="AA74" s="18">
        <v>8984.4</v>
      </c>
      <c r="AB74" s="18">
        <v>9936.51</v>
      </c>
      <c r="AC74" s="4">
        <f>AB74/AA74-1</f>
        <v>0.10597368772539073</v>
      </c>
    </row>
    <row r="75" spans="1:29" ht="14.45" customHeight="1">
      <c r="A75" t="s">
        <v>969</v>
      </c>
      <c r="B75" t="s">
        <v>970</v>
      </c>
      <c r="C75" s="19">
        <v>650</v>
      </c>
      <c r="E75" t="s">
        <v>970</v>
      </c>
      <c r="F75" s="19">
        <v>682</v>
      </c>
      <c r="G75" t="b">
        <f>IF(B75=E75,TRUE,FALSE)</f>
        <v>1</v>
      </c>
      <c r="J75" s="25">
        <f>F75-C75</f>
        <v>32</v>
      </c>
      <c r="K75" s="4">
        <f t="shared" si="1"/>
        <v>4.9230769230769189E-2</v>
      </c>
      <c r="M75" s="5">
        <v>1310.85</v>
      </c>
      <c r="N75" s="5">
        <v>1128.94</v>
      </c>
      <c r="Q75" s="139">
        <v>3334.07</v>
      </c>
      <c r="T75" s="114">
        <f>N75-M75</f>
        <v>-181.90999999999985</v>
      </c>
      <c r="U75" s="4">
        <f>IF(M75=0,0,N75/M75-1)</f>
        <v>-0.13877255216081164</v>
      </c>
      <c r="AA75" s="18">
        <v>12343.5</v>
      </c>
      <c r="AB75" s="18">
        <v>12966.34</v>
      </c>
      <c r="AC75" s="4">
        <f>AB75/AA75-1</f>
        <v>5.0458946003969718E-2</v>
      </c>
    </row>
    <row r="76" spans="1:29" ht="13.9" customHeight="1">
      <c r="A76" t="s">
        <v>971</v>
      </c>
      <c r="B76" t="s">
        <v>972</v>
      </c>
      <c r="C76" s="19">
        <v>464</v>
      </c>
      <c r="E76" t="s">
        <v>972</v>
      </c>
      <c r="F76" s="19">
        <v>495</v>
      </c>
      <c r="G76" t="b">
        <f>IF(B76=E76,TRUE,FALSE)</f>
        <v>1</v>
      </c>
      <c r="J76" s="25">
        <f>F76-C76</f>
        <v>31</v>
      </c>
      <c r="K76" s="4">
        <f t="shared" si="1"/>
        <v>6.6810344827586299E-2</v>
      </c>
      <c r="M76" s="5">
        <v>229.14</v>
      </c>
      <c r="N76" s="5">
        <v>233.08</v>
      </c>
      <c r="Q76" s="139">
        <v>2064.31</v>
      </c>
      <c r="T76" s="114">
        <f>N76-M76</f>
        <v>3.9400000000000261</v>
      </c>
      <c r="U76" s="4">
        <f>IF(M76=0,0,N76/M76-1)</f>
        <v>1.7194728113816948E-2</v>
      </c>
      <c r="AA76" s="18">
        <v>13895.900000000001</v>
      </c>
      <c r="AB76" s="18">
        <v>14823.75</v>
      </c>
      <c r="AC76" s="4">
        <f>AB76/AA76-1</f>
        <v>6.6771493749954836E-2</v>
      </c>
    </row>
    <row r="77" spans="1:29" ht="13.9" customHeight="1">
      <c r="A77" t="s">
        <v>973</v>
      </c>
      <c r="B77" t="s">
        <v>974</v>
      </c>
      <c r="C77" s="19">
        <v>649</v>
      </c>
      <c r="E77" t="s">
        <v>974</v>
      </c>
      <c r="F77" s="19">
        <v>679</v>
      </c>
      <c r="G77" t="b">
        <f>IF(B77=E77,TRUE,FALSE)</f>
        <v>1</v>
      </c>
      <c r="J77" s="25">
        <f>F77-C77</f>
        <v>30</v>
      </c>
      <c r="K77" s="4">
        <f t="shared" si="1"/>
        <v>4.6224961479198745E-2</v>
      </c>
      <c r="M77" s="5">
        <v>748.59</v>
      </c>
      <c r="N77" s="5">
        <v>729.73</v>
      </c>
      <c r="Q77" s="139">
        <v>13106.48</v>
      </c>
      <c r="T77" s="114">
        <f>N77-M77</f>
        <v>-18.860000000000014</v>
      </c>
      <c r="U77" s="4">
        <f>IF(M77=0,0,N77/M77-1)</f>
        <v>-2.5194031445784804E-2</v>
      </c>
      <c r="W77" t="s">
        <v>975</v>
      </c>
      <c r="Z77" s="14" t="s">
        <v>976</v>
      </c>
      <c r="AA77" s="18">
        <v>18244.34</v>
      </c>
      <c r="AB77" s="18">
        <v>17882.13</v>
      </c>
      <c r="AC77" s="4">
        <f>AB77/AA77-1</f>
        <v>-1.9853280524261163E-2</v>
      </c>
    </row>
    <row r="78" spans="1:29" ht="13.9" customHeight="1">
      <c r="A78" t="s">
        <v>977</v>
      </c>
      <c r="B78" t="s">
        <v>978</v>
      </c>
      <c r="C78" s="19">
        <v>1004</v>
      </c>
      <c r="E78" t="s">
        <v>978</v>
      </c>
      <c r="F78" s="19">
        <v>1027</v>
      </c>
      <c r="G78" t="b">
        <f>IF(B78=E78,TRUE,FALSE)</f>
        <v>1</v>
      </c>
      <c r="J78" s="25">
        <f>F78-C78</f>
        <v>23</v>
      </c>
      <c r="K78" s="4">
        <f t="shared" si="1"/>
        <v>2.2908366533864521E-2</v>
      </c>
      <c r="M78" s="5">
        <v>1683.41</v>
      </c>
      <c r="N78" s="5">
        <v>1802.72</v>
      </c>
      <c r="Q78" s="139">
        <v>7509.22</v>
      </c>
      <c r="T78" s="114">
        <f>N78-M78</f>
        <v>119.30999999999995</v>
      </c>
      <c r="U78" s="4">
        <f>IF(M78=0,0,N78/M78-1)</f>
        <v>7.0873999798028997E-2</v>
      </c>
      <c r="W78" t="s">
        <v>979</v>
      </c>
      <c r="Y78" t="s">
        <v>980</v>
      </c>
      <c r="AA78" s="18">
        <v>18881.560000000001</v>
      </c>
      <c r="AB78" s="18">
        <v>19736.93</v>
      </c>
      <c r="AC78" s="4">
        <f>AB78/AA78-1</f>
        <v>4.5301871243689451E-2</v>
      </c>
    </row>
    <row r="79" spans="1:29">
      <c r="A79" t="s">
        <v>981</v>
      </c>
      <c r="B79" t="s">
        <v>982</v>
      </c>
      <c r="C79" s="19">
        <v>513</v>
      </c>
      <c r="E79" t="s">
        <v>982</v>
      </c>
      <c r="F79" s="19">
        <v>534</v>
      </c>
      <c r="G79" t="b">
        <f>IF(B79=E79,TRUE,FALSE)</f>
        <v>1</v>
      </c>
      <c r="J79" s="25">
        <f>F79-C79</f>
        <v>21</v>
      </c>
      <c r="K79" s="4">
        <f t="shared" si="1"/>
        <v>4.0935672514619936E-2</v>
      </c>
      <c r="M79" s="5">
        <v>326.62</v>
      </c>
      <c r="N79" s="5">
        <v>232.63</v>
      </c>
      <c r="Q79" s="139">
        <v>1393.7</v>
      </c>
      <c r="T79" s="114">
        <f>N79-M79</f>
        <v>-93.990000000000009</v>
      </c>
      <c r="U79" s="4">
        <f>IF(M79=0,0,N79/M79-1)</f>
        <v>-0.28776559916722799</v>
      </c>
      <c r="AA79" s="18">
        <v>13355.61</v>
      </c>
      <c r="AB79" s="18">
        <v>13739.11</v>
      </c>
      <c r="AC79" s="4">
        <f>AB79/AA79-1</f>
        <v>2.8714525207010455E-2</v>
      </c>
    </row>
    <row r="80" spans="1:29">
      <c r="A80" t="s">
        <v>983</v>
      </c>
      <c r="B80" t="s">
        <v>984</v>
      </c>
      <c r="C80" s="19">
        <v>761</v>
      </c>
      <c r="E80" t="s">
        <v>984</v>
      </c>
      <c r="F80" s="19">
        <v>766</v>
      </c>
      <c r="G80" t="b">
        <f>IF(B80=E80,TRUE,FALSE)</f>
        <v>1</v>
      </c>
      <c r="J80" s="25">
        <f>F80-C80</f>
        <v>5</v>
      </c>
      <c r="K80" s="4">
        <f t="shared" si="1"/>
        <v>6.5703022339027584E-3</v>
      </c>
      <c r="M80" s="5">
        <v>529.07000000000005</v>
      </c>
      <c r="N80" s="5">
        <v>622.55999999999995</v>
      </c>
      <c r="Q80" s="139">
        <v>2851.17</v>
      </c>
      <c r="T80" s="114">
        <f>N80-M80</f>
        <v>93.489999999999895</v>
      </c>
      <c r="U80" s="4">
        <f>IF(M80=0,0,N80/M80-1)</f>
        <v>0.17670629595327636</v>
      </c>
      <c r="AA80" s="18">
        <v>12168.39</v>
      </c>
      <c r="AB80" s="18">
        <v>12248.34</v>
      </c>
      <c r="AC80" s="4">
        <f>AB80/AA80-1</f>
        <v>6.5703022339027584E-3</v>
      </c>
    </row>
    <row r="81" spans="1:29">
      <c r="A81" t="s">
        <v>985</v>
      </c>
      <c r="B81" t="s">
        <v>986</v>
      </c>
      <c r="C81" s="19">
        <v>0</v>
      </c>
      <c r="E81" t="s">
        <v>986</v>
      </c>
      <c r="F81" s="19">
        <v>0</v>
      </c>
      <c r="G81" t="b">
        <f>IF(B81=E81,TRUE,FALSE)</f>
        <v>1</v>
      </c>
      <c r="J81" s="25">
        <f>F81-C81</f>
        <v>0</v>
      </c>
      <c r="K81" s="4" t="e">
        <f t="shared" si="1"/>
        <v>#DIV/0!</v>
      </c>
      <c r="M81" s="5">
        <v>0</v>
      </c>
      <c r="N81" s="5">
        <v>0</v>
      </c>
      <c r="Q81" s="139">
        <v>0</v>
      </c>
      <c r="T81" s="114">
        <f>N81-M81</f>
        <v>0</v>
      </c>
      <c r="U81" s="4">
        <f>IF(M81=0,0,N81/M81-1)</f>
        <v>0</v>
      </c>
      <c r="AA81" s="18">
        <v>0</v>
      </c>
      <c r="AB81" s="18">
        <v>0</v>
      </c>
      <c r="AC81" s="4" t="e">
        <f>AB81/AA81-1</f>
        <v>#DIV/0!</v>
      </c>
    </row>
    <row r="82" spans="1:29" s="5" customFormat="1">
      <c r="A82" t="s">
        <v>987</v>
      </c>
      <c r="B82" t="s">
        <v>988</v>
      </c>
      <c r="C82" s="19">
        <v>0</v>
      </c>
      <c r="D82"/>
      <c r="E82" t="s">
        <v>988</v>
      </c>
      <c r="F82" s="19">
        <v>0</v>
      </c>
      <c r="G82" t="b">
        <f>IF(B82=E82,TRUE,FALSE)</f>
        <v>1</v>
      </c>
      <c r="H82"/>
      <c r="I82"/>
      <c r="J82" s="25">
        <f>F82-C82</f>
        <v>0</v>
      </c>
      <c r="K82" s="4" t="e">
        <f t="shared" si="1"/>
        <v>#DIV/0!</v>
      </c>
      <c r="L82"/>
      <c r="M82" s="5">
        <v>0</v>
      </c>
      <c r="N82" s="5">
        <v>0</v>
      </c>
      <c r="O82"/>
      <c r="P82"/>
      <c r="Q82" s="139">
        <v>0</v>
      </c>
      <c r="R82"/>
      <c r="S82"/>
      <c r="T82" s="114">
        <f>N82-M82</f>
        <v>0</v>
      </c>
      <c r="U82" s="4">
        <f>IF(M82=0,0,N82/M82-1)</f>
        <v>0</v>
      </c>
      <c r="V82"/>
      <c r="W82"/>
      <c r="X82"/>
      <c r="Y82"/>
      <c r="Z82" s="14"/>
      <c r="AA82" s="18">
        <v>0</v>
      </c>
      <c r="AB82" s="18">
        <v>0</v>
      </c>
      <c r="AC82" s="4" t="e">
        <f>AB82/AA82-1</f>
        <v>#DIV/0!</v>
      </c>
    </row>
    <row r="83" spans="1:29" s="5" customFormat="1">
      <c r="A83" t="s">
        <v>989</v>
      </c>
      <c r="B83" t="s">
        <v>990</v>
      </c>
      <c r="C83" s="19">
        <v>0</v>
      </c>
      <c r="D83"/>
      <c r="E83" t="s">
        <v>990</v>
      </c>
      <c r="F83" s="19">
        <v>0</v>
      </c>
      <c r="G83" t="b">
        <f>IF(B83=E83,TRUE,FALSE)</f>
        <v>1</v>
      </c>
      <c r="H83"/>
      <c r="I83"/>
      <c r="J83" s="25">
        <f>F83-C83</f>
        <v>0</v>
      </c>
      <c r="K83" s="4" t="e">
        <f t="shared" si="1"/>
        <v>#DIV/0!</v>
      </c>
      <c r="L83"/>
      <c r="M83" s="5">
        <v>0</v>
      </c>
      <c r="N83" s="5">
        <v>0</v>
      </c>
      <c r="O83"/>
      <c r="P83"/>
      <c r="Q83" s="139">
        <v>0</v>
      </c>
      <c r="R83"/>
      <c r="S83"/>
      <c r="T83" s="114">
        <f>N83-M83</f>
        <v>0</v>
      </c>
      <c r="U83" s="4">
        <f>IF(M83=0,0,N83/M83-1)</f>
        <v>0</v>
      </c>
      <c r="V83"/>
      <c r="W83"/>
      <c r="X83"/>
      <c r="Y83"/>
      <c r="Z83" s="14"/>
      <c r="AA83" s="18">
        <v>0</v>
      </c>
      <c r="AB83" s="18">
        <v>0</v>
      </c>
      <c r="AC83" s="4" t="e">
        <f>AB83/AA83-1</f>
        <v>#DIV/0!</v>
      </c>
    </row>
    <row r="84" spans="1:29" s="5" customFormat="1">
      <c r="A84" s="142" t="s">
        <v>991</v>
      </c>
      <c r="B84" s="27" t="s">
        <v>992</v>
      </c>
      <c r="C84">
        <v>1</v>
      </c>
      <c r="D84"/>
      <c r="E84" s="27" t="s">
        <v>992</v>
      </c>
      <c r="F84">
        <v>1</v>
      </c>
      <c r="G84" t="b">
        <f>IF(B84=E84,TRUE,FALSE)</f>
        <v>1</v>
      </c>
      <c r="H84"/>
      <c r="I84"/>
      <c r="J84" s="25">
        <f>F84-C84</f>
        <v>0</v>
      </c>
      <c r="K84" s="4">
        <f t="shared" si="1"/>
        <v>0</v>
      </c>
      <c r="L84"/>
      <c r="M84" s="131">
        <v>0</v>
      </c>
      <c r="N84" s="131">
        <v>0</v>
      </c>
      <c r="O84"/>
      <c r="P84"/>
      <c r="Q84" s="139">
        <v>0</v>
      </c>
      <c r="R84"/>
      <c r="S84"/>
      <c r="T84" s="114">
        <f>N84-M84</f>
        <v>0</v>
      </c>
      <c r="U84" s="4">
        <f>IF(M84=0,0,N84/M84-1)</f>
        <v>0</v>
      </c>
      <c r="V84"/>
      <c r="W84"/>
      <c r="X84"/>
      <c r="Y84"/>
      <c r="Z84" s="14"/>
      <c r="AA84">
        <v>21.99</v>
      </c>
      <c r="AB84">
        <v>21.99</v>
      </c>
      <c r="AC84" s="4">
        <f>AB84/AA84-1</f>
        <v>0</v>
      </c>
    </row>
    <row r="85" spans="1:29" s="5" customFormat="1">
      <c r="A85" s="54" t="s">
        <v>993</v>
      </c>
      <c r="B85" s="37" t="s">
        <v>994</v>
      </c>
      <c r="C85" s="19">
        <v>102</v>
      </c>
      <c r="D85"/>
      <c r="E85" s="37" t="s">
        <v>994</v>
      </c>
      <c r="F85" s="19">
        <v>668</v>
      </c>
      <c r="G85" t="b">
        <f>IF(B85=E85,TRUE,FALSE)</f>
        <v>1</v>
      </c>
      <c r="H85"/>
      <c r="I85"/>
      <c r="J85" s="25">
        <v>0</v>
      </c>
      <c r="K85" s="4">
        <f t="shared" si="1"/>
        <v>5.5490196078431371</v>
      </c>
      <c r="L85"/>
      <c r="M85" s="5">
        <v>187.21</v>
      </c>
      <c r="N85" s="5">
        <v>1110.3800000000001</v>
      </c>
      <c r="O85"/>
      <c r="P85"/>
      <c r="Q85" s="139">
        <v>8833.36</v>
      </c>
      <c r="R85"/>
      <c r="S85"/>
      <c r="T85" s="114">
        <f>N85-M85</f>
        <v>923.17000000000007</v>
      </c>
      <c r="U85" s="4">
        <f>IF(M85=0,0,N85/M85-1)</f>
        <v>4.9312002563965605</v>
      </c>
      <c r="V85"/>
      <c r="W85"/>
      <c r="X85"/>
      <c r="Y85"/>
      <c r="Z85" s="14"/>
      <c r="AA85" s="18">
        <v>2418.48</v>
      </c>
      <c r="AB85" s="18">
        <v>10167.120000000001</v>
      </c>
      <c r="AC85" s="4">
        <f>AB85/AA85-1</f>
        <v>3.2039297409943437</v>
      </c>
    </row>
    <row r="86" spans="1:29" s="5" customFormat="1">
      <c r="A86" s="136" t="s">
        <v>995</v>
      </c>
      <c r="B86" s="37" t="s">
        <v>996</v>
      </c>
      <c r="C86" s="19">
        <v>37</v>
      </c>
      <c r="D86"/>
      <c r="E86" s="37" t="s">
        <v>996</v>
      </c>
      <c r="F86" s="19">
        <v>629</v>
      </c>
      <c r="G86" t="b">
        <f>IF(B86=E86,TRUE,FALSE)</f>
        <v>1</v>
      </c>
      <c r="H86"/>
      <c r="I86"/>
      <c r="J86" s="25">
        <v>0</v>
      </c>
      <c r="K86" s="4">
        <f t="shared" si="1"/>
        <v>16</v>
      </c>
      <c r="L86"/>
      <c r="M86" s="5">
        <v>29.56</v>
      </c>
      <c r="N86" s="5">
        <v>1141.5899999999999</v>
      </c>
      <c r="O86"/>
      <c r="P86"/>
      <c r="Q86" s="139">
        <v>4140.0200000000004</v>
      </c>
      <c r="R86"/>
      <c r="S86"/>
      <c r="T86" s="114">
        <f>N86-M86</f>
        <v>1112.03</v>
      </c>
      <c r="U86" s="4">
        <f>IF(M86=0,0,N86/M86-1)</f>
        <v>37.619418132611635</v>
      </c>
      <c r="V86"/>
      <c r="W86"/>
      <c r="X86"/>
      <c r="Y86"/>
      <c r="Z86" s="14"/>
      <c r="AA86" s="18">
        <v>1640.51</v>
      </c>
      <c r="AB86" s="18">
        <v>10644.25</v>
      </c>
      <c r="AC86" s="4">
        <f>AB86/AA86-1</f>
        <v>5.4883786139676074</v>
      </c>
    </row>
    <row r="87" spans="1:29" s="5" customFormat="1">
      <c r="A87" s="136" t="s">
        <v>997</v>
      </c>
      <c r="B87" s="37" t="s">
        <v>998</v>
      </c>
      <c r="C87" s="19">
        <v>38</v>
      </c>
      <c r="D87"/>
      <c r="E87" s="37" t="s">
        <v>998</v>
      </c>
      <c r="F87" s="19">
        <v>414</v>
      </c>
      <c r="G87" t="b">
        <f>IF(B87=E87,TRUE,FALSE)</f>
        <v>1</v>
      </c>
      <c r="H87"/>
      <c r="I87"/>
      <c r="J87" s="25">
        <v>0</v>
      </c>
      <c r="K87" s="4">
        <f t="shared" si="1"/>
        <v>9.8947368421052637</v>
      </c>
      <c r="L87"/>
      <c r="M87" s="5">
        <v>21.81</v>
      </c>
      <c r="N87" s="5">
        <v>1152.5</v>
      </c>
      <c r="O87"/>
      <c r="P87"/>
      <c r="Q87" s="139">
        <v>4002.14</v>
      </c>
      <c r="R87"/>
      <c r="S87"/>
      <c r="T87" s="114">
        <f>N87-M87</f>
        <v>1130.69</v>
      </c>
      <c r="U87" s="4">
        <f>IF(M87=0,0,N87/M87-1)</f>
        <v>51.842732691425951</v>
      </c>
      <c r="V87"/>
      <c r="W87"/>
      <c r="X87"/>
      <c r="Y87"/>
      <c r="Z87" s="14"/>
      <c r="AA87" s="18">
        <v>1667.46</v>
      </c>
      <c r="AB87" s="18">
        <v>7039.1399999999994</v>
      </c>
      <c r="AC87" s="4">
        <f>AB87/AA87-1</f>
        <v>3.2214745781008238</v>
      </c>
    </row>
    <row r="88" spans="1:29" s="5" customFormat="1">
      <c r="A88" s="54" t="s">
        <v>999</v>
      </c>
      <c r="B88" s="37" t="s">
        <v>1000</v>
      </c>
      <c r="C88" s="19">
        <v>0</v>
      </c>
      <c r="D88"/>
      <c r="E88" s="37" t="s">
        <v>1000</v>
      </c>
      <c r="F88" s="19">
        <v>348</v>
      </c>
      <c r="G88" t="b">
        <f>IF(B88=E88,TRUE,FALSE)</f>
        <v>1</v>
      </c>
      <c r="H88"/>
      <c r="I88"/>
      <c r="J88" s="25">
        <v>0</v>
      </c>
      <c r="K88" s="4" t="e">
        <f t="shared" si="1"/>
        <v>#DIV/0!</v>
      </c>
      <c r="L88"/>
      <c r="M88" s="5">
        <v>0</v>
      </c>
      <c r="N88" s="5">
        <v>1572.37</v>
      </c>
      <c r="O88"/>
      <c r="P88"/>
      <c r="Q88" s="139">
        <v>5966.4</v>
      </c>
      <c r="R88"/>
      <c r="S88"/>
      <c r="T88" s="114">
        <f>N88-M88</f>
        <v>1572.37</v>
      </c>
      <c r="U88" s="4">
        <f>IF(M88=0,0,N88/M88-1)</f>
        <v>0</v>
      </c>
      <c r="V88"/>
      <c r="W88"/>
      <c r="X88"/>
      <c r="Y88"/>
      <c r="Z88" s="14"/>
      <c r="AA88" s="18">
        <v>0</v>
      </c>
      <c r="AB88" s="18">
        <v>7582.6299999999992</v>
      </c>
      <c r="AC88" s="4" t="e">
        <f>AB88/AA88-1</f>
        <v>#DIV/0!</v>
      </c>
    </row>
    <row r="89" spans="1:29" s="5" customFormat="1">
      <c r="A89" s="5" t="s">
        <v>1001</v>
      </c>
      <c r="B89" t="s">
        <v>1002</v>
      </c>
      <c r="C89" s="19">
        <v>902</v>
      </c>
      <c r="E89" t="s">
        <v>1002</v>
      </c>
      <c r="F89" s="19">
        <v>901</v>
      </c>
      <c r="G89" t="b">
        <f>IF(B89=E89,TRUE,FALSE)</f>
        <v>1</v>
      </c>
      <c r="J89" s="25">
        <f>F89-C89</f>
        <v>-1</v>
      </c>
      <c r="K89" s="4">
        <f t="shared" si="1"/>
        <v>-1.1086474501108556E-3</v>
      </c>
      <c r="M89" s="5">
        <v>1147.76</v>
      </c>
      <c r="N89" s="5">
        <v>926.17</v>
      </c>
      <c r="Q89" s="139">
        <v>5185.41</v>
      </c>
      <c r="T89" s="114">
        <f>N89-M89</f>
        <v>-221.59000000000003</v>
      </c>
      <c r="U89" s="4">
        <f>IF(M89=0,0,N89/M89-1)</f>
        <v>-0.19306300968843659</v>
      </c>
      <c r="Z89" s="15"/>
      <c r="AA89" s="18">
        <v>18763.12</v>
      </c>
      <c r="AB89" s="18">
        <v>19810.57</v>
      </c>
      <c r="AC89" s="4">
        <f>AB89/AA89-1</f>
        <v>5.5824937430448696E-2</v>
      </c>
    </row>
    <row r="90" spans="1:29">
      <c r="A90" s="55" t="s">
        <v>1003</v>
      </c>
      <c r="B90" s="37" t="s">
        <v>1004</v>
      </c>
      <c r="C90" s="19">
        <v>1281</v>
      </c>
      <c r="E90" s="37" t="s">
        <v>1004</v>
      </c>
      <c r="F90" s="19">
        <v>1277</v>
      </c>
      <c r="G90" t="b">
        <f>IF(B90=E90,TRUE,FALSE)</f>
        <v>1</v>
      </c>
      <c r="J90" s="25">
        <f>F90-C90</f>
        <v>-4</v>
      </c>
      <c r="K90" s="4">
        <f t="shared" si="1"/>
        <v>-3.1225604996096834E-3</v>
      </c>
      <c r="M90" s="5">
        <v>1717.73</v>
      </c>
      <c r="N90" s="5">
        <v>1491.05</v>
      </c>
      <c r="Q90" s="139">
        <v>6722.41</v>
      </c>
      <c r="T90" s="114">
        <f>N90-M90</f>
        <v>-226.68000000000006</v>
      </c>
      <c r="U90" s="4">
        <f>IF(M90=0,0,N90/M90-1)</f>
        <v>-0.13196486060090939</v>
      </c>
      <c r="AA90" s="18">
        <v>28526.44</v>
      </c>
      <c r="AB90" s="18">
        <v>29025.98</v>
      </c>
      <c r="AC90" s="4">
        <f>AB90/AA90-1</f>
        <v>1.751147356627758E-2</v>
      </c>
    </row>
    <row r="91" spans="1:29" s="5" customFormat="1">
      <c r="A91" t="s">
        <v>1005</v>
      </c>
      <c r="B91" t="s">
        <v>1006</v>
      </c>
      <c r="C91" s="19">
        <v>1589</v>
      </c>
      <c r="D91"/>
      <c r="E91" t="s">
        <v>1006</v>
      </c>
      <c r="F91" s="19">
        <v>1583</v>
      </c>
      <c r="G91" t="b">
        <f>IF(B91=E91,TRUE,FALSE)</f>
        <v>1</v>
      </c>
      <c r="H91"/>
      <c r="I91"/>
      <c r="J91" s="25">
        <f>F91-C91</f>
        <v>-6</v>
      </c>
      <c r="K91" s="4">
        <f t="shared" si="1"/>
        <v>-3.7759597230963005E-3</v>
      </c>
      <c r="L91"/>
      <c r="M91" s="5">
        <v>1263.21</v>
      </c>
      <c r="N91" s="5">
        <v>1128.21</v>
      </c>
      <c r="O91"/>
      <c r="P91"/>
      <c r="Q91" s="139">
        <v>6615.5599999999995</v>
      </c>
      <c r="R91"/>
      <c r="S91"/>
      <c r="T91" s="114">
        <f>N91-M91</f>
        <v>-135</v>
      </c>
      <c r="U91" s="4">
        <f>IF(M91=0,0,N91/M91-1)</f>
        <v>-0.10687059158809697</v>
      </c>
      <c r="V91"/>
      <c r="W91"/>
      <c r="X91"/>
      <c r="Y91"/>
      <c r="Z91" s="14"/>
      <c r="AA91" s="18">
        <v>28149.050000000003</v>
      </c>
      <c r="AB91" s="18">
        <v>29521.11</v>
      </c>
      <c r="AC91" s="4">
        <f>AB91/AA91-1</f>
        <v>4.8742675152447346E-2</v>
      </c>
    </row>
    <row r="92" spans="1:29" s="5" customFormat="1">
      <c r="A92" t="s">
        <v>1007</v>
      </c>
      <c r="B92" t="s">
        <v>1008</v>
      </c>
      <c r="C92" s="19">
        <v>991</v>
      </c>
      <c r="D92"/>
      <c r="E92" t="s">
        <v>1008</v>
      </c>
      <c r="F92" s="19">
        <v>982</v>
      </c>
      <c r="G92" t="b">
        <f>IF(B92=E92,TRUE,FALSE)</f>
        <v>1</v>
      </c>
      <c r="H92"/>
      <c r="I92"/>
      <c r="J92" s="25">
        <f>F92-C92</f>
        <v>-9</v>
      </c>
      <c r="K92" s="4">
        <f t="shared" si="1"/>
        <v>-9.0817356205852295E-3</v>
      </c>
      <c r="L92"/>
      <c r="M92" s="5">
        <v>1226.51</v>
      </c>
      <c r="N92" s="5">
        <v>1376.22</v>
      </c>
      <c r="O92"/>
      <c r="P92"/>
      <c r="Q92" s="139">
        <v>5126</v>
      </c>
      <c r="R92"/>
      <c r="S92"/>
      <c r="T92" s="114">
        <f>N92-M92</f>
        <v>149.71000000000004</v>
      </c>
      <c r="U92" s="4">
        <f>IF(M92=0,0,N92/M92-1)</f>
        <v>0.12206178506494036</v>
      </c>
      <c r="V92"/>
      <c r="W92"/>
      <c r="X92"/>
      <c r="Y92"/>
      <c r="Z92" s="14"/>
      <c r="AA92" s="18">
        <v>13755.77</v>
      </c>
      <c r="AB92" s="18">
        <v>15004.1</v>
      </c>
      <c r="AC92" s="4">
        <f>AB92/AA92-1</f>
        <v>9.0749554550563216E-2</v>
      </c>
    </row>
    <row r="93" spans="1:29" s="5" customFormat="1">
      <c r="A93" t="s">
        <v>1009</v>
      </c>
      <c r="B93" t="s">
        <v>1010</v>
      </c>
      <c r="C93" s="19">
        <v>614</v>
      </c>
      <c r="D93"/>
      <c r="E93" t="s">
        <v>1010</v>
      </c>
      <c r="F93" s="19">
        <v>587</v>
      </c>
      <c r="G93" t="b">
        <f>IF(B93=E93,TRUE,FALSE)</f>
        <v>1</v>
      </c>
      <c r="H93"/>
      <c r="I93"/>
      <c r="J93" s="25">
        <f>F93-C93</f>
        <v>-27</v>
      </c>
      <c r="K93" s="4">
        <f t="shared" si="1"/>
        <v>-4.3973941368078195E-2</v>
      </c>
      <c r="L93"/>
      <c r="M93" s="5">
        <v>679.34</v>
      </c>
      <c r="N93" s="5">
        <v>419.14</v>
      </c>
      <c r="O93"/>
      <c r="P93"/>
      <c r="Q93" s="139">
        <v>2251.3000000000002</v>
      </c>
      <c r="R93"/>
      <c r="S93"/>
      <c r="T93" s="114">
        <f>N93-M93</f>
        <v>-260.20000000000005</v>
      </c>
      <c r="U93" s="4">
        <f>IF(M93=0,0,N93/M93-1)</f>
        <v>-0.38301881237671864</v>
      </c>
      <c r="V93"/>
      <c r="W93"/>
      <c r="X93"/>
      <c r="Y93"/>
      <c r="Z93" s="14"/>
      <c r="AA93" s="18">
        <v>14705.3</v>
      </c>
      <c r="AB93" s="18">
        <v>14058.65</v>
      </c>
      <c r="AC93" s="4">
        <f>AB93/AA93-1</f>
        <v>-4.3973941368078195E-2</v>
      </c>
    </row>
    <row r="94" spans="1:29" s="5" customFormat="1" ht="15.75" customHeight="1">
      <c r="A94" s="27" t="s">
        <v>1011</v>
      </c>
      <c r="B94" s="37" t="s">
        <v>1012</v>
      </c>
      <c r="C94" s="19">
        <v>980</v>
      </c>
      <c r="D94"/>
      <c r="E94" s="37" t="s">
        <v>1012</v>
      </c>
      <c r="F94" s="19">
        <v>950</v>
      </c>
      <c r="G94" t="b">
        <f>IF(B94=E94,TRUE,FALSE)</f>
        <v>1</v>
      </c>
      <c r="H94"/>
      <c r="I94"/>
      <c r="J94" s="25">
        <f>F94-C94</f>
        <v>-30</v>
      </c>
      <c r="K94" s="4">
        <f t="shared" si="1"/>
        <v>-3.0612244897959218E-2</v>
      </c>
      <c r="L94"/>
      <c r="M94" s="5">
        <v>1916.37</v>
      </c>
      <c r="N94" s="5">
        <v>1279.29</v>
      </c>
      <c r="O94"/>
      <c r="P94"/>
      <c r="Q94" s="139">
        <v>7195.47</v>
      </c>
      <c r="R94"/>
      <c r="S94"/>
      <c r="T94" s="114">
        <f>N94-M94</f>
        <v>-637.07999999999993</v>
      </c>
      <c r="U94" s="4">
        <f>IF(M94=0,0,N94/M94-1)</f>
        <v>-0.33244102130590647</v>
      </c>
      <c r="V94"/>
      <c r="W94"/>
      <c r="X94"/>
      <c r="Y94"/>
      <c r="Z94" s="14"/>
      <c r="AA94" s="18">
        <v>28407.88</v>
      </c>
      <c r="AB94" s="18">
        <v>27539.34</v>
      </c>
      <c r="AC94" s="4">
        <f>AB94/AA94-1</f>
        <v>-3.0573911182390279E-2</v>
      </c>
    </row>
    <row r="95" spans="1:29" s="5" customFormat="1">
      <c r="A95" s="54" t="s">
        <v>1013</v>
      </c>
      <c r="B95" s="37" t="s">
        <v>1014</v>
      </c>
      <c r="C95">
        <v>121</v>
      </c>
      <c r="D95"/>
      <c r="E95" s="37" t="s">
        <v>1014</v>
      </c>
      <c r="F95">
        <v>89</v>
      </c>
      <c r="G95" t="b">
        <f>IF(B95=E95,TRUE,FALSE)</f>
        <v>1</v>
      </c>
      <c r="H95"/>
      <c r="I95"/>
      <c r="J95" s="25">
        <f>F95-C95</f>
        <v>-32</v>
      </c>
      <c r="K95" s="4">
        <f t="shared" si="1"/>
        <v>-0.26446280991735538</v>
      </c>
      <c r="L95"/>
      <c r="M95" s="131">
        <v>6.69</v>
      </c>
      <c r="N95" s="131">
        <v>0</v>
      </c>
      <c r="O95"/>
      <c r="P95"/>
      <c r="Q95" s="139">
        <v>0</v>
      </c>
      <c r="R95"/>
      <c r="S95"/>
      <c r="T95" s="114">
        <f>N95-M95</f>
        <v>-6.69</v>
      </c>
      <c r="U95" s="4">
        <f>IF(M95=0,0,N95/M95-1)</f>
        <v>-1</v>
      </c>
      <c r="V95"/>
      <c r="W95"/>
      <c r="X95"/>
      <c r="Y95"/>
      <c r="Z95" s="14"/>
      <c r="AA95">
        <v>1933.99</v>
      </c>
      <c r="AB95">
        <v>1422.95</v>
      </c>
      <c r="AC95" s="4">
        <f>AB95/AA95-1</f>
        <v>-0.26424128356403087</v>
      </c>
    </row>
    <row r="96" spans="1:29" s="5" customFormat="1">
      <c r="A96" t="s">
        <v>1015</v>
      </c>
      <c r="B96" t="s">
        <v>1016</v>
      </c>
      <c r="C96" s="19">
        <v>925</v>
      </c>
      <c r="D96"/>
      <c r="E96" t="s">
        <v>1016</v>
      </c>
      <c r="F96" s="19">
        <v>892</v>
      </c>
      <c r="G96" t="b">
        <f>IF(B96=E96,TRUE,FALSE)</f>
        <v>1</v>
      </c>
      <c r="H96"/>
      <c r="I96"/>
      <c r="J96" s="25">
        <f>F96-C96</f>
        <v>-33</v>
      </c>
      <c r="K96" s="4">
        <f t="shared" si="1"/>
        <v>-3.5675675675675644E-2</v>
      </c>
      <c r="L96"/>
      <c r="M96" s="5">
        <v>1198.93</v>
      </c>
      <c r="N96" s="5">
        <v>1004.9</v>
      </c>
      <c r="O96"/>
      <c r="P96"/>
      <c r="Q96" s="139">
        <v>4591.83</v>
      </c>
      <c r="R96"/>
      <c r="S96"/>
      <c r="T96" s="114">
        <f>N96-M96</f>
        <v>-194.03000000000009</v>
      </c>
      <c r="U96" s="4">
        <f>IF(M96=0,0,N96/M96-1)</f>
        <v>-0.16183597040694631</v>
      </c>
      <c r="V96"/>
      <c r="W96"/>
      <c r="X96"/>
      <c r="Y96"/>
      <c r="Z96" s="14"/>
      <c r="AA96" s="18">
        <v>14743.72</v>
      </c>
      <c r="AB96" s="18">
        <v>14784.72</v>
      </c>
      <c r="AC96" s="4">
        <f>AB96/AA96-1</f>
        <v>2.7808449970563309E-3</v>
      </c>
    </row>
    <row r="97" spans="1:29" s="5" customFormat="1">
      <c r="A97" t="s">
        <v>1017</v>
      </c>
      <c r="B97" t="s">
        <v>1018</v>
      </c>
      <c r="C97" s="19">
        <v>365</v>
      </c>
      <c r="D97"/>
      <c r="E97" t="s">
        <v>1018</v>
      </c>
      <c r="F97" s="19">
        <v>321</v>
      </c>
      <c r="G97" t="b">
        <f>IF(B97=E97,TRUE,FALSE)</f>
        <v>1</v>
      </c>
      <c r="H97"/>
      <c r="I97"/>
      <c r="J97" s="25">
        <f>F97-C97</f>
        <v>-44</v>
      </c>
      <c r="K97" s="4">
        <f t="shared" si="1"/>
        <v>-0.1205479452054794</v>
      </c>
      <c r="L97"/>
      <c r="M97" s="5">
        <v>497.46</v>
      </c>
      <c r="N97" s="5">
        <v>347.09</v>
      </c>
      <c r="O97"/>
      <c r="P97"/>
      <c r="Q97" s="139">
        <v>1234.02</v>
      </c>
      <c r="R97"/>
      <c r="S97"/>
      <c r="T97" s="114">
        <f>N97-M97</f>
        <v>-150.37</v>
      </c>
      <c r="U97" s="4">
        <f>IF(M97=0,0,N97/M97-1)</f>
        <v>-0.30227555984400756</v>
      </c>
      <c r="V97"/>
      <c r="W97"/>
      <c r="X97"/>
      <c r="Y97"/>
      <c r="Z97" s="14"/>
      <c r="AA97" s="18">
        <v>7281.75</v>
      </c>
      <c r="AB97" s="18">
        <v>6403.95</v>
      </c>
      <c r="AC97" s="4">
        <f>AB97/AA97-1</f>
        <v>-0.12054794520547951</v>
      </c>
    </row>
    <row r="98" spans="1:29" s="5" customFormat="1">
      <c r="A98" t="s">
        <v>1019</v>
      </c>
      <c r="B98" t="s">
        <v>1020</v>
      </c>
      <c r="C98" s="19">
        <v>259</v>
      </c>
      <c r="D98"/>
      <c r="E98" t="s">
        <v>1020</v>
      </c>
      <c r="F98" s="19">
        <v>200</v>
      </c>
      <c r="G98" t="b">
        <f>IF(B98=E98,TRUE,FALSE)</f>
        <v>1</v>
      </c>
      <c r="H98"/>
      <c r="I98"/>
      <c r="J98" s="25">
        <f>F98-C98</f>
        <v>-59</v>
      </c>
      <c r="K98" s="4">
        <f t="shared" si="1"/>
        <v>-0.22779922779922779</v>
      </c>
      <c r="L98"/>
      <c r="M98" s="5">
        <v>157.07</v>
      </c>
      <c r="N98" s="5">
        <v>104.12</v>
      </c>
      <c r="O98"/>
      <c r="P98"/>
      <c r="Q98" s="139">
        <v>852.73</v>
      </c>
      <c r="R98"/>
      <c r="S98"/>
      <c r="T98" s="114">
        <f>N98-M98</f>
        <v>-52.949999999999989</v>
      </c>
      <c r="U98" s="4">
        <f>IF(M98=0,0,N98/M98-1)</f>
        <v>-0.33711084229961163</v>
      </c>
      <c r="V98"/>
      <c r="W98"/>
      <c r="X98"/>
      <c r="Y98"/>
      <c r="Z98" s="14"/>
      <c r="AA98" s="18">
        <v>7385.37</v>
      </c>
      <c r="AB98" s="18">
        <v>5702.48</v>
      </c>
      <c r="AC98" s="4">
        <f>AB98/AA98-1</f>
        <v>-0.22786806889837619</v>
      </c>
    </row>
    <row r="99" spans="1:29" s="5" customFormat="1">
      <c r="A99" t="s">
        <v>1021</v>
      </c>
      <c r="B99" t="s">
        <v>1022</v>
      </c>
      <c r="C99" s="19">
        <v>462</v>
      </c>
      <c r="D99"/>
      <c r="E99" t="s">
        <v>1022</v>
      </c>
      <c r="F99" s="19">
        <v>398</v>
      </c>
      <c r="G99" t="b">
        <f>IF(B99=E99,TRUE,FALSE)</f>
        <v>1</v>
      </c>
      <c r="H99"/>
      <c r="I99"/>
      <c r="J99" s="25">
        <f>F99-C99</f>
        <v>-64</v>
      </c>
      <c r="K99" s="4">
        <f t="shared" si="1"/>
        <v>-0.1385281385281385</v>
      </c>
      <c r="L99"/>
      <c r="M99" s="5">
        <v>0</v>
      </c>
      <c r="N99" s="5">
        <v>0</v>
      </c>
      <c r="O99"/>
      <c r="P99"/>
      <c r="Q99" s="139">
        <v>0</v>
      </c>
      <c r="R99"/>
      <c r="S99"/>
      <c r="T99" s="114">
        <f>N99-M99</f>
        <v>0</v>
      </c>
      <c r="U99" s="4">
        <f>IF(M99=0,0,N99/M99-1)</f>
        <v>0</v>
      </c>
      <c r="V99"/>
      <c r="W99"/>
      <c r="X99"/>
      <c r="Y99"/>
      <c r="Z99" s="14"/>
      <c r="AA99" s="18">
        <v>13558.62</v>
      </c>
      <c r="AB99" s="18">
        <v>12711.62</v>
      </c>
      <c r="AC99" s="4">
        <f>AB99/AA99-1</f>
        <v>-6.2469484357552618E-2</v>
      </c>
    </row>
    <row r="100" spans="1:29" s="5" customFormat="1">
      <c r="A100" t="s">
        <v>1023</v>
      </c>
      <c r="B100" t="s">
        <v>1024</v>
      </c>
      <c r="C100" s="19">
        <v>1153</v>
      </c>
      <c r="D100"/>
      <c r="E100" t="s">
        <v>1024</v>
      </c>
      <c r="F100" s="19">
        <v>1087</v>
      </c>
      <c r="G100" t="b">
        <f>IF(B100=E100,TRUE,FALSE)</f>
        <v>1</v>
      </c>
      <c r="H100"/>
      <c r="I100"/>
      <c r="J100" s="25">
        <f>F100-C100</f>
        <v>-66</v>
      </c>
      <c r="K100" s="4">
        <f t="shared" si="1"/>
        <v>-5.7241977450130044E-2</v>
      </c>
      <c r="L100"/>
      <c r="M100" s="5">
        <v>1411.7</v>
      </c>
      <c r="N100" s="5">
        <v>1407.08</v>
      </c>
      <c r="O100"/>
      <c r="P100"/>
      <c r="Q100" s="139">
        <v>9143.93</v>
      </c>
      <c r="R100"/>
      <c r="S100"/>
      <c r="T100" s="114">
        <f>N100-M100</f>
        <v>-4.6200000000001182</v>
      </c>
      <c r="U100" s="4">
        <f>IF(M100=0,0,N100/M100-1)</f>
        <v>-3.2726499964582656E-3</v>
      </c>
      <c r="V100"/>
      <c r="W100"/>
      <c r="X100"/>
      <c r="Y100"/>
      <c r="Z100" s="14"/>
      <c r="AA100" s="18">
        <v>27801.64</v>
      </c>
      <c r="AB100" s="18">
        <v>28073.99</v>
      </c>
      <c r="AC100" s="4">
        <f>AB100/AA100-1</f>
        <v>9.7961846855079138E-3</v>
      </c>
    </row>
    <row r="101" spans="1:29" s="5" customFormat="1">
      <c r="A101" t="s">
        <v>1025</v>
      </c>
      <c r="B101" t="s">
        <v>1026</v>
      </c>
      <c r="C101" s="19">
        <v>702</v>
      </c>
      <c r="D101"/>
      <c r="E101" t="s">
        <v>1026</v>
      </c>
      <c r="F101" s="19">
        <v>623</v>
      </c>
      <c r="G101" t="b">
        <f>IF(B101=E101,TRUE,FALSE)</f>
        <v>1</v>
      </c>
      <c r="H101"/>
      <c r="I101"/>
      <c r="J101" s="25">
        <f>F101-C101</f>
        <v>-79</v>
      </c>
      <c r="K101" s="4">
        <f t="shared" si="1"/>
        <v>-0.11253561253561251</v>
      </c>
      <c r="L101"/>
      <c r="M101" s="5">
        <v>464.54</v>
      </c>
      <c r="N101" s="5">
        <v>343.05</v>
      </c>
      <c r="O101"/>
      <c r="P101"/>
      <c r="Q101" s="139">
        <v>1976.75</v>
      </c>
      <c r="R101"/>
      <c r="S101"/>
      <c r="T101" s="114">
        <f>N101-M101</f>
        <v>-121.49000000000001</v>
      </c>
      <c r="U101" s="4">
        <f>IF(M101=0,0,N101/M101-1)</f>
        <v>-0.2615275326129074</v>
      </c>
      <c r="V101"/>
      <c r="W101"/>
      <c r="X101"/>
      <c r="Y101"/>
      <c r="Z101" s="14"/>
      <c r="AA101" s="18">
        <v>13707.58</v>
      </c>
      <c r="AB101" s="18">
        <v>12052.77</v>
      </c>
      <c r="AC101" s="4">
        <f>AB101/AA101-1</f>
        <v>-0.1207222573204022</v>
      </c>
    </row>
    <row r="102" spans="1:29" s="5" customFormat="1">
      <c r="A102" t="s">
        <v>1027</v>
      </c>
      <c r="B102" t="s">
        <v>1028</v>
      </c>
      <c r="C102" s="19">
        <v>578</v>
      </c>
      <c r="E102" t="s">
        <v>1028</v>
      </c>
      <c r="F102" s="19">
        <v>498</v>
      </c>
      <c r="G102" t="b">
        <f>IF(B102=E102,TRUE,FALSE)</f>
        <v>1</v>
      </c>
      <c r="J102" s="25">
        <f>F102-C102</f>
        <v>-80</v>
      </c>
      <c r="K102" s="4">
        <f t="shared" si="1"/>
        <v>-0.13840830449826991</v>
      </c>
      <c r="M102" s="5">
        <v>171.38</v>
      </c>
      <c r="N102" s="5">
        <v>134.27000000000001</v>
      </c>
      <c r="Q102" s="139">
        <v>601.62</v>
      </c>
      <c r="T102" s="114">
        <f>N102-M102</f>
        <v>-37.109999999999985</v>
      </c>
      <c r="U102" s="4">
        <f>IF(M102=0,0,N102/M102-1)</f>
        <v>-0.21653635196639043</v>
      </c>
      <c r="Z102" s="15"/>
      <c r="AA102" s="18">
        <v>10602.52</v>
      </c>
      <c r="AB102" s="18">
        <v>9050.33</v>
      </c>
      <c r="AC102" s="4">
        <f>AB102/AA102-1</f>
        <v>-0.14639821476403725</v>
      </c>
    </row>
    <row r="103" spans="1:29" s="5" customFormat="1">
      <c r="A103" t="s">
        <v>1029</v>
      </c>
      <c r="B103" t="s">
        <v>1030</v>
      </c>
      <c r="C103" s="19">
        <v>1028</v>
      </c>
      <c r="D103"/>
      <c r="E103" t="s">
        <v>1030</v>
      </c>
      <c r="F103" s="19">
        <v>944</v>
      </c>
      <c r="G103" t="b">
        <f>IF(B103=E103,TRUE,FALSE)</f>
        <v>1</v>
      </c>
      <c r="H103"/>
      <c r="I103"/>
      <c r="J103" s="25">
        <f>F103-C103</f>
        <v>-84</v>
      </c>
      <c r="K103" s="4">
        <f t="shared" si="1"/>
        <v>-8.1712062256809381E-2</v>
      </c>
      <c r="L103"/>
      <c r="M103" s="5">
        <v>766.8</v>
      </c>
      <c r="N103" s="5">
        <v>610.38</v>
      </c>
      <c r="O103"/>
      <c r="P103"/>
      <c r="Q103" s="139">
        <v>3071.03</v>
      </c>
      <c r="R103"/>
      <c r="S103"/>
      <c r="T103" s="114">
        <f>N103-M103</f>
        <v>-156.41999999999996</v>
      </c>
      <c r="U103" s="4">
        <f>IF(M103=0,0,N103/M103-1)</f>
        <v>-0.20399061032863841</v>
      </c>
      <c r="V103"/>
      <c r="W103"/>
      <c r="X103"/>
      <c r="Y103"/>
      <c r="Z103" s="14"/>
      <c r="AA103" s="18">
        <v>19712.52</v>
      </c>
      <c r="AB103" s="18">
        <v>18198.560000000001</v>
      </c>
      <c r="AC103" s="4">
        <f>AB103/AA103-1</f>
        <v>-7.6801951247227551E-2</v>
      </c>
    </row>
    <row r="104" spans="1:29" s="5" customFormat="1">
      <c r="A104" t="s">
        <v>1031</v>
      </c>
      <c r="B104" t="s">
        <v>1032</v>
      </c>
      <c r="C104" s="19">
        <v>780</v>
      </c>
      <c r="D104"/>
      <c r="E104" t="s">
        <v>1032</v>
      </c>
      <c r="F104" s="19">
        <v>691</v>
      </c>
      <c r="G104" t="b">
        <f>IF(B104=E104,TRUE,FALSE)</f>
        <v>1</v>
      </c>
      <c r="H104"/>
      <c r="I104"/>
      <c r="J104" s="25">
        <f>F104-C104</f>
        <v>-89</v>
      </c>
      <c r="K104" s="4">
        <f t="shared" si="1"/>
        <v>-0.11410256410256414</v>
      </c>
      <c r="L104"/>
      <c r="M104" s="5">
        <v>537.85</v>
      </c>
      <c r="N104" s="5">
        <v>512.97</v>
      </c>
      <c r="O104"/>
      <c r="P104"/>
      <c r="Q104" s="139">
        <v>2018.04</v>
      </c>
      <c r="R104"/>
      <c r="S104"/>
      <c r="T104" s="114">
        <f>N104-M104</f>
        <v>-24.879999999999995</v>
      </c>
      <c r="U104" s="4">
        <f>IF(M104=0,0,N104/M104-1)</f>
        <v>-4.6258250441572946E-2</v>
      </c>
      <c r="V104"/>
      <c r="W104"/>
      <c r="X104"/>
      <c r="Y104"/>
      <c r="Z104" s="14"/>
      <c r="AA104" s="18">
        <v>17152.2</v>
      </c>
      <c r="AB104" s="18">
        <v>15195.09</v>
      </c>
      <c r="AC104" s="4">
        <f>AB104/AA104-1</f>
        <v>-0.11410256410256414</v>
      </c>
    </row>
    <row r="105" spans="1:29" s="5" customFormat="1">
      <c r="A105" t="s">
        <v>1033</v>
      </c>
      <c r="B105" t="s">
        <v>1034</v>
      </c>
      <c r="C105" s="19">
        <v>2946</v>
      </c>
      <c r="D105"/>
      <c r="E105" t="s">
        <v>1034</v>
      </c>
      <c r="F105" s="19">
        <v>2846</v>
      </c>
      <c r="G105" t="b">
        <f>IF(B105=E105,TRUE,FALSE)</f>
        <v>1</v>
      </c>
      <c r="H105"/>
      <c r="I105"/>
      <c r="J105" s="25">
        <f>F105-C105</f>
        <v>-100</v>
      </c>
      <c r="K105" s="4">
        <f t="shared" si="1"/>
        <v>-3.3944331296673402E-2</v>
      </c>
      <c r="L105"/>
      <c r="M105" s="5">
        <v>3702.91</v>
      </c>
      <c r="N105" s="5">
        <v>3610.4400000000005</v>
      </c>
      <c r="O105"/>
      <c r="P105"/>
      <c r="Q105" s="139">
        <v>16993.64</v>
      </c>
      <c r="R105"/>
      <c r="S105"/>
      <c r="T105" s="114">
        <f>N105-M105</f>
        <v>-92.469999999999345</v>
      </c>
      <c r="U105" s="4">
        <f>IF(M105=0,0,N105/M105-1)</f>
        <v>-2.4972251553507796E-2</v>
      </c>
      <c r="V105"/>
      <c r="W105" t="s">
        <v>1035</v>
      </c>
      <c r="X105"/>
      <c r="Y105"/>
      <c r="Z105" s="14"/>
      <c r="AA105" s="18">
        <v>75575.56</v>
      </c>
      <c r="AB105" s="18">
        <v>74155.09</v>
      </c>
      <c r="AC105" s="4">
        <f>AB105/AA105-1</f>
        <v>-1.8795361886832174E-2</v>
      </c>
    </row>
    <row r="106" spans="1:29" s="5" customFormat="1">
      <c r="A106" t="s">
        <v>1036</v>
      </c>
      <c r="B106" t="s">
        <v>1037</v>
      </c>
      <c r="C106" s="19">
        <v>524</v>
      </c>
      <c r="D106"/>
      <c r="E106" t="s">
        <v>1037</v>
      </c>
      <c r="F106" s="19">
        <v>421</v>
      </c>
      <c r="G106" t="b">
        <f>IF(B106=E106,TRUE,FALSE)</f>
        <v>1</v>
      </c>
      <c r="H106"/>
      <c r="I106"/>
      <c r="J106" s="25">
        <f>F106-C106</f>
        <v>-103</v>
      </c>
      <c r="K106" s="4">
        <f t="shared" si="1"/>
        <v>-0.19656488549618323</v>
      </c>
      <c r="L106"/>
      <c r="M106" s="5">
        <v>239.86</v>
      </c>
      <c r="N106" s="5">
        <v>174.74</v>
      </c>
      <c r="O106"/>
      <c r="P106"/>
      <c r="Q106" s="139">
        <v>626.66999999999996</v>
      </c>
      <c r="R106"/>
      <c r="S106"/>
      <c r="T106" s="114">
        <f>N106-M106</f>
        <v>-65.12</v>
      </c>
      <c r="U106" s="4">
        <f>IF(M106=0,0,N106/M106-1)</f>
        <v>-0.27149170349370466</v>
      </c>
      <c r="V106"/>
      <c r="W106"/>
      <c r="X106"/>
      <c r="Y106"/>
      <c r="Z106" s="14"/>
      <c r="AA106" s="18">
        <v>9950.76</v>
      </c>
      <c r="AB106" s="18">
        <v>7994.79</v>
      </c>
      <c r="AC106" s="4">
        <f>AB106/AA106-1</f>
        <v>-0.19656488549618323</v>
      </c>
    </row>
    <row r="107" spans="1:29" s="5" customFormat="1">
      <c r="A107" s="130" t="s">
        <v>1038</v>
      </c>
      <c r="B107" s="37" t="s">
        <v>1039</v>
      </c>
      <c r="C107">
        <v>364</v>
      </c>
      <c r="D107"/>
      <c r="E107" s="37" t="s">
        <v>1039</v>
      </c>
      <c r="F107">
        <v>261</v>
      </c>
      <c r="G107" t="b">
        <f>IF(B107=E107,TRUE,FALSE)</f>
        <v>1</v>
      </c>
      <c r="H107"/>
      <c r="I107"/>
      <c r="J107" s="25">
        <f>F107-C107</f>
        <v>-103</v>
      </c>
      <c r="K107" s="4">
        <f t="shared" si="1"/>
        <v>-0.28296703296703296</v>
      </c>
      <c r="L107"/>
      <c r="M107" s="131">
        <v>692.16</v>
      </c>
      <c r="N107" s="131">
        <v>275.56</v>
      </c>
      <c r="O107"/>
      <c r="P107"/>
      <c r="Q107" s="139">
        <v>2391.1</v>
      </c>
      <c r="R107"/>
      <c r="S107"/>
      <c r="T107" s="114">
        <f>N107-M107</f>
        <v>-416.59999999999997</v>
      </c>
      <c r="U107" s="4">
        <f>IF(M107=0,0,N107/M107-1)</f>
        <v>-0.60188395746648171</v>
      </c>
      <c r="V107"/>
      <c r="W107"/>
      <c r="X107"/>
      <c r="Y107"/>
      <c r="Z107" s="14"/>
      <c r="AA107">
        <v>3519.64</v>
      </c>
      <c r="AB107">
        <v>2754.19</v>
      </c>
      <c r="AC107" s="4">
        <f>AB107/AA107-1</f>
        <v>-0.21747962859837933</v>
      </c>
    </row>
    <row r="108" spans="1:29" s="5" customFormat="1">
      <c r="A108" t="s">
        <v>1040</v>
      </c>
      <c r="B108" t="s">
        <v>1041</v>
      </c>
      <c r="C108" s="19">
        <v>564</v>
      </c>
      <c r="D108"/>
      <c r="E108" t="s">
        <v>1041</v>
      </c>
      <c r="F108" s="19">
        <v>455</v>
      </c>
      <c r="G108" t="b">
        <f>IF(B108=E108,TRUE,FALSE)</f>
        <v>1</v>
      </c>
      <c r="H108"/>
      <c r="I108"/>
      <c r="J108" s="25">
        <f>F108-C108</f>
        <v>-109</v>
      </c>
      <c r="K108" s="4">
        <f t="shared" si="1"/>
        <v>-0.19326241134751776</v>
      </c>
      <c r="L108"/>
      <c r="M108" s="5">
        <v>828.96</v>
      </c>
      <c r="N108" s="5">
        <v>133.01</v>
      </c>
      <c r="O108"/>
      <c r="P108"/>
      <c r="Q108" s="139">
        <v>765.94</v>
      </c>
      <c r="R108"/>
      <c r="S108"/>
      <c r="T108" s="114">
        <f>N108-M108</f>
        <v>-695.95</v>
      </c>
      <c r="U108" s="4">
        <f>IF(M108=0,0,N108/M108-1)</f>
        <v>-0.83954593707778424</v>
      </c>
      <c r="V108"/>
      <c r="W108"/>
      <c r="X108"/>
      <c r="Y108" t="s">
        <v>1042</v>
      </c>
      <c r="Z108" s="14"/>
      <c r="AA108" s="18">
        <v>9004.9500000000007</v>
      </c>
      <c r="AB108" s="18">
        <v>8639.69</v>
      </c>
      <c r="AC108" s="4">
        <f>AB108/AA108-1</f>
        <v>-4.0562135270045929E-2</v>
      </c>
    </row>
    <row r="109" spans="1:29" s="5" customFormat="1">
      <c r="A109" t="s">
        <v>1043</v>
      </c>
      <c r="B109" t="s">
        <v>1044</v>
      </c>
      <c r="C109" s="19">
        <v>1124</v>
      </c>
      <c r="D109"/>
      <c r="E109" t="s">
        <v>1044</v>
      </c>
      <c r="F109" s="19">
        <v>1015</v>
      </c>
      <c r="G109" t="b">
        <f>IF(B109=E109,TRUE,FALSE)</f>
        <v>1</v>
      </c>
      <c r="H109"/>
      <c r="I109"/>
      <c r="J109" s="25">
        <f>F109-C109</f>
        <v>-109</v>
      </c>
      <c r="K109" s="4">
        <f t="shared" si="1"/>
        <v>-9.6975088967971579E-2</v>
      </c>
      <c r="L109"/>
      <c r="M109" s="5">
        <v>995.59</v>
      </c>
      <c r="N109" s="5">
        <v>829.31</v>
      </c>
      <c r="O109"/>
      <c r="P109"/>
      <c r="Q109" s="139">
        <v>5825.96</v>
      </c>
      <c r="R109"/>
      <c r="S109"/>
      <c r="T109" s="114">
        <f>N109-M109</f>
        <v>-166.28000000000009</v>
      </c>
      <c r="U109" s="4">
        <f>IF(M109=0,0,N109/M109-1)</f>
        <v>-0.16701654295442914</v>
      </c>
      <c r="V109"/>
      <c r="W109"/>
      <c r="X109"/>
      <c r="Y109"/>
      <c r="Z109" s="14"/>
      <c r="AA109" s="18">
        <v>19951.990000000002</v>
      </c>
      <c r="AB109" s="18">
        <v>18115.75</v>
      </c>
      <c r="AC109" s="4">
        <f>AB109/AA109-1</f>
        <v>-9.2032925036550361E-2</v>
      </c>
    </row>
    <row r="110" spans="1:29">
      <c r="A110" t="s">
        <v>1045</v>
      </c>
      <c r="B110" t="s">
        <v>1046</v>
      </c>
      <c r="C110" s="19">
        <v>946</v>
      </c>
      <c r="E110" t="s">
        <v>1046</v>
      </c>
      <c r="F110" s="19">
        <v>836</v>
      </c>
      <c r="G110" t="b">
        <f>IF(B110=E110,TRUE,FALSE)</f>
        <v>1</v>
      </c>
      <c r="J110" s="25">
        <f>F110-C110</f>
        <v>-110</v>
      </c>
      <c r="K110" s="4">
        <f t="shared" si="1"/>
        <v>-0.11627906976744184</v>
      </c>
      <c r="M110" s="5">
        <v>877.71999999999991</v>
      </c>
      <c r="N110" s="5">
        <v>816.43</v>
      </c>
      <c r="Q110" s="139">
        <v>5714.17</v>
      </c>
      <c r="T110" s="114">
        <f>N110-M110</f>
        <v>-61.289999999999964</v>
      </c>
      <c r="U110" s="4">
        <f>IF(M110=0,0,N110/M110-1)</f>
        <v>-6.9828646948913109E-2</v>
      </c>
      <c r="AA110" s="18">
        <v>17725.28</v>
      </c>
      <c r="AB110" s="18">
        <v>15789.44</v>
      </c>
      <c r="AC110" s="4">
        <f>AB110/AA110-1</f>
        <v>-0.10921350748761083</v>
      </c>
    </row>
    <row r="111" spans="1:29">
      <c r="A111" t="s">
        <v>1047</v>
      </c>
      <c r="B111" t="s">
        <v>1048</v>
      </c>
      <c r="C111" s="19">
        <v>989</v>
      </c>
      <c r="E111" t="s">
        <v>1048</v>
      </c>
      <c r="F111" s="19">
        <v>872</v>
      </c>
      <c r="G111" t="b">
        <f>IF(B111=E111,TRUE,FALSE)</f>
        <v>1</v>
      </c>
      <c r="J111" s="25">
        <f>F111-C111</f>
        <v>-117</v>
      </c>
      <c r="K111" s="4">
        <f t="shared" si="1"/>
        <v>-0.11830131445904957</v>
      </c>
      <c r="M111" s="5">
        <v>1547.68</v>
      </c>
      <c r="N111" s="5">
        <v>949.59</v>
      </c>
      <c r="Q111" s="139">
        <v>5036.6400000000003</v>
      </c>
      <c r="T111" s="114">
        <f>N111-M111</f>
        <v>-598.09</v>
      </c>
      <c r="U111" s="4">
        <f>IF(M111=0,0,N111/M111-1)</f>
        <v>-0.38644293393983253</v>
      </c>
      <c r="AA111" s="18">
        <v>18670.07</v>
      </c>
      <c r="AB111" s="18">
        <v>18526.5</v>
      </c>
      <c r="AC111" s="4">
        <f>AB111/AA111-1</f>
        <v>-7.6898479759315297E-3</v>
      </c>
    </row>
    <row r="112" spans="1:29">
      <c r="A112" t="s">
        <v>1049</v>
      </c>
      <c r="B112" t="s">
        <v>1050</v>
      </c>
      <c r="C112" s="19">
        <v>1284</v>
      </c>
      <c r="E112" t="s">
        <v>1050</v>
      </c>
      <c r="F112" s="19">
        <v>1132</v>
      </c>
      <c r="G112" t="b">
        <f>IF(B112=E112,TRUE,FALSE)</f>
        <v>1</v>
      </c>
      <c r="J112" s="25">
        <f>F112-C112</f>
        <v>-152</v>
      </c>
      <c r="K112" s="4">
        <f t="shared" si="1"/>
        <v>-0.11838006230529596</v>
      </c>
      <c r="M112" s="5">
        <v>1357.14</v>
      </c>
      <c r="N112" s="5">
        <v>892.54</v>
      </c>
      <c r="Q112" s="139">
        <v>4029.32</v>
      </c>
      <c r="T112" s="114">
        <f>N112-M112</f>
        <v>-464.60000000000014</v>
      </c>
      <c r="U112" s="4">
        <f>IF(M112=0,0,N112/M112-1)</f>
        <v>-0.34233756281592176</v>
      </c>
      <c r="X112" t="s">
        <v>1051</v>
      </c>
      <c r="Y112" t="s">
        <v>1052</v>
      </c>
      <c r="Z112" s="14" t="s">
        <v>1053</v>
      </c>
      <c r="AA112" s="18">
        <v>23279.07</v>
      </c>
      <c r="AB112" s="18">
        <v>21680.080000000002</v>
      </c>
      <c r="AC112" s="4">
        <f>AB112/AA112-1</f>
        <v>-6.8687881431689357E-2</v>
      </c>
    </row>
    <row r="113" spans="1:30">
      <c r="A113" t="s">
        <v>1054</v>
      </c>
      <c r="B113" t="s">
        <v>1055</v>
      </c>
      <c r="C113" s="19">
        <v>759</v>
      </c>
      <c r="E113" t="s">
        <v>1055</v>
      </c>
      <c r="F113" s="19">
        <v>590</v>
      </c>
      <c r="G113" t="b">
        <f>IF(B113=E113,TRUE,FALSE)</f>
        <v>1</v>
      </c>
      <c r="J113" s="25">
        <f>F113-C113</f>
        <v>-169</v>
      </c>
      <c r="K113" s="4">
        <f t="shared" si="1"/>
        <v>-0.22266139657444006</v>
      </c>
      <c r="M113" s="5">
        <v>182.88</v>
      </c>
      <c r="N113" s="5">
        <v>142.74</v>
      </c>
      <c r="Q113" s="139">
        <v>919.52</v>
      </c>
      <c r="T113" s="114">
        <f>N113-M113</f>
        <v>-40.139999999999986</v>
      </c>
      <c r="U113" s="4">
        <f>IF(M113=0,0,N113/M113-1)</f>
        <v>-0.2194881889763779</v>
      </c>
      <c r="AA113" s="18">
        <v>25740.27</v>
      </c>
      <c r="AB113" s="18">
        <v>21234.1</v>
      </c>
      <c r="AC113" s="4">
        <f>AB113/AA113-1</f>
        <v>-0.17506304323925126</v>
      </c>
    </row>
    <row r="114" spans="1:30">
      <c r="A114" t="s">
        <v>1056</v>
      </c>
      <c r="B114" t="s">
        <v>1057</v>
      </c>
      <c r="C114" s="19">
        <v>1600</v>
      </c>
      <c r="E114" t="s">
        <v>1057</v>
      </c>
      <c r="F114" s="19">
        <v>1423</v>
      </c>
      <c r="G114" t="b">
        <f>IF(B114=E114,TRUE,FALSE)</f>
        <v>1</v>
      </c>
      <c r="J114" s="25">
        <f>F114-C114</f>
        <v>-177</v>
      </c>
      <c r="K114" s="4">
        <f t="shared" si="1"/>
        <v>-0.11062499999999997</v>
      </c>
      <c r="M114" s="5">
        <v>1511.37</v>
      </c>
      <c r="N114" s="5">
        <v>939.94</v>
      </c>
      <c r="Q114" s="139">
        <v>5781.61</v>
      </c>
      <c r="T114" s="114">
        <f>N114-M114</f>
        <v>-571.42999999999984</v>
      </c>
      <c r="U114" s="4">
        <f>IF(M114=0,0,N114/M114-1)</f>
        <v>-0.3780874306093146</v>
      </c>
      <c r="AA114" s="18">
        <v>27594.240000000002</v>
      </c>
      <c r="AB114" s="18">
        <v>26651.4</v>
      </c>
      <c r="AC114" s="4">
        <f>AB114/AA114-1</f>
        <v>-3.4168000278319011E-2</v>
      </c>
    </row>
    <row r="115" spans="1:30">
      <c r="A115" t="s">
        <v>1058</v>
      </c>
      <c r="B115" t="s">
        <v>1059</v>
      </c>
      <c r="C115" s="19">
        <v>1444</v>
      </c>
      <c r="E115" t="s">
        <v>1059</v>
      </c>
      <c r="F115" s="19">
        <v>1260</v>
      </c>
      <c r="G115" t="b">
        <f>IF(B115=E115,TRUE,FALSE)</f>
        <v>1</v>
      </c>
      <c r="J115" s="25">
        <f>F115-C115</f>
        <v>-184</v>
      </c>
      <c r="K115" s="4">
        <f t="shared" si="1"/>
        <v>-0.12742382271468145</v>
      </c>
      <c r="M115" s="5">
        <v>2287.5500000000002</v>
      </c>
      <c r="N115" s="5">
        <v>1513.97</v>
      </c>
      <c r="Q115" s="139">
        <v>6037.29</v>
      </c>
      <c r="T115" s="114">
        <f>N115-M115</f>
        <v>-773.58000000000015</v>
      </c>
      <c r="U115" s="4">
        <f>IF(M115=0,0,N115/M115-1)</f>
        <v>-0.33816965749382533</v>
      </c>
      <c r="AA115" s="18">
        <v>36085.56</v>
      </c>
      <c r="AB115" s="18">
        <v>31487.4</v>
      </c>
      <c r="AC115" s="4">
        <f>AB115/AA115-1</f>
        <v>-0.12742382271468133</v>
      </c>
    </row>
    <row r="116" spans="1:30">
      <c r="A116" t="s">
        <v>1060</v>
      </c>
      <c r="B116" t="s">
        <v>1061</v>
      </c>
      <c r="C116" s="19">
        <v>1168</v>
      </c>
      <c r="E116" t="s">
        <v>1061</v>
      </c>
      <c r="F116" s="19">
        <v>978</v>
      </c>
      <c r="G116" t="b">
        <f>IF(B116=E116,TRUE,FALSE)</f>
        <v>1</v>
      </c>
      <c r="J116" s="25">
        <f>F116-C116</f>
        <v>-190</v>
      </c>
      <c r="K116" s="4">
        <f t="shared" si="1"/>
        <v>-0.16267123287671237</v>
      </c>
      <c r="M116" s="5">
        <v>1494.11</v>
      </c>
      <c r="N116" s="5">
        <v>1132.92</v>
      </c>
      <c r="Q116" s="139">
        <v>4779.3900000000003</v>
      </c>
      <c r="T116" s="114">
        <f>N116-M116</f>
        <v>-361.18999999999983</v>
      </c>
      <c r="U116" s="4">
        <f>IF(M116=0,0,N116/M116-1)</f>
        <v>-0.24174257584782899</v>
      </c>
      <c r="AA116" s="18">
        <v>20635.48</v>
      </c>
      <c r="AB116" s="18">
        <v>18169.66</v>
      </c>
      <c r="AC116" s="4">
        <f>AB116/AA116-1</f>
        <v>-0.11949419155745344</v>
      </c>
    </row>
    <row r="117" spans="1:30">
      <c r="A117" t="s">
        <v>1062</v>
      </c>
      <c r="B117" t="s">
        <v>1063</v>
      </c>
      <c r="C117" s="19">
        <v>1593</v>
      </c>
      <c r="D117" s="5"/>
      <c r="E117" t="s">
        <v>1063</v>
      </c>
      <c r="F117" s="19">
        <v>1399</v>
      </c>
      <c r="G117" t="b">
        <f>IF(B117=E117,TRUE,FALSE)</f>
        <v>1</v>
      </c>
      <c r="H117" s="5"/>
      <c r="I117" s="5"/>
      <c r="J117" s="25">
        <f>F117-C117</f>
        <v>-194</v>
      </c>
      <c r="K117" s="4">
        <f t="shared" si="1"/>
        <v>-0.12178279974890149</v>
      </c>
      <c r="L117" s="5"/>
      <c r="M117" s="5">
        <v>1981.55</v>
      </c>
      <c r="N117" s="5">
        <v>1363.17</v>
      </c>
      <c r="O117" s="5"/>
      <c r="P117" s="5"/>
      <c r="Q117" s="139">
        <v>7753.84</v>
      </c>
      <c r="R117" s="5"/>
      <c r="S117" s="5"/>
      <c r="T117" s="114">
        <f>N117-M117</f>
        <v>-618.37999999999988</v>
      </c>
      <c r="U117" s="4">
        <f>IF(M117=0,0,N117/M117-1)</f>
        <v>-0.31206883500290172</v>
      </c>
      <c r="V117" s="5"/>
      <c r="W117" s="5"/>
      <c r="X117" s="5"/>
      <c r="Y117" s="5"/>
      <c r="Z117" s="15"/>
      <c r="AA117" s="18">
        <v>33202.54</v>
      </c>
      <c r="AB117" s="18">
        <v>32282.76</v>
      </c>
      <c r="AC117" s="4">
        <f>AB117/AA117-1</f>
        <v>-2.7702097490131861E-2</v>
      </c>
    </row>
    <row r="118" spans="1:30" ht="16.5">
      <c r="A118" s="24" t="s">
        <v>1064</v>
      </c>
      <c r="B118" s="23" t="s">
        <v>1065</v>
      </c>
      <c r="C118" s="19">
        <v>1231</v>
      </c>
      <c r="D118" s="5"/>
      <c r="E118" s="23" t="s">
        <v>1065</v>
      </c>
      <c r="F118" s="19">
        <v>1024</v>
      </c>
      <c r="G118" t="b">
        <f>IF(B118=E118,TRUE,FALSE)</f>
        <v>1</v>
      </c>
      <c r="H118" s="5"/>
      <c r="I118" s="5"/>
      <c r="J118" s="25">
        <f>F118-C118</f>
        <v>-207</v>
      </c>
      <c r="K118" s="4">
        <f t="shared" si="1"/>
        <v>-0.16815597075548339</v>
      </c>
      <c r="L118" s="5"/>
      <c r="M118" s="5">
        <v>990.76</v>
      </c>
      <c r="N118" s="5">
        <v>925.44</v>
      </c>
      <c r="O118" s="5"/>
      <c r="P118" s="5"/>
      <c r="Q118" s="139">
        <v>4147.6099999999997</v>
      </c>
      <c r="R118" s="5"/>
      <c r="S118" s="5"/>
      <c r="T118" s="114">
        <f>N118-M118</f>
        <v>-65.319999999999936</v>
      </c>
      <c r="U118" s="4">
        <f>IF(M118=0,0,N118/M118-1)</f>
        <v>-6.5929185675642876E-2</v>
      </c>
      <c r="V118" s="5"/>
      <c r="W118" s="5"/>
      <c r="X118" s="5"/>
      <c r="Y118" s="5"/>
      <c r="Z118" s="15"/>
      <c r="AA118" s="18">
        <v>32725.15</v>
      </c>
      <c r="AB118" s="18">
        <v>27924.44</v>
      </c>
      <c r="AC118" s="4">
        <f>AB118/AA118-1</f>
        <v>-0.14669787609835261</v>
      </c>
    </row>
    <row r="119" spans="1:30">
      <c r="A119" t="s">
        <v>1066</v>
      </c>
      <c r="B119" t="s">
        <v>1067</v>
      </c>
      <c r="C119" s="19">
        <v>391</v>
      </c>
      <c r="E119" t="s">
        <v>1067</v>
      </c>
      <c r="F119" s="19">
        <v>176</v>
      </c>
      <c r="G119" t="b">
        <f>IF(B119=E119,TRUE,FALSE)</f>
        <v>1</v>
      </c>
      <c r="J119" s="25">
        <f>F119-C119</f>
        <v>-215</v>
      </c>
      <c r="K119" s="4">
        <f t="shared" si="1"/>
        <v>-0.54987212276214836</v>
      </c>
      <c r="M119" s="5">
        <v>388.09</v>
      </c>
      <c r="N119" s="5">
        <v>2.58</v>
      </c>
      <c r="Q119" s="139">
        <v>0</v>
      </c>
      <c r="T119" s="114">
        <f>N119-M119</f>
        <v>-385.51</v>
      </c>
      <c r="U119" s="4">
        <f>IF(M119=0,0,N119/M119-1)</f>
        <v>-0.99335205751243272</v>
      </c>
      <c r="AA119" s="18">
        <v>8596.77</v>
      </c>
      <c r="AB119" s="18">
        <v>3867.78</v>
      </c>
      <c r="AC119" s="4">
        <f>AB119/AA119-1</f>
        <v>-0.55008916139433772</v>
      </c>
      <c r="AD119" t="s">
        <v>880</v>
      </c>
    </row>
    <row r="120" spans="1:30">
      <c r="A120" t="s">
        <v>1068</v>
      </c>
      <c r="B120" t="s">
        <v>1069</v>
      </c>
      <c r="C120" s="19">
        <v>1389</v>
      </c>
      <c r="E120" t="s">
        <v>1069</v>
      </c>
      <c r="F120" s="19">
        <v>1173</v>
      </c>
      <c r="G120" t="b">
        <f>IF(B120=E120,TRUE,FALSE)</f>
        <v>1</v>
      </c>
      <c r="J120" s="25">
        <f>F120-C120</f>
        <v>-216</v>
      </c>
      <c r="K120" s="4">
        <f t="shared" si="1"/>
        <v>-0.15550755939524841</v>
      </c>
      <c r="M120" s="5">
        <v>1779.83</v>
      </c>
      <c r="N120" s="5">
        <v>1585.12</v>
      </c>
      <c r="Q120" s="139">
        <v>12273.92</v>
      </c>
      <c r="T120" s="114">
        <f>N120-M120</f>
        <v>-194.71000000000004</v>
      </c>
      <c r="U120" s="4">
        <f>IF(M120=0,0,N120/M120-1)</f>
        <v>-0.1093980885814938</v>
      </c>
      <c r="AA120" s="18">
        <v>52343.73</v>
      </c>
      <c r="AB120" s="18">
        <v>43019.89</v>
      </c>
      <c r="AC120" s="4">
        <f>AB120/AA120-1</f>
        <v>-0.17812716059784051</v>
      </c>
    </row>
    <row r="121" spans="1:30">
      <c r="A121" t="s">
        <v>1070</v>
      </c>
      <c r="B121" t="s">
        <v>1071</v>
      </c>
      <c r="C121" s="19">
        <v>389</v>
      </c>
      <c r="E121" t="s">
        <v>1071</v>
      </c>
      <c r="F121" s="19">
        <v>157</v>
      </c>
      <c r="G121" t="b">
        <f>IF(B121=E121,TRUE,FALSE)</f>
        <v>1</v>
      </c>
      <c r="J121" s="25">
        <f>F121-C121</f>
        <v>-232</v>
      </c>
      <c r="K121" s="4">
        <f t="shared" si="1"/>
        <v>-0.59640102827763497</v>
      </c>
      <c r="M121" s="5">
        <v>304.04000000000002</v>
      </c>
      <c r="N121" s="5">
        <v>33.69</v>
      </c>
      <c r="Q121" s="139">
        <v>302.98</v>
      </c>
      <c r="T121" s="114">
        <f>N121-M121</f>
        <v>-270.35000000000002</v>
      </c>
      <c r="U121" s="4">
        <f>IF(M121=0,0,N121/M121-1)</f>
        <v>-0.88919221155111172</v>
      </c>
      <c r="AA121" s="18">
        <v>11662.51</v>
      </c>
      <c r="AB121" s="18">
        <v>4701.87</v>
      </c>
      <c r="AC121" s="4">
        <f>AB121/AA121-1</f>
        <v>-0.59683893089909468</v>
      </c>
      <c r="AD121" t="s">
        <v>857</v>
      </c>
    </row>
    <row r="122" spans="1:30">
      <c r="A122" t="s">
        <v>1072</v>
      </c>
      <c r="B122" t="s">
        <v>1073</v>
      </c>
      <c r="C122" s="19">
        <v>997</v>
      </c>
      <c r="D122" s="5"/>
      <c r="E122" t="s">
        <v>1073</v>
      </c>
      <c r="F122" s="19">
        <v>757</v>
      </c>
      <c r="G122" t="b">
        <f>IF(B122=E122,TRUE,FALSE)</f>
        <v>1</v>
      </c>
      <c r="H122" s="5"/>
      <c r="I122" s="5"/>
      <c r="J122" s="25">
        <f>F122-C122</f>
        <v>-240</v>
      </c>
      <c r="K122" s="4">
        <f t="shared" si="1"/>
        <v>-0.24072216649949851</v>
      </c>
      <c r="L122" s="5"/>
      <c r="M122" s="5">
        <v>1304.3499999999999</v>
      </c>
      <c r="N122" s="5">
        <v>588.66</v>
      </c>
      <c r="O122" s="5"/>
      <c r="P122" s="5"/>
      <c r="Q122" s="139">
        <v>4357.34</v>
      </c>
      <c r="R122" s="5"/>
      <c r="S122" s="5"/>
      <c r="T122" s="114">
        <f>N122-M122</f>
        <v>-715.68999999999994</v>
      </c>
      <c r="U122" s="4">
        <f>IF(M122=0,0,N122/M122-1)</f>
        <v>-0.54869475217541308</v>
      </c>
      <c r="V122" s="5"/>
      <c r="W122" s="5"/>
      <c r="X122" s="5"/>
      <c r="Y122" s="5"/>
      <c r="Z122" s="15"/>
      <c r="AA122" s="18">
        <v>19177.63</v>
      </c>
      <c r="AB122" s="18">
        <v>14388.84</v>
      </c>
      <c r="AC122" s="4">
        <f>AB122/AA122-1</f>
        <v>-0.24970708059337887</v>
      </c>
    </row>
    <row r="123" spans="1:30">
      <c r="A123" t="s">
        <v>1074</v>
      </c>
      <c r="B123" t="s">
        <v>1075</v>
      </c>
      <c r="C123" s="19">
        <v>1105</v>
      </c>
      <c r="E123" t="s">
        <v>1075</v>
      </c>
      <c r="F123" s="19">
        <v>859</v>
      </c>
      <c r="G123" t="b">
        <f>IF(B123=E123,TRUE,FALSE)</f>
        <v>1</v>
      </c>
      <c r="J123" s="25">
        <f>F123-C123</f>
        <v>-246</v>
      </c>
      <c r="K123" s="4">
        <f t="shared" si="1"/>
        <v>-0.22262443438914026</v>
      </c>
      <c r="M123" s="5">
        <v>968.45</v>
      </c>
      <c r="N123" s="5">
        <v>795.96</v>
      </c>
      <c r="Q123" s="139">
        <v>3831.93</v>
      </c>
      <c r="T123" s="114">
        <f>N123-M123</f>
        <v>-172.49</v>
      </c>
      <c r="U123" s="4">
        <f>IF(M123=0,0,N123/M123-1)</f>
        <v>-0.17810934999225569</v>
      </c>
      <c r="AA123" s="18">
        <v>19001.55</v>
      </c>
      <c r="AB123" s="18">
        <v>16461.61</v>
      </c>
      <c r="AC123" s="4">
        <f>AB123/AA123-1</f>
        <v>-0.13367014796161358</v>
      </c>
    </row>
    <row r="124" spans="1:30">
      <c r="A124" s="27" t="s">
        <v>1076</v>
      </c>
      <c r="B124" s="27" t="s">
        <v>1077</v>
      </c>
      <c r="C124" s="19">
        <v>1049</v>
      </c>
      <c r="E124" s="27" t="s">
        <v>1077</v>
      </c>
      <c r="F124" s="19">
        <v>802</v>
      </c>
      <c r="G124" t="b">
        <f>IF(B124=E124,TRUE,FALSE)</f>
        <v>1</v>
      </c>
      <c r="J124" s="25">
        <f>F124-C124</f>
        <v>-247</v>
      </c>
      <c r="K124" s="4">
        <f t="shared" si="1"/>
        <v>-0.23546234509056241</v>
      </c>
      <c r="M124" s="5">
        <v>1130.6099999999999</v>
      </c>
      <c r="N124" s="5">
        <v>451.8</v>
      </c>
      <c r="Q124" s="139">
        <v>2249.17</v>
      </c>
      <c r="T124" s="114">
        <f>N124-M124</f>
        <v>-678.81</v>
      </c>
      <c r="U124" s="4">
        <f>IF(M124=0,0,N124/M124-1)</f>
        <v>-0.60039270836097325</v>
      </c>
      <c r="AA124" s="18">
        <v>16253.66</v>
      </c>
      <c r="AB124" s="18">
        <v>14372.09</v>
      </c>
      <c r="AC124" s="4">
        <f>AB124/AA124-1</f>
        <v>-0.11576284972123196</v>
      </c>
    </row>
    <row r="125" spans="1:30">
      <c r="A125" t="s">
        <v>1078</v>
      </c>
      <c r="B125" t="s">
        <v>1079</v>
      </c>
      <c r="C125" s="19">
        <v>1179</v>
      </c>
      <c r="E125" t="s">
        <v>1079</v>
      </c>
      <c r="F125" s="19">
        <v>924</v>
      </c>
      <c r="G125" t="b">
        <f>IF(B125=E125,TRUE,FALSE)</f>
        <v>1</v>
      </c>
      <c r="J125" s="25">
        <f>F125-C125</f>
        <v>-255</v>
      </c>
      <c r="K125" s="4">
        <f t="shared" si="1"/>
        <v>-0.21628498727735368</v>
      </c>
      <c r="M125" s="5">
        <v>1934.62</v>
      </c>
      <c r="N125" s="5">
        <v>799.84</v>
      </c>
      <c r="Q125" s="139">
        <v>3648.47</v>
      </c>
      <c r="T125" s="114">
        <f>N125-M125</f>
        <v>-1134.7799999999997</v>
      </c>
      <c r="U125" s="4">
        <f>IF(M125=0,0,N125/M125-1)</f>
        <v>-0.58656480342392814</v>
      </c>
      <c r="W125" t="s">
        <v>1080</v>
      </c>
      <c r="Y125" t="s">
        <v>1081</v>
      </c>
      <c r="AA125" s="18">
        <v>22143.1</v>
      </c>
      <c r="AB125" s="18">
        <v>18431.8</v>
      </c>
      <c r="AC125" s="4">
        <f>AB125/AA125-1</f>
        <v>-0.16760525852297103</v>
      </c>
    </row>
    <row r="126" spans="1:30">
      <c r="A126" t="s">
        <v>1082</v>
      </c>
      <c r="B126" s="5" t="s">
        <v>1083</v>
      </c>
      <c r="C126" s="19">
        <v>2411</v>
      </c>
      <c r="D126" s="5"/>
      <c r="E126" t="s">
        <v>1083</v>
      </c>
      <c r="F126" s="19">
        <v>2153</v>
      </c>
      <c r="G126" t="b">
        <f>IF(B126=E126,TRUE,FALSE)</f>
        <v>1</v>
      </c>
      <c r="H126" s="5"/>
      <c r="I126" s="5"/>
      <c r="J126" s="25">
        <f>F126-C126</f>
        <v>-258</v>
      </c>
      <c r="K126" s="4">
        <f t="shared" si="1"/>
        <v>-0.10700953961012027</v>
      </c>
      <c r="L126" s="5"/>
      <c r="M126" s="5">
        <v>2389.61</v>
      </c>
      <c r="N126" s="5">
        <v>2453</v>
      </c>
      <c r="O126" s="5"/>
      <c r="P126" s="5"/>
      <c r="Q126" s="139">
        <v>16364.15</v>
      </c>
      <c r="R126" s="5"/>
      <c r="S126" s="5"/>
      <c r="T126" s="114">
        <f>N126-M126</f>
        <v>63.389999999999873</v>
      </c>
      <c r="U126" s="4">
        <f>IF(M126=0,0,N126/M126-1)</f>
        <v>2.6527341281631589E-2</v>
      </c>
      <c r="V126" s="5"/>
      <c r="W126" s="5"/>
      <c r="X126" s="5"/>
      <c r="Y126" s="5"/>
      <c r="Z126" s="15"/>
      <c r="AA126" s="18">
        <v>57343.17</v>
      </c>
      <c r="AB126" s="18">
        <v>62400.68</v>
      </c>
      <c r="AC126" s="4">
        <f>AB126/AA126-1</f>
        <v>8.8197251738960425E-2</v>
      </c>
    </row>
    <row r="127" spans="1:30">
      <c r="A127" t="s">
        <v>1084</v>
      </c>
      <c r="B127" t="s">
        <v>1085</v>
      </c>
      <c r="C127" s="19">
        <v>1044</v>
      </c>
      <c r="E127" t="s">
        <v>1085</v>
      </c>
      <c r="F127" s="19">
        <v>765</v>
      </c>
      <c r="G127" t="b">
        <f>IF(B127=E127,TRUE,FALSE)</f>
        <v>1</v>
      </c>
      <c r="J127" s="25">
        <f>F127-C127</f>
        <v>-279</v>
      </c>
      <c r="K127" s="4">
        <f t="shared" si="1"/>
        <v>-0.26724137931034486</v>
      </c>
      <c r="M127" s="5">
        <v>744.5</v>
      </c>
      <c r="N127" s="5">
        <v>462.15</v>
      </c>
      <c r="Q127" s="139">
        <v>3491.22</v>
      </c>
      <c r="T127" s="114">
        <f>N127-M127</f>
        <v>-282.35000000000002</v>
      </c>
      <c r="U127" s="4">
        <f>IF(M127=0,0,N127/M127-1)</f>
        <v>-0.37924781732706514</v>
      </c>
      <c r="W127" t="s">
        <v>1086</v>
      </c>
      <c r="AA127" s="18">
        <v>26047.8</v>
      </c>
      <c r="AB127" s="18">
        <v>19086.75</v>
      </c>
      <c r="AC127" s="4">
        <f>AB127/AA127-1</f>
        <v>-0.26724137931034486</v>
      </c>
    </row>
    <row r="128" spans="1:30">
      <c r="A128" t="s">
        <v>1087</v>
      </c>
      <c r="B128" t="s">
        <v>1088</v>
      </c>
      <c r="C128" s="19">
        <v>1842</v>
      </c>
      <c r="E128" t="s">
        <v>1088</v>
      </c>
      <c r="F128" s="19">
        <v>1533</v>
      </c>
      <c r="G128" t="b">
        <f>IF(B128=E128,TRUE,FALSE)</f>
        <v>1</v>
      </c>
      <c r="J128" s="25">
        <f>F128-C128</f>
        <v>-309</v>
      </c>
      <c r="K128" s="4">
        <f t="shared" si="1"/>
        <v>-0.16775244299674263</v>
      </c>
      <c r="M128" s="5">
        <v>447.22</v>
      </c>
      <c r="N128" s="5">
        <v>502.42</v>
      </c>
      <c r="Q128" s="139">
        <v>6826.51</v>
      </c>
      <c r="T128" s="114">
        <f>N128-M128</f>
        <v>55.199999999999989</v>
      </c>
      <c r="U128" s="4">
        <f>IF(M128=0,0,N128/M128-1)</f>
        <v>0.1234291847412905</v>
      </c>
      <c r="AA128" s="18">
        <v>39690.26</v>
      </c>
      <c r="AB128" s="18">
        <v>36120.28</v>
      </c>
      <c r="AC128" s="4">
        <f>AB128/AA128-1</f>
        <v>-8.9945996826425456E-2</v>
      </c>
    </row>
    <row r="129" spans="1:31">
      <c r="A129" s="130" t="s">
        <v>1089</v>
      </c>
      <c r="B129" s="37" t="s">
        <v>1090</v>
      </c>
      <c r="C129">
        <v>1956</v>
      </c>
      <c r="E129" s="37" t="s">
        <v>1090</v>
      </c>
      <c r="F129">
        <v>1547</v>
      </c>
      <c r="G129" t="b">
        <f>IF(B129=E129,TRUE,FALSE)</f>
        <v>1</v>
      </c>
      <c r="J129" s="25">
        <f>F129-C129</f>
        <v>-409</v>
      </c>
      <c r="K129" s="4">
        <f t="shared" si="1"/>
        <v>-0.20910020449897748</v>
      </c>
      <c r="M129" s="131">
        <v>2809.26</v>
      </c>
      <c r="N129" s="131">
        <v>1827.67</v>
      </c>
      <c r="Q129" s="139">
        <v>14516.26</v>
      </c>
      <c r="T129" s="114">
        <f>N129-M129</f>
        <v>-981.59000000000015</v>
      </c>
      <c r="U129" s="4">
        <f>IF(M129=0,0,N129/M129-1)</f>
        <v>-0.34941230074823981</v>
      </c>
      <c r="Z129" s="122"/>
      <c r="AA129">
        <v>66117.210000000006</v>
      </c>
      <c r="AB129">
        <v>54224.46</v>
      </c>
      <c r="AC129" s="4">
        <f>AB129/AA129-1</f>
        <v>-0.17987374240383114</v>
      </c>
    </row>
    <row r="130" spans="1:31">
      <c r="A130" s="27" t="s">
        <v>1091</v>
      </c>
      <c r="B130" s="27" t="s">
        <v>1092</v>
      </c>
      <c r="C130" s="19">
        <v>493</v>
      </c>
      <c r="E130" s="27" t="s">
        <v>1092</v>
      </c>
      <c r="F130" s="19">
        <v>6</v>
      </c>
      <c r="G130" t="b">
        <f>IF(B130=E130,TRUE,FALSE)</f>
        <v>1</v>
      </c>
      <c r="J130" s="25">
        <f>F130-C130</f>
        <v>-487</v>
      </c>
      <c r="K130" s="4">
        <f t="shared" si="1"/>
        <v>-0.9878296146044625</v>
      </c>
      <c r="M130" s="5">
        <v>744.36</v>
      </c>
      <c r="N130" s="5">
        <v>0</v>
      </c>
      <c r="Q130" s="139">
        <v>0</v>
      </c>
      <c r="T130" s="114">
        <f>N130-M130</f>
        <v>-744.36</v>
      </c>
      <c r="U130" s="4">
        <f>IF(M130=0,0,N130/M130-1)</f>
        <v>-1</v>
      </c>
      <c r="Z130" s="122"/>
      <c r="AA130" s="18">
        <v>7881.31</v>
      </c>
      <c r="AB130" s="18">
        <v>95.94</v>
      </c>
      <c r="AC130" s="4">
        <f>AB130/AA130-1</f>
        <v>-0.9878268967976136</v>
      </c>
      <c r="AD130" t="s">
        <v>857</v>
      </c>
    </row>
    <row r="131" spans="1:31">
      <c r="A131" t="s">
        <v>1093</v>
      </c>
      <c r="B131" t="s">
        <v>1094</v>
      </c>
      <c r="C131" s="19">
        <v>4255</v>
      </c>
      <c r="D131" s="5"/>
      <c r="E131" t="s">
        <v>1094</v>
      </c>
      <c r="F131" s="19">
        <v>3747</v>
      </c>
      <c r="G131" t="b">
        <f>IF(B131=E131,TRUE,FALSE)</f>
        <v>1</v>
      </c>
      <c r="H131" s="5"/>
      <c r="I131" s="5"/>
      <c r="J131" s="25">
        <f>F131-C131</f>
        <v>-508</v>
      </c>
      <c r="K131" s="4">
        <f t="shared" si="1"/>
        <v>-0.11938895417156292</v>
      </c>
      <c r="L131" s="5"/>
      <c r="M131" s="5">
        <v>2806.73</v>
      </c>
      <c r="N131" s="5">
        <v>1775.9</v>
      </c>
      <c r="O131" s="5"/>
      <c r="P131" s="5"/>
      <c r="Q131" s="139">
        <v>13959.27</v>
      </c>
      <c r="R131" s="5"/>
      <c r="S131" s="5"/>
      <c r="T131" s="114">
        <f>N131-M131</f>
        <v>-1030.83</v>
      </c>
      <c r="U131" s="4">
        <f>IF(M131=0,0,N131/M131-1)</f>
        <v>-0.36727080980357918</v>
      </c>
      <c r="V131" s="5"/>
      <c r="W131" s="5"/>
      <c r="X131" s="5"/>
      <c r="Y131" s="5"/>
      <c r="Z131" s="151"/>
      <c r="AA131" s="18">
        <v>91520.45</v>
      </c>
      <c r="AB131" s="18">
        <v>86790.52</v>
      </c>
      <c r="AC131" s="4">
        <f>AB131/AA131-1</f>
        <v>-5.1681673330933098E-2</v>
      </c>
    </row>
    <row r="132" spans="1:31">
      <c r="A132" t="s">
        <v>1095</v>
      </c>
      <c r="B132" t="s">
        <v>1096</v>
      </c>
      <c r="C132" s="19">
        <v>1779</v>
      </c>
      <c r="D132" s="12"/>
      <c r="E132" t="s">
        <v>1096</v>
      </c>
      <c r="F132" s="19">
        <v>1243</v>
      </c>
      <c r="G132" t="b">
        <f>IF(B132=E132,TRUE,FALSE)</f>
        <v>1</v>
      </c>
      <c r="H132" s="12"/>
      <c r="I132" s="12"/>
      <c r="J132" s="25">
        <f>F132-C132</f>
        <v>-536</v>
      </c>
      <c r="K132" s="4">
        <f t="shared" ref="K132:K149" si="2">F132/C132-1</f>
        <v>-0.30129286115795395</v>
      </c>
      <c r="L132" s="12"/>
      <c r="M132" s="5">
        <v>1321.86</v>
      </c>
      <c r="N132" s="5">
        <v>888.21</v>
      </c>
      <c r="O132" s="12"/>
      <c r="P132" s="12"/>
      <c r="Q132" s="139">
        <v>3843.39</v>
      </c>
      <c r="R132" s="12"/>
      <c r="S132" s="12"/>
      <c r="T132" s="114">
        <f>N132-M132</f>
        <v>-433.64999999999986</v>
      </c>
      <c r="U132" s="4">
        <f>IF(M132=0,0,N132/M132-1)</f>
        <v>-0.32806046026054192</v>
      </c>
      <c r="V132" s="5"/>
      <c r="W132" s="5"/>
      <c r="X132" s="5"/>
      <c r="Y132" s="5"/>
      <c r="Z132" s="151"/>
      <c r="AA132" s="18">
        <v>38079.360000000001</v>
      </c>
      <c r="AB132" s="18">
        <v>29768.07</v>
      </c>
      <c r="AC132" s="4">
        <f>AB132/AA132-1</f>
        <v>-0.21826233424091168</v>
      </c>
    </row>
    <row r="133" spans="1:31">
      <c r="A133" t="s">
        <v>1097</v>
      </c>
      <c r="B133" t="s">
        <v>1098</v>
      </c>
      <c r="C133" s="19">
        <v>3560</v>
      </c>
      <c r="D133" s="5"/>
      <c r="E133" t="s">
        <v>1098</v>
      </c>
      <c r="F133" s="19">
        <v>3015</v>
      </c>
      <c r="G133" t="b">
        <f>IF(B133=E133,TRUE,FALSE)</f>
        <v>1</v>
      </c>
      <c r="H133" s="5"/>
      <c r="I133" s="5"/>
      <c r="J133" s="25">
        <f>F133-C133</f>
        <v>-545</v>
      </c>
      <c r="K133" s="4">
        <f t="shared" si="2"/>
        <v>-0.1530898876404494</v>
      </c>
      <c r="L133" s="5"/>
      <c r="M133" s="5">
        <v>2928.56</v>
      </c>
      <c r="N133" s="5">
        <v>2194.42</v>
      </c>
      <c r="O133" s="5"/>
      <c r="P133" s="5"/>
      <c r="Q133" s="139">
        <v>17203.38</v>
      </c>
      <c r="R133" s="5"/>
      <c r="S133" s="5"/>
      <c r="T133" s="114">
        <f>N133-M133</f>
        <v>-734.13999999999987</v>
      </c>
      <c r="U133" s="4">
        <f>IF(M133=0,0,N133/M133-1)</f>
        <v>-0.250682929494359</v>
      </c>
      <c r="V133" s="5"/>
      <c r="W133" s="5"/>
      <c r="X133" s="5"/>
      <c r="Y133" s="5"/>
      <c r="Z133" s="151"/>
      <c r="AA133" s="18">
        <v>68008.12</v>
      </c>
      <c r="AB133" s="18">
        <v>63050.05</v>
      </c>
      <c r="AC133" s="4">
        <f>AB133/AA133-1</f>
        <v>-7.2904088511783538E-2</v>
      </c>
    </row>
    <row r="134" spans="1:31">
      <c r="A134" s="55" t="s">
        <v>1099</v>
      </c>
      <c r="B134" s="37" t="s">
        <v>1100</v>
      </c>
      <c r="C134" s="19">
        <v>1564</v>
      </c>
      <c r="E134" s="37" t="s">
        <v>1100</v>
      </c>
      <c r="F134" s="19">
        <v>1013</v>
      </c>
      <c r="G134" t="b">
        <f>IF(B134=E134,TRUE,FALSE)</f>
        <v>1</v>
      </c>
      <c r="J134" s="25">
        <f>F134-C134</f>
        <v>-551</v>
      </c>
      <c r="K134" s="4">
        <f t="shared" si="2"/>
        <v>-0.35230179028132991</v>
      </c>
      <c r="M134" s="5">
        <v>2467.59</v>
      </c>
      <c r="N134" s="5">
        <v>1792.28</v>
      </c>
      <c r="Q134" s="139">
        <v>11327.87</v>
      </c>
      <c r="T134" s="114">
        <f>N134-M134</f>
        <v>-675.31000000000017</v>
      </c>
      <c r="U134" s="4">
        <f>IF(M134=0,0,N134/M134-1)</f>
        <v>-0.27367188228190265</v>
      </c>
      <c r="Z134" s="122"/>
      <c r="AA134" s="18">
        <v>25604.98</v>
      </c>
      <c r="AB134" s="18">
        <v>20226.48</v>
      </c>
      <c r="AC134" s="4">
        <f>AB134/AA134-1</f>
        <v>-0.21005679363936236</v>
      </c>
    </row>
    <row r="135" spans="1:31">
      <c r="A135" t="s">
        <v>1101</v>
      </c>
      <c r="B135" t="s">
        <v>1102</v>
      </c>
      <c r="C135" s="19">
        <v>1750</v>
      </c>
      <c r="D135" s="5"/>
      <c r="E135" t="s">
        <v>1102</v>
      </c>
      <c r="F135" s="19">
        <v>1197</v>
      </c>
      <c r="G135" t="b">
        <f>IF(B135=E135,TRUE,FALSE)</f>
        <v>1</v>
      </c>
      <c r="H135" s="5"/>
      <c r="I135" s="5"/>
      <c r="J135" s="25">
        <f>F135-C135</f>
        <v>-553</v>
      </c>
      <c r="K135" s="4">
        <f t="shared" si="2"/>
        <v>-0.31599999999999995</v>
      </c>
      <c r="L135" s="5"/>
      <c r="M135" s="5">
        <v>2270.83</v>
      </c>
      <c r="N135" s="5">
        <v>1643.99</v>
      </c>
      <c r="O135" s="5"/>
      <c r="P135" s="5"/>
      <c r="Q135" s="139">
        <v>8580.89</v>
      </c>
      <c r="R135" s="5"/>
      <c r="S135" s="5"/>
      <c r="T135" s="114">
        <f>N135-M135</f>
        <v>-626.83999999999992</v>
      </c>
      <c r="U135" s="4">
        <f>IF(M135=0,0,N135/M135-1)</f>
        <v>-0.27604003822390932</v>
      </c>
      <c r="V135" s="5"/>
      <c r="W135" s="5"/>
      <c r="X135" s="5"/>
      <c r="Y135" s="5"/>
      <c r="Z135" s="151"/>
      <c r="AA135" s="18">
        <v>35500.86</v>
      </c>
      <c r="AB135" s="18">
        <v>26317.41</v>
      </c>
      <c r="AC135" s="4">
        <f>AB135/AA135-1</f>
        <v>-0.25868246572054876</v>
      </c>
    </row>
    <row r="136" spans="1:31">
      <c r="A136" s="54" t="s">
        <v>1103</v>
      </c>
      <c r="B136" s="37" t="s">
        <v>1104</v>
      </c>
      <c r="C136" s="19">
        <v>1334</v>
      </c>
      <c r="E136" s="37" t="s">
        <v>1104</v>
      </c>
      <c r="F136" s="19">
        <v>769</v>
      </c>
      <c r="G136" t="b">
        <f>IF(B136=E136,TRUE,FALSE)</f>
        <v>1</v>
      </c>
      <c r="J136" s="25">
        <f>F136-C136</f>
        <v>-565</v>
      </c>
      <c r="K136" s="4">
        <f t="shared" si="2"/>
        <v>-0.42353823088455778</v>
      </c>
      <c r="M136" s="5">
        <v>2088.8000000000002</v>
      </c>
      <c r="N136" s="5">
        <v>1538.44</v>
      </c>
      <c r="Q136" s="139">
        <v>9735.5499999999993</v>
      </c>
      <c r="T136" s="114">
        <f>N136-M136</f>
        <v>-550.36000000000013</v>
      </c>
      <c r="U136" s="4">
        <f>IF(M136=0,0,N136/M136-1)</f>
        <v>-0.2634814247414784</v>
      </c>
      <c r="Z136" s="122"/>
      <c r="AA136" s="18">
        <v>30950.91</v>
      </c>
      <c r="AB136" s="18">
        <v>17946.560000000001</v>
      </c>
      <c r="AC136" s="4">
        <f>AB136/AA136-1</f>
        <v>-0.42016050578157471</v>
      </c>
      <c r="AD136" t="s">
        <v>1105</v>
      </c>
    </row>
    <row r="137" spans="1:31">
      <c r="A137" t="s">
        <v>1106</v>
      </c>
      <c r="B137" s="5" t="s">
        <v>1107</v>
      </c>
      <c r="C137" s="19">
        <v>1029</v>
      </c>
      <c r="E137" t="s">
        <v>1107</v>
      </c>
      <c r="F137" s="19">
        <v>446</v>
      </c>
      <c r="G137" t="b">
        <f>IF(B137=E137,TRUE,FALSE)</f>
        <v>1</v>
      </c>
      <c r="J137" s="25">
        <f>F137-C137</f>
        <v>-583</v>
      </c>
      <c r="K137" s="4">
        <f t="shared" si="2"/>
        <v>-0.5665694849368319</v>
      </c>
      <c r="M137" s="5">
        <v>1173.43</v>
      </c>
      <c r="N137" s="5">
        <v>431.36</v>
      </c>
      <c r="Q137" s="139">
        <v>2264.2399999999998</v>
      </c>
      <c r="T137" s="114">
        <f>N137-M137</f>
        <v>-742.07</v>
      </c>
      <c r="U137" s="4">
        <f>IF(M137=0,0,N137/M137-1)</f>
        <v>-0.63239392209164591</v>
      </c>
      <c r="Z137" s="122"/>
      <c r="AA137" s="18">
        <v>22816.47</v>
      </c>
      <c r="AB137" s="18">
        <v>10233.86</v>
      </c>
      <c r="AC137" s="4">
        <f>AB137/AA137-1</f>
        <v>-0.55147049477855248</v>
      </c>
      <c r="AD137" t="s">
        <v>857</v>
      </c>
    </row>
    <row r="138" spans="1:31">
      <c r="A138" s="130" t="s">
        <v>1108</v>
      </c>
      <c r="B138" s="37" t="s">
        <v>1109</v>
      </c>
      <c r="C138">
        <v>587</v>
      </c>
      <c r="E138" s="37" t="s">
        <v>1109</v>
      </c>
      <c r="F138">
        <v>2</v>
      </c>
      <c r="G138" t="b">
        <f>IF(B138=E138,TRUE,FALSE)</f>
        <v>1</v>
      </c>
      <c r="J138" s="25">
        <f>F138-C138</f>
        <v>-585</v>
      </c>
      <c r="K138" s="4">
        <f t="shared" si="2"/>
        <v>-0.99659284497444633</v>
      </c>
      <c r="M138" s="131">
        <v>1321.43</v>
      </c>
      <c r="N138" s="131">
        <v>0</v>
      </c>
      <c r="Q138" s="139">
        <v>0</v>
      </c>
      <c r="T138" s="116">
        <f>N138-M138</f>
        <v>-1321.43</v>
      </c>
      <c r="U138" s="4">
        <f>IF(M138=0,0,N138/M138-1)</f>
        <v>-1</v>
      </c>
      <c r="Z138" s="122"/>
      <c r="AA138">
        <v>9262.1299999999992</v>
      </c>
      <c r="AB138">
        <v>29.98</v>
      </c>
      <c r="AC138" s="4">
        <f>AB138/AA138-1</f>
        <v>-0.99676316354877337</v>
      </c>
      <c r="AD138" t="s">
        <v>857</v>
      </c>
    </row>
    <row r="139" spans="1:31">
      <c r="A139" t="s">
        <v>1110</v>
      </c>
      <c r="B139" t="s">
        <v>1111</v>
      </c>
      <c r="C139" s="19">
        <v>608</v>
      </c>
      <c r="E139" t="s">
        <v>1111</v>
      </c>
      <c r="F139" s="19">
        <v>17</v>
      </c>
      <c r="G139" t="b">
        <f>IF(B139=E139,TRUE,FALSE)</f>
        <v>1</v>
      </c>
      <c r="J139" s="25">
        <f>F139-C139</f>
        <v>-591</v>
      </c>
      <c r="K139" s="4">
        <f t="shared" si="2"/>
        <v>-0.97203947368421051</v>
      </c>
      <c r="M139" s="5">
        <v>794.05</v>
      </c>
      <c r="N139" s="5">
        <v>10.65</v>
      </c>
      <c r="Q139" s="139">
        <v>0</v>
      </c>
      <c r="T139" s="114">
        <f>N139-M139</f>
        <v>-783.4</v>
      </c>
      <c r="U139" s="4">
        <f>IF(M139=0,0,N139/M139-1)</f>
        <v>-0.98658774636357915</v>
      </c>
      <c r="Z139" s="122"/>
      <c r="AA139" s="18">
        <v>12153.92</v>
      </c>
      <c r="AB139" s="18">
        <v>339.83</v>
      </c>
      <c r="AC139" s="4">
        <f>AB139/AA139-1</f>
        <v>-0.97203947368421051</v>
      </c>
      <c r="AD139" t="s">
        <v>857</v>
      </c>
    </row>
    <row r="140" spans="1:31">
      <c r="A140" s="27" t="s">
        <v>1112</v>
      </c>
      <c r="B140" t="s">
        <v>1113</v>
      </c>
      <c r="C140" s="19">
        <v>1381</v>
      </c>
      <c r="E140" s="27" t="s">
        <v>1113</v>
      </c>
      <c r="F140" s="19">
        <v>731</v>
      </c>
      <c r="G140" t="b">
        <f>IF(B140=E140,TRUE,FALSE)</f>
        <v>1</v>
      </c>
      <c r="J140" s="25">
        <f>F140-C140</f>
        <v>-650</v>
      </c>
      <c r="K140" s="4">
        <f t="shared" si="2"/>
        <v>-0.47067342505430843</v>
      </c>
      <c r="M140" s="5">
        <v>1879.73</v>
      </c>
      <c r="N140" s="5">
        <v>1113.79</v>
      </c>
      <c r="Q140" s="139">
        <v>7569.9</v>
      </c>
      <c r="T140" s="114">
        <f>N140-M140</f>
        <v>-765.94</v>
      </c>
      <c r="U140" s="4">
        <f>IF(M140=0,0,N140/M140-1)</f>
        <v>-0.40747341373495127</v>
      </c>
      <c r="Z140" s="122"/>
      <c r="AA140" s="18">
        <v>24084.3</v>
      </c>
      <c r="AB140" s="18">
        <v>15036.47</v>
      </c>
      <c r="AC140" s="4">
        <f>AB140/AA140-1</f>
        <v>-0.37567336397570206</v>
      </c>
      <c r="AD140" t="s">
        <v>1114</v>
      </c>
      <c r="AE140" t="s">
        <v>1115</v>
      </c>
    </row>
    <row r="141" spans="1:31">
      <c r="A141" t="s">
        <v>1116</v>
      </c>
      <c r="B141" t="s">
        <v>1117</v>
      </c>
      <c r="C141" s="19">
        <v>1763</v>
      </c>
      <c r="E141" t="s">
        <v>1117</v>
      </c>
      <c r="F141" s="19">
        <v>1069</v>
      </c>
      <c r="G141" t="b">
        <f>IF(B141=E141,TRUE,FALSE)</f>
        <v>1</v>
      </c>
      <c r="J141" s="25">
        <f>F141-C141</f>
        <v>-694</v>
      </c>
      <c r="K141" s="4">
        <f t="shared" si="2"/>
        <v>-0.3936471922858763</v>
      </c>
      <c r="M141" s="5">
        <v>1837.67</v>
      </c>
      <c r="N141" s="5">
        <v>1221.76</v>
      </c>
      <c r="Q141" s="139">
        <v>9129.83</v>
      </c>
      <c r="T141" s="114">
        <f>N141-M141</f>
        <v>-615.91000000000008</v>
      </c>
      <c r="U141" s="4">
        <f>IF(M141=0,0,N141/M141-1)</f>
        <v>-0.33515810782131727</v>
      </c>
      <c r="Z141" s="122"/>
      <c r="AA141" s="18">
        <v>48955.94</v>
      </c>
      <c r="AB141" s="18">
        <v>32006.05</v>
      </c>
      <c r="AC141" s="4">
        <f>AB141/AA141-1</f>
        <v>-0.34622744451439402</v>
      </c>
      <c r="AD141" t="s">
        <v>880</v>
      </c>
    </row>
    <row r="142" spans="1:31">
      <c r="A142" t="s">
        <v>1118</v>
      </c>
      <c r="B142" t="s">
        <v>1119</v>
      </c>
      <c r="C142" s="19">
        <v>4053</v>
      </c>
      <c r="E142" t="s">
        <v>1119</v>
      </c>
      <c r="F142" s="19">
        <v>2871</v>
      </c>
      <c r="G142" t="b">
        <f>IF(B142=E142,TRUE,FALSE)</f>
        <v>1</v>
      </c>
      <c r="J142" s="25">
        <f>F142-C142</f>
        <v>-1182</v>
      </c>
      <c r="K142" s="4">
        <f t="shared" si="2"/>
        <v>-0.29163582531458176</v>
      </c>
      <c r="M142" s="5">
        <v>3478.97</v>
      </c>
      <c r="N142" s="5">
        <v>2305.13</v>
      </c>
      <c r="Q142" s="139">
        <v>8548.25</v>
      </c>
      <c r="T142" s="114">
        <f>N142-M142</f>
        <v>-1173.8399999999997</v>
      </c>
      <c r="U142" s="4">
        <f>IF(M142=0,0,N142/M142-1)</f>
        <v>-0.33741021049333564</v>
      </c>
      <c r="Z142" s="122"/>
      <c r="AA142" s="18">
        <v>81490.83</v>
      </c>
      <c r="AB142" s="18">
        <v>60037.8</v>
      </c>
      <c r="AC142" s="4">
        <f>AB142/AA142-1</f>
        <v>-0.26325698241139528</v>
      </c>
      <c r="AD142" s="122" t="s">
        <v>1120</v>
      </c>
    </row>
    <row r="143" spans="1:31">
      <c r="A143" t="s">
        <v>1121</v>
      </c>
      <c r="B143" t="s">
        <v>1122</v>
      </c>
      <c r="C143" s="19">
        <v>1299</v>
      </c>
      <c r="E143" t="s">
        <v>1122</v>
      </c>
      <c r="F143" s="19">
        <v>44</v>
      </c>
      <c r="G143" t="b">
        <f>IF(B143=E143,TRUE,FALSE)</f>
        <v>1</v>
      </c>
      <c r="J143" s="25">
        <f>F143-C143</f>
        <v>-1255</v>
      </c>
      <c r="K143" s="4">
        <f t="shared" si="2"/>
        <v>-0.96612779060816012</v>
      </c>
      <c r="M143" s="5">
        <v>579.82000000000005</v>
      </c>
      <c r="N143" s="5">
        <v>0</v>
      </c>
      <c r="Q143" s="139">
        <v>0</v>
      </c>
      <c r="T143" s="114">
        <f>N143-M143</f>
        <v>-579.82000000000005</v>
      </c>
      <c r="U143" s="4">
        <f>IF(M143=0,0,N143/M143-1)</f>
        <v>-1</v>
      </c>
      <c r="Z143" s="122"/>
      <c r="AA143" s="18">
        <v>32980.74</v>
      </c>
      <c r="AB143" s="18">
        <v>1187.56</v>
      </c>
      <c r="AC143" s="4">
        <f>AB143/AA143-1</f>
        <v>-0.96399231794071327</v>
      </c>
      <c r="AD143" t="s">
        <v>857</v>
      </c>
    </row>
    <row r="144" spans="1:31">
      <c r="A144" t="s">
        <v>1123</v>
      </c>
      <c r="B144" t="s">
        <v>1124</v>
      </c>
      <c r="C144" s="19">
        <v>4073</v>
      </c>
      <c r="E144" t="s">
        <v>1124</v>
      </c>
      <c r="F144" s="19">
        <v>2795</v>
      </c>
      <c r="G144" t="b">
        <f>IF(B144=E144,TRUE,FALSE)</f>
        <v>1</v>
      </c>
      <c r="J144" s="25">
        <f>F144-C144</f>
        <v>-1278</v>
      </c>
      <c r="K144" s="4">
        <f t="shared" si="2"/>
        <v>-0.31377363123005153</v>
      </c>
      <c r="M144" s="5">
        <v>4488.7299999999996</v>
      </c>
      <c r="N144" s="5">
        <v>2824.41</v>
      </c>
      <c r="Q144" s="139">
        <v>15796.7</v>
      </c>
      <c r="T144" s="114">
        <f>N144-M144</f>
        <v>-1664.3199999999997</v>
      </c>
      <c r="U144" s="4">
        <f>IF(M144=0,0,N144/M144-1)</f>
        <v>-0.37077748049002723</v>
      </c>
      <c r="Z144" s="122"/>
      <c r="AA144" s="18">
        <v>113906.82</v>
      </c>
      <c r="AB144" s="18">
        <v>80959.820000000007</v>
      </c>
      <c r="AC144" s="4">
        <f>AB144/AA144-1</f>
        <v>-0.28924519181555586</v>
      </c>
      <c r="AD144" t="s">
        <v>857</v>
      </c>
    </row>
    <row r="145" spans="1:31" ht="16.5">
      <c r="A145" s="24" t="s">
        <v>1125</v>
      </c>
      <c r="B145" s="23" t="s">
        <v>1126</v>
      </c>
      <c r="C145" s="19">
        <v>3067</v>
      </c>
      <c r="D145" s="5"/>
      <c r="E145" s="23" t="s">
        <v>1126</v>
      </c>
      <c r="F145" s="19">
        <v>1665</v>
      </c>
      <c r="G145" t="b">
        <f>IF(B145=E145,TRUE,FALSE)</f>
        <v>1</v>
      </c>
      <c r="H145" s="5"/>
      <c r="I145" s="5"/>
      <c r="J145" s="25">
        <f>F145-C145</f>
        <v>-1402</v>
      </c>
      <c r="K145" s="4">
        <f t="shared" si="2"/>
        <v>-0.45712422562764921</v>
      </c>
      <c r="L145" s="5"/>
      <c r="M145" s="5">
        <v>4097.63</v>
      </c>
      <c r="N145" s="5">
        <v>2259.4299999999998</v>
      </c>
      <c r="O145" s="5"/>
      <c r="P145" s="5"/>
      <c r="Q145" s="139">
        <v>15251.63</v>
      </c>
      <c r="R145" s="5"/>
      <c r="S145" s="5"/>
      <c r="T145" s="114">
        <f>N145-M145</f>
        <v>-1838.2000000000003</v>
      </c>
      <c r="U145" s="4">
        <f>IF(M145=0,0,N145/M145-1)</f>
        <v>-0.4486007765464427</v>
      </c>
      <c r="V145" s="5"/>
      <c r="W145" s="5"/>
      <c r="X145" s="5"/>
      <c r="Y145" s="5"/>
      <c r="Z145" s="151"/>
      <c r="AA145" s="18">
        <v>72472.97</v>
      </c>
      <c r="AB145" s="18">
        <v>48262.84</v>
      </c>
      <c r="AC145" s="4">
        <f>AB145/AA145-1</f>
        <v>-0.33405737339038266</v>
      </c>
      <c r="AD145" t="s">
        <v>1127</v>
      </c>
    </row>
    <row r="146" spans="1:31">
      <c r="A146" t="s">
        <v>1128</v>
      </c>
      <c r="B146" t="s">
        <v>1129</v>
      </c>
      <c r="C146" s="19">
        <v>1951</v>
      </c>
      <c r="E146" t="s">
        <v>1129</v>
      </c>
      <c r="F146" s="19">
        <v>14</v>
      </c>
      <c r="G146" t="b">
        <f>IF(B146=E146,TRUE,FALSE)</f>
        <v>1</v>
      </c>
      <c r="J146" s="25">
        <f>F146-C146</f>
        <v>-1937</v>
      </c>
      <c r="K146" s="4">
        <f t="shared" si="2"/>
        <v>-0.99282419272168121</v>
      </c>
      <c r="M146" s="5">
        <v>1872.66</v>
      </c>
      <c r="N146" s="5">
        <v>0</v>
      </c>
      <c r="Q146" s="139">
        <v>0</v>
      </c>
      <c r="T146" s="114">
        <f>N146-M146</f>
        <v>-1872.66</v>
      </c>
      <c r="U146" s="4">
        <f>IF(M146=0,0,N146/M146-1)</f>
        <v>-1</v>
      </c>
      <c r="Z146" s="122"/>
      <c r="AA146" s="18">
        <v>54585.120000000003</v>
      </c>
      <c r="AB146" s="18">
        <v>391.3</v>
      </c>
      <c r="AC146" s="4">
        <f>AB146/AA146-1</f>
        <v>-0.99283137968735802</v>
      </c>
      <c r="AD146" t="s">
        <v>857</v>
      </c>
    </row>
    <row r="147" spans="1:31">
      <c r="A147" t="s">
        <v>1130</v>
      </c>
      <c r="B147" t="s">
        <v>1131</v>
      </c>
      <c r="C147" s="19">
        <v>2628</v>
      </c>
      <c r="E147" t="s">
        <v>1131</v>
      </c>
      <c r="F147" s="19">
        <v>50</v>
      </c>
      <c r="G147" t="b">
        <f>IF(B147=E147,TRUE,FALSE)</f>
        <v>1</v>
      </c>
      <c r="J147" s="25">
        <f>F147-C147</f>
        <v>-2578</v>
      </c>
      <c r="K147" s="4">
        <f t="shared" si="2"/>
        <v>-0.98097412480974122</v>
      </c>
      <c r="M147" s="5">
        <v>3930.38</v>
      </c>
      <c r="N147" s="5">
        <v>0</v>
      </c>
      <c r="Q147" s="139">
        <v>0</v>
      </c>
      <c r="T147" s="114">
        <f>N147-M147</f>
        <v>-3930.38</v>
      </c>
      <c r="U147" s="4">
        <f>IF(M147=0,0,N147/M147-1)</f>
        <v>-1</v>
      </c>
      <c r="W147" t="s">
        <v>1132</v>
      </c>
      <c r="Z147" s="122"/>
      <c r="AA147" s="18">
        <v>65635.62</v>
      </c>
      <c r="AB147" s="18">
        <v>1248.5</v>
      </c>
      <c r="AC147" s="4">
        <f>AB147/AA147-1</f>
        <v>-0.98097831634712984</v>
      </c>
      <c r="AD147" t="s">
        <v>857</v>
      </c>
    </row>
    <row r="148" spans="1:31">
      <c r="A148" s="27" t="s">
        <v>1133</v>
      </c>
      <c r="B148" s="27" t="s">
        <v>1134</v>
      </c>
      <c r="C148" s="19">
        <v>6739</v>
      </c>
      <c r="E148" s="27" t="s">
        <v>1134</v>
      </c>
      <c r="F148" s="19">
        <v>4083</v>
      </c>
      <c r="G148" t="b">
        <f>IF(B148=E148,TRUE,FALSE)</f>
        <v>1</v>
      </c>
      <c r="J148" s="25">
        <f>F148-C148</f>
        <v>-2656</v>
      </c>
      <c r="K148" s="4">
        <f t="shared" si="2"/>
        <v>-0.39412375723401094</v>
      </c>
      <c r="M148" s="5">
        <v>6293.52</v>
      </c>
      <c r="N148" s="5">
        <v>3125.45</v>
      </c>
      <c r="Q148" s="139">
        <v>25199.759999999998</v>
      </c>
      <c r="T148" s="114">
        <f>N148-M148</f>
        <v>-3168.0700000000006</v>
      </c>
      <c r="U148" s="4">
        <f>IF(M148=0,0,N148/M148-1)</f>
        <v>-0.50338602244848674</v>
      </c>
      <c r="Z148" s="122"/>
      <c r="AA148" s="18">
        <v>146563.47</v>
      </c>
      <c r="AB148" s="18">
        <v>110184.78</v>
      </c>
      <c r="AC148" s="4">
        <f>AB148/AA148-1</f>
        <v>-0.24821116748941607</v>
      </c>
      <c r="AD148" t="s">
        <v>1135</v>
      </c>
      <c r="AE148" t="s">
        <v>1136</v>
      </c>
    </row>
    <row r="149" spans="1:31">
      <c r="A149" t="s">
        <v>1137</v>
      </c>
      <c r="B149" t="s">
        <v>1138</v>
      </c>
      <c r="C149" s="19">
        <v>10119</v>
      </c>
      <c r="E149" t="s">
        <v>1138</v>
      </c>
      <c r="F149" s="19">
        <v>7315</v>
      </c>
      <c r="G149" t="b">
        <f>IF(B149=E149,TRUE,FALSE)</f>
        <v>1</v>
      </c>
      <c r="J149" s="25">
        <f>F149-C149</f>
        <v>-2804</v>
      </c>
      <c r="K149" s="4">
        <f t="shared" si="2"/>
        <v>-0.27710248048226105</v>
      </c>
      <c r="M149" s="5">
        <v>8177.53</v>
      </c>
      <c r="N149" s="5">
        <v>3111.56</v>
      </c>
      <c r="Q149" s="139">
        <v>16101.02</v>
      </c>
      <c r="T149" s="114">
        <f>N149-M149</f>
        <v>-5065.9699999999993</v>
      </c>
      <c r="U149" s="4">
        <f>IF(M149=0,0,N149/M149-1)</f>
        <v>-0.6194987973141034</v>
      </c>
      <c r="W149" t="s">
        <v>1139</v>
      </c>
      <c r="Y149" t="s">
        <v>1140</v>
      </c>
      <c r="Z149" s="122"/>
      <c r="AA149" s="18">
        <v>177478.51</v>
      </c>
      <c r="AB149" s="18">
        <v>136547.54999999999</v>
      </c>
      <c r="AC149" s="4">
        <f>AB149/AA149-1</f>
        <v>-0.23062487959809908</v>
      </c>
      <c r="AD149" t="s">
        <v>880</v>
      </c>
      <c r="AE149" t="s">
        <v>1141</v>
      </c>
    </row>
    <row r="150" spans="1:31">
      <c r="A150" s="54"/>
      <c r="B150" s="37"/>
      <c r="C150" s="19"/>
      <c r="E150" s="37"/>
      <c r="F150" s="19"/>
      <c r="J150" s="25"/>
      <c r="K150" s="4"/>
      <c r="Q150" s="139"/>
      <c r="T150" s="114"/>
      <c r="U150" s="4"/>
      <c r="Z150" s="122"/>
      <c r="AA150" s="18"/>
      <c r="AB150" s="18"/>
      <c r="AC150" s="4"/>
    </row>
    <row r="151" spans="1:31">
      <c r="A151" s="54"/>
      <c r="B151" s="37"/>
      <c r="C151" s="19"/>
      <c r="E151" s="37"/>
      <c r="F151" s="19"/>
      <c r="J151" s="25"/>
      <c r="K151" s="4"/>
      <c r="Q151" s="139"/>
      <c r="T151" s="114"/>
      <c r="U151" s="4"/>
      <c r="Z151" s="122"/>
      <c r="AA151" s="18"/>
      <c r="AB151" s="18"/>
      <c r="AC151" s="4"/>
    </row>
    <row r="152" spans="1:31">
      <c r="A152" s="54"/>
      <c r="B152" s="37"/>
      <c r="C152" s="19"/>
      <c r="E152" s="37"/>
      <c r="F152" s="19"/>
      <c r="J152" s="25"/>
      <c r="K152" s="4"/>
      <c r="Q152" s="139"/>
      <c r="T152" s="114"/>
      <c r="U152" s="4"/>
      <c r="Z152" s="122"/>
      <c r="AA152" s="18"/>
      <c r="AB152" s="18"/>
      <c r="AC152" s="4"/>
    </row>
    <row r="153" spans="1:31">
      <c r="F153" s="19"/>
      <c r="K153" s="4"/>
      <c r="N153" s="4"/>
      <c r="Z153" s="122"/>
    </row>
    <row r="154" spans="1:31">
      <c r="C154" s="3" t="s">
        <v>797</v>
      </c>
      <c r="D154" s="3"/>
      <c r="E154" s="3"/>
      <c r="F154" s="3" t="s">
        <v>797</v>
      </c>
      <c r="G154" s="3"/>
      <c r="H154" s="3"/>
      <c r="I154" s="3"/>
      <c r="J154" s="3" t="s">
        <v>798</v>
      </c>
      <c r="K154" s="31"/>
      <c r="L154" s="3"/>
      <c r="M154" s="33" t="s">
        <v>799</v>
      </c>
      <c r="N154" s="33" t="s">
        <v>799</v>
      </c>
      <c r="O154" s="3"/>
      <c r="Q154" s="140" t="s">
        <v>1142</v>
      </c>
      <c r="R154" s="3"/>
      <c r="T154" s="115" t="s">
        <v>801</v>
      </c>
      <c r="U154" s="3"/>
      <c r="V154" s="3"/>
      <c r="W154" s="3"/>
      <c r="X154" s="3"/>
      <c r="Y154" s="34"/>
      <c r="Z154" s="35" t="s">
        <v>3</v>
      </c>
      <c r="AA154" s="35" t="s">
        <v>3</v>
      </c>
      <c r="AB154" s="35" t="s">
        <v>3</v>
      </c>
    </row>
    <row r="155" spans="1:31">
      <c r="C155" s="19">
        <f>SUM(C3:C149)</f>
        <v>237450</v>
      </c>
      <c r="F155" s="19">
        <f>SUM(F3:F149)</f>
        <v>243053</v>
      </c>
      <c r="J155" s="19">
        <f>SUM(J3:J149)</f>
        <v>3721</v>
      </c>
      <c r="K155" s="4"/>
      <c r="M155" s="19">
        <f>SUM(M3:M149)</f>
        <v>237482.56999999995</v>
      </c>
      <c r="N155" s="5">
        <f>SUM(N3:N149)</f>
        <v>216765.39</v>
      </c>
      <c r="Q155" s="134">
        <f>SUM(Q3:Q149)</f>
        <v>1165841.08</v>
      </c>
      <c r="T155" s="117">
        <f>SUM(T3:T149)</f>
        <v>-21874.729999999996</v>
      </c>
      <c r="U155" s="4">
        <f>IF(M155=0,0,N155/M155-1)</f>
        <v>-8.7236633829589794E-2</v>
      </c>
      <c r="AA155" s="30">
        <f>SUM(AA3:AA149)</f>
        <v>4994037.29</v>
      </c>
      <c r="AB155" s="30">
        <v>4924597.1100000003</v>
      </c>
      <c r="AC155" s="4">
        <f>AB155/AA155-1</f>
        <v>-1.3904617840769018E-2</v>
      </c>
    </row>
    <row r="156" spans="1:31">
      <c r="K156" s="4"/>
      <c r="U156" s="4"/>
    </row>
    <row r="157" spans="1:31">
      <c r="F157" s="25">
        <f>F155-C155</f>
        <v>5603</v>
      </c>
      <c r="K157" s="4"/>
      <c r="N157" s="33" t="s">
        <v>802</v>
      </c>
      <c r="Q157" s="26">
        <f>N155/Q155</f>
        <v>0.18593047862063669</v>
      </c>
      <c r="U157" s="4"/>
      <c r="AA157" s="3" t="s">
        <v>803</v>
      </c>
      <c r="AB157" s="3" t="s">
        <v>803</v>
      </c>
    </row>
    <row r="158" spans="1:31">
      <c r="F158" s="4">
        <f>F155/C155-1</f>
        <v>2.3596546641398097E-2</v>
      </c>
      <c r="K158" s="4"/>
      <c r="U158" s="4"/>
      <c r="AA158" s="32">
        <f>M155/AA155</f>
        <v>4.755322321592035E-2</v>
      </c>
      <c r="AB158" s="32">
        <f>N155/AB155</f>
        <v>4.4016877961413577E-2</v>
      </c>
    </row>
    <row r="159" spans="1:31">
      <c r="K159" s="4"/>
      <c r="U159" s="4"/>
    </row>
    <row r="160" spans="1:31">
      <c r="K160" s="4"/>
    </row>
    <row r="161" spans="11:21">
      <c r="K161" s="4"/>
      <c r="U161" s="4"/>
    </row>
    <row r="162" spans="11:21">
      <c r="K162" s="4"/>
      <c r="U162" s="4"/>
    </row>
    <row r="163" spans="11:21">
      <c r="K163" s="4"/>
      <c r="U163" s="4"/>
    </row>
    <row r="164" spans="11:21">
      <c r="K164" s="4"/>
      <c r="U164" s="4"/>
    </row>
    <row r="165" spans="11:21">
      <c r="K165" s="4"/>
      <c r="U165" s="4"/>
    </row>
    <row r="166" spans="11:21">
      <c r="K166" s="4"/>
      <c r="U166" s="4"/>
    </row>
    <row r="167" spans="11:21">
      <c r="K167" s="4"/>
      <c r="U167" s="4"/>
    </row>
    <row r="168" spans="11:21">
      <c r="K168" s="4"/>
      <c r="U168" s="4"/>
    </row>
    <row r="169" spans="11:21">
      <c r="K169" s="4"/>
      <c r="U169" s="4"/>
    </row>
    <row r="170" spans="11:21">
      <c r="K170" s="4"/>
      <c r="U170" s="4"/>
    </row>
    <row r="171" spans="11:21">
      <c r="K171" s="4"/>
      <c r="U171" s="4"/>
    </row>
    <row r="172" spans="11:21">
      <c r="K172" s="4"/>
      <c r="U172" s="4"/>
    </row>
    <row r="173" spans="11:21">
      <c r="K173" s="4"/>
      <c r="U173" s="4"/>
    </row>
    <row r="174" spans="11:21">
      <c r="K174" s="4"/>
      <c r="U174" s="4"/>
    </row>
    <row r="175" spans="11:21">
      <c r="K175" s="4"/>
      <c r="U175" s="4"/>
    </row>
    <row r="176" spans="11:21">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4"/>
      <c r="U191" s="4"/>
    </row>
    <row r="192" spans="11:21">
      <c r="K192" s="4"/>
      <c r="U192" s="4"/>
    </row>
    <row r="193" spans="11:21">
      <c r="K193" s="4"/>
      <c r="U193" s="4"/>
    </row>
    <row r="194" spans="11:21">
      <c r="K194" s="4"/>
      <c r="U194" s="4"/>
    </row>
    <row r="195" spans="11:21">
      <c r="K195" s="4"/>
      <c r="U195" s="4"/>
    </row>
    <row r="196" spans="11:21">
      <c r="K196" s="4"/>
      <c r="U196" s="4"/>
    </row>
    <row r="197" spans="11:21">
      <c r="K197" s="4"/>
      <c r="U197" s="4"/>
    </row>
    <row r="198" spans="11:21">
      <c r="K198" s="4"/>
      <c r="U198" s="4"/>
    </row>
    <row r="199" spans="11:21">
      <c r="K199" s="4"/>
      <c r="U199" s="4"/>
    </row>
    <row r="200" spans="11:21">
      <c r="K200" s="4"/>
      <c r="U200" s="4"/>
    </row>
    <row r="201" spans="11:21">
      <c r="K201" s="4"/>
      <c r="U201" s="4"/>
    </row>
    <row r="202" spans="11:21">
      <c r="K202" s="6"/>
      <c r="M202" s="11"/>
      <c r="N202" s="11"/>
      <c r="T202" s="118"/>
      <c r="U202" s="6"/>
    </row>
    <row r="203" spans="11:21" ht="15" customHeight="1">
      <c r="K203" s="6"/>
      <c r="M203" s="11"/>
      <c r="N203" s="11"/>
      <c r="T203" s="118"/>
      <c r="U203" s="6"/>
    </row>
    <row r="204" spans="11:21" ht="15" customHeight="1">
      <c r="K204" s="6"/>
      <c r="M204" s="11"/>
      <c r="N204" s="11"/>
      <c r="T204" s="118"/>
      <c r="U204" s="6"/>
    </row>
    <row r="205" spans="11:21" ht="15" customHeight="1">
      <c r="K205" s="6"/>
      <c r="M205" s="11"/>
      <c r="N205" s="11"/>
      <c r="T205" s="118"/>
      <c r="U205" s="6"/>
    </row>
    <row r="206" spans="11:21" ht="15" customHeight="1">
      <c r="K206" s="6"/>
      <c r="M206" s="11"/>
      <c r="N206" s="11"/>
      <c r="T206" s="118"/>
      <c r="U206" s="6"/>
    </row>
    <row r="207" spans="11:21" ht="15" customHeight="1">
      <c r="K207" s="6"/>
      <c r="M207" s="11"/>
      <c r="N207" s="11"/>
      <c r="T207" s="118"/>
      <c r="U207" s="6"/>
    </row>
    <row r="208" spans="11:21" ht="15" customHeight="1">
      <c r="K208" s="6"/>
      <c r="M208" s="11"/>
      <c r="N208" s="11"/>
      <c r="T208" s="118"/>
      <c r="U208" s="6"/>
    </row>
    <row r="209" spans="3:21" ht="15" customHeight="1">
      <c r="K209" s="6"/>
      <c r="M209" s="11"/>
      <c r="N209" s="11"/>
      <c r="T209" s="118"/>
      <c r="U209" s="6"/>
    </row>
    <row r="210" spans="3:21" ht="15" customHeight="1">
      <c r="K210" s="6"/>
      <c r="M210" s="11"/>
      <c r="N210" s="11"/>
      <c r="T210" s="118"/>
      <c r="U210" s="6"/>
    </row>
    <row r="211" spans="3:21">
      <c r="M211" s="11"/>
      <c r="N211" s="11"/>
      <c r="T211" s="118"/>
    </row>
    <row r="212" spans="3:21" ht="15" customHeight="1">
      <c r="C212" s="8"/>
      <c r="F212" s="8"/>
      <c r="J212" s="8"/>
      <c r="M212" s="11"/>
      <c r="N212" s="11"/>
      <c r="T212" s="118"/>
    </row>
    <row r="213" spans="3:21">
      <c r="M213" s="11"/>
      <c r="N213" s="11"/>
      <c r="T213" s="118"/>
    </row>
    <row r="214" spans="3:21" ht="15" customHeight="1">
      <c r="M214" s="11"/>
      <c r="N214" s="11"/>
      <c r="T214" s="118"/>
    </row>
    <row r="215" spans="3:21" ht="15" customHeight="1">
      <c r="C215" s="9"/>
      <c r="F215" s="9"/>
      <c r="M215" s="7"/>
      <c r="N215" s="7"/>
    </row>
    <row r="217" spans="3:21" ht="15" customHeight="1">
      <c r="C217" s="8"/>
      <c r="F217" s="8"/>
    </row>
    <row r="220" spans="3:21" ht="15" customHeight="1">
      <c r="C220" s="9"/>
      <c r="F220" s="9"/>
      <c r="M220" s="7"/>
      <c r="N220" s="7"/>
    </row>
  </sheetData>
  <autoFilter ref="A2:AE2" xr:uid="{97EDC353-A3BB-4027-BC75-3196C26C68C7}"/>
  <mergeCells count="7">
    <mergeCell ref="AA1:AB1"/>
    <mergeCell ref="W1:Z1"/>
    <mergeCell ref="B1:C1"/>
    <mergeCell ref="E1:F1"/>
    <mergeCell ref="J1:K1"/>
    <mergeCell ref="T1:U1"/>
    <mergeCell ref="M1:N1"/>
  </mergeCells>
  <phoneticPr fontId="3" type="noConversion"/>
  <conditionalFormatting sqref="D85 H85:I85 L85 O85:P85 R85:S85">
    <cfRule type="cellIs" dxfId="29" priority="15" operator="greaterThan">
      <formula>500</formula>
    </cfRule>
    <cfRule type="cellIs" dxfId="28" priority="21" operator="lessThan">
      <formula>-100</formula>
    </cfRule>
  </conditionalFormatting>
  <conditionalFormatting sqref="J2:J211">
    <cfRule type="cellIs" dxfId="27" priority="1" operator="greaterThan">
      <formula>500</formula>
    </cfRule>
  </conditionalFormatting>
  <conditionalFormatting sqref="J3:J210">
    <cfRule type="cellIs" dxfId="26" priority="2" operator="lessThan">
      <formula>-100</formula>
    </cfRule>
  </conditionalFormatting>
  <conditionalFormatting sqref="J213:J1048576">
    <cfRule type="cellIs" dxfId="25" priority="19" operator="greaterThan">
      <formula>500</formula>
    </cfRule>
  </conditionalFormatting>
  <conditionalFormatting sqref="K2">
    <cfRule type="cellIs" dxfId="24" priority="20" operator="lessThan">
      <formula>-20%</formula>
    </cfRule>
  </conditionalFormatting>
  <conditionalFormatting sqref="K3:K210">
    <cfRule type="cellIs" dxfId="23" priority="5" operator="greaterThan">
      <formula>0.2</formula>
    </cfRule>
  </conditionalFormatting>
  <conditionalFormatting sqref="K3:K1048576">
    <cfRule type="cellIs" dxfId="22" priority="3" operator="lessThan">
      <formula>-0.2</formula>
    </cfRule>
  </conditionalFormatting>
  <conditionalFormatting sqref="U3:U139 U155:U159 U161:U210">
    <cfRule type="cellIs" dxfId="21" priority="12" operator="greaterThan">
      <formula>0.5</formula>
    </cfRule>
  </conditionalFormatting>
  <conditionalFormatting sqref="AC3:AC152">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55">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E198"/>
  <sheetViews>
    <sheetView zoomScaleNormal="100" workbookViewId="0">
      <pane xSplit="2" ySplit="2" topLeftCell="J107" activePane="bottomRight" state="frozen"/>
      <selection pane="bottomRight" activeCell="AE126" sqref="AE126"/>
      <selection pane="bottomLeft" activeCell="O135" sqref="O135"/>
      <selection pane="topRight" activeCell="O135" sqref="O135"/>
    </sheetView>
  </sheetViews>
  <sheetFormatPr defaultRowHeight="15" customHeight="1"/>
  <cols>
    <col min="1" max="1" width="63.85546875" customWidth="1"/>
    <col min="2" max="2" width="14.5703125" customWidth="1"/>
    <col min="3" max="3" width="18.85546875" customWidth="1"/>
    <col min="4" max="4" width="1" customWidth="1"/>
    <col min="5" max="5" width="13" customWidth="1"/>
    <col min="6" max="6" width="18"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114" bestFit="1" customWidth="1"/>
    <col min="22" max="23" width="0.85546875" customWidth="1"/>
    <col min="24" max="24" width="19.140625" hidden="1" customWidth="1"/>
    <col min="25" max="26" width="7" hidden="1" customWidth="1"/>
    <col min="27" max="27" width="7" style="16" hidden="1" customWidth="1"/>
    <col min="28" max="29" width="13.28515625" customWidth="1"/>
    <col min="30" max="30" width="8.28515625" customWidth="1"/>
    <col min="39" max="39" width="0.7109375" customWidth="1"/>
  </cols>
  <sheetData>
    <row r="1" spans="1:31">
      <c r="B1" s="154">
        <v>45931</v>
      </c>
      <c r="C1" s="153"/>
      <c r="E1" s="154">
        <v>45962</v>
      </c>
      <c r="F1" s="153"/>
      <c r="J1" s="155"/>
      <c r="K1" s="155"/>
      <c r="L1" s="1"/>
      <c r="N1" s="156" t="s">
        <v>0</v>
      </c>
      <c r="O1" s="156"/>
      <c r="Q1" s="10" t="s">
        <v>1</v>
      </c>
      <c r="R1" s="1"/>
      <c r="T1" s="153" t="s">
        <v>2</v>
      </c>
      <c r="U1" s="153"/>
      <c r="X1" s="155" t="s">
        <v>804</v>
      </c>
      <c r="Y1" s="155"/>
      <c r="Z1" s="155"/>
      <c r="AA1" s="155"/>
      <c r="AB1" s="153" t="s">
        <v>3</v>
      </c>
      <c r="AC1" s="153"/>
    </row>
    <row r="2" spans="1:31">
      <c r="A2" s="3" t="s">
        <v>4</v>
      </c>
      <c r="B2" s="3" t="s">
        <v>5</v>
      </c>
      <c r="C2" s="3" t="s">
        <v>6</v>
      </c>
      <c r="E2" s="3" t="s">
        <v>5</v>
      </c>
      <c r="F2" s="3" t="s">
        <v>6</v>
      </c>
      <c r="G2" t="s">
        <v>7</v>
      </c>
      <c r="J2" t="s">
        <v>8</v>
      </c>
      <c r="K2" t="s">
        <v>9</v>
      </c>
      <c r="N2" t="s">
        <v>10</v>
      </c>
      <c r="O2" t="s">
        <v>14</v>
      </c>
      <c r="Q2" s="5" t="s">
        <v>12</v>
      </c>
      <c r="T2" s="114" t="s">
        <v>13</v>
      </c>
      <c r="U2" t="s">
        <v>9</v>
      </c>
      <c r="X2" t="s">
        <v>18</v>
      </c>
      <c r="Y2" t="s">
        <v>15</v>
      </c>
      <c r="Z2" t="s">
        <v>1143</v>
      </c>
      <c r="AB2" t="s">
        <v>10</v>
      </c>
      <c r="AC2" t="s">
        <v>14</v>
      </c>
      <c r="AD2" t="s">
        <v>9</v>
      </c>
      <c r="AE2" s="3" t="s">
        <v>19</v>
      </c>
    </row>
    <row r="3" spans="1:31" ht="13.9" customHeight="1">
      <c r="A3" t="s">
        <v>1144</v>
      </c>
      <c r="B3" t="s">
        <v>1145</v>
      </c>
      <c r="C3">
        <v>10339</v>
      </c>
      <c r="E3" t="s">
        <v>1145</v>
      </c>
      <c r="F3">
        <v>15628</v>
      </c>
      <c r="G3" t="b">
        <f>IF(B3=E3,TRUE,FALSE)</f>
        <v>1</v>
      </c>
      <c r="J3">
        <f>F3-C3</f>
        <v>5289</v>
      </c>
      <c r="K3" s="4">
        <f>F3/C3-1</f>
        <v>0.51155817777347901</v>
      </c>
      <c r="L3" s="4"/>
      <c r="N3" s="5">
        <v>9082.67</v>
      </c>
      <c r="O3" s="5">
        <v>12773.37</v>
      </c>
      <c r="Q3" s="5">
        <v>59360.01</v>
      </c>
      <c r="T3" s="114">
        <f>O3-N3</f>
        <v>3690.7000000000007</v>
      </c>
      <c r="U3" s="4">
        <f>IF(N3=0,0,O3/N3-1)</f>
        <v>0.40634527071885262</v>
      </c>
      <c r="X3" t="s">
        <v>1146</v>
      </c>
      <c r="AB3" s="18">
        <v>200182.22999999998</v>
      </c>
      <c r="AC3" s="18">
        <v>261518.2</v>
      </c>
      <c r="AD3" s="4">
        <f>AC3/AB3-1</f>
        <v>0.30640067302677187</v>
      </c>
    </row>
    <row r="4" spans="1:31" ht="13.9" customHeight="1">
      <c r="A4" t="s">
        <v>1147</v>
      </c>
      <c r="B4" t="s">
        <v>1148</v>
      </c>
      <c r="C4">
        <v>4654</v>
      </c>
      <c r="E4" t="s">
        <v>1148</v>
      </c>
      <c r="F4">
        <v>6047</v>
      </c>
      <c r="G4" t="b">
        <f>IF(B4=E4,TRUE,FALSE)</f>
        <v>1</v>
      </c>
      <c r="J4">
        <f>F4-C4</f>
        <v>1393</v>
      </c>
      <c r="K4" s="4">
        <f>F4/C4-1</f>
        <v>0.29931241942415121</v>
      </c>
      <c r="L4" s="4"/>
      <c r="N4" s="5">
        <v>4685.08</v>
      </c>
      <c r="O4" s="5">
        <v>4573.09</v>
      </c>
      <c r="Q4" s="5">
        <v>20031.46</v>
      </c>
      <c r="T4" s="114">
        <f>O4-N4</f>
        <v>-111.98999999999978</v>
      </c>
      <c r="U4" s="4">
        <f>IF(N4=0,0,O4/N4-1)</f>
        <v>-2.390354060122768E-2</v>
      </c>
      <c r="AB4" s="18">
        <v>87000.07</v>
      </c>
      <c r="AC4" s="18">
        <v>100948.73</v>
      </c>
      <c r="AD4" s="4">
        <f>AC4/AB4-1</f>
        <v>0.16032929628677306</v>
      </c>
    </row>
    <row r="5" spans="1:31" ht="13.9" customHeight="1">
      <c r="A5" s="54" t="s">
        <v>1149</v>
      </c>
      <c r="B5" s="37" t="s">
        <v>1150</v>
      </c>
      <c r="C5">
        <v>1485</v>
      </c>
      <c r="E5" s="37" t="s">
        <v>1150</v>
      </c>
      <c r="F5">
        <v>2607</v>
      </c>
      <c r="G5" t="b">
        <f>IF(B5=E5,TRUE,FALSE)</f>
        <v>1</v>
      </c>
      <c r="J5">
        <f>F5-C5</f>
        <v>1122</v>
      </c>
      <c r="K5" s="4">
        <f>F5/C5-1</f>
        <v>0.75555555555555554</v>
      </c>
      <c r="L5" s="4"/>
      <c r="N5" s="5">
        <v>1781.03</v>
      </c>
      <c r="O5" s="5">
        <v>1969.56</v>
      </c>
      <c r="Q5" s="5">
        <v>7944.13</v>
      </c>
      <c r="T5" s="114">
        <f>O5-N5</f>
        <v>188.52999999999997</v>
      </c>
      <c r="U5" s="4">
        <f>IF(N6=0,0,O5/N6-1)</f>
        <v>-0.37504243997321929</v>
      </c>
      <c r="AB5" s="18">
        <v>30313.39</v>
      </c>
      <c r="AC5" s="18">
        <v>48571.35</v>
      </c>
      <c r="AD5" s="4">
        <f>AC5/AB5-1</f>
        <v>0.60230676938475036</v>
      </c>
    </row>
    <row r="6" spans="1:31" ht="13.9" customHeight="1">
      <c r="A6" t="s">
        <v>1151</v>
      </c>
      <c r="B6" t="s">
        <v>1152</v>
      </c>
      <c r="C6">
        <v>4157</v>
      </c>
      <c r="E6" t="s">
        <v>1152</v>
      </c>
      <c r="F6">
        <v>5201</v>
      </c>
      <c r="G6" t="b">
        <f>IF(B6=E6,TRUE,FALSE)</f>
        <v>1</v>
      </c>
      <c r="J6">
        <f>F6-C6</f>
        <v>1044</v>
      </c>
      <c r="K6" s="4">
        <f>F6/C6-1</f>
        <v>0.25114265095020438</v>
      </c>
      <c r="L6" s="4"/>
      <c r="N6" s="5">
        <v>3151.51</v>
      </c>
      <c r="O6" s="5">
        <v>3254.87</v>
      </c>
      <c r="Q6" s="5">
        <v>15808.66</v>
      </c>
      <c r="T6" s="114">
        <f>O6-N6</f>
        <v>103.35999999999967</v>
      </c>
      <c r="U6" s="4">
        <f>IF(N7=0,0,O6/N7-1)</f>
        <v>1.7642442823293614</v>
      </c>
      <c r="AB6" s="18">
        <v>75107.150000000009</v>
      </c>
      <c r="AC6" s="18">
        <v>91548.66</v>
      </c>
      <c r="AD6" s="4">
        <f>AC6/AB6-1</f>
        <v>0.21890738764551698</v>
      </c>
    </row>
    <row r="7" spans="1:31" ht="13.9" customHeight="1">
      <c r="A7" t="s">
        <v>1153</v>
      </c>
      <c r="B7" t="s">
        <v>1154</v>
      </c>
      <c r="C7">
        <v>1327</v>
      </c>
      <c r="E7" t="s">
        <v>1154</v>
      </c>
      <c r="F7">
        <v>2339</v>
      </c>
      <c r="G7" t="b">
        <f>IF(B7=E7,TRUE,FALSE)</f>
        <v>1</v>
      </c>
      <c r="J7">
        <f>F7-C7</f>
        <v>1012</v>
      </c>
      <c r="K7" s="4">
        <f>F7/C7-1</f>
        <v>0.76262245666917861</v>
      </c>
      <c r="L7" s="4"/>
      <c r="N7" s="5">
        <v>1177.49</v>
      </c>
      <c r="O7" s="5">
        <v>2659.41</v>
      </c>
      <c r="Q7" s="5">
        <v>13656.35</v>
      </c>
      <c r="T7" s="114">
        <f>O7-N7</f>
        <v>1481.9199999999998</v>
      </c>
      <c r="U7" s="4">
        <f>IF(N7=0,0,O7/N7-1)</f>
        <v>1.258541473812941</v>
      </c>
      <c r="AB7" s="18">
        <v>24518.01</v>
      </c>
      <c r="AC7" s="18">
        <v>37383.24</v>
      </c>
      <c r="AD7" s="4">
        <f>AC7/AB7-1</f>
        <v>0.52472570163728616</v>
      </c>
    </row>
    <row r="8" spans="1:31" ht="13.9" customHeight="1">
      <c r="A8" s="54" t="s">
        <v>1155</v>
      </c>
      <c r="B8" s="37" t="s">
        <v>1156</v>
      </c>
      <c r="C8">
        <v>795</v>
      </c>
      <c r="E8" s="37" t="s">
        <v>1156</v>
      </c>
      <c r="F8">
        <v>1737</v>
      </c>
      <c r="G8" t="b">
        <f>IF(B8=E8,TRUE,FALSE)</f>
        <v>1</v>
      </c>
      <c r="J8">
        <f>F8-C8</f>
        <v>942</v>
      </c>
      <c r="K8" s="4">
        <f>F8/C8-1</f>
        <v>1.1849056603773587</v>
      </c>
      <c r="L8" s="4"/>
      <c r="N8" s="5">
        <v>1890.99</v>
      </c>
      <c r="O8" s="5">
        <v>1937.53</v>
      </c>
      <c r="Q8" s="5">
        <v>11950.32</v>
      </c>
      <c r="T8" s="114">
        <f>O8-N8</f>
        <v>46.539999999999964</v>
      </c>
      <c r="U8" s="4">
        <f>IF(N8=0,0,O8/N8-1)</f>
        <v>2.4611446914050372E-2</v>
      </c>
      <c r="AB8" s="18">
        <v>15610.06</v>
      </c>
      <c r="AC8" s="18">
        <v>27839.23</v>
      </c>
      <c r="AD8" s="4">
        <f>AC8/AB8-1</f>
        <v>0.78341595099570416</v>
      </c>
    </row>
    <row r="9" spans="1:31" ht="13.9" customHeight="1">
      <c r="A9" s="54" t="s">
        <v>1157</v>
      </c>
      <c r="B9" s="37" t="s">
        <v>1158</v>
      </c>
      <c r="C9">
        <v>695</v>
      </c>
      <c r="E9" s="37" t="s">
        <v>1158</v>
      </c>
      <c r="F9">
        <v>1498</v>
      </c>
      <c r="G9" t="b">
        <f>IF(B9=E9,TRUE,FALSE)</f>
        <v>1</v>
      </c>
      <c r="J9">
        <f>F9-C9</f>
        <v>803</v>
      </c>
      <c r="K9" s="4">
        <f>F9/C9-1</f>
        <v>1.1553956834532375</v>
      </c>
      <c r="L9" s="4"/>
      <c r="N9" s="5">
        <v>874.92</v>
      </c>
      <c r="O9" s="5">
        <v>1655.56</v>
      </c>
      <c r="Q9" s="5">
        <v>7274.34</v>
      </c>
      <c r="T9" s="114">
        <f>O9-N9</f>
        <v>780.64</v>
      </c>
      <c r="U9" s="4">
        <f>IF(N9=0,0,O9/N9-1)</f>
        <v>0.89224157637269697</v>
      </c>
      <c r="AB9" s="18">
        <v>12526.73</v>
      </c>
      <c r="AC9" s="18">
        <v>24980.18</v>
      </c>
      <c r="AD9" s="4">
        <f>AC9/AB9-1</f>
        <v>0.99415010940604631</v>
      </c>
    </row>
    <row r="10" spans="1:31" ht="13.9" customHeight="1">
      <c r="A10" t="s">
        <v>1159</v>
      </c>
      <c r="B10" t="s">
        <v>1160</v>
      </c>
      <c r="C10">
        <v>2136</v>
      </c>
      <c r="E10" t="s">
        <v>1160</v>
      </c>
      <c r="F10">
        <v>2829</v>
      </c>
      <c r="G10" t="b">
        <f>IF(B10=E10,TRUE,FALSE)</f>
        <v>1</v>
      </c>
      <c r="J10">
        <f>F10-C10</f>
        <v>693</v>
      </c>
      <c r="K10" s="4">
        <f>F10/C10-1</f>
        <v>0.324438202247191</v>
      </c>
      <c r="L10" s="4"/>
      <c r="N10" s="5">
        <v>1619.75</v>
      </c>
      <c r="O10" s="5">
        <v>2333.5</v>
      </c>
      <c r="Q10" s="5">
        <v>15844.83</v>
      </c>
      <c r="T10" s="114">
        <f>O10-N10</f>
        <v>713.75</v>
      </c>
      <c r="U10" s="4">
        <f>IF(N10=0,0,O10/N10-1)</f>
        <v>0.44065442197870031</v>
      </c>
      <c r="AB10" s="18">
        <v>51057.67</v>
      </c>
      <c r="AC10" s="18">
        <v>65456.82</v>
      </c>
      <c r="AD10" s="4">
        <f>AC10/AB10-1</f>
        <v>0.28201737368744006</v>
      </c>
    </row>
    <row r="11" spans="1:31" ht="13.9" customHeight="1">
      <c r="A11" s="54" t="s">
        <v>1161</v>
      </c>
      <c r="B11" t="s">
        <v>1162</v>
      </c>
      <c r="C11">
        <v>230</v>
      </c>
      <c r="E11" t="s">
        <v>1162</v>
      </c>
      <c r="F11">
        <v>878</v>
      </c>
      <c r="G11" t="b">
        <f>IF(B11=E11,TRUE,FALSE)</f>
        <v>1</v>
      </c>
      <c r="J11">
        <f>F11-C11</f>
        <v>648</v>
      </c>
      <c r="K11" s="4">
        <f>F11/C11-1</f>
        <v>2.8173913043478263</v>
      </c>
      <c r="L11" s="4"/>
      <c r="N11" s="5">
        <v>266.31</v>
      </c>
      <c r="O11" s="5">
        <v>1340.34</v>
      </c>
      <c r="Q11" s="5">
        <v>6735.96</v>
      </c>
      <c r="T11" s="114">
        <f>O11-N11</f>
        <v>1074.03</v>
      </c>
      <c r="U11" s="4">
        <f>IF(N11=0,0,O11/N11-1)</f>
        <v>4.0330066463895458</v>
      </c>
      <c r="AB11" s="18">
        <v>4367.51</v>
      </c>
      <c r="AC11" s="18">
        <v>12263.24</v>
      </c>
      <c r="AD11" s="4">
        <f>AC11/AB11-1</f>
        <v>1.8078332963175812</v>
      </c>
    </row>
    <row r="12" spans="1:31" ht="13.9" customHeight="1">
      <c r="A12" s="54" t="s">
        <v>1163</v>
      </c>
      <c r="B12" s="141" t="s">
        <v>1164</v>
      </c>
      <c r="C12">
        <v>369</v>
      </c>
      <c r="E12" s="141" t="s">
        <v>1164</v>
      </c>
      <c r="F12">
        <v>955</v>
      </c>
      <c r="G12" t="b">
        <f>IF(B12=E12,TRUE,FALSE)</f>
        <v>1</v>
      </c>
      <c r="J12">
        <f>F12-C12</f>
        <v>586</v>
      </c>
      <c r="K12" s="4">
        <f>F12/C12-1</f>
        <v>1.5880758807588076</v>
      </c>
      <c r="L12" s="4"/>
      <c r="N12" s="5">
        <v>1122.73</v>
      </c>
      <c r="O12" s="5">
        <v>1388.77</v>
      </c>
      <c r="Q12" s="5">
        <v>8790.99</v>
      </c>
      <c r="T12" s="114">
        <f>O12-N12</f>
        <v>266.03999999999996</v>
      </c>
      <c r="U12" s="4">
        <f>IF(N12=0,0,O12/N12-1)</f>
        <v>0.23695812884665046</v>
      </c>
      <c r="AB12" s="18">
        <v>7723.83</v>
      </c>
      <c r="AC12" s="18">
        <v>18144.05</v>
      </c>
      <c r="AD12" s="4">
        <f>AC12/AB12-1</f>
        <v>1.3491001226075663</v>
      </c>
    </row>
    <row r="13" spans="1:31" ht="13.9" customHeight="1">
      <c r="A13" s="27" t="s">
        <v>1165</v>
      </c>
      <c r="B13" t="s">
        <v>1166</v>
      </c>
      <c r="C13">
        <v>261</v>
      </c>
      <c r="E13" t="s">
        <v>1166</v>
      </c>
      <c r="F13">
        <v>829</v>
      </c>
      <c r="G13" t="b">
        <f>IF(B13=E13,TRUE,FALSE)</f>
        <v>1</v>
      </c>
      <c r="J13">
        <f>F13-C13</f>
        <v>568</v>
      </c>
      <c r="K13" s="4">
        <f>F13/C13-1</f>
        <v>2.1762452107279695</v>
      </c>
      <c r="L13" s="4"/>
      <c r="N13" s="5">
        <v>863</v>
      </c>
      <c r="O13" s="5">
        <v>1256.1500000000001</v>
      </c>
      <c r="Q13" s="5">
        <v>6518.03</v>
      </c>
      <c r="T13" s="114">
        <f>O13-N13</f>
        <v>393.15000000000009</v>
      </c>
      <c r="U13" s="4">
        <f>IF(N13=0,0,O13/N13-1)</f>
        <v>0.45556199304750877</v>
      </c>
      <c r="AB13" s="18">
        <v>6415.38</v>
      </c>
      <c r="AC13" s="18">
        <v>15812.12</v>
      </c>
      <c r="AD13" s="4">
        <f>AC13/AB13-1</f>
        <v>1.4647207180244974</v>
      </c>
    </row>
    <row r="14" spans="1:31" ht="13.9" customHeight="1">
      <c r="A14" s="144" t="s">
        <v>1167</v>
      </c>
      <c r="B14" s="144" t="s">
        <v>1168</v>
      </c>
      <c r="C14">
        <v>618</v>
      </c>
      <c r="E14" s="144" t="s">
        <v>1168</v>
      </c>
      <c r="F14">
        <v>1118</v>
      </c>
      <c r="G14" t="b">
        <f>IF(B14=E14,TRUE,FALSE)</f>
        <v>1</v>
      </c>
      <c r="J14">
        <f>F14-C14</f>
        <v>500</v>
      </c>
      <c r="K14" s="4">
        <f>F14/C14-1</f>
        <v>0.8090614886731391</v>
      </c>
      <c r="L14" s="4"/>
      <c r="N14" s="5">
        <v>1598.85</v>
      </c>
      <c r="O14" s="5">
        <v>1980.41</v>
      </c>
      <c r="Q14" s="5">
        <v>8863.2800000000007</v>
      </c>
      <c r="T14" s="114">
        <f>O14-N14</f>
        <v>381.56000000000017</v>
      </c>
      <c r="U14" s="4">
        <f>IF(N14=0,0,O14/N14-1)</f>
        <v>0.23864652719141888</v>
      </c>
      <c r="AB14" s="18">
        <v>12050.7</v>
      </c>
      <c r="AC14" s="18">
        <v>19691.439999999999</v>
      </c>
      <c r="AD14" s="4">
        <f>AC14/AB14-1</f>
        <v>0.63404947430439695</v>
      </c>
    </row>
    <row r="15" spans="1:31" ht="13.9" customHeight="1">
      <c r="A15" s="54" t="s">
        <v>1169</v>
      </c>
      <c r="B15" s="37" t="s">
        <v>1170</v>
      </c>
      <c r="C15">
        <v>0</v>
      </c>
      <c r="E15" s="37" t="s">
        <v>1170</v>
      </c>
      <c r="F15">
        <v>427</v>
      </c>
      <c r="G15" t="b">
        <f>IF(B15=E15,TRUE,FALSE)</f>
        <v>1</v>
      </c>
      <c r="J15">
        <f>F15-C15</f>
        <v>427</v>
      </c>
      <c r="K15" s="4" t="e">
        <f>F15/C15-1</f>
        <v>#DIV/0!</v>
      </c>
      <c r="L15" s="4"/>
      <c r="N15" s="5">
        <v>3.35</v>
      </c>
      <c r="O15" s="5">
        <v>445.09</v>
      </c>
      <c r="Q15" s="5">
        <v>4379.0600000000004</v>
      </c>
      <c r="T15" s="114">
        <f>O15-N15</f>
        <v>441.73999999999995</v>
      </c>
      <c r="U15" s="4">
        <f>IF(N15=0,0,O15/N15-1)</f>
        <v>131.86268656716416</v>
      </c>
      <c r="AB15" s="18">
        <v>0</v>
      </c>
      <c r="AC15" s="18">
        <v>9747.23</v>
      </c>
      <c r="AD15" s="4"/>
    </row>
    <row r="16" spans="1:31" ht="13.9" customHeight="1">
      <c r="A16" t="s">
        <v>1171</v>
      </c>
      <c r="B16" t="s">
        <v>1172</v>
      </c>
      <c r="C16">
        <v>1133</v>
      </c>
      <c r="E16" t="s">
        <v>1172</v>
      </c>
      <c r="F16">
        <v>1526</v>
      </c>
      <c r="G16" t="b">
        <f>IF(B16=E16,TRUE,FALSE)</f>
        <v>1</v>
      </c>
      <c r="J16">
        <f>F16-C16</f>
        <v>393</v>
      </c>
      <c r="K16" s="4">
        <f>F16/C16-1</f>
        <v>0.34686672550750219</v>
      </c>
      <c r="L16" s="4"/>
      <c r="N16" s="5">
        <v>2354.5</v>
      </c>
      <c r="O16" s="5">
        <v>2585.4</v>
      </c>
      <c r="Q16" s="5">
        <v>23829.63</v>
      </c>
      <c r="T16" s="114">
        <f>O16-N16</f>
        <v>230.90000000000009</v>
      </c>
      <c r="U16" s="4">
        <f>IF(N16=0,0,O16/N16-1)</f>
        <v>9.8067530261201963E-2</v>
      </c>
      <c r="Y16" t="s">
        <v>1173</v>
      </c>
      <c r="AB16" s="18">
        <v>30521.1</v>
      </c>
      <c r="AC16" s="18">
        <v>41173.78</v>
      </c>
      <c r="AD16" s="4">
        <f>AC16/AB16-1</f>
        <v>0.34902673887900515</v>
      </c>
    </row>
    <row r="17" spans="1:30" ht="13.9" customHeight="1">
      <c r="A17" t="s">
        <v>1174</v>
      </c>
      <c r="B17" t="s">
        <v>1175</v>
      </c>
      <c r="C17">
        <v>406</v>
      </c>
      <c r="E17" t="s">
        <v>1175</v>
      </c>
      <c r="F17">
        <v>784</v>
      </c>
      <c r="G17" t="b">
        <f>IF(B17=E17,TRUE,FALSE)</f>
        <v>1</v>
      </c>
      <c r="J17">
        <f>F17-C17</f>
        <v>378</v>
      </c>
      <c r="K17" s="4">
        <f>F17/C17-1</f>
        <v>0.93103448275862077</v>
      </c>
      <c r="L17" s="4"/>
      <c r="N17" s="5">
        <v>215.41</v>
      </c>
      <c r="O17" s="5">
        <v>291.26</v>
      </c>
      <c r="Q17" s="5">
        <v>2136.19</v>
      </c>
      <c r="T17" s="114">
        <f>O17-N17</f>
        <v>75.849999999999994</v>
      </c>
      <c r="U17" s="4">
        <f>IF(N17=0,0,O17/N17-1)</f>
        <v>0.35211921452114581</v>
      </c>
      <c r="AB17" s="18">
        <v>8271.9</v>
      </c>
      <c r="AC17" s="18">
        <v>15524.38</v>
      </c>
      <c r="AD17" s="4">
        <f>AC17/AB17-1</f>
        <v>0.87676108270167674</v>
      </c>
    </row>
    <row r="18" spans="1:30" ht="13.9" customHeight="1">
      <c r="A18" s="144" t="s">
        <v>1176</v>
      </c>
      <c r="B18" s="144" t="s">
        <v>1177</v>
      </c>
      <c r="C18">
        <v>271</v>
      </c>
      <c r="E18" s="144" t="s">
        <v>1177</v>
      </c>
      <c r="F18">
        <v>632</v>
      </c>
      <c r="G18" t="b">
        <f>IF(B18=E18,TRUE,FALSE)</f>
        <v>1</v>
      </c>
      <c r="J18">
        <f>F18-C18</f>
        <v>361</v>
      </c>
      <c r="K18" s="4">
        <f>F18/C18-1</f>
        <v>1.3321033210332103</v>
      </c>
      <c r="L18" s="4"/>
      <c r="N18" s="5">
        <v>154.54</v>
      </c>
      <c r="O18" s="5">
        <v>65.48</v>
      </c>
      <c r="Q18" s="5">
        <v>1090.45</v>
      </c>
      <c r="T18" s="114">
        <f>O18-N18</f>
        <v>-89.059999999999988</v>
      </c>
      <c r="U18" s="4">
        <f>IF(N18=0,0,O18/N18-1)</f>
        <v>-0.57629092791510284</v>
      </c>
      <c r="AB18" s="18">
        <v>9902.9000000000015</v>
      </c>
      <c r="AC18" s="18">
        <v>23049.71</v>
      </c>
      <c r="AD18" s="4">
        <f>AC18/AB18-1</f>
        <v>1.3275717214149387</v>
      </c>
    </row>
    <row r="19" spans="1:30" ht="13.9" customHeight="1">
      <c r="A19" t="s">
        <v>1178</v>
      </c>
      <c r="B19" t="s">
        <v>1179</v>
      </c>
      <c r="C19">
        <v>1073</v>
      </c>
      <c r="E19" t="s">
        <v>1179</v>
      </c>
      <c r="F19">
        <v>1423</v>
      </c>
      <c r="G19" t="b">
        <f>IF(B19=E19,TRUE,FALSE)</f>
        <v>1</v>
      </c>
      <c r="J19">
        <f>F19-C19</f>
        <v>350</v>
      </c>
      <c r="K19" s="4">
        <f>F19/C19-1</f>
        <v>0.32618825722273992</v>
      </c>
      <c r="L19" s="4"/>
      <c r="N19" s="5">
        <v>593.11</v>
      </c>
      <c r="O19" s="5">
        <v>895.56</v>
      </c>
      <c r="Q19" s="5">
        <v>5093.2700000000004</v>
      </c>
      <c r="T19" s="114">
        <f>O19-N19</f>
        <v>302.44999999999993</v>
      </c>
      <c r="U19" s="4">
        <f>IF(N19=0,0,O19/N19-1)</f>
        <v>0.50993913439328264</v>
      </c>
      <c r="AB19" s="18">
        <v>24817.51</v>
      </c>
      <c r="AC19" s="18">
        <v>31827.05</v>
      </c>
      <c r="AD19" s="4">
        <f>AC19/AB19-1</f>
        <v>0.282443323282634</v>
      </c>
    </row>
    <row r="20" spans="1:30" ht="13.9" customHeight="1">
      <c r="A20" t="s">
        <v>1180</v>
      </c>
      <c r="B20" t="s">
        <v>1181</v>
      </c>
      <c r="C20">
        <v>1601</v>
      </c>
      <c r="E20" t="s">
        <v>1181</v>
      </c>
      <c r="F20">
        <v>1927</v>
      </c>
      <c r="G20" t="b">
        <f>IF(B20=E20,TRUE,FALSE)</f>
        <v>1</v>
      </c>
      <c r="J20">
        <f>F20-C20</f>
        <v>326</v>
      </c>
      <c r="K20" s="4">
        <f>F20/C20-1</f>
        <v>0.20362273579013124</v>
      </c>
      <c r="L20" s="4"/>
      <c r="N20" s="5">
        <v>2424.96</v>
      </c>
      <c r="O20" s="5">
        <v>2207.84</v>
      </c>
      <c r="Q20" s="5">
        <v>13442.49</v>
      </c>
      <c r="T20" s="114">
        <f>O20-N20</f>
        <v>-217.11999999999989</v>
      </c>
      <c r="U20" s="4">
        <f>IF(N20=0,0,O20/N20-1)</f>
        <v>-8.9535497492742144E-2</v>
      </c>
      <c r="AB20" s="18">
        <v>38974.99</v>
      </c>
      <c r="AC20" s="18">
        <v>46396.23</v>
      </c>
      <c r="AD20" s="4">
        <f>AC20/AB20-1</f>
        <v>0.1904103118435696</v>
      </c>
    </row>
    <row r="21" spans="1:30" ht="13.9" customHeight="1">
      <c r="A21" t="s">
        <v>1182</v>
      </c>
      <c r="B21" t="s">
        <v>1183</v>
      </c>
      <c r="C21">
        <v>5347</v>
      </c>
      <c r="E21" t="s">
        <v>1183</v>
      </c>
      <c r="F21">
        <v>5667</v>
      </c>
      <c r="G21" t="b">
        <f>IF(B21=E21,TRUE,FALSE)</f>
        <v>1</v>
      </c>
      <c r="J21">
        <f>F21-C21</f>
        <v>320</v>
      </c>
      <c r="K21" s="4">
        <f>F21/C21-1</f>
        <v>5.9846642977370523E-2</v>
      </c>
      <c r="L21" s="4"/>
      <c r="N21" s="5">
        <v>3670.83</v>
      </c>
      <c r="O21" s="5">
        <v>3545.1099999999997</v>
      </c>
      <c r="Q21" s="5">
        <v>25291.539999999997</v>
      </c>
      <c r="T21" s="114">
        <f>O21-N21</f>
        <v>-125.72000000000025</v>
      </c>
      <c r="U21" s="4">
        <f>IF(N21=0,0,O21/N21-1)</f>
        <v>-3.4248385242574675E-2</v>
      </c>
      <c r="X21" t="s">
        <v>1184</v>
      </c>
      <c r="AB21" s="18">
        <v>129586.98999999999</v>
      </c>
      <c r="AC21" s="18">
        <v>143646.31</v>
      </c>
      <c r="AD21" s="4">
        <f>AC21/AB21-1</f>
        <v>0.10849329859424928</v>
      </c>
    </row>
    <row r="22" spans="1:30" ht="13.9" customHeight="1">
      <c r="A22" t="s">
        <v>1185</v>
      </c>
      <c r="B22" t="s">
        <v>1186</v>
      </c>
      <c r="C22">
        <v>390</v>
      </c>
      <c r="E22" t="s">
        <v>1186</v>
      </c>
      <c r="F22">
        <v>631</v>
      </c>
      <c r="G22" t="b">
        <f>IF(B22=E22,TRUE,FALSE)</f>
        <v>1</v>
      </c>
      <c r="J22">
        <f>F22-C22</f>
        <v>241</v>
      </c>
      <c r="K22" s="4">
        <f>F22/C22-1</f>
        <v>0.61794871794871797</v>
      </c>
      <c r="L22" s="4"/>
      <c r="N22" s="5">
        <v>560.99</v>
      </c>
      <c r="O22" s="5">
        <v>1034.24</v>
      </c>
      <c r="Q22" s="5">
        <v>7830.91</v>
      </c>
      <c r="T22" s="114">
        <f>O22-N22</f>
        <v>473.25</v>
      </c>
      <c r="U22" s="4">
        <f>IF(N22=0,0,O22/N22-1)</f>
        <v>0.84359792509670406</v>
      </c>
      <c r="X22" t="s">
        <v>1187</v>
      </c>
      <c r="AB22" s="18">
        <v>9354.9</v>
      </c>
      <c r="AC22" s="18">
        <v>15135.05</v>
      </c>
      <c r="AD22" s="4">
        <f>AC22/AB22-1</f>
        <v>0.61787405530791339</v>
      </c>
    </row>
    <row r="23" spans="1:30" ht="13.9" customHeight="1">
      <c r="A23" t="s">
        <v>1188</v>
      </c>
      <c r="B23" t="s">
        <v>1189</v>
      </c>
      <c r="C23">
        <v>1448</v>
      </c>
      <c r="E23" t="s">
        <v>1189</v>
      </c>
      <c r="F23">
        <v>1677</v>
      </c>
      <c r="G23" t="b">
        <f>IF(B23=E23,TRUE,FALSE)</f>
        <v>1</v>
      </c>
      <c r="J23">
        <f>F23-C23</f>
        <v>229</v>
      </c>
      <c r="K23" s="4">
        <f>F23/C23-1</f>
        <v>0.15814917127071815</v>
      </c>
      <c r="L23" s="4"/>
      <c r="N23" s="5">
        <v>1193.8</v>
      </c>
      <c r="O23" s="5">
        <v>1334.47</v>
      </c>
      <c r="Q23" s="5">
        <v>7113.33</v>
      </c>
      <c r="T23" s="114">
        <f>O23-N23</f>
        <v>140.67000000000007</v>
      </c>
      <c r="U23" s="4">
        <f>IF(N23=0,0,O23/N23-1)</f>
        <v>0.11783380800804166</v>
      </c>
      <c r="AB23" s="18">
        <v>30616.48</v>
      </c>
      <c r="AC23" s="18">
        <v>33775.230000000003</v>
      </c>
      <c r="AD23" s="4">
        <f>AC23/AB23-1</f>
        <v>0.10317155989192761</v>
      </c>
    </row>
    <row r="24" spans="1:30" ht="13.9" customHeight="1">
      <c r="A24" t="s">
        <v>1190</v>
      </c>
      <c r="B24" t="s">
        <v>1191</v>
      </c>
      <c r="C24">
        <v>2528</v>
      </c>
      <c r="E24" t="s">
        <v>1191</v>
      </c>
      <c r="F24">
        <v>2718</v>
      </c>
      <c r="G24" t="b">
        <f>IF(B24=E24,TRUE,FALSE)</f>
        <v>1</v>
      </c>
      <c r="J24">
        <f>F24-C24</f>
        <v>190</v>
      </c>
      <c r="K24" s="4">
        <f>F24/C24-1</f>
        <v>7.5158227848101333E-2</v>
      </c>
      <c r="L24" s="4"/>
      <c r="N24" s="5">
        <v>1115.94</v>
      </c>
      <c r="O24" s="5">
        <v>1875.37</v>
      </c>
      <c r="Q24" s="5">
        <v>12141.16</v>
      </c>
      <c r="T24" s="114">
        <f>O24-N24</f>
        <v>759.42999999999984</v>
      </c>
      <c r="U24" s="4">
        <f>IF(N24=0,0,O24/N24-1)</f>
        <v>0.68052941914439824</v>
      </c>
      <c r="AB24" s="18">
        <v>51150.85</v>
      </c>
      <c r="AC24" s="18">
        <v>57319.78</v>
      </c>
      <c r="AD24" s="4">
        <f>AC24/AB24-1</f>
        <v>0.12060268793187201</v>
      </c>
    </row>
    <row r="25" spans="1:30" ht="13.9" customHeight="1">
      <c r="A25" t="s">
        <v>1192</v>
      </c>
      <c r="B25" t="s">
        <v>1193</v>
      </c>
      <c r="C25">
        <v>492</v>
      </c>
      <c r="E25" t="s">
        <v>1193</v>
      </c>
      <c r="F25">
        <v>681</v>
      </c>
      <c r="G25" t="b">
        <f>IF(B25=E25,TRUE,FALSE)</f>
        <v>1</v>
      </c>
      <c r="J25">
        <f>F25-C25</f>
        <v>189</v>
      </c>
      <c r="K25" s="4">
        <f>F25/C25-1</f>
        <v>0.38414634146341453</v>
      </c>
      <c r="L25" s="4"/>
      <c r="N25" s="5">
        <v>872.02</v>
      </c>
      <c r="O25" s="5">
        <v>877.89</v>
      </c>
      <c r="Q25" s="5">
        <v>5755.83</v>
      </c>
      <c r="T25" s="114">
        <f>O25-N25</f>
        <v>5.8700000000000045</v>
      </c>
      <c r="U25" s="4">
        <f>IF(N25=0,0,O25/N25-1)</f>
        <v>6.7314969840142069E-3</v>
      </c>
      <c r="AB25" s="18">
        <v>10521.86</v>
      </c>
      <c r="AC25" s="18">
        <v>12701.27</v>
      </c>
      <c r="AD25" s="4">
        <f>AC25/AB25-1</f>
        <v>0.2071316288184788</v>
      </c>
    </row>
    <row r="26" spans="1:30">
      <c r="A26" t="s">
        <v>1194</v>
      </c>
      <c r="B26" t="s">
        <v>1195</v>
      </c>
      <c r="C26">
        <v>823</v>
      </c>
      <c r="E26" t="s">
        <v>1195</v>
      </c>
      <c r="F26">
        <v>1010</v>
      </c>
      <c r="G26" t="b">
        <f>IF(B26=E26,TRUE,FALSE)</f>
        <v>1</v>
      </c>
      <c r="J26">
        <f>F26-C26</f>
        <v>187</v>
      </c>
      <c r="K26" s="4">
        <f>F26/C26-1</f>
        <v>0.22721749696233284</v>
      </c>
      <c r="L26" s="4"/>
      <c r="N26" s="5">
        <v>863.52</v>
      </c>
      <c r="O26" s="5">
        <v>806.34</v>
      </c>
      <c r="Q26" s="5">
        <v>4244.79</v>
      </c>
      <c r="T26" s="114">
        <f>O26-N26</f>
        <v>-57.17999999999995</v>
      </c>
      <c r="U26" s="4" t="e">
        <f>IF(#REF!=0,0,O26/#REF!-1)</f>
        <v>#REF!</v>
      </c>
      <c r="AB26" s="18">
        <v>19738.97</v>
      </c>
      <c r="AC26" s="18">
        <v>24224.38</v>
      </c>
      <c r="AD26" s="4">
        <f>AC26/AB26-1</f>
        <v>0.22723627423315396</v>
      </c>
    </row>
    <row r="27" spans="1:30">
      <c r="A27" s="55" t="s">
        <v>1196</v>
      </c>
      <c r="B27" s="37" t="s">
        <v>1197</v>
      </c>
      <c r="C27">
        <v>652</v>
      </c>
      <c r="E27" s="37" t="s">
        <v>1197</v>
      </c>
      <c r="F27">
        <v>832</v>
      </c>
      <c r="G27" t="b">
        <f>IF(B27=E27,TRUE,FALSE)</f>
        <v>1</v>
      </c>
      <c r="J27">
        <f>F27-C27</f>
        <v>180</v>
      </c>
      <c r="K27" s="4">
        <f>F27/C27-1</f>
        <v>0.2760736196319018</v>
      </c>
      <c r="L27" s="4"/>
      <c r="N27" s="5">
        <v>1496.4</v>
      </c>
      <c r="O27" s="5">
        <v>1282.0899999999999</v>
      </c>
      <c r="Q27" s="5">
        <v>5217.58</v>
      </c>
      <c r="T27" s="114">
        <f>O27-N27</f>
        <v>-214.31000000000017</v>
      </c>
      <c r="U27" s="4">
        <f>IF(N27=0,0,O27/N27-1)</f>
        <v>-0.14321705426356601</v>
      </c>
      <c r="AB27" s="18">
        <v>10964.94</v>
      </c>
      <c r="AC27" s="18">
        <v>12635.17</v>
      </c>
      <c r="AD27" s="4">
        <f>AC27/AB27-1</f>
        <v>0.15232459092343409</v>
      </c>
    </row>
    <row r="28" spans="1:30">
      <c r="A28" t="s">
        <v>1198</v>
      </c>
      <c r="B28" t="s">
        <v>1199</v>
      </c>
      <c r="C28">
        <v>2383</v>
      </c>
      <c r="E28" t="s">
        <v>1199</v>
      </c>
      <c r="F28">
        <v>2554</v>
      </c>
      <c r="G28" t="b">
        <f>IF(B28=E28,TRUE,FALSE)</f>
        <v>1</v>
      </c>
      <c r="J28">
        <f>F28-C28</f>
        <v>171</v>
      </c>
      <c r="K28" s="4">
        <f>F28/C28-1</f>
        <v>7.175828787242966E-2</v>
      </c>
      <c r="L28" s="6"/>
      <c r="N28" s="5">
        <v>2014.24</v>
      </c>
      <c r="O28" s="5">
        <v>2348.0500000000002</v>
      </c>
      <c r="Q28" s="5">
        <v>11339.13</v>
      </c>
      <c r="T28" s="114">
        <f>O28-N28</f>
        <v>333.81000000000017</v>
      </c>
      <c r="U28" s="4">
        <f>IF(N28=0,0,O28/N28-1)</f>
        <v>0.16572503773135283</v>
      </c>
      <c r="AB28" s="18">
        <v>57489.279999999999</v>
      </c>
      <c r="AC28" s="18">
        <v>61215.81</v>
      </c>
      <c r="AD28" s="4">
        <f>AC28/AB28-1</f>
        <v>6.4821302336713904E-2</v>
      </c>
    </row>
    <row r="29" spans="1:30">
      <c r="A29" t="s">
        <v>1200</v>
      </c>
      <c r="B29" t="s">
        <v>1201</v>
      </c>
      <c r="C29">
        <v>731</v>
      </c>
      <c r="E29" t="s">
        <v>1201</v>
      </c>
      <c r="F29">
        <v>889</v>
      </c>
      <c r="G29" t="b">
        <f>IF(B29=E29,TRUE,FALSE)</f>
        <v>1</v>
      </c>
      <c r="J29">
        <f>F29-C29</f>
        <v>158</v>
      </c>
      <c r="K29" s="4">
        <f>F29/C29-1</f>
        <v>0.21614227086183302</v>
      </c>
      <c r="L29" s="4"/>
      <c r="N29" s="5">
        <v>752.57</v>
      </c>
      <c r="O29" s="5">
        <v>800.19</v>
      </c>
      <c r="Q29" s="5">
        <v>4119.47</v>
      </c>
      <c r="T29" s="114">
        <f>O29-N29</f>
        <v>47.620000000000005</v>
      </c>
      <c r="U29" s="4">
        <f>IF(N29=0,0,O29/N29-1)</f>
        <v>6.3276505839988229E-2</v>
      </c>
      <c r="AB29" s="18">
        <v>13342.67</v>
      </c>
      <c r="AC29" s="18">
        <v>16156.59</v>
      </c>
      <c r="AD29" s="4">
        <f>AC29/AB29-1</f>
        <v>0.21089631985202373</v>
      </c>
    </row>
    <row r="30" spans="1:30">
      <c r="A30" t="s">
        <v>1202</v>
      </c>
      <c r="B30" t="s">
        <v>1203</v>
      </c>
      <c r="C30">
        <v>3285</v>
      </c>
      <c r="E30" t="s">
        <v>1203</v>
      </c>
      <c r="F30">
        <v>3443</v>
      </c>
      <c r="G30" t="b">
        <f>IF(B30=E30,TRUE,FALSE)</f>
        <v>1</v>
      </c>
      <c r="J30">
        <f>F30-C30</f>
        <v>158</v>
      </c>
      <c r="K30" s="4">
        <f>F30/C30-1</f>
        <v>4.80974124809741E-2</v>
      </c>
      <c r="L30" s="4"/>
      <c r="N30" s="5">
        <v>1730.37</v>
      </c>
      <c r="O30" s="5">
        <v>1445.06</v>
      </c>
      <c r="Q30" s="5">
        <v>5296.51</v>
      </c>
      <c r="T30" s="114">
        <f>O30-N30</f>
        <v>-285.30999999999995</v>
      </c>
      <c r="U30" s="4">
        <f>IF(N30=0,0,O30/N30-1)</f>
        <v>-0.16488381097684313</v>
      </c>
      <c r="X30" s="5"/>
      <c r="Y30" s="5" t="s">
        <v>1204</v>
      </c>
      <c r="Z30" s="5"/>
      <c r="AA30" s="17"/>
      <c r="AB30" s="18">
        <v>64010.75</v>
      </c>
      <c r="AC30" s="18">
        <v>66491.17</v>
      </c>
      <c r="AD30" s="4">
        <f>AC30/AB30-1</f>
        <v>3.8750053701917198E-2</v>
      </c>
    </row>
    <row r="31" spans="1:30">
      <c r="A31" t="s">
        <v>1205</v>
      </c>
      <c r="B31" t="s">
        <v>1206</v>
      </c>
      <c r="C31">
        <v>400</v>
      </c>
      <c r="E31" t="s">
        <v>1206</v>
      </c>
      <c r="F31">
        <v>512</v>
      </c>
      <c r="G31" t="b">
        <f>IF(B31=E31,TRUE,FALSE)</f>
        <v>1</v>
      </c>
      <c r="J31">
        <f>F31-C31</f>
        <v>112</v>
      </c>
      <c r="K31" s="4">
        <f>F31/C31-1</f>
        <v>0.28000000000000003</v>
      </c>
      <c r="L31" s="4"/>
      <c r="N31" s="5">
        <v>212.99</v>
      </c>
      <c r="O31" s="5">
        <v>109.21</v>
      </c>
      <c r="Q31" s="5">
        <v>1079.24</v>
      </c>
      <c r="T31" s="114">
        <f>O31-N31</f>
        <v>-103.78000000000002</v>
      </c>
      <c r="U31" s="4">
        <f>IF(N31=0,0,O31/N31-1)</f>
        <v>-0.48725292267242604</v>
      </c>
      <c r="AB31" s="18">
        <v>8474.7999999999993</v>
      </c>
      <c r="AC31" s="18">
        <v>9751.8799999999992</v>
      </c>
      <c r="AD31" s="4">
        <f>AC31/AB31-1</f>
        <v>0.15069146174540982</v>
      </c>
    </row>
    <row r="32" spans="1:30">
      <c r="A32" t="s">
        <v>1207</v>
      </c>
      <c r="B32" t="s">
        <v>1208</v>
      </c>
      <c r="C32">
        <v>819</v>
      </c>
      <c r="E32" t="s">
        <v>1208</v>
      </c>
      <c r="F32">
        <v>927</v>
      </c>
      <c r="G32" t="b">
        <f>IF(B32=E32,TRUE,FALSE)</f>
        <v>1</v>
      </c>
      <c r="J32">
        <f>F32-C32</f>
        <v>108</v>
      </c>
      <c r="K32" s="4">
        <f>F32/C32-1</f>
        <v>0.13186813186813184</v>
      </c>
      <c r="N32" s="5">
        <v>570.30999999999995</v>
      </c>
      <c r="O32" s="5">
        <v>608.30999999999995</v>
      </c>
      <c r="Q32" s="5">
        <v>3211.98</v>
      </c>
      <c r="T32" s="114">
        <f>O32-N32</f>
        <v>38</v>
      </c>
      <c r="U32" s="4">
        <f>IF(N32=0,0,O32/N32-1)</f>
        <v>6.663042906489447E-2</v>
      </c>
      <c r="AB32" s="18">
        <v>15570.77</v>
      </c>
      <c r="AC32" s="18">
        <v>17179.84</v>
      </c>
      <c r="AD32" s="4">
        <f>AC32/AB32-1</f>
        <v>0.10333914122422971</v>
      </c>
    </row>
    <row r="33" spans="1:30">
      <c r="A33" t="s">
        <v>1209</v>
      </c>
      <c r="B33" t="s">
        <v>1210</v>
      </c>
      <c r="C33">
        <v>827</v>
      </c>
      <c r="E33" t="s">
        <v>1210</v>
      </c>
      <c r="F33">
        <v>934</v>
      </c>
      <c r="G33" t="b">
        <f>IF(B33=E33,TRUE,FALSE)</f>
        <v>1</v>
      </c>
      <c r="J33">
        <f>F33-C33</f>
        <v>107</v>
      </c>
      <c r="K33" s="4">
        <f>F33/C33-1</f>
        <v>0.12938331318016938</v>
      </c>
      <c r="L33" s="4"/>
      <c r="N33" s="5">
        <v>999.26</v>
      </c>
      <c r="O33" s="5">
        <v>1334.75</v>
      </c>
      <c r="Q33" s="5">
        <v>5025.18</v>
      </c>
      <c r="T33" s="114">
        <f>O33-N33</f>
        <v>335.49</v>
      </c>
      <c r="U33" s="4">
        <f>IF(N33=0,0,O33/N33-1)</f>
        <v>0.33573844645037321</v>
      </c>
      <c r="X33" t="s">
        <v>1211</v>
      </c>
      <c r="AB33" s="18">
        <v>14732.27</v>
      </c>
      <c r="AC33" s="18">
        <v>15698.46</v>
      </c>
      <c r="AD33" s="4">
        <f>AC33/AB33-1</f>
        <v>6.5583240057370595E-2</v>
      </c>
    </row>
    <row r="34" spans="1:30">
      <c r="A34" s="54" t="s">
        <v>1212</v>
      </c>
      <c r="B34" s="27" t="s">
        <v>1213</v>
      </c>
      <c r="C34">
        <v>812</v>
      </c>
      <c r="E34" s="27" t="s">
        <v>1213</v>
      </c>
      <c r="F34">
        <v>911</v>
      </c>
      <c r="G34" t="b">
        <f>IF(B34=E34,TRUE,FALSE)</f>
        <v>1</v>
      </c>
      <c r="J34">
        <f>F34-C34</f>
        <v>99</v>
      </c>
      <c r="K34" s="4">
        <f>F34/C34-1</f>
        <v>0.12192118226600979</v>
      </c>
      <c r="L34" s="4"/>
      <c r="N34" s="5">
        <v>1510.46</v>
      </c>
      <c r="O34" s="5">
        <v>1924.55</v>
      </c>
      <c r="Q34" s="5">
        <v>8371.8700000000008</v>
      </c>
      <c r="T34" s="114">
        <f>O34-N34</f>
        <v>414.08999999999992</v>
      </c>
      <c r="U34" s="4">
        <f>IF(N35=0,0,O34/N35-1)</f>
        <v>0</v>
      </c>
      <c r="AB34" s="18">
        <v>17207.8</v>
      </c>
      <c r="AC34" s="18">
        <v>20434.09</v>
      </c>
      <c r="AD34" s="4">
        <f>AC34/AB34-1</f>
        <v>0.18748997547623758</v>
      </c>
    </row>
    <row r="35" spans="1:30">
      <c r="A35" t="s">
        <v>1214</v>
      </c>
      <c r="B35" t="s">
        <v>1215</v>
      </c>
      <c r="C35">
        <v>25</v>
      </c>
      <c r="E35" t="s">
        <v>1215</v>
      </c>
      <c r="F35">
        <v>113</v>
      </c>
      <c r="G35" t="b">
        <f>IF(B35=E35,TRUE,FALSE)</f>
        <v>1</v>
      </c>
      <c r="J35">
        <f>F35-C35</f>
        <v>88</v>
      </c>
      <c r="K35" s="4">
        <f>F35/C35-1</f>
        <v>3.5199999999999996</v>
      </c>
      <c r="L35" s="4"/>
      <c r="N35" s="5">
        <v>0</v>
      </c>
      <c r="O35" s="5">
        <v>116.03</v>
      </c>
      <c r="Q35" s="5">
        <v>505.58</v>
      </c>
      <c r="T35" s="114">
        <f>O35-N35</f>
        <v>116.03</v>
      </c>
      <c r="U35" s="4">
        <f>IF(N35=0,0,O35/N35-1)</f>
        <v>0</v>
      </c>
      <c r="AB35" s="18">
        <v>549.75</v>
      </c>
      <c r="AC35" s="18">
        <v>1915.29</v>
      </c>
      <c r="AD35" s="4">
        <f>AC35/AB35-1</f>
        <v>2.4839290586630285</v>
      </c>
    </row>
    <row r="36" spans="1:30">
      <c r="A36" s="54" t="s">
        <v>1216</v>
      </c>
      <c r="B36" s="37" t="s">
        <v>1217</v>
      </c>
      <c r="C36">
        <v>235</v>
      </c>
      <c r="E36" s="37" t="s">
        <v>1217</v>
      </c>
      <c r="F36">
        <v>320</v>
      </c>
      <c r="G36" t="b">
        <f>IF(B36=E36,TRUE,FALSE)</f>
        <v>1</v>
      </c>
      <c r="J36">
        <f>F36-C36</f>
        <v>85</v>
      </c>
      <c r="K36" s="4">
        <f>F36/C36-1</f>
        <v>0.36170212765957444</v>
      </c>
      <c r="L36" s="4"/>
      <c r="N36" s="5">
        <v>1233.8</v>
      </c>
      <c r="O36" s="5">
        <v>1257.55</v>
      </c>
      <c r="Q36" s="5">
        <v>5658.8</v>
      </c>
      <c r="T36" s="114">
        <f>O36-N36</f>
        <v>23.75</v>
      </c>
      <c r="U36" s="4">
        <f>IF(N36=0,0,O36/N36-1)</f>
        <v>1.9249473172313181E-2</v>
      </c>
      <c r="AB36" s="18">
        <v>5872.4</v>
      </c>
      <c r="AC36" s="18">
        <v>7921.33</v>
      </c>
      <c r="AD36" s="4">
        <f>AC36/AB36-1</f>
        <v>0.34890845310264984</v>
      </c>
    </row>
    <row r="37" spans="1:30">
      <c r="A37" t="s">
        <v>1218</v>
      </c>
      <c r="B37" t="s">
        <v>1219</v>
      </c>
      <c r="C37">
        <v>1041</v>
      </c>
      <c r="D37" s="5"/>
      <c r="E37" t="s">
        <v>1219</v>
      </c>
      <c r="F37">
        <v>1125</v>
      </c>
      <c r="G37" t="b">
        <f>IF(B37=E37,TRUE,FALSE)</f>
        <v>1</v>
      </c>
      <c r="H37" s="5"/>
      <c r="I37" s="5"/>
      <c r="J37">
        <f>F37-C37</f>
        <v>84</v>
      </c>
      <c r="K37" s="4">
        <f>F37/C37-1</f>
        <v>8.0691642651296913E-2</v>
      </c>
      <c r="L37" s="5"/>
      <c r="M37" s="5"/>
      <c r="N37" s="5">
        <v>2255.04</v>
      </c>
      <c r="O37" s="5">
        <v>2204.4299999999998</v>
      </c>
      <c r="Q37" s="5">
        <v>11984.08</v>
      </c>
      <c r="T37" s="114">
        <f>O37-N37</f>
        <v>-50.610000000000127</v>
      </c>
      <c r="U37" s="4">
        <f>IF(N37=0,0,O37/N37-1)</f>
        <v>-2.2443060876969012E-2</v>
      </c>
      <c r="X37" s="5"/>
      <c r="Y37" s="5"/>
      <c r="Z37" s="5"/>
      <c r="AA37" s="17"/>
      <c r="AB37" s="18">
        <v>36407.79</v>
      </c>
      <c r="AC37" s="18">
        <v>39348</v>
      </c>
      <c r="AD37" s="4">
        <f>AC37/AB37-1</f>
        <v>8.0757716961122883E-2</v>
      </c>
    </row>
    <row r="38" spans="1:30">
      <c r="A38" t="s">
        <v>1220</v>
      </c>
      <c r="B38" t="s">
        <v>1221</v>
      </c>
      <c r="C38">
        <v>708</v>
      </c>
      <c r="E38" t="s">
        <v>1221</v>
      </c>
      <c r="F38">
        <v>785</v>
      </c>
      <c r="G38" t="b">
        <f>IF(B38=E38,TRUE,FALSE)</f>
        <v>1</v>
      </c>
      <c r="J38">
        <f>F38-C38</f>
        <v>77</v>
      </c>
      <c r="K38" s="4">
        <f>F38/C38-1</f>
        <v>0.10875706214689274</v>
      </c>
      <c r="L38" s="4"/>
      <c r="N38" s="5">
        <v>821.65</v>
      </c>
      <c r="O38" s="5">
        <v>622.32000000000005</v>
      </c>
      <c r="Q38" s="5">
        <v>3876.82</v>
      </c>
      <c r="T38" s="114">
        <f>O38-N38</f>
        <v>-199.32999999999993</v>
      </c>
      <c r="U38" s="4">
        <f>IF(N38=0,0,O38/N38-1)</f>
        <v>-0.24259721292521141</v>
      </c>
      <c r="AB38" s="18">
        <v>19829.88</v>
      </c>
      <c r="AC38" s="18">
        <v>21780.53</v>
      </c>
      <c r="AD38" s="4">
        <f>AC38/AB38-1</f>
        <v>9.8369228658973018E-2</v>
      </c>
    </row>
    <row r="39" spans="1:30">
      <c r="A39" t="s">
        <v>1222</v>
      </c>
      <c r="B39" t="s">
        <v>1223</v>
      </c>
      <c r="C39">
        <v>255</v>
      </c>
      <c r="E39" t="s">
        <v>1223</v>
      </c>
      <c r="F39">
        <v>332</v>
      </c>
      <c r="G39" t="b">
        <f>IF(B39=E39,TRUE,FALSE)</f>
        <v>1</v>
      </c>
      <c r="J39">
        <f>F39-C39</f>
        <v>77</v>
      </c>
      <c r="K39" s="4">
        <f>F39/C39-1</f>
        <v>0.30196078431372553</v>
      </c>
      <c r="L39" s="4"/>
      <c r="N39" s="5">
        <v>0</v>
      </c>
      <c r="O39" s="5">
        <v>0</v>
      </c>
      <c r="Q39" s="5">
        <v>0</v>
      </c>
      <c r="T39" s="114">
        <f>O39-N39</f>
        <v>0</v>
      </c>
      <c r="U39" s="4">
        <f>IF(N39=0,0,O39/N39-1)</f>
        <v>0</v>
      </c>
      <c r="AB39" s="18">
        <v>2546.85</v>
      </c>
      <c r="AC39" s="18">
        <v>3316.38</v>
      </c>
      <c r="AD39" s="4">
        <f>AC39/AB39-1</f>
        <v>0.30214971435302451</v>
      </c>
    </row>
    <row r="40" spans="1:30">
      <c r="A40" s="54" t="s">
        <v>1224</v>
      </c>
      <c r="B40" s="37" t="s">
        <v>1225</v>
      </c>
      <c r="C40">
        <v>362</v>
      </c>
      <c r="E40" s="37" t="s">
        <v>1225</v>
      </c>
      <c r="F40">
        <v>438</v>
      </c>
      <c r="G40" t="b">
        <f>IF(B40=E40,TRUE,FALSE)</f>
        <v>1</v>
      </c>
      <c r="J40">
        <f>F40-C40</f>
        <v>76</v>
      </c>
      <c r="K40" s="4">
        <f>F40/C40-1</f>
        <v>0.20994475138121538</v>
      </c>
      <c r="L40" s="4"/>
      <c r="N40" s="5">
        <v>616.49</v>
      </c>
      <c r="O40" s="5">
        <v>950.57</v>
      </c>
      <c r="Q40" s="5">
        <v>4699.96</v>
      </c>
      <c r="T40" s="114">
        <f>O40-N40</f>
        <v>334.08000000000004</v>
      </c>
      <c r="U40" s="4">
        <f>IF(N40=0,0,O40/N40-1)</f>
        <v>0.54190660026926629</v>
      </c>
      <c r="AB40" s="18">
        <v>8246.14</v>
      </c>
      <c r="AC40" s="18">
        <v>10026.66</v>
      </c>
      <c r="AD40" s="4">
        <f>AC40/AB40-1</f>
        <v>0.21592163121169428</v>
      </c>
    </row>
    <row r="41" spans="1:30">
      <c r="A41" t="s">
        <v>1226</v>
      </c>
      <c r="B41" t="s">
        <v>1227</v>
      </c>
      <c r="C41">
        <v>670</v>
      </c>
      <c r="E41" t="s">
        <v>1227</v>
      </c>
      <c r="F41">
        <v>744</v>
      </c>
      <c r="G41" t="b">
        <f>IF(B41=E41,TRUE,FALSE)</f>
        <v>1</v>
      </c>
      <c r="J41">
        <f>F41-C41</f>
        <v>74</v>
      </c>
      <c r="K41" s="4">
        <f>F41/C41-1</f>
        <v>0.11044776119402977</v>
      </c>
      <c r="L41" s="4"/>
      <c r="N41" s="5">
        <v>565.09</v>
      </c>
      <c r="O41" s="5">
        <v>578.6</v>
      </c>
      <c r="Q41" s="5">
        <v>4283.59</v>
      </c>
      <c r="T41" s="114">
        <f>O41-N41</f>
        <v>13.509999999999991</v>
      </c>
      <c r="U41" s="4">
        <f>IF(N41=0,0,O41/N41-1)</f>
        <v>2.3907696119202182E-2</v>
      </c>
      <c r="AB41" s="18">
        <v>19611.5</v>
      </c>
      <c r="AC41" s="18">
        <v>21562.47</v>
      </c>
      <c r="AD41" s="4">
        <f>AC41/AB41-1</f>
        <v>9.9480916809015163E-2</v>
      </c>
    </row>
    <row r="42" spans="1:30">
      <c r="A42" t="s">
        <v>1228</v>
      </c>
      <c r="B42" t="s">
        <v>1229</v>
      </c>
      <c r="C42">
        <v>456</v>
      </c>
      <c r="E42" t="s">
        <v>1229</v>
      </c>
      <c r="F42">
        <v>530</v>
      </c>
      <c r="G42" t="b">
        <f>IF(B42=E42,TRUE,FALSE)</f>
        <v>1</v>
      </c>
      <c r="J42">
        <f>F42-C42</f>
        <v>74</v>
      </c>
      <c r="K42" s="4">
        <f>F42/C42-1</f>
        <v>0.16228070175438591</v>
      </c>
      <c r="L42" s="4"/>
      <c r="N42" s="5">
        <v>24.94</v>
      </c>
      <c r="O42" s="5">
        <v>622.34</v>
      </c>
      <c r="Q42" s="5">
        <v>3129.28</v>
      </c>
      <c r="T42" s="114">
        <f>O42-N42</f>
        <v>597.4</v>
      </c>
      <c r="U42" s="4">
        <f>IF(N42=0,0,O42/N42-1)</f>
        <v>23.953488372093023</v>
      </c>
      <c r="AB42" s="18">
        <v>7298.16</v>
      </c>
      <c r="AC42" s="18">
        <v>9003.98</v>
      </c>
      <c r="AD42" s="4">
        <f>AC42/AB42-1</f>
        <v>0.23373288609731757</v>
      </c>
    </row>
    <row r="43" spans="1:30">
      <c r="A43" t="s">
        <v>1230</v>
      </c>
      <c r="B43" t="s">
        <v>1231</v>
      </c>
      <c r="C43">
        <v>238</v>
      </c>
      <c r="E43" t="s">
        <v>1231</v>
      </c>
      <c r="F43">
        <v>311</v>
      </c>
      <c r="G43" t="b">
        <f>IF(B43=E43,TRUE,FALSE)</f>
        <v>1</v>
      </c>
      <c r="J43">
        <f>F43-C43</f>
        <v>73</v>
      </c>
      <c r="K43" s="4">
        <f>F43/C43-1</f>
        <v>0.30672268907563027</v>
      </c>
      <c r="N43" s="5">
        <v>381.27</v>
      </c>
      <c r="O43" s="5">
        <v>316.22000000000003</v>
      </c>
      <c r="Q43" s="5">
        <v>1568.81</v>
      </c>
      <c r="T43" s="114">
        <f>O43-N43</f>
        <v>-65.049999999999955</v>
      </c>
      <c r="U43" s="4">
        <f>IF(N43=0,0,O43/N43-1)</f>
        <v>-0.17061400057701881</v>
      </c>
      <c r="AB43" s="18">
        <v>4597.22</v>
      </c>
      <c r="AC43" s="18">
        <v>5385.49</v>
      </c>
      <c r="AD43" s="4">
        <f>AC43/AB43-1</f>
        <v>0.17146666898690932</v>
      </c>
    </row>
    <row r="44" spans="1:30">
      <c r="A44" t="s">
        <v>1232</v>
      </c>
      <c r="B44" t="s">
        <v>1233</v>
      </c>
      <c r="C44">
        <v>1167</v>
      </c>
      <c r="E44" t="s">
        <v>1233</v>
      </c>
      <c r="F44">
        <v>1224</v>
      </c>
      <c r="G44" t="b">
        <f>IF(B44=E44,TRUE,FALSE)</f>
        <v>1</v>
      </c>
      <c r="J44">
        <f>F44-C44</f>
        <v>57</v>
      </c>
      <c r="K44" s="4">
        <f>F44/C44-1</f>
        <v>4.8843187660668308E-2</v>
      </c>
      <c r="L44" s="4"/>
      <c r="N44" s="5">
        <v>1354.65</v>
      </c>
      <c r="O44" s="5">
        <v>1307.6600000000001</v>
      </c>
      <c r="Q44" s="5">
        <v>6809.62</v>
      </c>
      <c r="T44" s="114">
        <f>O44-N44</f>
        <v>-46.990000000000009</v>
      </c>
      <c r="U44" s="4">
        <f>IF(N44=0,0,O44/N44-1)</f>
        <v>-3.4687926770752608E-2</v>
      </c>
      <c r="AB44" s="18">
        <v>22590.18</v>
      </c>
      <c r="AC44" s="18">
        <v>23256.51</v>
      </c>
      <c r="AD44" s="4">
        <f>AC44/AB44-1</f>
        <v>2.9496444915445563E-2</v>
      </c>
    </row>
    <row r="45" spans="1:30">
      <c r="A45" t="s">
        <v>1234</v>
      </c>
      <c r="B45" t="s">
        <v>1235</v>
      </c>
      <c r="C45">
        <v>1000</v>
      </c>
      <c r="E45" t="s">
        <v>1235</v>
      </c>
      <c r="F45">
        <v>1050</v>
      </c>
      <c r="G45" t="b">
        <f>IF(B45=E45,TRUE,FALSE)</f>
        <v>1</v>
      </c>
      <c r="J45">
        <f>F45-C45</f>
        <v>50</v>
      </c>
      <c r="K45" s="4">
        <f>F45/C45-1</f>
        <v>5.0000000000000044E-2</v>
      </c>
      <c r="L45" s="4"/>
      <c r="N45" s="5">
        <v>904.88</v>
      </c>
      <c r="O45" s="5">
        <v>795.94</v>
      </c>
      <c r="Q45" s="5">
        <v>8653.74</v>
      </c>
      <c r="T45" s="114">
        <f>O45-N45</f>
        <v>-108.93999999999994</v>
      </c>
      <c r="U45" s="4">
        <f>IF(N45=0,0,O45/N45-1)</f>
        <v>-0.1203916541419856</v>
      </c>
      <c r="AB45" s="18">
        <v>16988.47</v>
      </c>
      <c r="AC45" s="18">
        <v>17837.29</v>
      </c>
      <c r="AD45" s="4">
        <f>AC45/AB45-1</f>
        <v>4.9964475906305816E-2</v>
      </c>
    </row>
    <row r="46" spans="1:30">
      <c r="A46" t="s">
        <v>1236</v>
      </c>
      <c r="B46" t="s">
        <v>1237</v>
      </c>
      <c r="C46">
        <v>1170</v>
      </c>
      <c r="E46" t="s">
        <v>1237</v>
      </c>
      <c r="F46">
        <v>1216</v>
      </c>
      <c r="G46" t="b">
        <f>IF(B46=E46,TRUE,FALSE)</f>
        <v>1</v>
      </c>
      <c r="J46">
        <f>F46-C46</f>
        <v>46</v>
      </c>
      <c r="K46" s="4">
        <f>F46/C46-1</f>
        <v>3.9316239316239399E-2</v>
      </c>
      <c r="L46" s="4"/>
      <c r="N46" s="5">
        <v>1096.45</v>
      </c>
      <c r="O46" s="5">
        <v>1101.9100000000001</v>
      </c>
      <c r="Q46" s="5">
        <v>10872.92</v>
      </c>
      <c r="T46" s="114">
        <f>O46-N46</f>
        <v>5.4600000000000364</v>
      </c>
      <c r="U46" s="4">
        <f>IF(N46=0,0,O46/N46-1)</f>
        <v>4.979707236992148E-3</v>
      </c>
      <c r="AB46" s="18">
        <v>41290.240000000005</v>
      </c>
      <c r="AC46" s="18">
        <v>44684.639999999999</v>
      </c>
      <c r="AD46" s="4">
        <f>AC46/AB46-1</f>
        <v>8.2208289416578761E-2</v>
      </c>
    </row>
    <row r="47" spans="1:30">
      <c r="A47" s="54" t="s">
        <v>1238</v>
      </c>
      <c r="B47" t="s">
        <v>1239</v>
      </c>
      <c r="C47">
        <v>3335</v>
      </c>
      <c r="E47" t="s">
        <v>1239</v>
      </c>
      <c r="F47">
        <v>3351</v>
      </c>
      <c r="G47" t="b">
        <f>IF(B47=E47,TRUE,FALSE)</f>
        <v>1</v>
      </c>
      <c r="J47">
        <f>F47-C47</f>
        <v>16</v>
      </c>
      <c r="K47" s="4">
        <f>F47/C47-1</f>
        <v>4.7976011994002032E-3</v>
      </c>
      <c r="L47" s="4"/>
      <c r="N47" s="5">
        <v>4692.38</v>
      </c>
      <c r="O47" s="5">
        <v>5511.04</v>
      </c>
      <c r="Q47" s="5">
        <v>44086.28</v>
      </c>
      <c r="T47" s="114">
        <f>O47-N47</f>
        <v>818.65999999999985</v>
      </c>
      <c r="U47" s="4">
        <f>IF(N47=0,0,O47/N47-1)</f>
        <v>0.17446583610023048</v>
      </c>
      <c r="AB47" s="18">
        <v>100001.95</v>
      </c>
      <c r="AC47" s="18">
        <v>100476.69</v>
      </c>
      <c r="AD47" s="4">
        <f>AC47/AB47-1</f>
        <v>4.7473074275052873E-3</v>
      </c>
    </row>
    <row r="48" spans="1:30">
      <c r="A48" t="s">
        <v>1240</v>
      </c>
      <c r="B48" t="s">
        <v>1241</v>
      </c>
      <c r="C48">
        <v>1714</v>
      </c>
      <c r="E48" t="s">
        <v>1241</v>
      </c>
      <c r="F48">
        <v>1729</v>
      </c>
      <c r="G48" t="b">
        <f>IF(B48=E48,TRUE,FALSE)</f>
        <v>1</v>
      </c>
      <c r="J48">
        <f>F48-C48</f>
        <v>15</v>
      </c>
      <c r="K48" s="4">
        <f>F48/C48-1</f>
        <v>8.7514585764294495E-3</v>
      </c>
      <c r="L48" s="6"/>
      <c r="N48" s="5">
        <v>2949.23</v>
      </c>
      <c r="O48" s="5">
        <v>2799.94</v>
      </c>
      <c r="Q48" s="5">
        <v>15658.48</v>
      </c>
      <c r="T48" s="114">
        <f>O48-N48</f>
        <v>-149.28999999999996</v>
      </c>
      <c r="U48" s="4">
        <f>IF(N48=0,0,O48/N48-1)</f>
        <v>-5.0619992336982889E-2</v>
      </c>
      <c r="AB48" s="18">
        <v>36662.36</v>
      </c>
      <c r="AC48" s="18">
        <v>36813.129999999997</v>
      </c>
      <c r="AD48" s="4">
        <f>AC48/AB48-1</f>
        <v>4.1123921100549854E-3</v>
      </c>
    </row>
    <row r="49" spans="1:30">
      <c r="A49" t="s">
        <v>1242</v>
      </c>
      <c r="B49" t="s">
        <v>1243</v>
      </c>
      <c r="C49">
        <v>739</v>
      </c>
      <c r="E49" t="s">
        <v>1243</v>
      </c>
      <c r="F49">
        <v>753</v>
      </c>
      <c r="G49" t="b">
        <f>IF(B49=E49,TRUE,FALSE)</f>
        <v>1</v>
      </c>
      <c r="J49">
        <f>F49-C49</f>
        <v>14</v>
      </c>
      <c r="K49" s="4">
        <f>F49/C49-1</f>
        <v>1.8944519621109546E-2</v>
      </c>
      <c r="L49" s="4"/>
      <c r="N49" s="5">
        <v>1212.7</v>
      </c>
      <c r="O49" s="5">
        <v>1312.06</v>
      </c>
      <c r="Q49" s="5">
        <v>9321.6200000000008</v>
      </c>
      <c r="T49" s="114">
        <f>O49-N49</f>
        <v>99.3599999999999</v>
      </c>
      <c r="U49" s="4">
        <f>IF(N49=0,0,O49/N49-1)</f>
        <v>8.1932877051207997E-2</v>
      </c>
      <c r="X49" s="5"/>
      <c r="Y49" s="5"/>
      <c r="Z49" s="5"/>
      <c r="AA49" s="17"/>
      <c r="AB49" s="18">
        <v>18585.47</v>
      </c>
      <c r="AC49" s="18">
        <v>18710.13</v>
      </c>
      <c r="AD49" s="4">
        <f>AC49/AB49-1</f>
        <v>6.7073902354903847E-3</v>
      </c>
    </row>
    <row r="50" spans="1:30">
      <c r="A50" t="s">
        <v>1244</v>
      </c>
      <c r="B50" t="s">
        <v>1245</v>
      </c>
      <c r="C50">
        <v>0</v>
      </c>
      <c r="E50" t="s">
        <v>1245</v>
      </c>
      <c r="F50">
        <v>0</v>
      </c>
      <c r="G50" t="b">
        <f>IF(B50=E50,TRUE,FALSE)</f>
        <v>1</v>
      </c>
      <c r="J50">
        <f>F50-C50</f>
        <v>0</v>
      </c>
      <c r="K50" s="4" t="e">
        <f>F50/C50-1</f>
        <v>#DIV/0!</v>
      </c>
      <c r="L50" s="4"/>
      <c r="N50" s="5">
        <v>0</v>
      </c>
      <c r="O50" s="5">
        <v>0</v>
      </c>
      <c r="Q50" s="5">
        <v>0</v>
      </c>
      <c r="T50" s="114">
        <f>O50-N50</f>
        <v>0</v>
      </c>
      <c r="U50" s="4">
        <f>IF(N50=0,0,O50/N50-1)</f>
        <v>0</v>
      </c>
      <c r="X50" t="s">
        <v>1246</v>
      </c>
      <c r="AB50" s="18">
        <v>0</v>
      </c>
      <c r="AC50" s="18">
        <v>0</v>
      </c>
      <c r="AD50" s="4" t="e">
        <f>AC50/AB50-1</f>
        <v>#DIV/0!</v>
      </c>
    </row>
    <row r="51" spans="1:30">
      <c r="A51" t="s">
        <v>1247</v>
      </c>
      <c r="B51" t="s">
        <v>1248</v>
      </c>
      <c r="C51">
        <v>0</v>
      </c>
      <c r="E51" t="s">
        <v>1248</v>
      </c>
      <c r="F51">
        <v>0</v>
      </c>
      <c r="G51" t="b">
        <f>IF(B51=E51,TRUE,FALSE)</f>
        <v>1</v>
      </c>
      <c r="J51">
        <f>F51-C51</f>
        <v>0</v>
      </c>
      <c r="K51" s="4" t="e">
        <f>F51/C51-1</f>
        <v>#DIV/0!</v>
      </c>
      <c r="L51" s="4"/>
      <c r="N51" s="5">
        <v>0</v>
      </c>
      <c r="O51" s="5">
        <v>0</v>
      </c>
      <c r="Q51" s="5">
        <v>0</v>
      </c>
      <c r="T51" s="114">
        <f>O51-N51</f>
        <v>0</v>
      </c>
      <c r="U51" s="4">
        <f>IF(N51=0,0,O51/N51-1)</f>
        <v>0</v>
      </c>
      <c r="AB51" s="18">
        <v>0</v>
      </c>
      <c r="AC51" s="18">
        <v>0</v>
      </c>
      <c r="AD51" s="4" t="e">
        <f>AC51/AB51-1</f>
        <v>#DIV/0!</v>
      </c>
    </row>
    <row r="52" spans="1:30">
      <c r="A52" s="55" t="s">
        <v>1249</v>
      </c>
      <c r="B52" s="37" t="s">
        <v>1250</v>
      </c>
      <c r="C52">
        <v>0</v>
      </c>
      <c r="E52" s="37" t="s">
        <v>1250</v>
      </c>
      <c r="F52">
        <v>0</v>
      </c>
      <c r="G52" t="b">
        <f>IF(B52=E52,TRUE,FALSE)</f>
        <v>1</v>
      </c>
      <c r="J52">
        <f>F52-C52</f>
        <v>0</v>
      </c>
      <c r="K52" s="4" t="e">
        <f>F52/C52-1</f>
        <v>#DIV/0!</v>
      </c>
      <c r="L52" s="4"/>
      <c r="N52" s="5">
        <v>0</v>
      </c>
      <c r="O52" s="5">
        <v>0</v>
      </c>
      <c r="Q52" s="5">
        <v>0</v>
      </c>
      <c r="T52" s="114">
        <f>O52-N52</f>
        <v>0</v>
      </c>
      <c r="U52" s="4">
        <f>IF(N52=0,0,O52/N52-1)</f>
        <v>0</v>
      </c>
      <c r="AB52" s="18">
        <v>0</v>
      </c>
      <c r="AC52" s="18">
        <v>0</v>
      </c>
      <c r="AD52" s="4" t="e">
        <f>AC52/AB52-1</f>
        <v>#DIV/0!</v>
      </c>
    </row>
    <row r="53" spans="1:30">
      <c r="A53" t="s">
        <v>1251</v>
      </c>
      <c r="B53" t="s">
        <v>1252</v>
      </c>
      <c r="C53">
        <v>0</v>
      </c>
      <c r="E53" t="s">
        <v>1252</v>
      </c>
      <c r="F53">
        <v>0</v>
      </c>
      <c r="G53" t="b">
        <f>IF(B53=E53,TRUE,FALSE)</f>
        <v>1</v>
      </c>
      <c r="J53">
        <f>F53-C53</f>
        <v>0</v>
      </c>
      <c r="K53" s="4" t="e">
        <f>F53/C53-1</f>
        <v>#DIV/0!</v>
      </c>
      <c r="L53" s="4"/>
      <c r="N53" s="5">
        <v>0</v>
      </c>
      <c r="O53" s="5">
        <v>0</v>
      </c>
      <c r="Q53" s="5">
        <v>0</v>
      </c>
      <c r="T53" s="114">
        <f>O53-N53</f>
        <v>0</v>
      </c>
      <c r="U53" s="4">
        <f>IF(N53=0,0,O53/N53-1)</f>
        <v>0</v>
      </c>
      <c r="AB53" s="18">
        <v>0</v>
      </c>
      <c r="AC53" s="18">
        <v>0</v>
      </c>
      <c r="AD53" s="4" t="e">
        <f>AC53/AB53-1</f>
        <v>#DIV/0!</v>
      </c>
    </row>
    <row r="54" spans="1:30">
      <c r="A54" t="s">
        <v>1253</v>
      </c>
      <c r="B54" t="s">
        <v>1254</v>
      </c>
      <c r="C54">
        <v>0</v>
      </c>
      <c r="E54" t="s">
        <v>1254</v>
      </c>
      <c r="F54">
        <v>0</v>
      </c>
      <c r="G54" t="b">
        <f>IF(B54=E54,TRUE,FALSE)</f>
        <v>1</v>
      </c>
      <c r="J54">
        <f>F54-C54</f>
        <v>0</v>
      </c>
      <c r="K54" s="4" t="e">
        <f>F54/C54-1</f>
        <v>#DIV/0!</v>
      </c>
      <c r="L54" s="4"/>
      <c r="N54" s="5">
        <v>0</v>
      </c>
      <c r="O54" s="5">
        <v>0</v>
      </c>
      <c r="Q54" s="5">
        <v>0</v>
      </c>
      <c r="T54" s="114">
        <f>O54-N54</f>
        <v>0</v>
      </c>
      <c r="U54" s="4">
        <f>IF(N54=0,0,O54/N54-1)</f>
        <v>0</v>
      </c>
      <c r="X54" t="s">
        <v>1255</v>
      </c>
      <c r="AB54" s="18">
        <v>0</v>
      </c>
      <c r="AC54" s="18">
        <v>0</v>
      </c>
      <c r="AD54" s="4" t="e">
        <f>AC54/AB54-1</f>
        <v>#DIV/0!</v>
      </c>
    </row>
    <row r="55" spans="1:30">
      <c r="A55" t="s">
        <v>1256</v>
      </c>
      <c r="B55" t="s">
        <v>1257</v>
      </c>
      <c r="C55">
        <v>0</v>
      </c>
      <c r="E55" t="s">
        <v>1257</v>
      </c>
      <c r="F55">
        <v>0</v>
      </c>
      <c r="G55" t="b">
        <f>IF(B55=E55,TRUE,FALSE)</f>
        <v>1</v>
      </c>
      <c r="J55">
        <f>F55-C55</f>
        <v>0</v>
      </c>
      <c r="K55" s="4" t="e">
        <f>F55/C55-1</f>
        <v>#DIV/0!</v>
      </c>
      <c r="N55" s="5">
        <v>0</v>
      </c>
      <c r="O55" s="5">
        <v>0</v>
      </c>
      <c r="Q55" s="5">
        <v>0</v>
      </c>
      <c r="T55" s="114">
        <f>O55-N55</f>
        <v>0</v>
      </c>
      <c r="U55" s="4">
        <f>IF(N55=0,0,O55/N55-1)</f>
        <v>0</v>
      </c>
      <c r="AB55" s="18">
        <v>0</v>
      </c>
      <c r="AC55" s="18">
        <v>0</v>
      </c>
      <c r="AD55" s="4" t="e">
        <f>AC55/AB55-1</f>
        <v>#DIV/0!</v>
      </c>
    </row>
    <row r="56" spans="1:30">
      <c r="A56" t="s">
        <v>1258</v>
      </c>
      <c r="B56" t="s">
        <v>1259</v>
      </c>
      <c r="C56">
        <v>0</v>
      </c>
      <c r="E56" t="s">
        <v>1259</v>
      </c>
      <c r="F56">
        <v>0</v>
      </c>
      <c r="G56" t="b">
        <f>IF(B56=E56,TRUE,FALSE)</f>
        <v>1</v>
      </c>
      <c r="J56">
        <f>F56-C56</f>
        <v>0</v>
      </c>
      <c r="K56" s="4" t="e">
        <f>F56/C56-1</f>
        <v>#DIV/0!</v>
      </c>
      <c r="L56" s="4"/>
      <c r="N56" s="5">
        <v>0</v>
      </c>
      <c r="O56" s="5">
        <v>0</v>
      </c>
      <c r="Q56" s="5">
        <v>0</v>
      </c>
      <c r="T56" s="114">
        <f>O56-N56</f>
        <v>0</v>
      </c>
      <c r="U56" s="4">
        <f>IF(N56=0,0,O56/N56-1)</f>
        <v>0</v>
      </c>
      <c r="AB56" s="18">
        <v>0</v>
      </c>
      <c r="AC56" s="18">
        <v>0</v>
      </c>
      <c r="AD56" s="4" t="e">
        <f>AC56/AB56-1</f>
        <v>#DIV/0!</v>
      </c>
    </row>
    <row r="57" spans="1:30">
      <c r="A57" t="s">
        <v>1260</v>
      </c>
      <c r="B57" t="s">
        <v>1261</v>
      </c>
      <c r="C57">
        <v>0</v>
      </c>
      <c r="E57" t="s">
        <v>1261</v>
      </c>
      <c r="F57">
        <v>0</v>
      </c>
      <c r="G57" t="b">
        <f>IF(B57=E57,TRUE,FALSE)</f>
        <v>1</v>
      </c>
      <c r="J57">
        <f>F57-C57</f>
        <v>0</v>
      </c>
      <c r="K57" s="4" t="e">
        <f>F57/C57-1</f>
        <v>#DIV/0!</v>
      </c>
      <c r="L57" s="4"/>
      <c r="N57" s="5">
        <v>0</v>
      </c>
      <c r="O57" s="5">
        <v>0</v>
      </c>
      <c r="Q57" s="5">
        <v>0</v>
      </c>
      <c r="T57" s="114">
        <f>O57-N57</f>
        <v>0</v>
      </c>
      <c r="U57" s="4">
        <f>IF(N57=0,0,O57/N57-1)</f>
        <v>0</v>
      </c>
      <c r="AB57" s="18">
        <v>0</v>
      </c>
      <c r="AC57" s="18">
        <v>0</v>
      </c>
      <c r="AD57" s="4" t="e">
        <f>AC57/AB57-1</f>
        <v>#DIV/0!</v>
      </c>
    </row>
    <row r="58" spans="1:30">
      <c r="A58" t="s">
        <v>1262</v>
      </c>
      <c r="B58" t="s">
        <v>1263</v>
      </c>
      <c r="C58">
        <v>1</v>
      </c>
      <c r="E58" t="s">
        <v>1263</v>
      </c>
      <c r="F58">
        <v>0</v>
      </c>
      <c r="G58" t="b">
        <f>IF(B58=E58,TRUE,FALSE)</f>
        <v>1</v>
      </c>
      <c r="J58">
        <f>F58-C58</f>
        <v>-1</v>
      </c>
      <c r="K58" s="4">
        <f>F58/C58-1</f>
        <v>-1</v>
      </c>
      <c r="L58" s="4"/>
      <c r="N58" s="5">
        <v>0</v>
      </c>
      <c r="O58" s="5">
        <v>0</v>
      </c>
      <c r="Q58" s="5">
        <v>0</v>
      </c>
      <c r="T58" s="114">
        <f>O58-N58</f>
        <v>0</v>
      </c>
      <c r="U58" s="4">
        <f>IF(N58=0,0,O58/N58-1)</f>
        <v>0</v>
      </c>
      <c r="AB58" s="18">
        <v>22.99</v>
      </c>
      <c r="AC58" s="18">
        <v>0</v>
      </c>
      <c r="AD58" s="4">
        <f>AC58/AB58-1</f>
        <v>-1</v>
      </c>
    </row>
    <row r="59" spans="1:30">
      <c r="A59" t="s">
        <v>1264</v>
      </c>
      <c r="B59" t="s">
        <v>1265</v>
      </c>
      <c r="C59">
        <v>336</v>
      </c>
      <c r="E59" t="s">
        <v>1265</v>
      </c>
      <c r="F59">
        <v>332</v>
      </c>
      <c r="G59" t="b">
        <f>IF(B59=E59,TRUE,FALSE)</f>
        <v>1</v>
      </c>
      <c r="J59">
        <f>F59-C59</f>
        <v>-4</v>
      </c>
      <c r="K59" s="4">
        <f>F59/C59-1</f>
        <v>-1.1904761904761862E-2</v>
      </c>
      <c r="L59" s="4"/>
      <c r="N59" s="5">
        <v>591.52</v>
      </c>
      <c r="O59" s="5">
        <v>622.63</v>
      </c>
      <c r="Q59" s="5">
        <v>4421.1099999999997</v>
      </c>
      <c r="T59" s="114">
        <f>O59-N59</f>
        <v>31.110000000000014</v>
      </c>
      <c r="U59" s="4">
        <f>IF(N59=0,0,O59/N59-1)</f>
        <v>5.2593318907222075E-2</v>
      </c>
      <c r="AB59" s="18">
        <v>9970.65</v>
      </c>
      <c r="AC59" s="18">
        <v>9912.25</v>
      </c>
      <c r="AD59" s="4">
        <f>AC59/AB59-1</f>
        <v>-5.8571908551598995E-3</v>
      </c>
    </row>
    <row r="60" spans="1:30" ht="13.9" customHeight="1">
      <c r="A60" t="s">
        <v>1266</v>
      </c>
      <c r="B60" t="s">
        <v>1267</v>
      </c>
      <c r="C60">
        <v>17</v>
      </c>
      <c r="E60" t="s">
        <v>1267</v>
      </c>
      <c r="F60">
        <v>13</v>
      </c>
      <c r="G60" t="b">
        <f>IF(B60=E60,TRUE,FALSE)</f>
        <v>1</v>
      </c>
      <c r="J60">
        <f>F60-C60</f>
        <v>-4</v>
      </c>
      <c r="K60" s="4">
        <f>F60/C60-1</f>
        <v>-0.23529411764705888</v>
      </c>
      <c r="L60" s="4"/>
      <c r="N60" s="5">
        <v>12.27</v>
      </c>
      <c r="O60" s="5">
        <v>25.68</v>
      </c>
      <c r="Q60" s="5">
        <v>79.16</v>
      </c>
      <c r="T60" s="114">
        <f>O60-N60</f>
        <v>13.41</v>
      </c>
      <c r="U60" s="4">
        <f>IF(N60=0,0,O60/N60-1)</f>
        <v>1.0929095354523226</v>
      </c>
      <c r="AB60" s="18">
        <v>661.76</v>
      </c>
      <c r="AC60" s="18">
        <v>506.35</v>
      </c>
      <c r="AD60" s="4">
        <f>AC60/AB60-1</f>
        <v>-0.2348434477756286</v>
      </c>
    </row>
    <row r="61" spans="1:30" ht="13.9" customHeight="1">
      <c r="A61" t="s">
        <v>1268</v>
      </c>
      <c r="B61" t="s">
        <v>1269</v>
      </c>
      <c r="C61">
        <v>1266</v>
      </c>
      <c r="E61" t="s">
        <v>1269</v>
      </c>
      <c r="F61">
        <v>1261</v>
      </c>
      <c r="G61" t="b">
        <f>IF(B61=E61,TRUE,FALSE)</f>
        <v>1</v>
      </c>
      <c r="J61">
        <f>F61-C61</f>
        <v>-5</v>
      </c>
      <c r="K61" s="4">
        <f>F61/C61-1</f>
        <v>-3.949447077409185E-3</v>
      </c>
      <c r="L61" s="4"/>
      <c r="N61" s="5">
        <v>794.12</v>
      </c>
      <c r="O61" s="5">
        <v>667.68</v>
      </c>
      <c r="Q61" s="5">
        <v>3794.13</v>
      </c>
      <c r="T61" s="114">
        <f>O61-N61</f>
        <v>-126.44000000000005</v>
      </c>
      <c r="U61" s="4">
        <f>IF(N61=0,0,O61/N61-1)</f>
        <v>-0.15922026897698083</v>
      </c>
      <c r="X61" t="s">
        <v>1270</v>
      </c>
      <c r="AB61" s="18">
        <v>29527.95</v>
      </c>
      <c r="AC61" s="18">
        <v>28930.880000000001</v>
      </c>
      <c r="AD61" s="4">
        <f>AC61/AB61-1</f>
        <v>-2.0220502947207675E-2</v>
      </c>
    </row>
    <row r="62" spans="1:30" ht="13.9" customHeight="1">
      <c r="A62" s="27" t="s">
        <v>1271</v>
      </c>
      <c r="B62" s="27" t="s">
        <v>1272</v>
      </c>
      <c r="C62">
        <v>357</v>
      </c>
      <c r="E62" s="27" t="s">
        <v>1272</v>
      </c>
      <c r="F62">
        <v>351</v>
      </c>
      <c r="G62" t="b">
        <f>IF(B62=E62,TRUE,FALSE)</f>
        <v>1</v>
      </c>
      <c r="J62">
        <f>F62-C62</f>
        <v>-6</v>
      </c>
      <c r="K62" s="4">
        <f>F62/C62-1</f>
        <v>-1.6806722689075682E-2</v>
      </c>
      <c r="L62" s="4"/>
      <c r="N62" s="5">
        <v>841.29</v>
      </c>
      <c r="O62" s="5">
        <v>739.3</v>
      </c>
      <c r="Q62" s="5">
        <v>4468.99</v>
      </c>
      <c r="T62" s="114">
        <f>O62-N62</f>
        <v>-101.99000000000001</v>
      </c>
      <c r="U62" s="4">
        <f>IF(N62=0,0,O62/N62-1)</f>
        <v>-0.12123049126936014</v>
      </c>
      <c r="AB62" s="18">
        <v>9634.35</v>
      </c>
      <c r="AC62" s="18">
        <v>9471.8700000000008</v>
      </c>
      <c r="AD62" s="4">
        <f>AC62/AB62-1</f>
        <v>-1.6864656152205337E-2</v>
      </c>
    </row>
    <row r="63" spans="1:30" ht="13.9" customHeight="1">
      <c r="A63" t="s">
        <v>1273</v>
      </c>
      <c r="B63" t="s">
        <v>1274</v>
      </c>
      <c r="C63">
        <v>1089</v>
      </c>
      <c r="E63" t="s">
        <v>1274</v>
      </c>
      <c r="F63">
        <v>1082</v>
      </c>
      <c r="G63" t="b">
        <f>IF(B63=E63,TRUE,FALSE)</f>
        <v>1</v>
      </c>
      <c r="J63">
        <f>F63-C63</f>
        <v>-7</v>
      </c>
      <c r="K63" s="4">
        <f>F63/C63-1</f>
        <v>-6.4279155188246007E-3</v>
      </c>
      <c r="L63" s="4"/>
      <c r="N63" s="5">
        <v>2234.9499999999998</v>
      </c>
      <c r="O63" s="5">
        <v>1434.94</v>
      </c>
      <c r="Q63" s="5">
        <v>7269.41</v>
      </c>
      <c r="T63" s="114">
        <f>O63-N63</f>
        <v>-800.00999999999976</v>
      </c>
      <c r="U63" s="4">
        <f>IF(N63=0,0,O63/N63-1)</f>
        <v>-0.35795431665137911</v>
      </c>
      <c r="AB63" s="18">
        <v>25334.79</v>
      </c>
      <c r="AC63" s="18">
        <v>24965.74</v>
      </c>
      <c r="AD63" s="4">
        <f>AC63/AB63-1</f>
        <v>-1.4566925559674981E-2</v>
      </c>
    </row>
    <row r="64" spans="1:30" ht="13.9" customHeight="1">
      <c r="A64" s="55" t="s">
        <v>1275</v>
      </c>
      <c r="B64" s="37" t="s">
        <v>1276</v>
      </c>
      <c r="C64">
        <v>1775</v>
      </c>
      <c r="E64" s="37" t="s">
        <v>1276</v>
      </c>
      <c r="F64">
        <v>1765</v>
      </c>
      <c r="G64" t="b">
        <f>IF(B64=E64,TRUE,FALSE)</f>
        <v>1</v>
      </c>
      <c r="J64">
        <f>F64-C64</f>
        <v>-10</v>
      </c>
      <c r="K64" s="4">
        <f>F64/C64-1</f>
        <v>-5.6338028169014009E-3</v>
      </c>
      <c r="L64" s="4"/>
      <c r="N64" s="5">
        <v>2500.37</v>
      </c>
      <c r="O64" s="5">
        <v>2125.67</v>
      </c>
      <c r="Q64" s="5">
        <v>10369.15</v>
      </c>
      <c r="T64" s="114">
        <f>O64-N64</f>
        <v>-374.69999999999982</v>
      </c>
      <c r="U64" s="4">
        <f>IF(N65=0,0,O64/N65-1)</f>
        <v>1.1962350315641563</v>
      </c>
      <c r="AB64" s="18">
        <v>36017.01</v>
      </c>
      <c r="AC64" s="18">
        <v>35554.629999999997</v>
      </c>
      <c r="AD64" s="4">
        <f>AC64/AB64-1</f>
        <v>-1.2837823017513239E-2</v>
      </c>
    </row>
    <row r="65" spans="1:30" ht="13.9" customHeight="1">
      <c r="A65" s="54" t="s">
        <v>1277</v>
      </c>
      <c r="B65" s="37" t="s">
        <v>1278</v>
      </c>
      <c r="C65">
        <v>664</v>
      </c>
      <c r="E65" s="37" t="s">
        <v>1278</v>
      </c>
      <c r="F65">
        <v>654</v>
      </c>
      <c r="G65" t="b">
        <f>IF(B65=E65,TRUE,FALSE)</f>
        <v>1</v>
      </c>
      <c r="J65">
        <f>F65-C65</f>
        <v>-10</v>
      </c>
      <c r="K65" s="4">
        <f>F65/C65-1</f>
        <v>-1.5060240963855387E-2</v>
      </c>
      <c r="L65" s="4"/>
      <c r="N65" s="5">
        <v>967.87</v>
      </c>
      <c r="O65" s="5">
        <v>604.15</v>
      </c>
      <c r="Q65" s="5">
        <v>4031.48</v>
      </c>
      <c r="T65" s="114">
        <f>O65-N65</f>
        <v>-363.72</v>
      </c>
      <c r="U65" s="4">
        <f>IF(N66=0,0,O65/N66-1)</f>
        <v>-0.79053625354075729</v>
      </c>
      <c r="AB65" s="18">
        <v>9977.84</v>
      </c>
      <c r="AC65" s="18">
        <v>10456.98</v>
      </c>
      <c r="AD65" s="4">
        <f>AC65/AB65-1</f>
        <v>4.8020413235730253E-2</v>
      </c>
    </row>
    <row r="66" spans="1:30" ht="13.9" customHeight="1">
      <c r="A66" t="s">
        <v>1279</v>
      </c>
      <c r="B66" t="s">
        <v>1280</v>
      </c>
      <c r="C66">
        <v>2010</v>
      </c>
      <c r="E66" t="s">
        <v>1280</v>
      </c>
      <c r="F66">
        <v>1999</v>
      </c>
      <c r="G66" t="b">
        <f>IF(B66=E66,TRUE,FALSE)</f>
        <v>1</v>
      </c>
      <c r="J66">
        <f>F66-C66</f>
        <v>-11</v>
      </c>
      <c r="K66" s="4">
        <f>F66/C66-1</f>
        <v>-5.472636815920362E-3</v>
      </c>
      <c r="L66" s="6"/>
      <c r="N66" s="5">
        <v>2884.27</v>
      </c>
      <c r="O66" s="5">
        <v>1949.92</v>
      </c>
      <c r="Q66" s="5">
        <v>8105.45</v>
      </c>
      <c r="T66" s="114">
        <f>O66-N66</f>
        <v>-934.34999999999991</v>
      </c>
      <c r="U66" s="4">
        <f>IF(N66=0,0,O66/N66-1)</f>
        <v>-0.32394678722865744</v>
      </c>
      <c r="AB66" s="18">
        <v>41133.99</v>
      </c>
      <c r="AC66" s="18">
        <v>41082.61</v>
      </c>
      <c r="AD66" s="4">
        <f>AC66/AB66-1</f>
        <v>-1.2490886490709174E-3</v>
      </c>
    </row>
    <row r="67" spans="1:30" ht="13.9" customHeight="1">
      <c r="A67" t="s">
        <v>1281</v>
      </c>
      <c r="B67" t="s">
        <v>1282</v>
      </c>
      <c r="C67">
        <v>266</v>
      </c>
      <c r="E67" t="s">
        <v>1282</v>
      </c>
      <c r="F67">
        <v>251</v>
      </c>
      <c r="G67" t="b">
        <f>IF(B67=E67,TRUE,FALSE)</f>
        <v>1</v>
      </c>
      <c r="J67">
        <f>F67-C67</f>
        <v>-15</v>
      </c>
      <c r="K67" s="4">
        <f>F67/C67-1</f>
        <v>-5.6390977443608992E-2</v>
      </c>
      <c r="L67" s="4"/>
      <c r="N67" s="5">
        <v>549.19000000000005</v>
      </c>
      <c r="O67" s="5">
        <v>470.61</v>
      </c>
      <c r="Q67" s="5">
        <v>3018.2</v>
      </c>
      <c r="T67" s="114">
        <f>O67-N67</f>
        <v>-78.580000000000041</v>
      </c>
      <c r="U67" s="4">
        <f>IF(N67=0,0,O67/N67-1)</f>
        <v>-0.14308345017207169</v>
      </c>
      <c r="AB67" s="18">
        <v>7562.44</v>
      </c>
      <c r="AC67" s="18">
        <v>7244.59</v>
      </c>
      <c r="AD67" s="4">
        <f>AC67/AB67-1</f>
        <v>-4.2030085527951178E-2</v>
      </c>
    </row>
    <row r="68" spans="1:30" ht="13.9" customHeight="1">
      <c r="A68" t="s">
        <v>1283</v>
      </c>
      <c r="B68" t="s">
        <v>1284</v>
      </c>
      <c r="C68">
        <v>4666</v>
      </c>
      <c r="E68" t="s">
        <v>1284</v>
      </c>
      <c r="F68">
        <v>4641</v>
      </c>
      <c r="G68" t="b">
        <f>IF(B68=E68,TRUE,FALSE)</f>
        <v>1</v>
      </c>
      <c r="J68">
        <f>F68-C68</f>
        <v>-25</v>
      </c>
      <c r="K68" s="4">
        <f>F68/C68-1</f>
        <v>-5.357908272610401E-3</v>
      </c>
      <c r="L68" s="4"/>
      <c r="N68" s="5">
        <v>3754.1</v>
      </c>
      <c r="O68" s="5">
        <v>3839.51</v>
      </c>
      <c r="Q68" s="5">
        <v>19756.13</v>
      </c>
      <c r="T68" s="114">
        <f>O68-N68</f>
        <v>85.410000000000309</v>
      </c>
      <c r="U68" s="4">
        <f>IF(N68=0,0,O68/N68-1)</f>
        <v>2.2751125436189845E-2</v>
      </c>
      <c r="Y68" t="s">
        <v>1285</v>
      </c>
      <c r="AB68" s="18">
        <v>76142.41</v>
      </c>
      <c r="AC68" s="18">
        <v>82761.200000000012</v>
      </c>
      <c r="AD68" s="4">
        <f>AC68/AB68-1</f>
        <v>8.6926457935859958E-2</v>
      </c>
    </row>
    <row r="69" spans="1:30" ht="13.9" customHeight="1">
      <c r="A69" t="s">
        <v>1286</v>
      </c>
      <c r="B69" t="s">
        <v>1287</v>
      </c>
      <c r="C69">
        <v>486</v>
      </c>
      <c r="E69" t="s">
        <v>1287</v>
      </c>
      <c r="F69">
        <v>461</v>
      </c>
      <c r="G69" t="b">
        <f>IF(B69=E69,TRUE,FALSE)</f>
        <v>1</v>
      </c>
      <c r="J69">
        <f>F69-C69</f>
        <v>-25</v>
      </c>
      <c r="K69" s="4">
        <f>F69/C69-1</f>
        <v>-5.1440329218107039E-2</v>
      </c>
      <c r="L69" s="6"/>
      <c r="N69" s="5">
        <v>1087.8</v>
      </c>
      <c r="O69" s="5">
        <v>768.33</v>
      </c>
      <c r="Q69" s="5">
        <v>3398.15</v>
      </c>
      <c r="T69" s="114">
        <f>O69-N69</f>
        <v>-319.46999999999991</v>
      </c>
      <c r="U69" s="4">
        <f>IF(N69=0,0,O69/N69-1)</f>
        <v>-0.29368450082735786</v>
      </c>
      <c r="AB69" s="18">
        <v>10338.66</v>
      </c>
      <c r="AC69" s="18">
        <v>9779.89</v>
      </c>
      <c r="AD69" s="4">
        <f>AC69/AB69-1</f>
        <v>-5.4046655949610556E-2</v>
      </c>
    </row>
    <row r="70" spans="1:30" ht="14.25" customHeight="1">
      <c r="A70" t="s">
        <v>1288</v>
      </c>
      <c r="B70" t="s">
        <v>1289</v>
      </c>
      <c r="C70">
        <v>3388</v>
      </c>
      <c r="E70" t="s">
        <v>1289</v>
      </c>
      <c r="F70">
        <v>3359</v>
      </c>
      <c r="G70" t="b">
        <f>IF(B70=E70,TRUE,FALSE)</f>
        <v>1</v>
      </c>
      <c r="J70">
        <f>F70-C70</f>
        <v>-29</v>
      </c>
      <c r="K70" s="4">
        <f>F70/C70-1</f>
        <v>-8.5596221959858276E-3</v>
      </c>
      <c r="L70" s="4"/>
      <c r="N70" s="5">
        <v>2907.48</v>
      </c>
      <c r="O70" s="5">
        <v>1645.47</v>
      </c>
      <c r="Q70" s="5">
        <v>9482.14</v>
      </c>
      <c r="T70" s="114">
        <f>O70-N70</f>
        <v>-1262.01</v>
      </c>
      <c r="U70" s="4">
        <f>IF(N70=0,0,O70/N70-1)</f>
        <v>-0.43405629617400632</v>
      </c>
      <c r="AB70" s="18">
        <v>65619.33</v>
      </c>
      <c r="AC70" s="18">
        <v>63541.55</v>
      </c>
      <c r="AD70" s="4">
        <f>AC70/AB70-1</f>
        <v>-3.1664145305963953E-2</v>
      </c>
    </row>
    <row r="71" spans="1:30" ht="13.9" customHeight="1">
      <c r="A71" t="s">
        <v>1290</v>
      </c>
      <c r="B71" t="s">
        <v>1291</v>
      </c>
      <c r="C71">
        <v>351</v>
      </c>
      <c r="E71" t="s">
        <v>1291</v>
      </c>
      <c r="F71">
        <v>322</v>
      </c>
      <c r="G71" t="b">
        <f>IF(B71=E71,TRUE,FALSE)</f>
        <v>1</v>
      </c>
      <c r="J71">
        <f>F71-C71</f>
        <v>-29</v>
      </c>
      <c r="K71" s="4">
        <f>F71/C71-1</f>
        <v>-8.2621082621082587E-2</v>
      </c>
      <c r="L71" s="4"/>
      <c r="N71" s="5">
        <v>218.4</v>
      </c>
      <c r="O71" s="5">
        <v>198</v>
      </c>
      <c r="Q71" s="5">
        <v>1242.48</v>
      </c>
      <c r="T71" s="114">
        <f>O71-N71</f>
        <v>-20.400000000000006</v>
      </c>
      <c r="U71" s="4">
        <f>IF(N71=0,0,O71/N71-1)</f>
        <v>-9.3406593406593408E-2</v>
      </c>
      <c r="AB71" s="18">
        <v>13024.1</v>
      </c>
      <c r="AC71" s="18">
        <v>12540.73</v>
      </c>
      <c r="AD71" s="4">
        <f>AC71/AB71-1</f>
        <v>-3.7113504963874777E-2</v>
      </c>
    </row>
    <row r="72" spans="1:30" ht="13.9" customHeight="1">
      <c r="A72" t="s">
        <v>1292</v>
      </c>
      <c r="B72" t="s">
        <v>1293</v>
      </c>
      <c r="C72">
        <v>1053</v>
      </c>
      <c r="E72" t="s">
        <v>1293</v>
      </c>
      <c r="F72">
        <v>1024</v>
      </c>
      <c r="G72" t="b">
        <f>IF(B72=E72,TRUE,FALSE)</f>
        <v>1</v>
      </c>
      <c r="J72">
        <f>F72-C72</f>
        <v>-29</v>
      </c>
      <c r="K72" s="4">
        <f>F72/C72-1</f>
        <v>-2.7540360873694159E-2</v>
      </c>
      <c r="L72" s="4"/>
      <c r="N72" s="5">
        <v>1051.45</v>
      </c>
      <c r="O72" s="5">
        <v>706.23</v>
      </c>
      <c r="Q72" s="5">
        <v>3538.41</v>
      </c>
      <c r="T72" s="114">
        <f>O72-N72</f>
        <v>-345.22</v>
      </c>
      <c r="U72" s="4">
        <f>IF(N72=0,0,O72/N72-1)</f>
        <v>-0.32832754767226213</v>
      </c>
      <c r="AB72" s="18">
        <v>20399.27</v>
      </c>
      <c r="AC72" s="18">
        <v>19674.96</v>
      </c>
      <c r="AD72" s="4">
        <f>AC72/AB72-1</f>
        <v>-3.5506662738421624E-2</v>
      </c>
    </row>
    <row r="73" spans="1:30">
      <c r="A73" t="s">
        <v>1294</v>
      </c>
      <c r="B73" t="s">
        <v>1295</v>
      </c>
      <c r="C73">
        <v>1649</v>
      </c>
      <c r="E73" t="s">
        <v>1295</v>
      </c>
      <c r="F73">
        <v>1611</v>
      </c>
      <c r="G73" t="b">
        <f>IF(B73=E73,TRUE,FALSE)</f>
        <v>1</v>
      </c>
      <c r="J73">
        <f>F73-C73</f>
        <v>-38</v>
      </c>
      <c r="K73" s="4">
        <f>F73/C73-1</f>
        <v>-2.3044269254093419E-2</v>
      </c>
      <c r="L73" s="4"/>
      <c r="N73" s="5">
        <v>2390.62</v>
      </c>
      <c r="O73" s="5">
        <v>1605.86</v>
      </c>
      <c r="Q73" s="5">
        <v>9034.33</v>
      </c>
      <c r="T73" s="114">
        <f>O73-N73</f>
        <v>-784.76</v>
      </c>
      <c r="U73" s="4">
        <f>IF(N73=0,0,O73/N73-1)</f>
        <v>-0.32826630748508756</v>
      </c>
      <c r="AB73" s="18">
        <v>34478.85</v>
      </c>
      <c r="AC73" s="18">
        <v>30685.71</v>
      </c>
      <c r="AD73" s="4">
        <f>AC73/AB73-1</f>
        <v>-0.11001353003362935</v>
      </c>
    </row>
    <row r="74" spans="1:30">
      <c r="A74" t="s">
        <v>1296</v>
      </c>
      <c r="B74" t="s">
        <v>1297</v>
      </c>
      <c r="C74">
        <v>1338</v>
      </c>
      <c r="E74" t="s">
        <v>1297</v>
      </c>
      <c r="F74">
        <v>1299</v>
      </c>
      <c r="G74" t="b">
        <f>IF(B74=E74,TRUE,FALSE)</f>
        <v>1</v>
      </c>
      <c r="J74">
        <f>F74-C74</f>
        <v>-39</v>
      </c>
      <c r="K74" s="4">
        <f>F74/C74-1</f>
        <v>-2.9147982062780242E-2</v>
      </c>
      <c r="L74" s="6"/>
      <c r="N74" s="5">
        <v>1323.24</v>
      </c>
      <c r="O74" s="5">
        <v>1237.2</v>
      </c>
      <c r="Q74" s="5">
        <v>7815.24</v>
      </c>
      <c r="T74" s="114">
        <f>O74-N74</f>
        <v>-86.039999999999964</v>
      </c>
      <c r="U74" s="4">
        <f>IF(N74=0,0,O74/N74-1)</f>
        <v>-6.5022218191711278E-2</v>
      </c>
      <c r="X74" t="s">
        <v>1298</v>
      </c>
      <c r="AB74" s="18">
        <v>38460.14</v>
      </c>
      <c r="AC74" s="18">
        <v>38951.01</v>
      </c>
      <c r="AD74" s="4">
        <f>AC74/AB74-1</f>
        <v>1.2763084065736674E-2</v>
      </c>
    </row>
    <row r="75" spans="1:30">
      <c r="A75" s="54" t="s">
        <v>1299</v>
      </c>
      <c r="B75" s="37" t="s">
        <v>1300</v>
      </c>
      <c r="C75">
        <v>1099</v>
      </c>
      <c r="E75" s="37" t="s">
        <v>1300</v>
      </c>
      <c r="F75">
        <v>1058</v>
      </c>
      <c r="G75" t="b">
        <f>IF(B75=E75,TRUE,FALSE)</f>
        <v>1</v>
      </c>
      <c r="J75">
        <f>F75-C75</f>
        <v>-41</v>
      </c>
      <c r="K75" s="4">
        <f>F75/C75-1</f>
        <v>-3.7306642402183843E-2</v>
      </c>
      <c r="L75" s="4"/>
      <c r="N75" s="5">
        <v>1115.49</v>
      </c>
      <c r="O75" s="5">
        <v>875.73</v>
      </c>
      <c r="Q75" s="5">
        <v>5119.2299999999996</v>
      </c>
      <c r="T75" s="114">
        <f>O75-N75</f>
        <v>-239.76</v>
      </c>
      <c r="U75" s="4">
        <f>IF(N76=0,0,O75/N76-1)</f>
        <v>-0.50082651223238095</v>
      </c>
      <c r="AB75" s="18">
        <v>19735.77</v>
      </c>
      <c r="AC75" s="18">
        <v>20352.84</v>
      </c>
      <c r="AD75" s="4">
        <f>AC75/AB75-1</f>
        <v>3.1266578400538592E-2</v>
      </c>
    </row>
    <row r="76" spans="1:30">
      <c r="A76" t="s">
        <v>1301</v>
      </c>
      <c r="B76" t="s">
        <v>1302</v>
      </c>
      <c r="C76">
        <v>1119</v>
      </c>
      <c r="E76" t="s">
        <v>1302</v>
      </c>
      <c r="F76">
        <v>1069</v>
      </c>
      <c r="G76" t="b">
        <f>IF(B76=E76,TRUE,FALSE)</f>
        <v>1</v>
      </c>
      <c r="J76">
        <f>F76-C76</f>
        <v>-50</v>
      </c>
      <c r="K76" s="4">
        <f>F76/C76-1</f>
        <v>-4.4682752457551378E-2</v>
      </c>
      <c r="L76" s="4"/>
      <c r="N76" s="5">
        <v>1754.36</v>
      </c>
      <c r="O76" s="5">
        <v>1566.52</v>
      </c>
      <c r="Q76" s="5">
        <v>7570.04</v>
      </c>
      <c r="T76" s="114">
        <f>O76-N76</f>
        <v>-187.83999999999992</v>
      </c>
      <c r="U76" s="4">
        <f>IF(N76=0,0,O76/N76-1)</f>
        <v>-0.10707038464169261</v>
      </c>
      <c r="X76" s="5"/>
      <c r="Y76" s="5"/>
      <c r="Z76" s="5"/>
      <c r="AA76" s="17"/>
      <c r="AB76" s="18">
        <v>23809.57</v>
      </c>
      <c r="AC76" s="18">
        <v>25601.08</v>
      </c>
      <c r="AD76" s="4">
        <f>AC76/AB76-1</f>
        <v>7.5243274028048424E-2</v>
      </c>
    </row>
    <row r="77" spans="1:30">
      <c r="A77" t="s">
        <v>1303</v>
      </c>
      <c r="B77" t="s">
        <v>1304</v>
      </c>
      <c r="C77">
        <v>1589</v>
      </c>
      <c r="E77" t="s">
        <v>1304</v>
      </c>
      <c r="F77">
        <v>1539</v>
      </c>
      <c r="G77" t="b">
        <f>IF(B77=E77,TRUE,FALSE)</f>
        <v>1</v>
      </c>
      <c r="J77">
        <f>F77-C77</f>
        <v>-50</v>
      </c>
      <c r="K77" s="4">
        <f>F77/C77-1</f>
        <v>-3.146633102580243E-2</v>
      </c>
      <c r="L77" s="4"/>
      <c r="N77" s="5">
        <v>1728.66</v>
      </c>
      <c r="O77" s="5">
        <v>1417.31</v>
      </c>
      <c r="Q77" s="5">
        <v>6144.32</v>
      </c>
      <c r="T77" s="114">
        <f>O77-N77</f>
        <v>-311.35000000000014</v>
      </c>
      <c r="U77" s="4">
        <f>IF(N77=0,0,O77/N77-1)</f>
        <v>-0.18011060590283812</v>
      </c>
      <c r="AB77" s="18">
        <v>30714.31</v>
      </c>
      <c r="AC77" s="18">
        <v>29707.21</v>
      </c>
      <c r="AD77" s="4">
        <f>AC77/AB77-1</f>
        <v>-3.2789276399176837E-2</v>
      </c>
    </row>
    <row r="78" spans="1:30">
      <c r="A78" t="s">
        <v>1305</v>
      </c>
      <c r="B78" t="s">
        <v>1306</v>
      </c>
      <c r="C78">
        <v>294</v>
      </c>
      <c r="E78" t="s">
        <v>1306</v>
      </c>
      <c r="F78">
        <v>243</v>
      </c>
      <c r="G78" t="b">
        <f>IF(B78=E78,TRUE,FALSE)</f>
        <v>1</v>
      </c>
      <c r="J78">
        <f>F78-C78</f>
        <v>-51</v>
      </c>
      <c r="K78" s="4">
        <f>F78/C78-1</f>
        <v>-0.17346938775510201</v>
      </c>
      <c r="L78" s="4"/>
      <c r="N78" s="5">
        <v>0</v>
      </c>
      <c r="O78" s="5">
        <v>0</v>
      </c>
      <c r="Q78" s="5">
        <v>0</v>
      </c>
      <c r="T78" s="114">
        <f>O78-N78</f>
        <v>0</v>
      </c>
      <c r="U78" s="4">
        <f>IF(N78=0,0,O78/N78-1)</f>
        <v>0</v>
      </c>
      <c r="AB78" s="18">
        <v>5865.3</v>
      </c>
      <c r="AC78" s="18">
        <v>4847.05</v>
      </c>
      <c r="AD78" s="4">
        <f>AC78/AB78-1</f>
        <v>-0.17360578316539643</v>
      </c>
    </row>
    <row r="79" spans="1:30">
      <c r="A79" t="s">
        <v>1307</v>
      </c>
      <c r="B79" t="s">
        <v>1308</v>
      </c>
      <c r="C79">
        <v>563</v>
      </c>
      <c r="E79" t="s">
        <v>1308</v>
      </c>
      <c r="F79">
        <v>506</v>
      </c>
      <c r="G79" t="b">
        <f>IF(B79=E79,TRUE,FALSE)</f>
        <v>1</v>
      </c>
      <c r="J79">
        <f>F79-C79</f>
        <v>-57</v>
      </c>
      <c r="K79" s="4">
        <f>F79/C79-1</f>
        <v>-0.10124333925399642</v>
      </c>
      <c r="L79" s="4"/>
      <c r="N79" s="5">
        <v>760.53</v>
      </c>
      <c r="O79" s="5">
        <v>379.96</v>
      </c>
      <c r="Q79" s="5">
        <v>1635.77</v>
      </c>
      <c r="T79" s="114">
        <f>O79-N79</f>
        <v>-380.57</v>
      </c>
      <c r="U79" s="4">
        <f>IF(N79=0,0,O79/N79-1)</f>
        <v>-0.50040103611954823</v>
      </c>
      <c r="AB79" s="18">
        <v>9565.0300000000007</v>
      </c>
      <c r="AC79" s="18">
        <v>8596.56</v>
      </c>
      <c r="AD79" s="4">
        <f>AC79/AB79-1</f>
        <v>-0.10125111996512304</v>
      </c>
    </row>
    <row r="80" spans="1:30">
      <c r="A80" t="s">
        <v>1309</v>
      </c>
      <c r="B80" t="s">
        <v>1310</v>
      </c>
      <c r="C80">
        <v>833</v>
      </c>
      <c r="E80" t="s">
        <v>1310</v>
      </c>
      <c r="F80">
        <v>769</v>
      </c>
      <c r="G80" t="b">
        <f>IF(B80=E80,TRUE,FALSE)</f>
        <v>1</v>
      </c>
      <c r="J80">
        <f>F80-C80</f>
        <v>-64</v>
      </c>
      <c r="K80" s="4">
        <f>F80/C80-1</f>
        <v>-7.6830732292917148E-2</v>
      </c>
      <c r="N80" s="5">
        <v>1268.33</v>
      </c>
      <c r="O80" s="5">
        <v>654.6</v>
      </c>
      <c r="Q80" s="5">
        <v>3959.7</v>
      </c>
      <c r="T80" s="114">
        <f>O80-N80</f>
        <v>-613.7299999999999</v>
      </c>
      <c r="U80" s="4">
        <f>IF(N80=0,0,O80/N80-1)</f>
        <v>-0.48388826251842965</v>
      </c>
      <c r="X80" s="5"/>
      <c r="Y80" s="5"/>
      <c r="Z80" s="5"/>
      <c r="AA80" s="17"/>
      <c r="AB80" s="18">
        <v>19980.79</v>
      </c>
      <c r="AC80" s="18">
        <v>17861.75</v>
      </c>
      <c r="AD80" s="4">
        <f>AC80/AB80-1</f>
        <v>-0.10605386473708001</v>
      </c>
    </row>
    <row r="81" spans="1:30">
      <c r="A81" t="s">
        <v>1311</v>
      </c>
      <c r="B81" t="s">
        <v>1312</v>
      </c>
      <c r="C81">
        <v>765</v>
      </c>
      <c r="E81" t="s">
        <v>1312</v>
      </c>
      <c r="F81">
        <v>700</v>
      </c>
      <c r="G81" t="b">
        <f>IF(B81=E81,TRUE,FALSE)</f>
        <v>1</v>
      </c>
      <c r="J81">
        <f>F81-C81</f>
        <v>-65</v>
      </c>
      <c r="K81" s="4">
        <f>F81/C81-1</f>
        <v>-8.496732026143794E-2</v>
      </c>
      <c r="L81" s="4"/>
      <c r="N81" s="5">
        <v>1091.4000000000001</v>
      </c>
      <c r="O81" s="5">
        <v>566.41</v>
      </c>
      <c r="Q81" s="5">
        <v>2528.33</v>
      </c>
      <c r="T81" s="114">
        <f>O81-N81</f>
        <v>-524.99000000000012</v>
      </c>
      <c r="U81" s="4">
        <f>IF(N81=0,0,O81/N81-1)</f>
        <v>-0.48102437236576878</v>
      </c>
      <c r="AB81" s="18">
        <v>12996.67</v>
      </c>
      <c r="AC81" s="18">
        <v>11892.66</v>
      </c>
      <c r="AD81" s="4">
        <f>AC81/AB81-1</f>
        <v>-8.4945605297356952E-2</v>
      </c>
    </row>
    <row r="82" spans="1:30">
      <c r="A82" t="s">
        <v>1313</v>
      </c>
      <c r="B82" t="s">
        <v>1314</v>
      </c>
      <c r="C82">
        <v>1406</v>
      </c>
      <c r="E82" t="s">
        <v>1314</v>
      </c>
      <c r="F82">
        <v>1329</v>
      </c>
      <c r="G82" t="b">
        <f>IF(B82=E82,TRUE,FALSE)</f>
        <v>1</v>
      </c>
      <c r="J82">
        <f>F82-C82</f>
        <v>-77</v>
      </c>
      <c r="K82" s="4">
        <f>F82/C82-1</f>
        <v>-5.4765291607396849E-2</v>
      </c>
      <c r="L82" s="4"/>
      <c r="N82" s="5">
        <v>2628.68</v>
      </c>
      <c r="O82" s="5">
        <v>1589.45</v>
      </c>
      <c r="Q82" s="5">
        <v>7501.46</v>
      </c>
      <c r="T82" s="114">
        <f>O82-N82</f>
        <v>-1039.2299999999998</v>
      </c>
      <c r="U82" s="4">
        <f>IF(N82=0,0,O82/N82-1)</f>
        <v>-0.39534290974937991</v>
      </c>
      <c r="AB82" s="18">
        <v>29768.74</v>
      </c>
      <c r="AC82" s="18">
        <v>29851.61</v>
      </c>
      <c r="AD82" s="4">
        <f>AC82/AB82-1</f>
        <v>2.7837926630418508E-3</v>
      </c>
    </row>
    <row r="83" spans="1:30">
      <c r="A83" s="142" t="s">
        <v>1315</v>
      </c>
      <c r="B83" s="37" t="s">
        <v>1316</v>
      </c>
      <c r="C83">
        <v>444</v>
      </c>
      <c r="E83" s="37" t="s">
        <v>1316</v>
      </c>
      <c r="F83">
        <v>364</v>
      </c>
      <c r="G83" t="b">
        <f>IF(B83=E83,TRUE,FALSE)</f>
        <v>1</v>
      </c>
      <c r="J83">
        <f>F83-C83</f>
        <v>-80</v>
      </c>
      <c r="K83" s="4">
        <f>F83/C83-1</f>
        <v>-0.18018018018018023</v>
      </c>
      <c r="L83" s="4"/>
      <c r="N83" s="5">
        <v>674.78</v>
      </c>
      <c r="O83" s="5">
        <v>722.7</v>
      </c>
      <c r="Q83" s="5">
        <v>2350.15</v>
      </c>
      <c r="T83" s="114">
        <f>O83-N83</f>
        <v>47.920000000000073</v>
      </c>
      <c r="U83" s="4">
        <f>IF(N83=0,0,O83/N83-1)</f>
        <v>7.101573846290643E-2</v>
      </c>
      <c r="AB83" s="18">
        <v>7270.56</v>
      </c>
      <c r="AC83" s="18">
        <v>5813.95</v>
      </c>
      <c r="AD83" s="4">
        <f>AC83/AB83-1</f>
        <v>-0.20034357738606112</v>
      </c>
    </row>
    <row r="84" spans="1:30">
      <c r="A84" t="s">
        <v>1317</v>
      </c>
      <c r="B84" t="s">
        <v>1318</v>
      </c>
      <c r="C84">
        <v>1260</v>
      </c>
      <c r="E84" t="s">
        <v>1318</v>
      </c>
      <c r="F84">
        <v>1165</v>
      </c>
      <c r="G84" t="b">
        <f>IF(B84=E84,TRUE,FALSE)</f>
        <v>1</v>
      </c>
      <c r="J84">
        <f>F84-C84</f>
        <v>-95</v>
      </c>
      <c r="K84" s="4">
        <f>F84/C84-1</f>
        <v>-7.5396825396825351E-2</v>
      </c>
      <c r="L84" s="4"/>
      <c r="N84" s="5">
        <v>2181.58</v>
      </c>
      <c r="O84" s="5">
        <v>1619.19</v>
      </c>
      <c r="Q84" s="5">
        <v>13811.6</v>
      </c>
      <c r="T84" s="114">
        <f>O84-N84</f>
        <v>-562.38999999999987</v>
      </c>
      <c r="U84" s="4">
        <f>IF(N84=0,0,O84/N84-1)</f>
        <v>-0.25779022543294305</v>
      </c>
      <c r="X84" s="5"/>
      <c r="Y84" s="5"/>
      <c r="Z84" s="5"/>
      <c r="AA84" s="17"/>
      <c r="AB84" s="18">
        <v>42525.08</v>
      </c>
      <c r="AC84" s="18">
        <v>41126.82</v>
      </c>
      <c r="AD84" s="4">
        <f>AC84/AB84-1</f>
        <v>-3.2880831735060845E-2</v>
      </c>
    </row>
    <row r="85" spans="1:30">
      <c r="A85" s="27" t="s">
        <v>1319</v>
      </c>
      <c r="B85" s="27" t="s">
        <v>1320</v>
      </c>
      <c r="C85">
        <v>359</v>
      </c>
      <c r="E85" s="27" t="s">
        <v>1320</v>
      </c>
      <c r="F85">
        <v>262</v>
      </c>
      <c r="G85" t="b">
        <f>IF(B85=E85,TRUE,FALSE)</f>
        <v>1</v>
      </c>
      <c r="J85">
        <f>F85-C85</f>
        <v>-97</v>
      </c>
      <c r="K85" s="4">
        <f>F85/C85-1</f>
        <v>-0.27019498607242343</v>
      </c>
      <c r="L85" s="4"/>
      <c r="N85" s="5">
        <v>248</v>
      </c>
      <c r="O85" s="5">
        <v>130.07</v>
      </c>
      <c r="Q85" s="5">
        <v>682.61</v>
      </c>
      <c r="T85" s="114">
        <f>O85-N85</f>
        <v>-117.93</v>
      </c>
      <c r="U85" s="4">
        <f>IF(N85=0,0,O85/N85-1)</f>
        <v>-0.47552419354838715</v>
      </c>
      <c r="AB85" s="18">
        <v>6562.62</v>
      </c>
      <c r="AC85" s="18">
        <v>5944.47</v>
      </c>
      <c r="AD85" s="4">
        <f>AC85/AB85-1</f>
        <v>-9.4192563335984691E-2</v>
      </c>
    </row>
    <row r="86" spans="1:30">
      <c r="A86" t="s">
        <v>1321</v>
      </c>
      <c r="B86" t="s">
        <v>1322</v>
      </c>
      <c r="C86">
        <v>831</v>
      </c>
      <c r="E86" t="s">
        <v>1322</v>
      </c>
      <c r="F86">
        <v>724</v>
      </c>
      <c r="G86" t="b">
        <f>IF(B86=E86,TRUE,FALSE)</f>
        <v>1</v>
      </c>
      <c r="J86">
        <f>F86-C86</f>
        <v>-107</v>
      </c>
      <c r="K86" s="4">
        <f>F86/C86-1</f>
        <v>-0.12876052948255112</v>
      </c>
      <c r="L86" s="4"/>
      <c r="N86" s="5">
        <v>853.03</v>
      </c>
      <c r="O86" s="5">
        <v>649.39</v>
      </c>
      <c r="Q86" s="5">
        <v>6856.01</v>
      </c>
      <c r="T86" s="114">
        <f>O86-N86</f>
        <v>-203.64</v>
      </c>
      <c r="U86" s="4">
        <f>IF(N86=0,0,O86/N86-1)</f>
        <v>-0.23872548444955044</v>
      </c>
      <c r="AB86" s="18">
        <v>27796.78</v>
      </c>
      <c r="AC86" s="18">
        <v>23634.240000000002</v>
      </c>
      <c r="AD86" s="4">
        <f>AC86/AB86-1</f>
        <v>-0.14974899970428224</v>
      </c>
    </row>
    <row r="87" spans="1:30">
      <c r="A87" t="s">
        <v>1323</v>
      </c>
      <c r="B87" t="s">
        <v>1324</v>
      </c>
      <c r="C87">
        <v>1500</v>
      </c>
      <c r="E87" t="s">
        <v>1324</v>
      </c>
      <c r="F87">
        <v>1384</v>
      </c>
      <c r="G87" t="b">
        <f>IF(B87=E87,TRUE,FALSE)</f>
        <v>1</v>
      </c>
      <c r="J87">
        <f>F87-C87</f>
        <v>-116</v>
      </c>
      <c r="K87" s="4">
        <f>F87/C87-1</f>
        <v>-7.7333333333333365E-2</v>
      </c>
      <c r="L87" s="4"/>
      <c r="N87" s="5">
        <v>1947.27</v>
      </c>
      <c r="O87" s="5">
        <v>1119.08</v>
      </c>
      <c r="Q87" s="5">
        <v>4700.33</v>
      </c>
      <c r="T87" s="114">
        <f>O87-N87</f>
        <v>-828.19</v>
      </c>
      <c r="U87" s="4">
        <f>IF(N87=0,0,O87/N87-1)</f>
        <v>-0.42530825206571254</v>
      </c>
      <c r="AB87" s="18">
        <v>29945.03</v>
      </c>
      <c r="AC87" s="18">
        <v>29215.48</v>
      </c>
      <c r="AD87" s="4">
        <f>AC87/AB87-1</f>
        <v>-2.4362974423468575E-2</v>
      </c>
    </row>
    <row r="88" spans="1:30">
      <c r="A88" s="37" t="s">
        <v>1325</v>
      </c>
      <c r="B88" s="37" t="s">
        <v>1326</v>
      </c>
      <c r="C88">
        <v>976</v>
      </c>
      <c r="E88" s="37" t="s">
        <v>1326</v>
      </c>
      <c r="F88">
        <v>852</v>
      </c>
      <c r="G88" t="b">
        <f>IF(B88=E88,TRUE,FALSE)</f>
        <v>1</v>
      </c>
      <c r="J88">
        <f>F88-C88</f>
        <v>-124</v>
      </c>
      <c r="K88" s="4">
        <f>F88/C88-1</f>
        <v>-0.12704918032786883</v>
      </c>
      <c r="L88" s="4"/>
      <c r="N88" s="5">
        <v>1788.36</v>
      </c>
      <c r="O88" s="5">
        <v>1546.35</v>
      </c>
      <c r="Q88" s="5">
        <v>8102.0099999999993</v>
      </c>
      <c r="T88" s="114">
        <f>O88-N88</f>
        <v>-242.01</v>
      </c>
      <c r="U88" s="4">
        <f>IF(N88=0,0,O88/N88-1)</f>
        <v>-0.13532510232839023</v>
      </c>
      <c r="AB88" s="18">
        <v>22187.280000000002</v>
      </c>
      <c r="AC88" s="18">
        <v>19514.53</v>
      </c>
      <c r="AD88" s="4">
        <f>AC88/AB88-1</f>
        <v>-0.12046316628266296</v>
      </c>
    </row>
    <row r="89" spans="1:30">
      <c r="A89" t="s">
        <v>1327</v>
      </c>
      <c r="B89" t="s">
        <v>1328</v>
      </c>
      <c r="C89">
        <v>1041</v>
      </c>
      <c r="E89" t="s">
        <v>1328</v>
      </c>
      <c r="F89">
        <v>914</v>
      </c>
      <c r="G89" t="b">
        <f>IF(B89=E89,TRUE,FALSE)</f>
        <v>1</v>
      </c>
      <c r="J89">
        <f>F89-C89</f>
        <v>-127</v>
      </c>
      <c r="K89" s="4">
        <f>F89/C89-1</f>
        <v>-0.12199807877041302</v>
      </c>
      <c r="L89" s="4"/>
      <c r="N89" s="5">
        <v>1080.6199999999999</v>
      </c>
      <c r="O89" s="5">
        <v>523.5</v>
      </c>
      <c r="Q89" s="5">
        <v>2893.77</v>
      </c>
      <c r="T89" s="114">
        <f>O89-N89</f>
        <v>-557.11999999999989</v>
      </c>
      <c r="U89" s="4">
        <f>IF(N89=0,0,O89/N89-1)</f>
        <v>-0.51555588458477541</v>
      </c>
      <c r="AB89" s="18">
        <v>16960.86</v>
      </c>
      <c r="AC89" s="18">
        <v>15380.28</v>
      </c>
      <c r="AD89" s="4">
        <f>AC89/AB89-1</f>
        <v>-9.3189850042981304E-2</v>
      </c>
    </row>
    <row r="90" spans="1:30">
      <c r="A90" s="37" t="s">
        <v>1329</v>
      </c>
      <c r="B90" s="37" t="s">
        <v>1330</v>
      </c>
      <c r="C90">
        <v>502</v>
      </c>
      <c r="E90" s="37" t="s">
        <v>1330</v>
      </c>
      <c r="F90">
        <v>374</v>
      </c>
      <c r="G90" t="b">
        <f>IF(B90=E90,TRUE,FALSE)</f>
        <v>1</v>
      </c>
      <c r="J90">
        <f>F90-C90</f>
        <v>-128</v>
      </c>
      <c r="K90" s="4">
        <f>F90/C90-1</f>
        <v>-0.2549800796812749</v>
      </c>
      <c r="L90" s="4"/>
      <c r="N90" s="5">
        <v>1267.72</v>
      </c>
      <c r="O90" s="5">
        <v>1302.0899999999999</v>
      </c>
      <c r="Q90" s="5">
        <v>6714.53</v>
      </c>
      <c r="T90" s="114">
        <f>O90-N90</f>
        <v>34.369999999999891</v>
      </c>
      <c r="U90" s="4">
        <f>IF(N90=0,0,O90/N90-1)</f>
        <v>2.7111665036443355E-2</v>
      </c>
      <c r="AB90" s="18">
        <v>12039.48</v>
      </c>
      <c r="AC90" s="18">
        <v>9344.26</v>
      </c>
      <c r="AD90" s="4">
        <f>AC90/AB90-1</f>
        <v>-0.22386515032210685</v>
      </c>
    </row>
    <row r="91" spans="1:30">
      <c r="A91" t="s">
        <v>1331</v>
      </c>
      <c r="B91" t="s">
        <v>1332</v>
      </c>
      <c r="C91">
        <v>1784</v>
      </c>
      <c r="E91" t="s">
        <v>1332</v>
      </c>
      <c r="F91">
        <v>1652</v>
      </c>
      <c r="G91" t="b">
        <f>IF(B91=E91,TRUE,FALSE)</f>
        <v>1</v>
      </c>
      <c r="J91">
        <f>F91-C91</f>
        <v>-132</v>
      </c>
      <c r="K91" s="4">
        <f>F91/C91-1</f>
        <v>-7.3991031390134521E-2</v>
      </c>
      <c r="L91" s="4"/>
      <c r="N91" s="5">
        <v>1087.03</v>
      </c>
      <c r="O91" s="5">
        <v>1965.86</v>
      </c>
      <c r="Q91" s="5">
        <v>11232.91</v>
      </c>
      <c r="T91" s="114">
        <f>O91-N91</f>
        <v>878.82999999999993</v>
      </c>
      <c r="U91" s="4">
        <f>IF(N91=0,0,O91/N91-1)</f>
        <v>0.8084689474991491</v>
      </c>
      <c r="AB91" s="18">
        <v>38509.519999999997</v>
      </c>
      <c r="AC91" s="18">
        <v>38106.04</v>
      </c>
      <c r="AD91" s="4">
        <f>AC91/AB91-1</f>
        <v>-1.0477409222446665E-2</v>
      </c>
    </row>
    <row r="92" spans="1:30">
      <c r="A92" t="s">
        <v>1333</v>
      </c>
      <c r="B92" t="s">
        <v>1334</v>
      </c>
      <c r="C92">
        <v>1107</v>
      </c>
      <c r="E92" t="s">
        <v>1334</v>
      </c>
      <c r="F92">
        <v>972</v>
      </c>
      <c r="G92" t="b">
        <f>IF(B92=E92,TRUE,FALSE)</f>
        <v>1</v>
      </c>
      <c r="J92">
        <f>F92-C92</f>
        <v>-135</v>
      </c>
      <c r="K92" s="4">
        <f>F92/C92-1</f>
        <v>-0.12195121951219512</v>
      </c>
      <c r="L92" s="4"/>
      <c r="N92" s="5">
        <v>967.4</v>
      </c>
      <c r="O92" s="5">
        <v>617.16999999999996</v>
      </c>
      <c r="Q92" s="5">
        <v>2815.13</v>
      </c>
      <c r="T92" s="114">
        <f>O92-N92</f>
        <v>-350.23</v>
      </c>
      <c r="U92" s="4">
        <f>IF(N92=0,0,O92/N92-1)</f>
        <v>-0.36203225139549311</v>
      </c>
      <c r="AB92" s="18">
        <v>21046.97</v>
      </c>
      <c r="AC92" s="18">
        <v>18788.88</v>
      </c>
      <c r="AD92" s="4">
        <f>AC92/AB92-1</f>
        <v>-0.10728812745967709</v>
      </c>
    </row>
    <row r="93" spans="1:30">
      <c r="A93" t="s">
        <v>1335</v>
      </c>
      <c r="B93" t="s">
        <v>1336</v>
      </c>
      <c r="C93">
        <v>1163</v>
      </c>
      <c r="E93" t="s">
        <v>1336</v>
      </c>
      <c r="F93">
        <v>1009</v>
      </c>
      <c r="G93" t="b">
        <f>IF(B93=E93,TRUE,FALSE)</f>
        <v>1</v>
      </c>
      <c r="J93">
        <f>F93-C93</f>
        <v>-154</v>
      </c>
      <c r="K93" s="4">
        <f>F93/C93-1</f>
        <v>-0.13241616509028376</v>
      </c>
      <c r="L93" s="4"/>
      <c r="N93" s="5">
        <v>2149.98</v>
      </c>
      <c r="O93" s="5">
        <v>1794.25</v>
      </c>
      <c r="Q93" s="5">
        <v>11965.87</v>
      </c>
      <c r="T93" s="114">
        <f>O93-N93</f>
        <v>-355.73</v>
      </c>
      <c r="U93" s="4">
        <f>IF(N93=0,0,O93/N93-1)</f>
        <v>-0.16545735309165666</v>
      </c>
      <c r="AB93" s="18">
        <v>25566.67</v>
      </c>
      <c r="AC93" s="18">
        <v>22938.57</v>
      </c>
      <c r="AD93" s="4">
        <f>AC93/AB93-1</f>
        <v>-0.10279398920547722</v>
      </c>
    </row>
    <row r="94" spans="1:30">
      <c r="A94" t="s">
        <v>1337</v>
      </c>
      <c r="B94" t="s">
        <v>1338</v>
      </c>
      <c r="C94">
        <v>1883</v>
      </c>
      <c r="E94" t="s">
        <v>1338</v>
      </c>
      <c r="F94">
        <v>1726</v>
      </c>
      <c r="G94" t="b">
        <f>IF(B94=E94,TRUE,FALSE)</f>
        <v>1</v>
      </c>
      <c r="J94">
        <f>F94-C94</f>
        <v>-157</v>
      </c>
      <c r="K94" s="4">
        <f>F94/C94-1</f>
        <v>-8.3377588953797099E-2</v>
      </c>
      <c r="N94" s="5">
        <v>2116.8000000000002</v>
      </c>
      <c r="O94" s="5">
        <v>1266.3599999999999</v>
      </c>
      <c r="Q94" s="5">
        <v>6560.94</v>
      </c>
      <c r="T94" s="114">
        <f>O94-N94</f>
        <v>-850.44000000000028</v>
      </c>
      <c r="U94" s="4">
        <f>IF(N94=0,0,O94/N94-1)</f>
        <v>-0.40175736961451258</v>
      </c>
      <c r="X94" s="5"/>
      <c r="Y94" s="5"/>
      <c r="Z94" s="5"/>
      <c r="AA94" s="17"/>
      <c r="AB94" s="18">
        <v>51637.31</v>
      </c>
      <c r="AC94" s="18">
        <v>49696.03</v>
      </c>
      <c r="AD94" s="4">
        <f>AC94/AB94-1</f>
        <v>-3.7594522255322782E-2</v>
      </c>
    </row>
    <row r="95" spans="1:30">
      <c r="A95" s="54" t="s">
        <v>1339</v>
      </c>
      <c r="B95" s="37" t="s">
        <v>1340</v>
      </c>
      <c r="C95">
        <v>2525</v>
      </c>
      <c r="E95" s="37" t="s">
        <v>1340</v>
      </c>
      <c r="F95">
        <v>2365</v>
      </c>
      <c r="G95" t="b">
        <f>IF(B95=E95,TRUE,FALSE)</f>
        <v>1</v>
      </c>
      <c r="J95">
        <f>F95-C95</f>
        <v>-160</v>
      </c>
      <c r="K95" s="4">
        <f>F95/C95-1</f>
        <v>-6.3366336633663312E-2</v>
      </c>
      <c r="L95" s="4"/>
      <c r="N95" s="5">
        <v>3192.65</v>
      </c>
      <c r="O95" s="5">
        <v>4926.92</v>
      </c>
      <c r="Q95" s="5">
        <v>29534.6</v>
      </c>
      <c r="T95" s="114">
        <f>O95-N95</f>
        <v>1734.27</v>
      </c>
      <c r="U95" s="4">
        <f>IF(N95=0,0,O95/N95-1)</f>
        <v>0.5432070537014706</v>
      </c>
      <c r="AB95" s="18">
        <v>45412.160000000003</v>
      </c>
      <c r="AC95" s="18">
        <v>47272.95</v>
      </c>
      <c r="AD95" s="4">
        <f>AC95/AB95-1</f>
        <v>4.0975588917153249E-2</v>
      </c>
    </row>
    <row r="96" spans="1:30" ht="15" customHeight="1">
      <c r="A96" t="s">
        <v>1341</v>
      </c>
      <c r="B96" t="s">
        <v>1342</v>
      </c>
      <c r="C96">
        <v>1214</v>
      </c>
      <c r="E96" t="s">
        <v>1342</v>
      </c>
      <c r="F96">
        <v>1053</v>
      </c>
      <c r="G96" t="b">
        <f>IF(B96=E96,TRUE,FALSE)</f>
        <v>1</v>
      </c>
      <c r="J96">
        <f>F96-C96</f>
        <v>-161</v>
      </c>
      <c r="K96" s="4">
        <f>F96/C96-1</f>
        <v>-0.13261943986820424</v>
      </c>
      <c r="L96" s="4"/>
      <c r="N96" s="5">
        <v>1171.0899999999999</v>
      </c>
      <c r="O96" s="5">
        <v>755.26</v>
      </c>
      <c r="Q96" s="5">
        <v>3983.36</v>
      </c>
      <c r="T96" s="114">
        <f>O96-N96</f>
        <v>-415.82999999999993</v>
      </c>
      <c r="U96" s="4">
        <f>IF(N96=0,0,O96/N96-1)</f>
        <v>-0.35507945589151979</v>
      </c>
      <c r="AB96" s="18">
        <v>23494.69</v>
      </c>
      <c r="AC96" s="18">
        <v>20287.27</v>
      </c>
      <c r="AD96" s="4">
        <f>AC96/AB96-1</f>
        <v>-0.13651680443538516</v>
      </c>
    </row>
    <row r="97" spans="1:30" ht="15" customHeight="1">
      <c r="A97" t="s">
        <v>1343</v>
      </c>
      <c r="B97" t="s">
        <v>1344</v>
      </c>
      <c r="C97">
        <v>3026</v>
      </c>
      <c r="E97" t="s">
        <v>1344</v>
      </c>
      <c r="F97">
        <v>2846</v>
      </c>
      <c r="G97" t="b">
        <f>IF(B97=E97,TRUE,FALSE)</f>
        <v>1</v>
      </c>
      <c r="J97">
        <f>F97-C97</f>
        <v>-180</v>
      </c>
      <c r="K97" s="4">
        <f>F97/C97-1</f>
        <v>-5.9484467944481145E-2</v>
      </c>
      <c r="L97" s="6"/>
      <c r="N97" s="5">
        <v>4272.09</v>
      </c>
      <c r="O97" s="5">
        <v>3404.7999999999997</v>
      </c>
      <c r="Q97" s="5">
        <v>16496.79</v>
      </c>
      <c r="T97" s="114">
        <f>O97-N97</f>
        <v>-867.29000000000042</v>
      </c>
      <c r="U97" s="4">
        <f>IF(N97=0,0,O97/N97-1)</f>
        <v>-0.20301304513715779</v>
      </c>
      <c r="AB97" s="18">
        <v>72221.17</v>
      </c>
      <c r="AC97" s="18">
        <v>73430.06</v>
      </c>
      <c r="AD97" s="4">
        <f>AC97/AB97-1</f>
        <v>1.6738720793362916E-2</v>
      </c>
    </row>
    <row r="98" spans="1:30" ht="15" customHeight="1">
      <c r="A98" t="s">
        <v>1345</v>
      </c>
      <c r="B98" t="s">
        <v>1346</v>
      </c>
      <c r="C98">
        <v>967</v>
      </c>
      <c r="E98" t="s">
        <v>1346</v>
      </c>
      <c r="F98">
        <v>784</v>
      </c>
      <c r="G98" t="b">
        <f>IF(B98=E98,TRUE,FALSE)</f>
        <v>1</v>
      </c>
      <c r="J98">
        <f>F98-C98</f>
        <v>-183</v>
      </c>
      <c r="K98" s="4">
        <f>F98/C98-1</f>
        <v>-0.18924508790072392</v>
      </c>
      <c r="L98" s="4"/>
      <c r="N98" s="5">
        <v>1793.43</v>
      </c>
      <c r="O98" s="5">
        <v>1579.09</v>
      </c>
      <c r="Q98" s="5">
        <v>10816.67</v>
      </c>
      <c r="T98" s="114">
        <f>O98-N98</f>
        <v>-214.34000000000015</v>
      </c>
      <c r="U98" s="4">
        <f>IF(N98=0,0,O98/N98-1)</f>
        <v>-0.11951400389198363</v>
      </c>
      <c r="AB98" s="18">
        <v>22928.61</v>
      </c>
      <c r="AC98" s="18">
        <v>20431.72</v>
      </c>
      <c r="AD98" s="4">
        <f>AC98/AB98-1</f>
        <v>-0.10889844608984145</v>
      </c>
    </row>
    <row r="99" spans="1:30" ht="15" customHeight="1">
      <c r="A99" t="s">
        <v>1347</v>
      </c>
      <c r="B99" t="s">
        <v>1348</v>
      </c>
      <c r="C99">
        <v>951</v>
      </c>
      <c r="E99" t="s">
        <v>1348</v>
      </c>
      <c r="F99">
        <v>766</v>
      </c>
      <c r="G99" t="b">
        <f>IF(B99=E99,TRUE,FALSE)</f>
        <v>1</v>
      </c>
      <c r="J99">
        <f>F99-C99</f>
        <v>-185</v>
      </c>
      <c r="K99" s="4">
        <f>F99/C99-1</f>
        <v>-0.19453207150368035</v>
      </c>
      <c r="L99" s="4"/>
      <c r="N99" s="5">
        <v>1124.6600000000001</v>
      </c>
      <c r="O99" s="5">
        <v>639.82000000000005</v>
      </c>
      <c r="Q99" s="5">
        <v>1959.82</v>
      </c>
      <c r="T99" s="114">
        <f>O99-N99</f>
        <v>-484.84000000000003</v>
      </c>
      <c r="U99" s="4">
        <f>IF(N99=0,0,O99/N99-1)</f>
        <v>-0.43109917664005126</v>
      </c>
      <c r="AB99" s="18">
        <v>18380.09</v>
      </c>
      <c r="AC99" s="18">
        <v>14761.14</v>
      </c>
      <c r="AD99" s="4">
        <f>AC99/AB99-1</f>
        <v>-0.1968951185766773</v>
      </c>
    </row>
    <row r="100" spans="1:30" ht="15" customHeight="1">
      <c r="A100" t="s">
        <v>1349</v>
      </c>
      <c r="B100" t="s">
        <v>1350</v>
      </c>
      <c r="C100">
        <v>1188</v>
      </c>
      <c r="E100" t="s">
        <v>1350</v>
      </c>
      <c r="F100">
        <v>994</v>
      </c>
      <c r="G100" t="b">
        <f>IF(B100=E100,TRUE,FALSE)</f>
        <v>1</v>
      </c>
      <c r="J100">
        <f>F100-C100</f>
        <v>-194</v>
      </c>
      <c r="K100" s="4">
        <f>F100/C100-1</f>
        <v>-0.16329966329966328</v>
      </c>
      <c r="N100" s="5">
        <v>893.05</v>
      </c>
      <c r="O100" s="5">
        <v>446.95</v>
      </c>
      <c r="Q100" s="5">
        <v>3152.72</v>
      </c>
      <c r="T100" s="114">
        <f>O100-N100</f>
        <v>-446.09999999999997</v>
      </c>
      <c r="U100" s="4">
        <f>IF(N100=0,0,O100/N100-1)</f>
        <v>-0.49952410279379655</v>
      </c>
      <c r="X100" s="5"/>
      <c r="Y100" s="5"/>
      <c r="Z100" s="5"/>
      <c r="AA100" s="17"/>
      <c r="AB100" s="18">
        <v>21462.18</v>
      </c>
      <c r="AC100" s="18">
        <v>20901.54</v>
      </c>
      <c r="AD100" s="4">
        <f>AC100/AB100-1</f>
        <v>-2.6122229894633198E-2</v>
      </c>
    </row>
    <row r="101" spans="1:30" ht="15" customHeight="1">
      <c r="A101" t="s">
        <v>1351</v>
      </c>
      <c r="B101" t="s">
        <v>1352</v>
      </c>
      <c r="C101">
        <v>1414</v>
      </c>
      <c r="E101" t="s">
        <v>1352</v>
      </c>
      <c r="F101">
        <v>1192</v>
      </c>
      <c r="G101" t="b">
        <f>IF(B101=E101,TRUE,FALSE)</f>
        <v>1</v>
      </c>
      <c r="J101">
        <f>F101-C101</f>
        <v>-222</v>
      </c>
      <c r="K101" s="4">
        <f>F101/C101-1</f>
        <v>-0.15700141442715698</v>
      </c>
      <c r="L101" s="4"/>
      <c r="N101" s="5">
        <v>1897.07</v>
      </c>
      <c r="O101" s="5">
        <v>1078.8</v>
      </c>
      <c r="Q101" s="5">
        <v>5205.3</v>
      </c>
      <c r="T101" s="114">
        <f>O101-N101</f>
        <v>-818.27</v>
      </c>
      <c r="U101" s="4">
        <f>IF(N101=0,0,O101/N101-1)</f>
        <v>-0.43133358284090728</v>
      </c>
      <c r="AB101" s="18">
        <v>30354.36</v>
      </c>
      <c r="AC101" s="18">
        <v>27672.33</v>
      </c>
      <c r="AD101" s="4">
        <f>AC101/AB101-1</f>
        <v>-8.8357323297213242E-2</v>
      </c>
    </row>
    <row r="102" spans="1:30" ht="15" customHeight="1">
      <c r="A102" t="s">
        <v>1353</v>
      </c>
      <c r="B102" t="s">
        <v>1354</v>
      </c>
      <c r="C102">
        <v>1766</v>
      </c>
      <c r="E102" t="s">
        <v>1354</v>
      </c>
      <c r="F102">
        <v>1539</v>
      </c>
      <c r="G102" t="b">
        <f>IF(B102=E102,TRUE,FALSE)</f>
        <v>1</v>
      </c>
      <c r="J102">
        <f>F102-C102</f>
        <v>-227</v>
      </c>
      <c r="K102" s="4">
        <f>F102/C102-1</f>
        <v>-0.12853907134767839</v>
      </c>
      <c r="L102" s="4"/>
      <c r="N102" s="5">
        <v>2350.4699999999998</v>
      </c>
      <c r="O102" s="5">
        <v>1543.33</v>
      </c>
      <c r="Q102" s="5">
        <v>10550.04</v>
      </c>
      <c r="T102" s="114">
        <f>O102-N102</f>
        <v>-807.13999999999987</v>
      </c>
      <c r="U102" s="4">
        <f>IF(N102=0,0,O102/N102-1)</f>
        <v>-0.3433951507570826</v>
      </c>
      <c r="AB102" s="18">
        <v>38248.43</v>
      </c>
      <c r="AC102" s="18">
        <v>35055.599999999999</v>
      </c>
      <c r="AD102" s="4">
        <f>AC102/AB102-1</f>
        <v>-8.3476106078079537E-2</v>
      </c>
    </row>
    <row r="103" spans="1:30" ht="15" customHeight="1">
      <c r="A103" s="27" t="s">
        <v>1355</v>
      </c>
      <c r="B103" s="27" t="s">
        <v>1356</v>
      </c>
      <c r="C103">
        <v>1537</v>
      </c>
      <c r="E103" s="27" t="s">
        <v>1356</v>
      </c>
      <c r="F103">
        <v>1299</v>
      </c>
      <c r="G103" t="b">
        <f>IF(B103=E103,TRUE,FALSE)</f>
        <v>1</v>
      </c>
      <c r="J103">
        <f>F103-C103</f>
        <v>-238</v>
      </c>
      <c r="K103" s="4">
        <f>F103/C103-1</f>
        <v>-0.15484710474951202</v>
      </c>
      <c r="L103" s="4"/>
      <c r="N103" s="5">
        <v>2314.5500000000002</v>
      </c>
      <c r="O103" s="5">
        <v>1951.04</v>
      </c>
      <c r="Q103" s="5">
        <v>8899.0300000000007</v>
      </c>
      <c r="T103" s="114">
        <f>O103-N103</f>
        <v>-363.51000000000022</v>
      </c>
      <c r="U103" s="4">
        <f>IF(N103=0,0,O103/N103-1)</f>
        <v>-0.15705428701043411</v>
      </c>
      <c r="AB103" s="18">
        <v>31666.45</v>
      </c>
      <c r="AC103" s="18">
        <v>29854.87</v>
      </c>
      <c r="AD103" s="4">
        <f>AC103/AB103-1</f>
        <v>-5.7208180898079886E-2</v>
      </c>
    </row>
    <row r="104" spans="1:30" ht="15" customHeight="1">
      <c r="A104" t="s">
        <v>1357</v>
      </c>
      <c r="B104" t="s">
        <v>1358</v>
      </c>
      <c r="C104">
        <v>2360</v>
      </c>
      <c r="E104" t="s">
        <v>1358</v>
      </c>
      <c r="F104">
        <v>2116</v>
      </c>
      <c r="G104" t="b">
        <f>IF(B104=E104,TRUE,FALSE)</f>
        <v>1</v>
      </c>
      <c r="J104">
        <f>F104-C104</f>
        <v>-244</v>
      </c>
      <c r="K104" s="4">
        <f>F104/C104-1</f>
        <v>-0.10338983050847461</v>
      </c>
      <c r="L104" s="4"/>
      <c r="N104" s="5">
        <v>1252.81</v>
      </c>
      <c r="O104" s="5">
        <v>1090.46</v>
      </c>
      <c r="Q104" s="5">
        <v>7211.05</v>
      </c>
      <c r="T104" s="114">
        <f>O104-N104</f>
        <v>-162.34999999999991</v>
      </c>
      <c r="U104" s="4">
        <f>IF(N104=0,0,O104/N104-1)</f>
        <v>-0.12958868463693607</v>
      </c>
      <c r="AB104" s="18">
        <v>44001.37</v>
      </c>
      <c r="AC104" s="18">
        <v>40559.54</v>
      </c>
      <c r="AD104" s="4">
        <f>AC104/AB104-1</f>
        <v>-7.8220973574231967E-2</v>
      </c>
    </row>
    <row r="105" spans="1:30" ht="15" customHeight="1">
      <c r="A105" s="55" t="s">
        <v>1359</v>
      </c>
      <c r="B105" s="37" t="s">
        <v>1360</v>
      </c>
      <c r="C105">
        <v>1777</v>
      </c>
      <c r="E105" s="37" t="s">
        <v>1360</v>
      </c>
      <c r="F105">
        <v>1516</v>
      </c>
      <c r="G105" t="b">
        <f>IF(B105=E105,TRUE,FALSE)</f>
        <v>1</v>
      </c>
      <c r="J105">
        <f>F105-C105</f>
        <v>-261</v>
      </c>
      <c r="K105" s="4">
        <f>F105/C105-1</f>
        <v>-0.14687675858187954</v>
      </c>
      <c r="L105" s="4"/>
      <c r="N105" s="5">
        <v>3296.33</v>
      </c>
      <c r="O105" s="5">
        <v>2241.84</v>
      </c>
      <c r="Q105" s="5">
        <v>10733.1</v>
      </c>
      <c r="T105" s="114">
        <f>O105-N105</f>
        <v>-1054.4899999999998</v>
      </c>
      <c r="U105" s="4">
        <f>IF(N106=0,0,O105/N106-1)</f>
        <v>0.93473889516971176</v>
      </c>
      <c r="AB105" s="18">
        <v>38416.080000000002</v>
      </c>
      <c r="AC105" s="18">
        <v>34037.24</v>
      </c>
      <c r="AD105" s="4">
        <f>AC105/AB105-1</f>
        <v>-0.1139845606319021</v>
      </c>
    </row>
    <row r="106" spans="1:30" ht="15" customHeight="1">
      <c r="A106" t="s">
        <v>1361</v>
      </c>
      <c r="B106" t="s">
        <v>1362</v>
      </c>
      <c r="C106">
        <v>1747</v>
      </c>
      <c r="E106" t="s">
        <v>1362</v>
      </c>
      <c r="F106">
        <v>1485</v>
      </c>
      <c r="G106" t="b">
        <f>IF(B106=E106,TRUE,FALSE)</f>
        <v>1</v>
      </c>
      <c r="J106">
        <f>F106-C106</f>
        <v>-262</v>
      </c>
      <c r="K106" s="4">
        <f>F106/C106-1</f>
        <v>-0.14997137950772754</v>
      </c>
      <c r="L106" s="4"/>
      <c r="N106" s="5">
        <v>1158.73</v>
      </c>
      <c r="O106" s="5">
        <v>822.06</v>
      </c>
      <c r="Q106" s="5">
        <v>4976.51</v>
      </c>
      <c r="T106" s="114">
        <f>O106-N106</f>
        <v>-336.67000000000007</v>
      </c>
      <c r="U106" s="4">
        <f>IF(N106=0,0,O106/N106-1)</f>
        <v>-0.29055086171929623</v>
      </c>
      <c r="AB106" s="18">
        <v>33481.879999999997</v>
      </c>
      <c r="AC106" s="18">
        <v>28195.73</v>
      </c>
      <c r="AD106" s="4">
        <f>AC106/AB106-1</f>
        <v>-0.15788091947047178</v>
      </c>
    </row>
    <row r="107" spans="1:30" ht="15" customHeight="1">
      <c r="A107" t="s">
        <v>1363</v>
      </c>
      <c r="B107" t="s">
        <v>1364</v>
      </c>
      <c r="C107">
        <v>5495</v>
      </c>
      <c r="E107" t="s">
        <v>1364</v>
      </c>
      <c r="F107">
        <v>5225</v>
      </c>
      <c r="G107" t="b">
        <f>IF(B107=E107,TRUE,FALSE)</f>
        <v>1</v>
      </c>
      <c r="J107">
        <f>F107-C107</f>
        <v>-270</v>
      </c>
      <c r="K107" s="4">
        <f>F107/C107-1</f>
        <v>-4.9135577797998153E-2</v>
      </c>
      <c r="L107" s="4"/>
      <c r="N107" s="5">
        <v>5879.9</v>
      </c>
      <c r="O107" s="5">
        <v>4217.04</v>
      </c>
      <c r="Q107" s="5">
        <v>30440.69</v>
      </c>
      <c r="T107" s="114">
        <f>O107-N107</f>
        <v>-1662.8599999999997</v>
      </c>
      <c r="U107" s="4">
        <f>IF(N107=0,0,O107/N107-1)</f>
        <v>-0.28280412932192722</v>
      </c>
      <c r="AB107" s="18">
        <v>167300.01</v>
      </c>
      <c r="AC107" s="18">
        <v>165370.82999999999</v>
      </c>
      <c r="AD107" s="4">
        <f>AC107/AB107-1</f>
        <v>-1.1531260518155562E-2</v>
      </c>
    </row>
    <row r="108" spans="1:30" ht="15" customHeight="1">
      <c r="A108" t="s">
        <v>1365</v>
      </c>
      <c r="B108" t="s">
        <v>1366</v>
      </c>
      <c r="C108">
        <v>1792</v>
      </c>
      <c r="E108" t="s">
        <v>1366</v>
      </c>
      <c r="F108">
        <v>1521</v>
      </c>
      <c r="G108" t="b">
        <f>IF(B108=E108,TRUE,FALSE)</f>
        <v>1</v>
      </c>
      <c r="J108">
        <f>F108-C108</f>
        <v>-271</v>
      </c>
      <c r="K108" s="4">
        <f>F108/C108-1</f>
        <v>-0.1512276785714286</v>
      </c>
      <c r="L108" s="6"/>
      <c r="N108" s="5">
        <v>3167.52</v>
      </c>
      <c r="O108" s="5">
        <v>2473</v>
      </c>
      <c r="Q108" s="5">
        <v>14117.28</v>
      </c>
      <c r="T108" s="114">
        <f>O108-N108</f>
        <v>-694.52</v>
      </c>
      <c r="U108" s="4">
        <f>IF(N108=0,0,O108/N108-1)</f>
        <v>-0.21926301964944184</v>
      </c>
      <c r="AB108" s="18">
        <v>44748.25</v>
      </c>
      <c r="AC108" s="18">
        <v>43698.69</v>
      </c>
      <c r="AD108" s="4">
        <f>AC108/AB108-1</f>
        <v>-2.3454771974322997E-2</v>
      </c>
    </row>
    <row r="109" spans="1:30" ht="15" customHeight="1">
      <c r="A109" t="s">
        <v>1367</v>
      </c>
      <c r="B109" t="s">
        <v>1368</v>
      </c>
      <c r="C109">
        <v>1478</v>
      </c>
      <c r="E109" t="s">
        <v>1368</v>
      </c>
      <c r="F109">
        <v>1194</v>
      </c>
      <c r="G109" t="b">
        <f>IF(B109=E109,TRUE,FALSE)</f>
        <v>1</v>
      </c>
      <c r="J109">
        <f>F109-C109</f>
        <v>-284</v>
      </c>
      <c r="K109" s="4">
        <f>F109/C109-1</f>
        <v>-0.19215155615696888</v>
      </c>
      <c r="L109" s="4"/>
      <c r="N109" s="5">
        <v>1162.55</v>
      </c>
      <c r="O109" s="5">
        <v>1053.3</v>
      </c>
      <c r="Q109" s="5">
        <v>5586.02</v>
      </c>
      <c r="T109" s="114">
        <f>O109-N109</f>
        <v>-109.25</v>
      </c>
      <c r="U109" s="4">
        <f>IF(N109=0,0,O109/N109-1)</f>
        <v>-9.3974452711711343E-2</v>
      </c>
      <c r="X109" t="s">
        <v>1369</v>
      </c>
      <c r="AB109" s="18">
        <v>26661.8</v>
      </c>
      <c r="AC109" s="18">
        <v>25181.3</v>
      </c>
      <c r="AD109" s="4">
        <f>AC109/AB109-1</f>
        <v>-5.5528884021333935E-2</v>
      </c>
    </row>
    <row r="110" spans="1:30" ht="15" customHeight="1">
      <c r="A110" t="s">
        <v>1370</v>
      </c>
      <c r="B110" t="s">
        <v>1371</v>
      </c>
      <c r="C110">
        <v>1135</v>
      </c>
      <c r="E110" t="s">
        <v>1371</v>
      </c>
      <c r="F110">
        <v>826</v>
      </c>
      <c r="G110" t="b">
        <f>IF(B110=E110,TRUE,FALSE)</f>
        <v>1</v>
      </c>
      <c r="J110">
        <f>F110-C110</f>
        <v>-309</v>
      </c>
      <c r="K110" s="4">
        <f>F110/C110-1</f>
        <v>-0.27224669603524232</v>
      </c>
      <c r="N110" s="5">
        <v>2034.62</v>
      </c>
      <c r="O110" s="5">
        <v>1235.43</v>
      </c>
      <c r="Q110" s="5">
        <v>4866.26</v>
      </c>
      <c r="T110" s="114">
        <f>O110-N110</f>
        <v>-799.18999999999983</v>
      </c>
      <c r="U110" s="4">
        <f>IF(N110=0,0,O110/N110-1)</f>
        <v>-0.39279570632353944</v>
      </c>
      <c r="X110" s="5"/>
      <c r="Y110" s="5"/>
      <c r="Z110" s="5"/>
      <c r="AA110" s="17"/>
      <c r="AB110" s="18">
        <v>44964.9</v>
      </c>
      <c r="AC110" s="18">
        <v>33023.74</v>
      </c>
      <c r="AD110" s="4">
        <f>AC110/AB110-1</f>
        <v>-0.26556625278828605</v>
      </c>
    </row>
    <row r="111" spans="1:30" ht="15" customHeight="1">
      <c r="A111" t="s">
        <v>1372</v>
      </c>
      <c r="B111" t="s">
        <v>1373</v>
      </c>
      <c r="C111">
        <v>1224</v>
      </c>
      <c r="E111" t="s">
        <v>1373</v>
      </c>
      <c r="F111">
        <v>908</v>
      </c>
      <c r="G111" t="b">
        <f>IF(B111=E111,TRUE,FALSE)</f>
        <v>1</v>
      </c>
      <c r="J111">
        <f>F111-C111</f>
        <v>-316</v>
      </c>
      <c r="K111" s="4">
        <f>F111/C111-1</f>
        <v>-0.25816993464052285</v>
      </c>
      <c r="L111" s="4"/>
      <c r="N111" s="5">
        <v>1899.12</v>
      </c>
      <c r="O111" s="5">
        <v>1112.19</v>
      </c>
      <c r="Q111" s="5">
        <v>5103.4399999999996</v>
      </c>
      <c r="T111" s="114">
        <f>O111-N111</f>
        <v>-786.92999999999984</v>
      </c>
      <c r="U111" s="4">
        <f>IF(N111=0,0,O111/N111-1)</f>
        <v>-0.41436560090989505</v>
      </c>
      <c r="AB111" s="18">
        <v>31841.47</v>
      </c>
      <c r="AC111" s="18">
        <v>25143.22</v>
      </c>
      <c r="AD111" s="4">
        <f>AC111/AB111-1</f>
        <v>-0.21036246128083913</v>
      </c>
    </row>
    <row r="112" spans="1:30" ht="15" customHeight="1">
      <c r="A112" t="s">
        <v>1374</v>
      </c>
      <c r="B112" t="s">
        <v>1375</v>
      </c>
      <c r="C112">
        <v>2444</v>
      </c>
      <c r="E112" t="s">
        <v>1375</v>
      </c>
      <c r="F112">
        <v>2123</v>
      </c>
      <c r="G112" t="b">
        <f>IF(B112=E112,TRUE,FALSE)</f>
        <v>1</v>
      </c>
      <c r="J112">
        <f>F112-C112</f>
        <v>-321</v>
      </c>
      <c r="K112" s="4">
        <f>F112/C112-1</f>
        <v>-0.13134206219312605</v>
      </c>
      <c r="L112" s="6"/>
      <c r="N112" s="5">
        <v>2262.2600000000002</v>
      </c>
      <c r="O112" s="5">
        <v>2207.2600000000002</v>
      </c>
      <c r="Q112" s="5">
        <v>12192.27</v>
      </c>
      <c r="T112" s="114">
        <f>O112-N112</f>
        <v>-55</v>
      </c>
      <c r="U112" s="4">
        <f>IF(N112=0,0,O112/N112-1)</f>
        <v>-2.4311971214626027E-2</v>
      </c>
      <c r="AB112" s="18">
        <v>42007.69</v>
      </c>
      <c r="AC112" s="18">
        <v>39613.760000000002</v>
      </c>
      <c r="AD112" s="4">
        <f>AC112/AB112-1</f>
        <v>-5.6987899120375385E-2</v>
      </c>
    </row>
    <row r="113" spans="1:31" ht="15" customHeight="1">
      <c r="A113" t="s">
        <v>1376</v>
      </c>
      <c r="B113" t="s">
        <v>1377</v>
      </c>
      <c r="C113">
        <v>854</v>
      </c>
      <c r="E113" t="s">
        <v>1377</v>
      </c>
      <c r="F113">
        <v>530</v>
      </c>
      <c r="G113" t="b">
        <f>IF(B113=E113,TRUE,FALSE)</f>
        <v>1</v>
      </c>
      <c r="J113">
        <f>F113-C113</f>
        <v>-324</v>
      </c>
      <c r="K113" s="4">
        <f>F113/C113-1</f>
        <v>-0.37939110070257609</v>
      </c>
      <c r="L113" s="4"/>
      <c r="N113" s="5">
        <v>973.83</v>
      </c>
      <c r="O113" s="5">
        <v>842.13</v>
      </c>
      <c r="Q113" s="5">
        <v>3799.65</v>
      </c>
      <c r="T113" s="114">
        <f>O113-N113</f>
        <v>-131.70000000000005</v>
      </c>
      <c r="U113" s="4">
        <f>IF(N113=0,0,O113/N113-1)</f>
        <v>-0.13523921012907802</v>
      </c>
      <c r="AB113" s="18">
        <v>13632.44</v>
      </c>
      <c r="AC113" s="18">
        <v>9328.2099999999991</v>
      </c>
      <c r="AD113" s="4">
        <f>AC113/AB113-1</f>
        <v>-0.31573438063912262</v>
      </c>
    </row>
    <row r="114" spans="1:31" ht="15" customHeight="1">
      <c r="A114" t="s">
        <v>1378</v>
      </c>
      <c r="B114" t="s">
        <v>1379</v>
      </c>
      <c r="C114">
        <v>1130</v>
      </c>
      <c r="E114" t="s">
        <v>1379</v>
      </c>
      <c r="F114">
        <v>775</v>
      </c>
      <c r="G114" t="b">
        <f>IF(B114=E114,TRUE,FALSE)</f>
        <v>1</v>
      </c>
      <c r="J114">
        <f>F114-C114</f>
        <v>-355</v>
      </c>
      <c r="K114" s="4">
        <f>F114/C114-1</f>
        <v>-0.31415929203539827</v>
      </c>
      <c r="L114" s="4"/>
      <c r="N114" s="5">
        <v>1474.95</v>
      </c>
      <c r="O114" s="5">
        <v>710.74</v>
      </c>
      <c r="Q114" s="5">
        <v>4203.88</v>
      </c>
      <c r="T114" s="114">
        <f>O114-N114</f>
        <v>-764.21</v>
      </c>
      <c r="U114" s="4">
        <f>IF(N114=0,0,O114/N114-1)</f>
        <v>-0.51812603817078551</v>
      </c>
      <c r="AB114" s="18">
        <v>20678.91</v>
      </c>
      <c r="AC114" s="18">
        <v>17009.93</v>
      </c>
      <c r="AD114" s="4">
        <f>AC114/AB114-1</f>
        <v>-0.17742617961971885</v>
      </c>
    </row>
    <row r="115" spans="1:31" ht="15" customHeight="1">
      <c r="A115" t="s">
        <v>1380</v>
      </c>
      <c r="B115" t="s">
        <v>1381</v>
      </c>
      <c r="C115">
        <v>1355</v>
      </c>
      <c r="E115" t="s">
        <v>1381</v>
      </c>
      <c r="F115">
        <v>999</v>
      </c>
      <c r="G115" t="b">
        <f>IF(B115=E115,TRUE,FALSE)</f>
        <v>1</v>
      </c>
      <c r="J115">
        <f>F115-C115</f>
        <v>-356</v>
      </c>
      <c r="K115" s="4">
        <f>F115/C115-1</f>
        <v>-0.26273062730627306</v>
      </c>
      <c r="N115" s="5">
        <v>1928.21</v>
      </c>
      <c r="O115" s="5">
        <v>1343.71</v>
      </c>
      <c r="Q115" s="5">
        <v>4783.42</v>
      </c>
      <c r="T115" s="114">
        <f>O115-N115</f>
        <v>-584.5</v>
      </c>
      <c r="U115" s="4">
        <f>IF(N115=0,0,O115/N115-1)</f>
        <v>-0.303130883046971</v>
      </c>
      <c r="X115" s="5"/>
      <c r="Y115" s="5"/>
      <c r="Z115" s="5"/>
      <c r="AA115" s="17"/>
      <c r="AB115" s="18">
        <v>24232.93</v>
      </c>
      <c r="AC115" s="18">
        <v>18378.41</v>
      </c>
      <c r="AD115" s="4">
        <f>AC115/AB115-1</f>
        <v>-0.2415935671006354</v>
      </c>
    </row>
    <row r="116" spans="1:31" ht="15" customHeight="1">
      <c r="A116" t="s">
        <v>1382</v>
      </c>
      <c r="B116" t="s">
        <v>1383</v>
      </c>
      <c r="C116">
        <v>2140</v>
      </c>
      <c r="E116" t="s">
        <v>1383</v>
      </c>
      <c r="F116">
        <v>1778</v>
      </c>
      <c r="G116" t="b">
        <f>IF(B116=E116,TRUE,FALSE)</f>
        <v>1</v>
      </c>
      <c r="J116">
        <f>F116-C116</f>
        <v>-362</v>
      </c>
      <c r="K116" s="4">
        <f>F116/C116-1</f>
        <v>-0.16915887850467293</v>
      </c>
      <c r="L116" s="4"/>
      <c r="N116" s="5">
        <v>2360.29</v>
      </c>
      <c r="O116" s="5">
        <v>1428.32</v>
      </c>
      <c r="Q116" s="5">
        <v>10216.61</v>
      </c>
      <c r="T116" s="114">
        <f>O116-N116</f>
        <v>-931.97</v>
      </c>
      <c r="U116" s="4">
        <f>IF(N116=0,0,O116/N116-1)</f>
        <v>-0.39485402217524124</v>
      </c>
      <c r="AB116" s="18">
        <v>76941.98000000001</v>
      </c>
      <c r="AC116" s="18">
        <v>67142.17</v>
      </c>
      <c r="AD116" s="4">
        <f>AC116/AB116-1</f>
        <v>-0.12736623102238875</v>
      </c>
      <c r="AE116" t="s">
        <v>1384</v>
      </c>
    </row>
    <row r="117" spans="1:31" ht="15" customHeight="1">
      <c r="A117" t="s">
        <v>1385</v>
      </c>
      <c r="B117" t="s">
        <v>1386</v>
      </c>
      <c r="C117">
        <v>1416</v>
      </c>
      <c r="E117" t="s">
        <v>1386</v>
      </c>
      <c r="F117">
        <v>1037</v>
      </c>
      <c r="G117" t="b">
        <f>IF(B117=E117,TRUE,FALSE)</f>
        <v>1</v>
      </c>
      <c r="J117">
        <f>F117-C117</f>
        <v>-379</v>
      </c>
      <c r="K117" s="4">
        <f>F117/C117-1</f>
        <v>-0.26765536723163841</v>
      </c>
      <c r="L117" s="4"/>
      <c r="N117" s="5">
        <v>1075.01</v>
      </c>
      <c r="O117" s="5">
        <v>1096.8699999999999</v>
      </c>
      <c r="Q117" s="5">
        <v>4761.72</v>
      </c>
      <c r="T117" s="114">
        <f>O117-N117</f>
        <v>21.8599999999999</v>
      </c>
      <c r="U117" s="4">
        <f>IF(N117=0,0,O117/N117-1)</f>
        <v>2.0334694560980804E-2</v>
      </c>
      <c r="AB117" s="18">
        <v>24340.639999999999</v>
      </c>
      <c r="AC117" s="18">
        <v>19905.03</v>
      </c>
      <c r="AD117" s="4">
        <f>AC117/AB117-1</f>
        <v>-0.18223062335254947</v>
      </c>
    </row>
    <row r="118" spans="1:31" ht="15" customHeight="1">
      <c r="A118" t="s">
        <v>1387</v>
      </c>
      <c r="B118" t="s">
        <v>1388</v>
      </c>
      <c r="C118">
        <v>1711</v>
      </c>
      <c r="E118" t="s">
        <v>1388</v>
      </c>
      <c r="F118">
        <v>1321</v>
      </c>
      <c r="G118" t="b">
        <f>IF(B118=E118,TRUE,FALSE)</f>
        <v>1</v>
      </c>
      <c r="J118">
        <f>F118-C118</f>
        <v>-390</v>
      </c>
      <c r="K118" s="4">
        <f>F118/C118-1</f>
        <v>-0.2279368790181181</v>
      </c>
      <c r="L118" s="4"/>
      <c r="N118" s="5">
        <v>1562.81</v>
      </c>
      <c r="O118" s="5">
        <v>818.49</v>
      </c>
      <c r="Q118" s="5">
        <v>4161.46</v>
      </c>
      <c r="T118" s="114">
        <f>O118-N118</f>
        <v>-744.31999999999994</v>
      </c>
      <c r="U118" s="4">
        <f>IF(N118=0,0,O118/N118-1)</f>
        <v>-0.47627030797089853</v>
      </c>
      <c r="AB118" s="18">
        <v>31705.69</v>
      </c>
      <c r="AC118" s="18">
        <v>25463.19</v>
      </c>
      <c r="AD118" s="4">
        <f>AC118/AB118-1</f>
        <v>-0.19688894958602066</v>
      </c>
    </row>
    <row r="119" spans="1:31" ht="15" customHeight="1">
      <c r="A119" t="s">
        <v>1389</v>
      </c>
      <c r="B119" t="s">
        <v>1390</v>
      </c>
      <c r="C119">
        <v>1027</v>
      </c>
      <c r="E119" t="s">
        <v>1390</v>
      </c>
      <c r="F119">
        <v>633</v>
      </c>
      <c r="G119" t="b">
        <f>IF(B119=E119,TRUE,FALSE)</f>
        <v>1</v>
      </c>
      <c r="J119">
        <f>F119-C119</f>
        <v>-394</v>
      </c>
      <c r="K119" s="4">
        <f>F119/C119-1</f>
        <v>-0.38364167478091526</v>
      </c>
      <c r="N119" s="5">
        <v>1323.42</v>
      </c>
      <c r="O119" s="5">
        <v>466.14</v>
      </c>
      <c r="Q119" s="5">
        <v>2120.1</v>
      </c>
      <c r="T119" s="114">
        <f>O119-N119</f>
        <v>-857.28000000000009</v>
      </c>
      <c r="U119" s="4">
        <f>IF(N119=0,0,O119/N119-1)</f>
        <v>-0.64777621616720316</v>
      </c>
      <c r="AB119" s="18">
        <v>15744.54</v>
      </c>
      <c r="AC119" s="18">
        <v>11994.59</v>
      </c>
      <c r="AD119" s="4">
        <f>AC119/AB119-1</f>
        <v>-0.23817463069737199</v>
      </c>
    </row>
    <row r="120" spans="1:31" ht="15" customHeight="1">
      <c r="A120" s="54" t="s">
        <v>1099</v>
      </c>
      <c r="B120" s="37" t="s">
        <v>1391</v>
      </c>
      <c r="C120">
        <v>1076</v>
      </c>
      <c r="E120" s="37" t="s">
        <v>1391</v>
      </c>
      <c r="F120">
        <v>655</v>
      </c>
      <c r="G120" t="b">
        <f>IF(B120=E120,TRUE,FALSE)</f>
        <v>1</v>
      </c>
      <c r="J120">
        <f>F120-C120</f>
        <v>-421</v>
      </c>
      <c r="K120" s="4">
        <f>F120/C120-1</f>
        <v>-0.39126394052044611</v>
      </c>
      <c r="L120" s="4"/>
      <c r="N120" s="5">
        <v>2264.85</v>
      </c>
      <c r="O120" s="5">
        <v>1865.38</v>
      </c>
      <c r="Q120" s="5">
        <v>9043.58</v>
      </c>
      <c r="T120" s="114">
        <f>O120-N120</f>
        <v>-399.4699999999998</v>
      </c>
      <c r="U120" s="4">
        <f>IF(N120=0,0,O120/N120-1)</f>
        <v>-0.17637812658674956</v>
      </c>
      <c r="AB120" s="18">
        <v>17469.29</v>
      </c>
      <c r="AC120" s="18">
        <v>12323.12</v>
      </c>
      <c r="AD120" s="4">
        <f>AC120/AB120-1</f>
        <v>-0.29458380964538344</v>
      </c>
      <c r="AE120" t="s">
        <v>1392</v>
      </c>
    </row>
    <row r="121" spans="1:31" ht="15" customHeight="1">
      <c r="A121" s="54" t="s">
        <v>1393</v>
      </c>
      <c r="B121" s="37" t="s">
        <v>1394</v>
      </c>
      <c r="C121">
        <v>1213</v>
      </c>
      <c r="E121" s="37" t="s">
        <v>1394</v>
      </c>
      <c r="F121">
        <v>645</v>
      </c>
      <c r="G121" t="b">
        <f>IF(B121=E121,TRUE,FALSE)</f>
        <v>1</v>
      </c>
      <c r="J121">
        <f>F121-C121</f>
        <v>-568</v>
      </c>
      <c r="K121" s="4">
        <f>F121/C121-1</f>
        <v>-0.46826051112943112</v>
      </c>
      <c r="L121" s="4"/>
      <c r="N121" s="5">
        <v>2668.19</v>
      </c>
      <c r="O121" s="5">
        <v>1808.17</v>
      </c>
      <c r="Q121" s="5">
        <v>8572.7900000000009</v>
      </c>
      <c r="U121" s="4"/>
      <c r="AB121" s="18">
        <v>23808.37</v>
      </c>
      <c r="AC121" s="18">
        <v>14099.3</v>
      </c>
      <c r="AD121" s="4">
        <f>AC121/AB121-1</f>
        <v>-0.40780070202202001</v>
      </c>
      <c r="AE121" t="s">
        <v>1395</v>
      </c>
    </row>
    <row r="122" spans="1:31" ht="15" customHeight="1">
      <c r="A122" t="s">
        <v>1396</v>
      </c>
      <c r="B122" t="s">
        <v>1397</v>
      </c>
      <c r="C122">
        <v>4841</v>
      </c>
      <c r="E122" t="s">
        <v>1397</v>
      </c>
      <c r="F122">
        <v>4194</v>
      </c>
      <c r="G122" t="b">
        <f>IF(B122=E122,TRUE,FALSE)</f>
        <v>1</v>
      </c>
      <c r="J122">
        <f>F122-C122</f>
        <v>-647</v>
      </c>
      <c r="K122" s="4">
        <f>F122/C122-1</f>
        <v>-0.13365007229911174</v>
      </c>
      <c r="N122" s="5">
        <v>5850.97</v>
      </c>
      <c r="O122" s="5">
        <v>5060.59</v>
      </c>
      <c r="Q122" s="5">
        <v>22554.63</v>
      </c>
      <c r="T122" s="114">
        <f>O122-N122</f>
        <v>-790.38000000000011</v>
      </c>
      <c r="U122" s="4">
        <f>IF(N122=0,0,O122/N122-1)</f>
        <v>-0.13508529354961663</v>
      </c>
      <c r="X122" s="5"/>
      <c r="Y122" s="5"/>
      <c r="Z122" s="5"/>
      <c r="AA122" s="17"/>
      <c r="AB122" s="18">
        <v>69471.91</v>
      </c>
      <c r="AC122" s="18">
        <v>66371.539999999994</v>
      </c>
      <c r="AD122" s="4">
        <f>AC122/AB122-1</f>
        <v>-4.4627677575008518E-2</v>
      </c>
    </row>
    <row r="123" spans="1:31" ht="15" customHeight="1">
      <c r="A123" t="s">
        <v>1398</v>
      </c>
      <c r="B123" t="s">
        <v>1399</v>
      </c>
      <c r="C123">
        <v>3670</v>
      </c>
      <c r="E123" t="s">
        <v>1399</v>
      </c>
      <c r="F123">
        <v>2820</v>
      </c>
      <c r="G123" t="b">
        <f>IF(B123=E123,TRUE,FALSE)</f>
        <v>1</v>
      </c>
      <c r="J123">
        <f>F123-C123</f>
        <v>-850</v>
      </c>
      <c r="K123" s="4">
        <f>F123/C123-1</f>
        <v>-0.23160762942779289</v>
      </c>
      <c r="L123" s="4"/>
      <c r="N123" s="5">
        <v>5215.05</v>
      </c>
      <c r="O123" s="5">
        <v>3713.99</v>
      </c>
      <c r="Q123" s="5">
        <v>19146.54</v>
      </c>
      <c r="T123" s="114">
        <f>O123-N123</f>
        <v>-1501.0600000000004</v>
      </c>
      <c r="U123" s="4">
        <f>IF(N123=0,0,O123/N123-1)</f>
        <v>-0.28783233142539388</v>
      </c>
      <c r="AB123" s="18">
        <v>77161.070000000007</v>
      </c>
      <c r="AC123" s="18">
        <v>68104.800000000003</v>
      </c>
      <c r="AD123" s="4">
        <f>AC123/AB123-1</f>
        <v>-0.11736838278681205</v>
      </c>
      <c r="AE123" t="s">
        <v>1400</v>
      </c>
    </row>
    <row r="124" spans="1:31" ht="15" customHeight="1">
      <c r="A124" s="142" t="s">
        <v>1401</v>
      </c>
      <c r="B124" s="37" t="s">
        <v>1402</v>
      </c>
      <c r="C124">
        <v>1034</v>
      </c>
      <c r="E124" s="37" t="s">
        <v>1402</v>
      </c>
      <c r="F124">
        <v>161</v>
      </c>
      <c r="G124" t="b">
        <f>IF(B124=E124,TRUE,FALSE)</f>
        <v>1</v>
      </c>
      <c r="J124">
        <f>F124-C124</f>
        <v>-873</v>
      </c>
      <c r="K124" s="4">
        <f>F124/C124-1</f>
        <v>-0.84429400386847198</v>
      </c>
      <c r="L124" s="4"/>
      <c r="N124" s="5">
        <v>1963.42</v>
      </c>
      <c r="O124" s="5">
        <v>740.37</v>
      </c>
      <c r="Q124" s="5">
        <v>2546.36</v>
      </c>
      <c r="T124" s="114">
        <f>O124-N124</f>
        <v>-1223.0500000000002</v>
      </c>
      <c r="U124" s="4">
        <f>IF(N124=0,0,O124/N124-1)</f>
        <v>-0.62291817339132738</v>
      </c>
      <c r="AB124" s="18">
        <v>16003.66</v>
      </c>
      <c r="AC124" s="18">
        <v>3418.39</v>
      </c>
      <c r="AD124" s="4">
        <f>AC124/AB124-1</f>
        <v>-0.78639948611755062</v>
      </c>
      <c r="AE124" t="s">
        <v>1403</v>
      </c>
    </row>
    <row r="125" spans="1:31" ht="15" customHeight="1">
      <c r="A125" t="s">
        <v>1404</v>
      </c>
      <c r="B125" t="s">
        <v>1405</v>
      </c>
      <c r="C125">
        <v>4462</v>
      </c>
      <c r="E125" t="s">
        <v>1405</v>
      </c>
      <c r="F125">
        <v>3178</v>
      </c>
      <c r="G125" t="b">
        <f>IF(B125=E125,TRUE,FALSE)</f>
        <v>1</v>
      </c>
      <c r="J125">
        <f>F125-C125</f>
        <v>-1284</v>
      </c>
      <c r="K125" s="4">
        <f>F125/C125-1</f>
        <v>-0.28776333482743166</v>
      </c>
      <c r="L125" s="4"/>
      <c r="N125" s="5">
        <v>2980.95</v>
      </c>
      <c r="O125" s="5">
        <v>1083.1600000000001</v>
      </c>
      <c r="Q125" s="5">
        <v>7893.1</v>
      </c>
      <c r="T125" s="114">
        <f>O125-N125</f>
        <v>-1897.7899999999997</v>
      </c>
      <c r="U125" s="4">
        <f>IF(N125=0,0,O125/N125-1)</f>
        <v>-0.63663932638923826</v>
      </c>
      <c r="X125" t="s">
        <v>1406</v>
      </c>
      <c r="AB125" s="18">
        <v>84723.36</v>
      </c>
      <c r="AC125" s="18">
        <v>65285.34</v>
      </c>
      <c r="AD125" s="4">
        <f>AC125/AB125-1</f>
        <v>-0.22942928609063673</v>
      </c>
      <c r="AE125" t="s">
        <v>1407</v>
      </c>
    </row>
    <row r="126" spans="1:31" ht="13.5" customHeight="1">
      <c r="A126" t="s">
        <v>1408</v>
      </c>
      <c r="B126" t="s">
        <v>1409</v>
      </c>
      <c r="C126">
        <v>5652</v>
      </c>
      <c r="E126" t="s">
        <v>1409</v>
      </c>
      <c r="F126">
        <v>4219</v>
      </c>
      <c r="G126" t="b">
        <f>IF(B126=E126,TRUE,FALSE)</f>
        <v>1</v>
      </c>
      <c r="J126">
        <f>F126-C126</f>
        <v>-1433</v>
      </c>
      <c r="K126" s="4">
        <f>F126/C126-1</f>
        <v>-0.25353857041755135</v>
      </c>
      <c r="L126" s="4"/>
      <c r="N126" s="5">
        <v>4194.72</v>
      </c>
      <c r="O126" s="5">
        <v>1999.94</v>
      </c>
      <c r="Q126" s="5">
        <v>6526.1</v>
      </c>
      <c r="T126" s="114">
        <f>O126-N126</f>
        <v>-2194.7800000000002</v>
      </c>
      <c r="U126" s="4">
        <f>IF(N126=0,0,O126/N126-1)</f>
        <v>-0.52322443452721523</v>
      </c>
      <c r="AB126" s="18">
        <v>56461.68</v>
      </c>
      <c r="AC126" s="18">
        <v>42136.32</v>
      </c>
      <c r="AD126" s="4">
        <f>AC126/AB126-1</f>
        <v>-0.25371827405773262</v>
      </c>
      <c r="AE126" s="122" t="s">
        <v>1410</v>
      </c>
    </row>
    <row r="127" spans="1:31" ht="13.5" customHeight="1">
      <c r="A127" t="s">
        <v>1411</v>
      </c>
      <c r="B127" t="s">
        <v>1412</v>
      </c>
      <c r="C127">
        <v>5942</v>
      </c>
      <c r="E127" t="s">
        <v>1412</v>
      </c>
      <c r="F127">
        <v>3000</v>
      </c>
      <c r="G127" t="b">
        <f>IF(B127=E127,TRUE,FALSE)</f>
        <v>1</v>
      </c>
      <c r="J127">
        <f>F127-C127</f>
        <v>-2942</v>
      </c>
      <c r="K127" s="4">
        <f>F127/C127-1</f>
        <v>-0.49511948838774822</v>
      </c>
      <c r="L127" s="4"/>
      <c r="N127" s="5">
        <v>6285.23</v>
      </c>
      <c r="O127" s="5">
        <v>1859.26</v>
      </c>
      <c r="Q127" s="5">
        <v>13872.64</v>
      </c>
      <c r="T127" s="114">
        <f>O127-N127</f>
        <v>-4425.9699999999993</v>
      </c>
      <c r="U127" s="4">
        <f>IF(N127=0,0,O127/N127-1)</f>
        <v>-0.70418584522762095</v>
      </c>
      <c r="AB127" s="18">
        <v>107565.74999999999</v>
      </c>
      <c r="AC127" s="18">
        <v>74941.02</v>
      </c>
      <c r="AD127" s="4">
        <f>AC127/AB127-1</f>
        <v>-0.30330035350471674</v>
      </c>
      <c r="AE127" t="s">
        <v>1413</v>
      </c>
    </row>
    <row r="128" spans="1:31" ht="15" customHeight="1">
      <c r="K128" s="4"/>
      <c r="L128" s="4"/>
      <c r="U128" s="4"/>
      <c r="AB128" s="18"/>
      <c r="AC128" s="18"/>
      <c r="AD128" s="4"/>
    </row>
    <row r="129" spans="3:30" ht="15" customHeight="1">
      <c r="C129" s="19"/>
      <c r="F129" s="19"/>
      <c r="K129" s="4"/>
      <c r="L129" s="4"/>
      <c r="U129" s="4"/>
      <c r="AB129" s="18"/>
      <c r="AC129" s="18"/>
      <c r="AD129" s="4"/>
    </row>
    <row r="130" spans="3:30" ht="13.5" customHeight="1">
      <c r="C130" s="3" t="s">
        <v>797</v>
      </c>
      <c r="D130" s="3"/>
      <c r="E130" s="3"/>
      <c r="F130" s="3" t="s">
        <v>797</v>
      </c>
      <c r="G130" s="3"/>
      <c r="H130" s="3"/>
      <c r="I130" s="3"/>
      <c r="J130" s="3" t="s">
        <v>798</v>
      </c>
      <c r="K130" s="31"/>
      <c r="L130" s="31"/>
      <c r="M130" s="3"/>
      <c r="N130" s="33" t="s">
        <v>799</v>
      </c>
      <c r="O130" s="33" t="s">
        <v>799</v>
      </c>
      <c r="P130" s="3"/>
      <c r="Q130" s="33" t="s">
        <v>1142</v>
      </c>
      <c r="R130" s="3"/>
      <c r="S130" s="3"/>
      <c r="T130" s="115" t="s">
        <v>801</v>
      </c>
      <c r="U130" s="31"/>
      <c r="V130" s="3"/>
      <c r="W130" s="3"/>
      <c r="X130" s="3"/>
      <c r="Y130" s="3"/>
      <c r="Z130" s="3"/>
      <c r="AA130" s="34"/>
      <c r="AB130" s="35" t="s">
        <v>3</v>
      </c>
      <c r="AC130" s="35" t="s">
        <v>3</v>
      </c>
    </row>
    <row r="131" spans="3:30">
      <c r="C131" s="19">
        <f>SUM(C3:C127)</f>
        <v>178395</v>
      </c>
      <c r="F131" s="19">
        <f>SUM(F3:F127)</f>
        <v>180525</v>
      </c>
      <c r="J131" s="19">
        <f>SUM(J3:J127)</f>
        <v>2130</v>
      </c>
      <c r="K131" s="4"/>
      <c r="L131" s="4"/>
      <c r="N131" s="5">
        <f>SUM(N3:N127)</f>
        <v>203596.22999999995</v>
      </c>
      <c r="O131" s="5">
        <f>SUM(O3:O127)</f>
        <v>178998.45</v>
      </c>
      <c r="Q131" s="5">
        <f>SUM(Q3:Q127)</f>
        <v>992893.74999999977</v>
      </c>
      <c r="T131" s="114">
        <f>O131-N131</f>
        <v>-24597.779999999941</v>
      </c>
      <c r="U131" s="4">
        <f>IF(N131=0,0,O131/N131-1)</f>
        <v>-0.1208164807373886</v>
      </c>
      <c r="X131" s="5"/>
      <c r="Y131" s="5"/>
      <c r="Z131" s="5"/>
      <c r="AA131" s="17"/>
      <c r="AB131" s="18">
        <f>SUM(AB3:AB126)</f>
        <v>3645961.7500000005</v>
      </c>
      <c r="AC131" s="18">
        <v>3760231.34</v>
      </c>
      <c r="AD131" s="4">
        <f>AC131/AB131-1</f>
        <v>3.1341412180201589E-2</v>
      </c>
    </row>
    <row r="132" spans="3:30">
      <c r="K132" s="4"/>
      <c r="L132" s="4"/>
      <c r="U132" s="4"/>
      <c r="X132" s="5"/>
      <c r="Y132" s="5"/>
      <c r="Z132" s="5"/>
      <c r="AA132" s="17"/>
    </row>
    <row r="133" spans="3:30">
      <c r="C133" s="4"/>
      <c r="F133" s="19">
        <f>F131-C131</f>
        <v>2130</v>
      </c>
      <c r="K133" s="4"/>
      <c r="L133" s="4"/>
      <c r="N133" s="4"/>
      <c r="O133" s="31" t="s">
        <v>802</v>
      </c>
      <c r="Q133" s="26">
        <f>O131/Q131</f>
        <v>0.18027956163486783</v>
      </c>
      <c r="U133" s="4"/>
      <c r="AB133" s="3" t="s">
        <v>803</v>
      </c>
      <c r="AC133" s="3" t="s">
        <v>803</v>
      </c>
    </row>
    <row r="134" spans="3:30">
      <c r="F134" s="4">
        <f>F131/C131-1</f>
        <v>1.193979651896071E-2</v>
      </c>
      <c r="K134" s="4"/>
      <c r="L134" s="4"/>
      <c r="Q134" s="13"/>
      <c r="U134" s="4"/>
      <c r="AB134" s="32">
        <f>N131/AB131</f>
        <v>5.5841570471769193E-2</v>
      </c>
      <c r="AC134" s="32">
        <f>O131/AC131</f>
        <v>4.7603041891566174E-2</v>
      </c>
    </row>
    <row r="135" spans="3:30">
      <c r="K135" s="4"/>
      <c r="L135" s="4"/>
      <c r="U135" s="4"/>
    </row>
    <row r="136" spans="3:30">
      <c r="K136" s="4"/>
      <c r="L136" s="4"/>
      <c r="U136" s="4"/>
    </row>
    <row r="137" spans="3:30">
      <c r="K137" s="4"/>
      <c r="L137" s="4"/>
      <c r="U137" s="4"/>
    </row>
    <row r="138" spans="3:30">
      <c r="K138" s="4"/>
      <c r="L138" s="4"/>
      <c r="U138" s="4"/>
    </row>
    <row r="139" spans="3:30">
      <c r="U139" s="4"/>
    </row>
    <row r="140" spans="3:30">
      <c r="K140" s="4"/>
      <c r="L140" s="4"/>
      <c r="U140" s="4"/>
    </row>
    <row r="141" spans="3:30">
      <c r="K141" s="4"/>
      <c r="L141" s="4"/>
      <c r="U141" s="4"/>
    </row>
    <row r="142" spans="3:30">
      <c r="K142" s="4"/>
      <c r="L142" s="4"/>
      <c r="U142" s="4"/>
    </row>
    <row r="143" spans="3:30">
      <c r="K143" s="4"/>
      <c r="L143" s="4"/>
      <c r="U143" s="4"/>
    </row>
    <row r="144" spans="3:30">
      <c r="K144" s="4"/>
      <c r="L144" s="4"/>
      <c r="U144" s="4"/>
    </row>
    <row r="145" spans="11:21">
      <c r="K145" s="4"/>
      <c r="L145" s="4"/>
      <c r="U145" s="4"/>
    </row>
    <row r="146" spans="11:21">
      <c r="K146" s="4"/>
      <c r="L146" s="4"/>
      <c r="U146" s="4"/>
    </row>
    <row r="147" spans="11:21">
      <c r="K147" s="4"/>
      <c r="L147" s="4"/>
      <c r="U147" s="4"/>
    </row>
    <row r="148" spans="11:21">
      <c r="K148" s="4"/>
      <c r="L148" s="4"/>
      <c r="U148" s="4"/>
    </row>
    <row r="149" spans="11:21">
      <c r="K149" s="4"/>
      <c r="L149" s="4"/>
      <c r="U149" s="4"/>
    </row>
    <row r="150" spans="11:21">
      <c r="K150" s="4"/>
      <c r="L150" s="4"/>
      <c r="U150" s="4"/>
    </row>
    <row r="151" spans="11:21">
      <c r="K151" s="4"/>
      <c r="L151" s="4"/>
      <c r="U151" s="4"/>
    </row>
    <row r="152" spans="11:21">
      <c r="K152" s="4"/>
      <c r="L152" s="4"/>
      <c r="U152" s="4"/>
    </row>
    <row r="153" spans="11:21">
      <c r="K153" s="4"/>
      <c r="L153" s="4"/>
      <c r="U153" s="4"/>
    </row>
    <row r="154" spans="11:21">
      <c r="K154" s="4"/>
      <c r="L154" s="4"/>
      <c r="U154" s="4"/>
    </row>
    <row r="155" spans="11:21">
      <c r="K155" s="4"/>
      <c r="L155" s="4"/>
      <c r="U155" s="4"/>
    </row>
    <row r="156" spans="11:21">
      <c r="K156" s="4"/>
      <c r="L156" s="4"/>
      <c r="U156" s="4"/>
    </row>
    <row r="157" spans="11:21">
      <c r="K157" s="4"/>
      <c r="L157" s="4"/>
      <c r="U157" s="4"/>
    </row>
    <row r="158" spans="11:21">
      <c r="K158" s="4"/>
      <c r="L158" s="4"/>
      <c r="U158" s="4"/>
    </row>
    <row r="159" spans="11:21">
      <c r="K159" s="4"/>
      <c r="L159" s="4"/>
      <c r="U159" s="4"/>
    </row>
    <row r="160" spans="11:21">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4"/>
      <c r="L168" s="4"/>
      <c r="U168" s="4"/>
    </row>
    <row r="169" spans="11:21">
      <c r="K169" s="4"/>
      <c r="L169" s="4"/>
      <c r="U169" s="4"/>
    </row>
    <row r="170" spans="11:21">
      <c r="K170" s="4"/>
      <c r="L170" s="4"/>
      <c r="U170" s="4"/>
    </row>
    <row r="171" spans="11:21">
      <c r="K171" s="4"/>
      <c r="L171" s="4"/>
      <c r="U171" s="4"/>
    </row>
    <row r="172" spans="11:21">
      <c r="K172" s="4"/>
      <c r="L172" s="4"/>
      <c r="U172" s="4"/>
    </row>
    <row r="173" spans="11:21">
      <c r="K173" s="4"/>
      <c r="L173" s="4"/>
      <c r="U173" s="4"/>
    </row>
    <row r="174" spans="11:21">
      <c r="K174" s="4"/>
      <c r="L174" s="4"/>
      <c r="U174" s="4"/>
    </row>
    <row r="175" spans="11:21">
      <c r="K175" s="4"/>
      <c r="L175" s="4"/>
      <c r="U175" s="4"/>
    </row>
    <row r="176" spans="11:21">
      <c r="K176" s="4"/>
      <c r="L176" s="4"/>
      <c r="U176" s="4"/>
    </row>
    <row r="177" spans="3:21">
      <c r="K177" s="4"/>
      <c r="L177" s="4"/>
      <c r="U177" s="4"/>
    </row>
    <row r="178" spans="3:21">
      <c r="K178" s="4"/>
      <c r="L178" s="4"/>
      <c r="U178" s="4"/>
    </row>
    <row r="179" spans="3:21">
      <c r="K179" s="4"/>
      <c r="L179" s="4"/>
      <c r="U179" s="4"/>
    </row>
    <row r="180" spans="3:21">
      <c r="K180" s="6"/>
      <c r="L180" s="6"/>
      <c r="N180" s="11"/>
      <c r="O180" s="11"/>
      <c r="T180" s="119"/>
      <c r="U180" s="6"/>
    </row>
    <row r="181" spans="3:21" ht="15" customHeight="1">
      <c r="K181" s="6"/>
      <c r="L181" s="6"/>
      <c r="N181" s="11"/>
      <c r="O181" s="11"/>
      <c r="T181" s="119"/>
      <c r="U181" s="6"/>
    </row>
    <row r="182" spans="3:21" ht="15" customHeight="1">
      <c r="K182" s="6"/>
      <c r="L182" s="6"/>
      <c r="N182" s="11"/>
      <c r="O182" s="11"/>
      <c r="T182" s="119"/>
      <c r="U182" s="6"/>
    </row>
    <row r="183" spans="3:21" ht="15" customHeight="1">
      <c r="K183" s="6"/>
      <c r="L183" s="6"/>
      <c r="N183" s="11"/>
      <c r="O183" s="11"/>
      <c r="T183" s="119"/>
      <c r="U183" s="6"/>
    </row>
    <row r="184" spans="3:21" ht="15" customHeight="1">
      <c r="K184" s="6"/>
      <c r="N184" s="11"/>
      <c r="O184" s="11"/>
      <c r="T184" s="119"/>
      <c r="U184" s="6"/>
    </row>
    <row r="185" spans="3:21" ht="15" customHeight="1">
      <c r="K185" s="6"/>
      <c r="L185" s="6"/>
      <c r="N185" s="11"/>
      <c r="O185" s="11"/>
      <c r="T185" s="119"/>
      <c r="U185" s="6"/>
    </row>
    <row r="186" spans="3:21" ht="15" customHeight="1">
      <c r="K186" s="6"/>
      <c r="L186" s="6"/>
      <c r="N186" s="11"/>
      <c r="O186" s="11"/>
      <c r="T186" s="119"/>
      <c r="U186" s="6"/>
    </row>
    <row r="187" spans="3:21" ht="15" customHeight="1">
      <c r="K187" s="6"/>
      <c r="L187" s="6"/>
      <c r="N187" s="11"/>
      <c r="O187" s="11"/>
      <c r="T187" s="119"/>
      <c r="U187" s="6"/>
    </row>
    <row r="188" spans="3:21" ht="15" customHeight="1">
      <c r="K188" s="6"/>
      <c r="L188" s="6"/>
      <c r="N188" s="11"/>
      <c r="O188" s="11"/>
      <c r="T188" s="119"/>
      <c r="U188" s="6"/>
    </row>
    <row r="189" spans="3:21">
      <c r="N189" s="11"/>
      <c r="O189" s="11"/>
      <c r="T189" s="119"/>
    </row>
    <row r="190" spans="3:21" ht="15" customHeight="1">
      <c r="C190" s="8"/>
      <c r="F190" s="8"/>
      <c r="J190" s="8"/>
      <c r="N190" s="11"/>
      <c r="O190" s="11"/>
      <c r="T190" s="119"/>
    </row>
    <row r="191" spans="3:21">
      <c r="N191" s="11"/>
      <c r="O191" s="11"/>
      <c r="T191" s="119"/>
    </row>
    <row r="192" spans="3:21" ht="15" customHeight="1">
      <c r="N192" s="11"/>
      <c r="O192" s="11"/>
      <c r="T192" s="119"/>
    </row>
    <row r="193" spans="3:6" ht="15" customHeight="1">
      <c r="C193" s="9"/>
      <c r="F193" s="9"/>
    </row>
    <row r="195" spans="3:6" ht="15" customHeight="1">
      <c r="C195" s="8"/>
      <c r="F195" s="8"/>
    </row>
    <row r="198" spans="3:6" ht="15" customHeight="1">
      <c r="C198" s="9"/>
      <c r="F198" s="9"/>
    </row>
  </sheetData>
  <autoFilter ref="A2:AE2" xr:uid="{A0872D2E-CA91-4628-AF55-6EA17D54F5B9}"/>
  <sortState xmlns:xlrd2="http://schemas.microsoft.com/office/spreadsheetml/2017/richdata2" ref="J3:K97">
    <sortCondition ref="J97"/>
  </sortState>
  <mergeCells count="7">
    <mergeCell ref="AB1:AC1"/>
    <mergeCell ref="X1:AA1"/>
    <mergeCell ref="B1:C1"/>
    <mergeCell ref="E1:F1"/>
    <mergeCell ref="J1:K1"/>
    <mergeCell ref="N1:O1"/>
    <mergeCell ref="T1:U1"/>
  </mergeCells>
  <phoneticPr fontId="3" type="noConversion"/>
  <conditionalFormatting sqref="D84 H84:I84 L84:M84 P84 R84:S84">
    <cfRule type="cellIs" dxfId="14" priority="17" operator="greaterThan">
      <formula>500</formula>
    </cfRule>
    <cfRule type="cellIs" dxfId="13" priority="18" operator="lessThan">
      <formula>-100</formula>
    </cfRule>
  </conditionalFormatting>
  <conditionalFormatting sqref="J2:J130 J132:J138 J140:J189">
    <cfRule type="cellIs" dxfId="12" priority="7" operator="greaterThan">
      <formula>500</formula>
    </cfRule>
  </conditionalFormatting>
  <conditionalFormatting sqref="J3:J130 J132:J138 J140:J188">
    <cfRule type="cellIs" dxfId="11" priority="11" operator="lessThan">
      <formula>-100</formula>
    </cfRule>
  </conditionalFormatting>
  <conditionalFormatting sqref="J191:J1048576">
    <cfRule type="cellIs" dxfId="10" priority="30" operator="greaterThan">
      <formula>500</formula>
    </cfRule>
  </conditionalFormatting>
  <conditionalFormatting sqref="K2">
    <cfRule type="cellIs" dxfId="9" priority="31" operator="lessThan">
      <formula>-20%</formula>
    </cfRule>
  </conditionalFormatting>
  <conditionalFormatting sqref="K3:K138 K140:K1048576">
    <cfRule type="cellIs" dxfId="8" priority="14" operator="lessThan">
      <formula>-0.2</formula>
    </cfRule>
  </conditionalFormatting>
  <conditionalFormatting sqref="K3:L3 L4:L72 K4:K138 L74:L83 L85:L138 L140:L184 K140:K188">
    <cfRule type="cellIs" dxfId="7" priority="35" operator="greaterThan">
      <formula>0.2</formula>
    </cfRule>
  </conditionalFormatting>
  <conditionalFormatting sqref="U3:U188">
    <cfRule type="cellIs" dxfId="6" priority="33" operator="greaterThan">
      <formula>0.5</formula>
    </cfRule>
  </conditionalFormatting>
  <conditionalFormatting sqref="AD3:AD129">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31">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U54"/>
  <sheetViews>
    <sheetView tabSelected="1" zoomScale="85" zoomScaleNormal="85" workbookViewId="0">
      <pane xSplit="1" ySplit="1" topLeftCell="AB2" activePane="bottomRight" state="frozen"/>
      <selection pane="bottomRight" activeCell="AU27" sqref="AU27"/>
      <selection pane="bottomLeft"/>
      <selection pane="topRight"/>
    </sheetView>
  </sheetViews>
  <sheetFormatPr defaultRowHeight="15"/>
  <cols>
    <col min="1" max="1" width="14" customWidth="1"/>
    <col min="2" max="2" width="17.42578125" customWidth="1"/>
    <col min="3" max="3" width="16.85546875" customWidth="1"/>
    <col min="4" max="4" width="16" customWidth="1"/>
    <col min="5" max="5" width="16.42578125" customWidth="1"/>
    <col min="6" max="6" width="14.7109375" customWidth="1"/>
    <col min="7" max="13" width="15.28515625" customWidth="1"/>
    <col min="14" max="14" width="15" customWidth="1"/>
    <col min="15" max="25" width="15.28515625" customWidth="1"/>
    <col min="26" max="26" width="15.85546875" customWidth="1"/>
    <col min="27" max="28" width="16.42578125" customWidth="1"/>
    <col min="29" max="29" width="14.28515625" customWidth="1"/>
    <col min="30" max="30" width="16.42578125" customWidth="1"/>
    <col min="31" max="33" width="16.5703125" customWidth="1"/>
    <col min="34" max="38" width="20.5703125" customWidth="1"/>
  </cols>
  <sheetData>
    <row r="1" spans="1:38" ht="15.75" thickBot="1">
      <c r="A1" s="36" t="s">
        <v>1414</v>
      </c>
      <c r="B1" s="56" t="s">
        <v>1415</v>
      </c>
      <c r="C1" s="56" t="s">
        <v>1416</v>
      </c>
      <c r="D1" s="56" t="s">
        <v>1417</v>
      </c>
      <c r="E1" s="56" t="s">
        <v>1418</v>
      </c>
      <c r="F1" s="56" t="s">
        <v>1419</v>
      </c>
      <c r="G1" s="56" t="s">
        <v>1420</v>
      </c>
      <c r="H1" s="56" t="s">
        <v>1421</v>
      </c>
      <c r="I1" s="56" t="s">
        <v>1422</v>
      </c>
      <c r="J1" s="56" t="s">
        <v>1423</v>
      </c>
      <c r="K1" s="56" t="s">
        <v>1424</v>
      </c>
      <c r="L1" s="56" t="s">
        <v>1425</v>
      </c>
      <c r="M1" s="56" t="s">
        <v>1426</v>
      </c>
      <c r="N1" s="56" t="s">
        <v>1427</v>
      </c>
      <c r="O1" s="56" t="s">
        <v>1428</v>
      </c>
      <c r="P1" s="56" t="s">
        <v>1429</v>
      </c>
      <c r="Q1" s="56" t="s">
        <v>1430</v>
      </c>
      <c r="R1" s="56" t="s">
        <v>1431</v>
      </c>
      <c r="S1" s="56" t="s">
        <v>1432</v>
      </c>
      <c r="T1" s="56" t="s">
        <v>1433</v>
      </c>
      <c r="U1" s="56" t="s">
        <v>1434</v>
      </c>
      <c r="V1" s="56" t="s">
        <v>1435</v>
      </c>
      <c r="W1" s="56" t="s">
        <v>1436</v>
      </c>
      <c r="X1" s="56" t="s">
        <v>1437</v>
      </c>
      <c r="Y1" s="57" t="s">
        <v>1438</v>
      </c>
      <c r="Z1" s="57" t="s">
        <v>1439</v>
      </c>
      <c r="AA1" s="57" t="s">
        <v>1440</v>
      </c>
      <c r="AB1" s="57" t="s">
        <v>1441</v>
      </c>
      <c r="AC1" s="57" t="s">
        <v>1442</v>
      </c>
      <c r="AD1" s="57" t="s">
        <v>1443</v>
      </c>
      <c r="AE1" s="57" t="s">
        <v>1444</v>
      </c>
      <c r="AF1" s="57" t="s">
        <v>1445</v>
      </c>
      <c r="AG1" s="57" t="s">
        <v>1446</v>
      </c>
      <c r="AH1" s="57" t="s">
        <v>1447</v>
      </c>
      <c r="AI1" s="57" t="s">
        <v>1448</v>
      </c>
      <c r="AJ1" s="57" t="s">
        <v>1449</v>
      </c>
      <c r="AK1" s="57" t="s">
        <v>1450</v>
      </c>
      <c r="AL1" s="57" t="s">
        <v>1451</v>
      </c>
    </row>
    <row r="2" spans="1:38">
      <c r="A2" s="58" t="s">
        <v>1452</v>
      </c>
      <c r="B2" s="59">
        <v>4932070</v>
      </c>
      <c r="C2" s="59">
        <v>4882291</v>
      </c>
      <c r="D2" s="59">
        <v>5747107</v>
      </c>
      <c r="E2" s="59">
        <v>5558578</v>
      </c>
      <c r="F2" s="59">
        <v>5608447</v>
      </c>
      <c r="G2" s="59">
        <v>5365821</v>
      </c>
      <c r="H2" s="59">
        <v>6175048</v>
      </c>
      <c r="I2" s="59">
        <v>6208913</v>
      </c>
      <c r="J2" s="59">
        <v>6107157</v>
      </c>
      <c r="K2" s="59">
        <v>6062880</v>
      </c>
      <c r="L2" s="59">
        <v>6409021</v>
      </c>
      <c r="M2" s="59">
        <v>5849059</v>
      </c>
      <c r="N2" s="94">
        <v>7678962</v>
      </c>
      <c r="O2" s="59">
        <v>8708296</v>
      </c>
      <c r="P2" s="59">
        <v>10429669.960000001</v>
      </c>
      <c r="Q2" s="59">
        <v>12527965</v>
      </c>
      <c r="R2" s="59">
        <v>12400737</v>
      </c>
      <c r="S2" s="59">
        <v>12318165</v>
      </c>
      <c r="T2" s="59">
        <v>13296822</v>
      </c>
      <c r="U2" s="59">
        <v>12427810.4</v>
      </c>
      <c r="V2" s="59">
        <v>12425462.310000001</v>
      </c>
      <c r="W2" s="59">
        <v>13116754.92</v>
      </c>
      <c r="X2" s="59">
        <v>13168808.529999999</v>
      </c>
      <c r="Y2" s="59">
        <v>13467008.08</v>
      </c>
      <c r="Z2" s="94">
        <v>16902826.940000001</v>
      </c>
      <c r="AA2" s="59">
        <v>17685415.640000001</v>
      </c>
      <c r="AB2" s="59">
        <v>17844095.539999999</v>
      </c>
      <c r="AC2" s="59">
        <v>20055646.200000003</v>
      </c>
      <c r="AD2" s="59">
        <v>18715254.290000007</v>
      </c>
      <c r="AE2" s="59">
        <v>17998376.469999991</v>
      </c>
      <c r="AF2" s="59">
        <v>18949710.699999999</v>
      </c>
      <c r="AG2" s="59">
        <v>19163616.800000001</v>
      </c>
      <c r="AH2" s="59">
        <v>22100782.419999994</v>
      </c>
      <c r="AI2" s="146">
        <v>24012240.110000011</v>
      </c>
      <c r="AJ2" s="146">
        <v>22549338</v>
      </c>
      <c r="AK2" s="68"/>
      <c r="AL2" s="59">
        <f>SUM(Z2:AK2)</f>
        <v>215977303.10999998</v>
      </c>
    </row>
    <row r="3" spans="1:38">
      <c r="A3" s="61" t="s">
        <v>1453</v>
      </c>
      <c r="B3" s="62">
        <v>2297147</v>
      </c>
      <c r="C3" s="62">
        <v>2150420</v>
      </c>
      <c r="D3" s="62">
        <v>2629984</v>
      </c>
      <c r="E3" s="62">
        <v>2521569</v>
      </c>
      <c r="F3" s="62">
        <v>2259914</v>
      </c>
      <c r="G3" s="62">
        <v>2519256</v>
      </c>
      <c r="H3" s="62">
        <v>2827089</v>
      </c>
      <c r="I3" s="62">
        <v>2875100</v>
      </c>
      <c r="J3" s="62">
        <v>3207713</v>
      </c>
      <c r="K3" s="62">
        <v>2859584</v>
      </c>
      <c r="L3" s="62">
        <v>3081446</v>
      </c>
      <c r="M3" s="62">
        <v>3056146</v>
      </c>
      <c r="N3" s="95">
        <v>3844080</v>
      </c>
      <c r="O3" s="62">
        <v>3634529</v>
      </c>
      <c r="P3" s="62">
        <v>3706201</v>
      </c>
      <c r="Q3" s="62">
        <v>3814600</v>
      </c>
      <c r="R3" s="62">
        <v>3900991</v>
      </c>
      <c r="S3" s="62">
        <v>3690019</v>
      </c>
      <c r="T3" s="62">
        <v>3951398</v>
      </c>
      <c r="U3" s="62">
        <v>3583522.44</v>
      </c>
      <c r="V3" s="62">
        <v>3864300.73</v>
      </c>
      <c r="W3" s="62">
        <v>4230378.59</v>
      </c>
      <c r="X3" s="62">
        <v>4478555.7300000004</v>
      </c>
      <c r="Y3" s="62">
        <v>4536415</v>
      </c>
      <c r="Z3" s="95">
        <v>5536315.4100000001</v>
      </c>
      <c r="AA3" s="62">
        <v>5487073.7100000009</v>
      </c>
      <c r="AB3" s="62">
        <v>5227360</v>
      </c>
      <c r="AC3" s="62">
        <v>5178806.76</v>
      </c>
      <c r="AD3" s="62">
        <v>5401656.5199999977</v>
      </c>
      <c r="AE3" s="62">
        <v>5377394.1300000018</v>
      </c>
      <c r="AF3" s="62">
        <v>5402282.9000000004</v>
      </c>
      <c r="AG3" s="62">
        <v>5390114.6100000003</v>
      </c>
      <c r="AH3" s="62">
        <v>5207401.6900000004</v>
      </c>
      <c r="AI3" s="147">
        <v>4994037.29</v>
      </c>
      <c r="AJ3" s="147">
        <f>4924597.11+551480</f>
        <v>5476077.1100000003</v>
      </c>
      <c r="AK3" s="69"/>
      <c r="AL3" s="62">
        <f t="shared" ref="AL3:AL4" si="0">SUM(Z3:AK3)</f>
        <v>58678520.129999995</v>
      </c>
    </row>
    <row r="4" spans="1:38">
      <c r="A4" s="63" t="s">
        <v>1454</v>
      </c>
      <c r="B4" s="64">
        <v>1279804</v>
      </c>
      <c r="C4" s="64">
        <v>1268372</v>
      </c>
      <c r="D4" s="64">
        <v>1573830</v>
      </c>
      <c r="E4" s="64">
        <v>1506528</v>
      </c>
      <c r="F4" s="64">
        <v>1655029</v>
      </c>
      <c r="G4" s="64">
        <v>1700272</v>
      </c>
      <c r="H4" s="64">
        <v>2169477</v>
      </c>
      <c r="I4" s="64">
        <v>2248226</v>
      </c>
      <c r="J4" s="64">
        <v>2556442</v>
      </c>
      <c r="K4" s="64">
        <v>2514905</v>
      </c>
      <c r="L4" s="64">
        <v>2557339</v>
      </c>
      <c r="M4" s="64">
        <v>2415591</v>
      </c>
      <c r="N4" s="96">
        <v>2984457</v>
      </c>
      <c r="O4" s="64">
        <v>2977315</v>
      </c>
      <c r="P4" s="64">
        <v>3001644</v>
      </c>
      <c r="Q4" s="64">
        <v>3078498</v>
      </c>
      <c r="R4" s="64">
        <v>3417854</v>
      </c>
      <c r="S4" s="64">
        <v>2883462</v>
      </c>
      <c r="T4" s="64">
        <v>2983823.16</v>
      </c>
      <c r="U4" s="64">
        <v>2907226.21</v>
      </c>
      <c r="V4" s="64">
        <v>3099136.78</v>
      </c>
      <c r="W4" s="64">
        <v>3166072.06</v>
      </c>
      <c r="X4" s="64">
        <v>3138932.53</v>
      </c>
      <c r="Y4" s="64">
        <v>2941749.11</v>
      </c>
      <c r="Z4" s="96">
        <v>3609131</v>
      </c>
      <c r="AA4" s="64">
        <v>3670417.9999999991</v>
      </c>
      <c r="AB4" s="64">
        <v>3674547</v>
      </c>
      <c r="AC4" s="64">
        <v>3639874.11</v>
      </c>
      <c r="AD4" s="64">
        <v>3427273.69</v>
      </c>
      <c r="AE4" s="64">
        <v>3583478.2000000016</v>
      </c>
      <c r="AF4" s="64">
        <v>3585858.0100000007</v>
      </c>
      <c r="AG4" s="64">
        <v>3428271.4200000004</v>
      </c>
      <c r="AH4" s="64">
        <v>3396470.02</v>
      </c>
      <c r="AI4" s="148">
        <v>3753527.5</v>
      </c>
      <c r="AJ4" s="148">
        <v>3760231.34</v>
      </c>
      <c r="AK4" s="70"/>
      <c r="AL4" s="64">
        <f t="shared" si="0"/>
        <v>39529080.290000007</v>
      </c>
    </row>
    <row r="5" spans="1:38" ht="15.75" thickBot="1">
      <c r="A5" s="65" t="s">
        <v>1455</v>
      </c>
      <c r="B5" s="66">
        <v>8509021</v>
      </c>
      <c r="C5" s="66">
        <v>8301083</v>
      </c>
      <c r="D5" s="66">
        <v>9950921</v>
      </c>
      <c r="E5" s="66">
        <v>9586675</v>
      </c>
      <c r="F5" s="66">
        <v>9523390</v>
      </c>
      <c r="G5" s="66">
        <v>9585349</v>
      </c>
      <c r="H5" s="66">
        <v>11171614</v>
      </c>
      <c r="I5" s="66">
        <v>11332239</v>
      </c>
      <c r="J5" s="66">
        <v>11871312</v>
      </c>
      <c r="K5" s="66">
        <v>11437369</v>
      </c>
      <c r="L5" s="66">
        <v>12047806</v>
      </c>
      <c r="M5" s="66">
        <v>11320796</v>
      </c>
      <c r="N5" s="97">
        <v>12628864.18</v>
      </c>
      <c r="O5" s="66">
        <v>16108151.67</v>
      </c>
      <c r="P5" s="66">
        <v>15844970.02</v>
      </c>
      <c r="Q5" s="66">
        <v>17343410.66</v>
      </c>
      <c r="R5" s="66">
        <v>20732208.739999998</v>
      </c>
      <c r="S5" s="66">
        <v>21204443.170000002</v>
      </c>
      <c r="T5" s="66">
        <v>20467074.469999999</v>
      </c>
      <c r="U5" s="66">
        <v>21955258.789999999</v>
      </c>
      <c r="V5" s="66">
        <v>21173733.73</v>
      </c>
      <c r="W5" s="66">
        <v>20946702.440000001</v>
      </c>
      <c r="X5" s="66">
        <v>22668986.91</v>
      </c>
      <c r="Y5" s="66">
        <v>23669129.640000001</v>
      </c>
      <c r="Z5" s="97">
        <v>29093762.670000002</v>
      </c>
      <c r="AA5" s="66">
        <v>27077762.399999999</v>
      </c>
      <c r="AB5" s="66">
        <v>29605212.449999999</v>
      </c>
      <c r="AC5" s="66">
        <v>30739369.93</v>
      </c>
      <c r="AD5" s="66">
        <v>30046162.420000002</v>
      </c>
      <c r="AE5" s="66">
        <v>28797217.039999999</v>
      </c>
      <c r="AF5" s="66">
        <v>30904968.91</v>
      </c>
      <c r="AG5" s="66">
        <v>31542653.84</v>
      </c>
      <c r="AH5" s="66">
        <v>31563079.879999999</v>
      </c>
      <c r="AI5" s="66">
        <v>33208009.559999999</v>
      </c>
      <c r="AJ5" s="66">
        <v>31234166</v>
      </c>
      <c r="AK5" s="71"/>
      <c r="AL5" s="66">
        <f>SUM(Z5:AK5)</f>
        <v>333812365.10000002</v>
      </c>
    </row>
    <row r="6" spans="1:38">
      <c r="A6" s="67"/>
      <c r="B6" s="67"/>
      <c r="C6" s="67"/>
      <c r="D6" s="67"/>
      <c r="E6" s="67"/>
      <c r="F6" s="67"/>
      <c r="G6" s="67"/>
      <c r="H6" s="67"/>
      <c r="I6" s="67"/>
      <c r="J6" s="67"/>
      <c r="K6" s="67"/>
      <c r="L6" s="67"/>
      <c r="M6" s="67"/>
      <c r="N6" s="67"/>
      <c r="O6" s="67"/>
      <c r="P6" s="67"/>
      <c r="Q6" s="67"/>
      <c r="R6" s="67"/>
      <c r="S6" s="67"/>
      <c r="T6" s="67"/>
      <c r="U6" s="60"/>
      <c r="V6" s="60"/>
      <c r="W6" s="60"/>
      <c r="X6" s="60"/>
      <c r="Y6" s="60"/>
      <c r="Z6" s="60"/>
      <c r="AA6" s="60"/>
      <c r="AB6" s="60"/>
      <c r="AC6" s="60"/>
      <c r="AH6" s="27"/>
      <c r="AI6" s="27"/>
      <c r="AJ6" s="27"/>
      <c r="AK6" s="27"/>
      <c r="AL6" s="27"/>
    </row>
    <row r="7" spans="1:38" ht="15.75" thickBo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D7" s="27"/>
      <c r="AE7" s="27"/>
      <c r="AF7" s="27"/>
      <c r="AG7" s="27"/>
      <c r="AH7" s="27"/>
      <c r="AI7" s="27"/>
      <c r="AJ7" s="27"/>
      <c r="AK7" s="27"/>
      <c r="AL7" s="60"/>
    </row>
    <row r="8" spans="1:38" ht="15.75" thickBot="1">
      <c r="A8" s="36" t="s">
        <v>1456</v>
      </c>
      <c r="B8" s="56" t="s">
        <v>1415</v>
      </c>
      <c r="C8" s="56" t="s">
        <v>1416</v>
      </c>
      <c r="D8" s="56" t="s">
        <v>1417</v>
      </c>
      <c r="E8" s="56" t="s">
        <v>1418</v>
      </c>
      <c r="F8" s="56" t="s">
        <v>1419</v>
      </c>
      <c r="G8" s="56" t="s">
        <v>1420</v>
      </c>
      <c r="H8" s="56" t="s">
        <v>1421</v>
      </c>
      <c r="I8" s="56" t="s">
        <v>1422</v>
      </c>
      <c r="J8" s="56" t="s">
        <v>1423</v>
      </c>
      <c r="K8" s="56" t="s">
        <v>1424</v>
      </c>
      <c r="L8" s="56" t="s">
        <v>1425</v>
      </c>
      <c r="M8" s="56" t="s">
        <v>1426</v>
      </c>
      <c r="N8" s="56" t="s">
        <v>1427</v>
      </c>
      <c r="O8" s="56" t="s">
        <v>1428</v>
      </c>
      <c r="P8" s="56" t="s">
        <v>1429</v>
      </c>
      <c r="Q8" s="56" t="s">
        <v>1430</v>
      </c>
      <c r="R8" s="56" t="s">
        <v>1431</v>
      </c>
      <c r="S8" s="56" t="s">
        <v>1432</v>
      </c>
      <c r="T8" s="56" t="s">
        <v>1433</v>
      </c>
      <c r="U8" s="56" t="s">
        <v>1434</v>
      </c>
      <c r="V8" s="56" t="s">
        <v>1435</v>
      </c>
      <c r="W8" s="56" t="s">
        <v>1436</v>
      </c>
      <c r="X8" s="56" t="s">
        <v>1437</v>
      </c>
      <c r="Y8" s="57" t="s">
        <v>1438</v>
      </c>
      <c r="Z8" s="57" t="s">
        <v>1439</v>
      </c>
      <c r="AA8" s="57" t="s">
        <v>1440</v>
      </c>
      <c r="AB8" s="57" t="s">
        <v>1441</v>
      </c>
      <c r="AC8" s="57" t="s">
        <v>1442</v>
      </c>
      <c r="AD8" s="57" t="s">
        <v>1443</v>
      </c>
      <c r="AE8" s="57" t="s">
        <v>1444</v>
      </c>
      <c r="AF8" s="57" t="s">
        <v>1445</v>
      </c>
      <c r="AG8" s="57" t="s">
        <v>1446</v>
      </c>
      <c r="AH8" s="57" t="s">
        <v>1447</v>
      </c>
      <c r="AI8" s="57" t="s">
        <v>1448</v>
      </c>
      <c r="AJ8" s="57" t="s">
        <v>1449</v>
      </c>
      <c r="AK8" s="57" t="s">
        <v>1450</v>
      </c>
      <c r="AL8" s="57" t="s">
        <v>1451</v>
      </c>
    </row>
    <row r="9" spans="1:38">
      <c r="A9" s="58" t="s">
        <v>1452</v>
      </c>
      <c r="B9" s="68"/>
      <c r="C9" s="68"/>
      <c r="D9" s="68"/>
      <c r="E9" s="68"/>
      <c r="F9" s="68"/>
      <c r="G9" s="68"/>
      <c r="H9" s="68"/>
      <c r="I9" s="59">
        <v>1904424</v>
      </c>
      <c r="J9" s="59">
        <v>1695098</v>
      </c>
      <c r="K9" s="59">
        <v>1666813</v>
      </c>
      <c r="L9" s="59">
        <v>1750099</v>
      </c>
      <c r="M9" s="59">
        <v>1643527</v>
      </c>
      <c r="N9" s="94">
        <v>2406151</v>
      </c>
      <c r="O9" s="59">
        <v>2919412.87</v>
      </c>
      <c r="P9" s="59">
        <v>3048758.81</v>
      </c>
      <c r="Q9" s="59">
        <v>3106780.26</v>
      </c>
      <c r="R9" s="59">
        <v>2784737.18</v>
      </c>
      <c r="S9" s="59">
        <v>3492681.52</v>
      </c>
      <c r="T9" s="59">
        <v>4066064.7</v>
      </c>
      <c r="U9" s="59">
        <v>3748577.68</v>
      </c>
      <c r="V9" s="59">
        <v>3443396.96</v>
      </c>
      <c r="W9" s="59">
        <v>3525797.52</v>
      </c>
      <c r="X9" s="59">
        <v>3658847.17</v>
      </c>
      <c r="Y9" s="59">
        <v>3834500.07</v>
      </c>
      <c r="Z9" s="59">
        <v>5020104.29</v>
      </c>
      <c r="AA9" s="59">
        <v>5590028.4100000001</v>
      </c>
      <c r="AB9" s="59">
        <v>5666226.75</v>
      </c>
      <c r="AC9" s="59">
        <v>5447442.3499999996</v>
      </c>
      <c r="AD9" s="59">
        <v>5556379.3300000019</v>
      </c>
      <c r="AE9" s="59">
        <v>5686329.8300000038</v>
      </c>
      <c r="AF9" s="59">
        <v>6201229.6000000006</v>
      </c>
      <c r="AG9" s="59">
        <v>6672753.96</v>
      </c>
      <c r="AH9" s="59">
        <v>7148035.9199999981</v>
      </c>
      <c r="AI9" s="59">
        <v>7449060.4700000025</v>
      </c>
      <c r="AJ9" s="59">
        <v>7139103.2299999986</v>
      </c>
      <c r="AK9" s="59"/>
      <c r="AL9" s="59">
        <f>SUM(Z9:AK9)</f>
        <v>67576694.140000001</v>
      </c>
    </row>
    <row r="10" spans="1:38">
      <c r="A10" s="61" t="s">
        <v>1453</v>
      </c>
      <c r="B10" s="69"/>
      <c r="C10" s="69"/>
      <c r="D10" s="69"/>
      <c r="E10" s="69"/>
      <c r="F10" s="69"/>
      <c r="G10" s="69"/>
      <c r="H10" s="69"/>
      <c r="I10" s="62">
        <v>706024</v>
      </c>
      <c r="J10" s="62">
        <v>780336</v>
      </c>
      <c r="K10" s="62">
        <v>681505.29</v>
      </c>
      <c r="L10" s="62">
        <v>757472</v>
      </c>
      <c r="M10" s="62">
        <v>689408</v>
      </c>
      <c r="N10" s="95">
        <v>1042938</v>
      </c>
      <c r="O10" s="62">
        <v>993958</v>
      </c>
      <c r="P10" s="62">
        <v>1014061</v>
      </c>
      <c r="Q10" s="62">
        <v>988563</v>
      </c>
      <c r="R10" s="62">
        <v>976671</v>
      </c>
      <c r="S10" s="62">
        <v>810220</v>
      </c>
      <c r="T10" s="62">
        <v>880304</v>
      </c>
      <c r="U10" s="62">
        <v>819190</v>
      </c>
      <c r="V10" s="62">
        <v>844494</v>
      </c>
      <c r="W10" s="62">
        <v>986509</v>
      </c>
      <c r="X10" s="62">
        <v>1077277</v>
      </c>
      <c r="Y10" s="62">
        <v>1149351</v>
      </c>
      <c r="Z10" s="62">
        <v>1516609</v>
      </c>
      <c r="AA10" s="62">
        <v>1641173.6800000006</v>
      </c>
      <c r="AB10" s="62">
        <v>1512470</v>
      </c>
      <c r="AC10" s="62">
        <v>1319420</v>
      </c>
      <c r="AD10" s="62">
        <v>1455364.5700000005</v>
      </c>
      <c r="AE10" s="62">
        <v>1354767.88</v>
      </c>
      <c r="AF10" s="62">
        <v>1343264.7299999997</v>
      </c>
      <c r="AG10" s="62">
        <v>1451271.0299999998</v>
      </c>
      <c r="AH10" s="62">
        <v>1261035.78</v>
      </c>
      <c r="AI10" s="62">
        <v>1294220.6099999996</v>
      </c>
      <c r="AJ10" s="62">
        <f>1165841.08+128565</f>
        <v>1294406.08</v>
      </c>
      <c r="AK10" s="62"/>
      <c r="AL10" s="62">
        <f t="shared" ref="AL10:AL11" si="1">SUM(Z10:AK10)</f>
        <v>15444003.359999999</v>
      </c>
    </row>
    <row r="11" spans="1:38">
      <c r="A11" s="63" t="s">
        <v>1454</v>
      </c>
      <c r="B11" s="70"/>
      <c r="C11" s="70"/>
      <c r="D11" s="70"/>
      <c r="E11" s="70"/>
      <c r="F11" s="70"/>
      <c r="G11" s="70"/>
      <c r="H11" s="70"/>
      <c r="I11" s="64">
        <v>601219</v>
      </c>
      <c r="J11" s="64">
        <v>693403</v>
      </c>
      <c r="K11" s="64">
        <v>656364.23</v>
      </c>
      <c r="L11" s="64">
        <v>695530</v>
      </c>
      <c r="M11" s="64">
        <v>708403</v>
      </c>
      <c r="N11" s="96">
        <v>973949</v>
      </c>
      <c r="O11" s="64">
        <v>951983</v>
      </c>
      <c r="P11" s="64">
        <v>931209</v>
      </c>
      <c r="Q11" s="64">
        <v>895312</v>
      </c>
      <c r="R11" s="64">
        <v>1019778</v>
      </c>
      <c r="S11" s="64">
        <v>790104</v>
      </c>
      <c r="T11" s="64">
        <v>808969</v>
      </c>
      <c r="U11" s="64">
        <v>809964</v>
      </c>
      <c r="V11" s="64">
        <v>874705</v>
      </c>
      <c r="W11" s="64">
        <v>857979</v>
      </c>
      <c r="X11" s="64">
        <v>789235</v>
      </c>
      <c r="Y11" s="64">
        <v>795115</v>
      </c>
      <c r="Z11" s="64">
        <v>1098357</v>
      </c>
      <c r="AA11" s="64">
        <v>1160975.4900000002</v>
      </c>
      <c r="AB11" s="64">
        <v>1171911</v>
      </c>
      <c r="AC11" s="64">
        <v>969742</v>
      </c>
      <c r="AD11" s="64">
        <v>1028082.6799999999</v>
      </c>
      <c r="AE11" s="64">
        <v>1013652.5499999993</v>
      </c>
      <c r="AF11" s="64">
        <v>1025221.4600000005</v>
      </c>
      <c r="AG11" s="64">
        <v>1066714.2000000004</v>
      </c>
      <c r="AH11" s="64">
        <v>1037751.5099999999</v>
      </c>
      <c r="AI11" s="64">
        <v>1121511.4700000004</v>
      </c>
      <c r="AJ11" s="64">
        <v>992893.74999999977</v>
      </c>
      <c r="AK11" s="64"/>
      <c r="AL11" s="64">
        <f t="shared" si="1"/>
        <v>11686813.110000001</v>
      </c>
    </row>
    <row r="12" spans="1:38" ht="15.75" thickBot="1">
      <c r="A12" s="65" t="s">
        <v>1455</v>
      </c>
      <c r="B12" s="71"/>
      <c r="C12" s="71"/>
      <c r="D12" s="71"/>
      <c r="E12" s="71"/>
      <c r="F12" s="71"/>
      <c r="G12" s="71"/>
      <c r="H12" s="71"/>
      <c r="I12" s="66">
        <v>3211667</v>
      </c>
      <c r="J12" s="66">
        <v>3168837</v>
      </c>
      <c r="K12" s="66">
        <v>3004682.52</v>
      </c>
      <c r="L12" s="66">
        <v>3203101</v>
      </c>
      <c r="M12" s="66">
        <v>3041338</v>
      </c>
      <c r="N12" s="97">
        <v>4423038</v>
      </c>
      <c r="O12" s="66">
        <v>4865353.87</v>
      </c>
      <c r="P12" s="66">
        <v>4994028.8099999996</v>
      </c>
      <c r="Q12" s="66">
        <v>4990655.26</v>
      </c>
      <c r="R12" s="66">
        <v>4781186.18</v>
      </c>
      <c r="S12" s="66">
        <v>5093005.5199999996</v>
      </c>
      <c r="T12" s="66">
        <v>5755337.7000000002</v>
      </c>
      <c r="U12" s="66">
        <v>5377731.6799999997</v>
      </c>
      <c r="V12" s="66">
        <v>5162595.96</v>
      </c>
      <c r="W12" s="66">
        <v>5370285.5199999996</v>
      </c>
      <c r="X12" s="66">
        <v>5525359.1699999999</v>
      </c>
      <c r="Y12" s="66">
        <v>5778966.0700000003</v>
      </c>
      <c r="Z12" s="66">
        <f t="shared" ref="Z12:AE12" si="2">SUM(Z9:Z11)</f>
        <v>7635070.29</v>
      </c>
      <c r="AA12" s="66">
        <f t="shared" si="2"/>
        <v>8392177.5800000019</v>
      </c>
      <c r="AB12" s="66">
        <f t="shared" si="2"/>
        <v>8350607.75</v>
      </c>
      <c r="AC12" s="66">
        <f t="shared" si="2"/>
        <v>7736604.3499999996</v>
      </c>
      <c r="AD12" s="66">
        <f t="shared" si="2"/>
        <v>8039826.5800000019</v>
      </c>
      <c r="AE12" s="66">
        <f t="shared" si="2"/>
        <v>8054750.2600000035</v>
      </c>
      <c r="AF12" s="66">
        <f>SUM(AF9:AF11)</f>
        <v>8569715.790000001</v>
      </c>
      <c r="AG12" s="66">
        <f>SUM(AG9:AG11)</f>
        <v>9190739.1900000013</v>
      </c>
      <c r="AH12" s="66">
        <f>SUM(AH9:AH11)</f>
        <v>9446823.2099999972</v>
      </c>
      <c r="AI12" s="66">
        <f>SUM(AI9:AI11)</f>
        <v>9864792.5500000026</v>
      </c>
      <c r="AJ12" s="66">
        <f>SUM(AJ9:AJ11)</f>
        <v>9426403.0599999987</v>
      </c>
      <c r="AK12" s="66"/>
      <c r="AL12" s="66">
        <f>SUM(Z12:AK12)</f>
        <v>94707510.609999999</v>
      </c>
    </row>
    <row r="13" spans="1:38">
      <c r="A13" s="67"/>
      <c r="B13" s="67"/>
      <c r="C13" s="67"/>
      <c r="D13" s="67"/>
      <c r="E13" s="67"/>
      <c r="F13" s="67"/>
      <c r="G13" s="67"/>
      <c r="H13" s="67"/>
      <c r="I13" s="67"/>
      <c r="J13" s="67"/>
      <c r="K13" s="67"/>
      <c r="L13" s="67"/>
      <c r="M13" s="67"/>
      <c r="N13" s="60"/>
      <c r="O13" s="60"/>
      <c r="P13" s="60"/>
      <c r="Q13" s="60"/>
      <c r="R13" s="60"/>
      <c r="S13" s="60"/>
      <c r="T13" s="60"/>
      <c r="U13" s="60"/>
      <c r="V13" s="60"/>
      <c r="W13" s="60"/>
      <c r="X13" s="60"/>
      <c r="Y13" s="60"/>
      <c r="Z13" s="60"/>
      <c r="AA13" s="27"/>
      <c r="AB13" s="27"/>
      <c r="AC13" s="27"/>
      <c r="AD13" s="27"/>
      <c r="AE13" s="27"/>
      <c r="AF13" s="27"/>
      <c r="AG13" s="27"/>
      <c r="AH13" s="27"/>
      <c r="AI13" s="27"/>
      <c r="AJ13" s="27"/>
      <c r="AK13" s="27"/>
      <c r="AL13" s="27"/>
    </row>
    <row r="14" spans="1:38" ht="15.75" thickBo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H14" s="27"/>
      <c r="AI14" s="27"/>
      <c r="AJ14" s="27"/>
      <c r="AK14" s="27"/>
      <c r="AL14" s="27"/>
    </row>
    <row r="15" spans="1:38" ht="15.75" thickBot="1">
      <c r="A15" s="36" t="s">
        <v>1457</v>
      </c>
      <c r="B15" s="56" t="s">
        <v>1415</v>
      </c>
      <c r="C15" s="56" t="s">
        <v>1416</v>
      </c>
      <c r="D15" s="56" t="s">
        <v>1417</v>
      </c>
      <c r="E15" s="56" t="s">
        <v>1418</v>
      </c>
      <c r="F15" s="56" t="s">
        <v>1419</v>
      </c>
      <c r="G15" s="56" t="s">
        <v>1420</v>
      </c>
      <c r="H15" s="56" t="s">
        <v>1421</v>
      </c>
      <c r="I15" s="56" t="s">
        <v>1422</v>
      </c>
      <c r="J15" s="56" t="s">
        <v>1423</v>
      </c>
      <c r="K15" s="56" t="s">
        <v>1424</v>
      </c>
      <c r="L15" s="56" t="s">
        <v>1425</v>
      </c>
      <c r="M15" s="56" t="s">
        <v>1426</v>
      </c>
      <c r="N15" s="56" t="s">
        <v>1427</v>
      </c>
      <c r="O15" s="56" t="s">
        <v>1428</v>
      </c>
      <c r="P15" s="56" t="s">
        <v>1429</v>
      </c>
      <c r="Q15" s="56" t="s">
        <v>1430</v>
      </c>
      <c r="R15" s="56" t="s">
        <v>1431</v>
      </c>
      <c r="S15" s="56" t="s">
        <v>1432</v>
      </c>
      <c r="T15" s="56" t="s">
        <v>1433</v>
      </c>
      <c r="U15" s="56" t="s">
        <v>1434</v>
      </c>
      <c r="V15" s="56" t="s">
        <v>1435</v>
      </c>
      <c r="W15" s="56" t="s">
        <v>1436</v>
      </c>
      <c r="X15" s="56" t="s">
        <v>1437</v>
      </c>
      <c r="Y15" s="57" t="s">
        <v>1438</v>
      </c>
      <c r="Z15" s="57" t="s">
        <v>1439</v>
      </c>
      <c r="AA15" s="57" t="s">
        <v>1440</v>
      </c>
      <c r="AB15" s="57" t="s">
        <v>1441</v>
      </c>
      <c r="AC15" s="57" t="s">
        <v>1442</v>
      </c>
      <c r="AD15" s="57" t="s">
        <v>1443</v>
      </c>
      <c r="AE15" s="57" t="s">
        <v>1444</v>
      </c>
      <c r="AF15" s="57" t="s">
        <v>1445</v>
      </c>
      <c r="AG15" s="57" t="s">
        <v>1446</v>
      </c>
      <c r="AH15" s="57" t="s">
        <v>1447</v>
      </c>
      <c r="AI15" s="57" t="s">
        <v>1448</v>
      </c>
      <c r="AJ15" s="57" t="s">
        <v>1449</v>
      </c>
      <c r="AK15" s="57" t="s">
        <v>1450</v>
      </c>
      <c r="AL15" s="57" t="s">
        <v>1451</v>
      </c>
    </row>
    <row r="16" spans="1:38">
      <c r="A16" s="58" t="s">
        <v>1452</v>
      </c>
      <c r="B16" s="68"/>
      <c r="C16" s="59">
        <v>281621</v>
      </c>
      <c r="D16" s="59">
        <v>273878</v>
      </c>
      <c r="E16" s="59">
        <v>277809</v>
      </c>
      <c r="F16" s="59">
        <v>254443</v>
      </c>
      <c r="G16" s="59">
        <v>260570</v>
      </c>
      <c r="H16" s="59">
        <v>336892</v>
      </c>
      <c r="I16" s="59">
        <v>353937</v>
      </c>
      <c r="J16" s="59">
        <v>290810</v>
      </c>
      <c r="K16" s="59">
        <v>287548</v>
      </c>
      <c r="L16" s="59">
        <v>293581</v>
      </c>
      <c r="M16" s="59">
        <v>260800</v>
      </c>
      <c r="N16" s="94">
        <v>391789.03</v>
      </c>
      <c r="O16" s="59">
        <v>456957.97</v>
      </c>
      <c r="P16" s="59">
        <v>433741.56</v>
      </c>
      <c r="Q16" s="59">
        <v>417240.93</v>
      </c>
      <c r="R16" s="59">
        <v>378268.57</v>
      </c>
      <c r="S16" s="59">
        <v>447394</v>
      </c>
      <c r="T16" s="59">
        <v>520052.15</v>
      </c>
      <c r="U16" s="59">
        <v>506057.84</v>
      </c>
      <c r="V16" s="59">
        <v>490372.32</v>
      </c>
      <c r="W16" s="59">
        <v>483724.33</v>
      </c>
      <c r="X16" s="59">
        <v>522704.26</v>
      </c>
      <c r="Y16" s="59">
        <v>560029.31999999995</v>
      </c>
      <c r="Z16" s="59">
        <v>771258.65</v>
      </c>
      <c r="AA16" s="59">
        <v>816469.8</v>
      </c>
      <c r="AB16" s="59">
        <v>775860.44</v>
      </c>
      <c r="AC16" s="59">
        <v>712776.75</v>
      </c>
      <c r="AD16" s="59">
        <v>749152.51000000071</v>
      </c>
      <c r="AE16" s="59">
        <v>784754.15999999898</v>
      </c>
      <c r="AF16" s="59">
        <v>879983.60000000033</v>
      </c>
      <c r="AG16" s="59">
        <v>999082.41999999993</v>
      </c>
      <c r="AH16" s="59">
        <v>997712.63</v>
      </c>
      <c r="AI16" s="59">
        <v>1043711.9800000004</v>
      </c>
      <c r="AJ16" s="59">
        <v>1051966.6800000013</v>
      </c>
      <c r="AK16" s="59"/>
      <c r="AL16" s="59">
        <f>SUM(Z16:AK16)</f>
        <v>9582729.6200000029</v>
      </c>
    </row>
    <row r="17" spans="1:47">
      <c r="A17" s="61" t="s">
        <v>1453</v>
      </c>
      <c r="B17" s="69"/>
      <c r="C17" s="62">
        <v>157254</v>
      </c>
      <c r="D17" s="62">
        <v>174005</v>
      </c>
      <c r="E17" s="62">
        <v>171273</v>
      </c>
      <c r="F17" s="62">
        <v>118695</v>
      </c>
      <c r="G17" s="62">
        <v>125637</v>
      </c>
      <c r="H17" s="62">
        <v>173332</v>
      </c>
      <c r="I17" s="62">
        <v>150428</v>
      </c>
      <c r="J17" s="62">
        <v>151620</v>
      </c>
      <c r="K17" s="62">
        <v>124967</v>
      </c>
      <c r="L17" s="62">
        <v>130035</v>
      </c>
      <c r="M17" s="62">
        <v>120095.34</v>
      </c>
      <c r="N17" s="95">
        <v>195481</v>
      </c>
      <c r="O17" s="62">
        <v>192130</v>
      </c>
      <c r="P17" s="62">
        <v>176189</v>
      </c>
      <c r="Q17" s="62">
        <v>173609</v>
      </c>
      <c r="R17" s="62">
        <v>163129</v>
      </c>
      <c r="S17" s="62">
        <v>151125</v>
      </c>
      <c r="T17" s="62">
        <v>162391</v>
      </c>
      <c r="U17" s="62">
        <v>165932.48000000001</v>
      </c>
      <c r="V17" s="62">
        <v>174978.27</v>
      </c>
      <c r="W17" s="62">
        <v>190435</v>
      </c>
      <c r="X17" s="62">
        <v>218696</v>
      </c>
      <c r="Y17" s="62">
        <v>248084</v>
      </c>
      <c r="Z17" s="62">
        <v>331372</v>
      </c>
      <c r="AA17" s="62">
        <v>332112</v>
      </c>
      <c r="AB17" s="62">
        <v>291118</v>
      </c>
      <c r="AC17" s="62">
        <v>253586</v>
      </c>
      <c r="AD17" s="62">
        <v>279025.34999999998</v>
      </c>
      <c r="AE17" s="62">
        <v>263243.46999999997</v>
      </c>
      <c r="AF17" s="62">
        <v>247762.80000000016</v>
      </c>
      <c r="AG17" s="62">
        <v>283642.8600000001</v>
      </c>
      <c r="AH17" s="62">
        <v>233959.10999999993</v>
      </c>
      <c r="AI17" s="62">
        <v>237482.57000000007</v>
      </c>
      <c r="AJ17" s="62">
        <f>216765.39+35244</f>
        <v>252009.39</v>
      </c>
      <c r="AK17" s="62"/>
      <c r="AL17" s="62">
        <f t="shared" ref="AL17:AL18" si="3">SUM(Z17:AK17)</f>
        <v>3005313.5500000003</v>
      </c>
    </row>
    <row r="18" spans="1:47">
      <c r="A18" s="63" t="s">
        <v>1454</v>
      </c>
      <c r="B18" s="70"/>
      <c r="C18" s="64">
        <v>105644</v>
      </c>
      <c r="D18" s="64">
        <v>123530</v>
      </c>
      <c r="E18" s="64">
        <v>111756</v>
      </c>
      <c r="F18" s="64">
        <v>101708</v>
      </c>
      <c r="G18" s="64">
        <v>115414</v>
      </c>
      <c r="H18" s="64">
        <v>149559</v>
      </c>
      <c r="I18" s="64">
        <v>140607</v>
      </c>
      <c r="J18" s="64">
        <v>149786</v>
      </c>
      <c r="K18" s="64">
        <v>131233</v>
      </c>
      <c r="L18" s="64">
        <v>134895</v>
      </c>
      <c r="M18" s="64">
        <v>135219</v>
      </c>
      <c r="N18" s="96">
        <v>200784</v>
      </c>
      <c r="O18" s="64">
        <v>185443</v>
      </c>
      <c r="P18" s="64">
        <v>173278</v>
      </c>
      <c r="Q18" s="64">
        <v>161823</v>
      </c>
      <c r="R18" s="64">
        <v>174040</v>
      </c>
      <c r="S18" s="64">
        <v>147768</v>
      </c>
      <c r="T18" s="64">
        <v>154351</v>
      </c>
      <c r="U18" s="64">
        <v>166396.01999999999</v>
      </c>
      <c r="V18" s="64">
        <v>184384.8</v>
      </c>
      <c r="W18" s="64">
        <v>169616</v>
      </c>
      <c r="X18" s="64">
        <v>160236</v>
      </c>
      <c r="Y18" s="64">
        <v>168096</v>
      </c>
      <c r="Z18" s="64">
        <v>231151</v>
      </c>
      <c r="AA18" s="64">
        <v>232388</v>
      </c>
      <c r="AB18" s="64">
        <v>226071</v>
      </c>
      <c r="AC18" s="64">
        <v>182617</v>
      </c>
      <c r="AD18" s="64">
        <v>193963.78</v>
      </c>
      <c r="AE18" s="64">
        <v>188323.60999999993</v>
      </c>
      <c r="AF18" s="64">
        <v>190799.73999999993</v>
      </c>
      <c r="AG18" s="64">
        <v>207714.62</v>
      </c>
      <c r="AH18" s="64">
        <v>187393.60999999993</v>
      </c>
      <c r="AI18" s="64">
        <v>203596.23</v>
      </c>
      <c r="AJ18" s="64">
        <v>178998.45000000004</v>
      </c>
      <c r="AK18" s="64"/>
      <c r="AL18" s="64">
        <f t="shared" si="3"/>
        <v>2223017.04</v>
      </c>
    </row>
    <row r="19" spans="1:47" ht="15.75" thickBot="1">
      <c r="A19" s="65" t="s">
        <v>1455</v>
      </c>
      <c r="B19" s="71"/>
      <c r="C19" s="66">
        <v>544519</v>
      </c>
      <c r="D19" s="66">
        <v>571413</v>
      </c>
      <c r="E19" s="66">
        <v>560838</v>
      </c>
      <c r="F19" s="66">
        <v>474846</v>
      </c>
      <c r="G19" s="66">
        <v>501621</v>
      </c>
      <c r="H19" s="66">
        <v>659783</v>
      </c>
      <c r="I19" s="66">
        <v>644972</v>
      </c>
      <c r="J19" s="66">
        <v>592216</v>
      </c>
      <c r="K19" s="66">
        <v>543748</v>
      </c>
      <c r="L19" s="66">
        <v>558511</v>
      </c>
      <c r="M19" s="66">
        <v>516114.34</v>
      </c>
      <c r="N19" s="97">
        <v>788054.03</v>
      </c>
      <c r="O19" s="66">
        <v>834530.97</v>
      </c>
      <c r="P19" s="66">
        <v>783208.56</v>
      </c>
      <c r="Q19" s="66">
        <v>752672.93</v>
      </c>
      <c r="R19" s="66">
        <v>715437.57</v>
      </c>
      <c r="S19" s="66">
        <v>746287</v>
      </c>
      <c r="T19" s="66">
        <v>836794.15</v>
      </c>
      <c r="U19" s="66">
        <v>838386.34</v>
      </c>
      <c r="V19" s="66">
        <v>849735.39</v>
      </c>
      <c r="W19" s="66">
        <v>843775.33</v>
      </c>
      <c r="X19" s="66">
        <v>901636.26</v>
      </c>
      <c r="Y19" s="66">
        <v>976209.32</v>
      </c>
      <c r="Z19" s="66">
        <f t="shared" ref="Z19:AE19" si="4">SUM(Z16:Z18)</f>
        <v>1333781.6499999999</v>
      </c>
      <c r="AA19" s="66">
        <f t="shared" si="4"/>
        <v>1380969.8</v>
      </c>
      <c r="AB19" s="66">
        <f t="shared" si="4"/>
        <v>1293049.44</v>
      </c>
      <c r="AC19" s="66">
        <f t="shared" si="4"/>
        <v>1148979.75</v>
      </c>
      <c r="AD19" s="66">
        <f t="shared" si="4"/>
        <v>1222141.6400000006</v>
      </c>
      <c r="AE19" s="66">
        <f t="shared" si="4"/>
        <v>1236321.2399999988</v>
      </c>
      <c r="AF19" s="66">
        <f>SUM(AF16:AF18)</f>
        <v>1318546.1400000004</v>
      </c>
      <c r="AG19" s="66">
        <f>SUM(AG16:AG18)</f>
        <v>1490439.9</v>
      </c>
      <c r="AH19" s="66">
        <f>SUM(AH16:AH18)</f>
        <v>1419065.3499999999</v>
      </c>
      <c r="AI19" s="66">
        <f>SUM(AI16:AI18)</f>
        <v>1484790.7800000005</v>
      </c>
      <c r="AJ19" s="66">
        <f>SUM(AJ16:AJ18)</f>
        <v>1482974.5200000012</v>
      </c>
      <c r="AK19" s="66"/>
      <c r="AL19" s="66">
        <f>SUM(Z19:AK19)</f>
        <v>14811060.210000003</v>
      </c>
    </row>
    <row r="20" spans="1:47">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row>
    <row r="21" spans="1:47" ht="15.75" thickBo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row>
    <row r="22" spans="1:47" ht="15.75" thickBot="1">
      <c r="A22" s="36" t="s">
        <v>803</v>
      </c>
      <c r="B22" s="56" t="s">
        <v>1415</v>
      </c>
      <c r="C22" s="56" t="s">
        <v>1416</v>
      </c>
      <c r="D22" s="56" t="s">
        <v>1417</v>
      </c>
      <c r="E22" s="56" t="s">
        <v>1418</v>
      </c>
      <c r="F22" s="56" t="s">
        <v>1419</v>
      </c>
      <c r="G22" s="56" t="s">
        <v>1420</v>
      </c>
      <c r="H22" s="56" t="s">
        <v>1421</v>
      </c>
      <c r="I22" s="56" t="s">
        <v>1422</v>
      </c>
      <c r="J22" s="56" t="s">
        <v>1423</v>
      </c>
      <c r="K22" s="56" t="s">
        <v>1424</v>
      </c>
      <c r="L22" s="56" t="s">
        <v>1425</v>
      </c>
      <c r="M22" s="56" t="s">
        <v>1426</v>
      </c>
      <c r="N22" s="56" t="s">
        <v>1427</v>
      </c>
      <c r="O22" s="56" t="s">
        <v>1428</v>
      </c>
      <c r="P22" s="56" t="s">
        <v>1429</v>
      </c>
      <c r="Q22" s="56" t="s">
        <v>1430</v>
      </c>
      <c r="R22" s="56" t="s">
        <v>1431</v>
      </c>
      <c r="S22" s="56" t="s">
        <v>1432</v>
      </c>
      <c r="T22" s="56" t="s">
        <v>1433</v>
      </c>
      <c r="U22" s="56" t="s">
        <v>1434</v>
      </c>
      <c r="V22" s="56" t="s">
        <v>1435</v>
      </c>
      <c r="W22" s="56" t="s">
        <v>1436</v>
      </c>
      <c r="X22" s="56" t="s">
        <v>1437</v>
      </c>
      <c r="Y22" s="57" t="s">
        <v>1438</v>
      </c>
      <c r="Z22" s="57" t="s">
        <v>1439</v>
      </c>
      <c r="AA22" s="57" t="s">
        <v>1440</v>
      </c>
      <c r="AB22" s="57" t="s">
        <v>1441</v>
      </c>
      <c r="AC22" s="57" t="s">
        <v>1442</v>
      </c>
      <c r="AD22" s="57" t="s">
        <v>1443</v>
      </c>
      <c r="AE22" s="57" t="s">
        <v>1444</v>
      </c>
      <c r="AF22" s="57" t="s">
        <v>1445</v>
      </c>
      <c r="AG22" s="57" t="s">
        <v>1446</v>
      </c>
      <c r="AH22" s="57" t="s">
        <v>1447</v>
      </c>
      <c r="AI22" s="57" t="s">
        <v>1448</v>
      </c>
      <c r="AJ22" s="56" t="s">
        <v>1449</v>
      </c>
      <c r="AK22" s="145" t="s">
        <v>1450</v>
      </c>
      <c r="AL22" s="67"/>
    </row>
    <row r="23" spans="1:47">
      <c r="A23" s="58" t="s">
        <v>1452</v>
      </c>
      <c r="B23" s="73">
        <v>0</v>
      </c>
      <c r="C23" s="73">
        <v>5.7700000000000001E-2</v>
      </c>
      <c r="D23" s="73">
        <v>4.7699999999999999E-2</v>
      </c>
      <c r="E23" s="73">
        <v>0.05</v>
      </c>
      <c r="F23" s="73">
        <v>4.5400000000000003E-2</v>
      </c>
      <c r="G23" s="73">
        <v>4.8599999999999997E-2</v>
      </c>
      <c r="H23" s="73">
        <v>5.4600000000000003E-2</v>
      </c>
      <c r="I23" s="73">
        <v>5.7000000000000002E-2</v>
      </c>
      <c r="J23" s="73">
        <v>4.7600000000000003E-2</v>
      </c>
      <c r="K23" s="73">
        <v>4.7399999999999998E-2</v>
      </c>
      <c r="L23" s="73">
        <v>4.58E-2</v>
      </c>
      <c r="M23" s="73">
        <v>4.4600000000000001E-2</v>
      </c>
      <c r="N23" s="98">
        <v>5.0999999999999997E-2</v>
      </c>
      <c r="O23" s="73">
        <v>5.2499999999999998E-2</v>
      </c>
      <c r="P23" s="73">
        <v>4.1599999999999998E-2</v>
      </c>
      <c r="Q23" s="73">
        <v>3.3300000000000003E-2</v>
      </c>
      <c r="R23" s="73">
        <v>3.0499999999999999E-2</v>
      </c>
      <c r="S23" s="73">
        <v>3.6299999999999999E-2</v>
      </c>
      <c r="T23" s="73">
        <v>3.9100000000000003E-2</v>
      </c>
      <c r="U23" s="73">
        <v>4.07E-2</v>
      </c>
      <c r="V23" s="73">
        <v>3.95E-2</v>
      </c>
      <c r="W23" s="73">
        <v>3.6900000000000002E-2</v>
      </c>
      <c r="X23" s="73">
        <v>3.9699999999999999E-2</v>
      </c>
      <c r="Y23" s="73">
        <v>3.9699999999999999E-2</v>
      </c>
      <c r="Z23" s="73">
        <f t="shared" ref="Z23:AA26" si="5">Z16/Z2</f>
        <v>4.5628973942509046E-2</v>
      </c>
      <c r="AA23" s="73">
        <f t="shared" si="5"/>
        <v>4.6166277152873296E-2</v>
      </c>
      <c r="AB23" s="73">
        <f t="shared" ref="AB23:AF23" si="6">AB16/AB2</f>
        <v>4.3479953257412336E-2</v>
      </c>
      <c r="AC23" s="73">
        <f t="shared" si="6"/>
        <v>3.5539954329669013E-2</v>
      </c>
      <c r="AD23" s="73">
        <f t="shared" si="6"/>
        <v>4.0028978414698338E-2</v>
      </c>
      <c r="AE23" s="73">
        <f t="shared" si="6"/>
        <v>4.3601386008790342E-2</v>
      </c>
      <c r="AF23" s="73">
        <f t="shared" si="6"/>
        <v>4.6437838230427464E-2</v>
      </c>
      <c r="AG23" s="73">
        <f t="shared" ref="AG23:AH25" si="7">AG16/AG2</f>
        <v>5.2134335101085921E-2</v>
      </c>
      <c r="AH23" s="73">
        <f>AH16/AH2</f>
        <v>4.5143769620442253E-2</v>
      </c>
      <c r="AI23" s="73">
        <f>AI16/AI2</f>
        <v>4.3465831393437619E-2</v>
      </c>
      <c r="AJ23" s="73">
        <f>AJ16/AJ2</f>
        <v>4.6651776650826794E-2</v>
      </c>
      <c r="AK23" s="73" t="e">
        <v>#DIV/0!</v>
      </c>
      <c r="AL23" s="60"/>
    </row>
    <row r="24" spans="1:47">
      <c r="A24" s="61" t="s">
        <v>1453</v>
      </c>
      <c r="B24" s="75">
        <v>0</v>
      </c>
      <c r="C24" s="75">
        <v>7.3099999999999998E-2</v>
      </c>
      <c r="D24" s="75">
        <v>6.6199999999999995E-2</v>
      </c>
      <c r="E24" s="75">
        <v>6.7900000000000002E-2</v>
      </c>
      <c r="F24" s="75">
        <v>5.2499999999999998E-2</v>
      </c>
      <c r="G24" s="75">
        <v>4.99E-2</v>
      </c>
      <c r="H24" s="75">
        <v>6.13E-2</v>
      </c>
      <c r="I24" s="75">
        <v>5.2299999999999999E-2</v>
      </c>
      <c r="J24" s="75">
        <v>4.7300000000000002E-2</v>
      </c>
      <c r="K24" s="75">
        <v>4.3700000000000003E-2</v>
      </c>
      <c r="L24" s="75">
        <v>4.2200000000000001E-2</v>
      </c>
      <c r="M24" s="75">
        <v>3.9300000000000002E-2</v>
      </c>
      <c r="N24" s="99">
        <v>5.0900000000000001E-2</v>
      </c>
      <c r="O24" s="75">
        <v>5.2900000000000003E-2</v>
      </c>
      <c r="P24" s="75">
        <v>4.7500000000000001E-2</v>
      </c>
      <c r="Q24" s="75">
        <v>4.5499999999999999E-2</v>
      </c>
      <c r="R24" s="75">
        <v>4.1799999999999997E-2</v>
      </c>
      <c r="S24" s="75">
        <v>4.1000000000000002E-2</v>
      </c>
      <c r="T24" s="75">
        <v>4.1099999999999998E-2</v>
      </c>
      <c r="U24" s="75">
        <v>4.6300000000000001E-2</v>
      </c>
      <c r="V24" s="75">
        <v>4.53E-2</v>
      </c>
      <c r="W24" s="75">
        <v>4.4999999999999998E-2</v>
      </c>
      <c r="X24" s="75">
        <v>4.8800000000000003E-2</v>
      </c>
      <c r="Y24" s="75">
        <v>4.8800000000000003E-2</v>
      </c>
      <c r="Z24" s="75">
        <f t="shared" si="5"/>
        <v>5.9854248802634603E-2</v>
      </c>
      <c r="AA24" s="75">
        <f t="shared" si="5"/>
        <v>6.05262508857385E-2</v>
      </c>
      <c r="AB24" s="75">
        <f t="shared" ref="AB24" si="8">AB17/AB3</f>
        <v>5.5691209329374672E-2</v>
      </c>
      <c r="AC24" s="75">
        <f>AC17/AC3</f>
        <v>4.8966105852538126E-2</v>
      </c>
      <c r="AD24" s="75">
        <f>AD17/AD3</f>
        <v>5.1655515112241916E-2</v>
      </c>
      <c r="AE24" s="75">
        <f>AE17/AE3</f>
        <v>4.8953724357191551E-2</v>
      </c>
      <c r="AF24" s="75">
        <f>AF17/AF3</f>
        <v>4.586261115647982E-2</v>
      </c>
      <c r="AG24" s="75">
        <f t="shared" si="7"/>
        <v>5.2622788293549862E-2</v>
      </c>
      <c r="AH24" s="75">
        <f t="shared" si="7"/>
        <v>4.4928185672574818E-2</v>
      </c>
      <c r="AI24" s="75">
        <f t="shared" ref="AI24:AJ24" si="9">AI17/AI3</f>
        <v>4.755322321592037E-2</v>
      </c>
      <c r="AJ24" s="75">
        <f t="shared" si="9"/>
        <v>4.6020058691248047E-2</v>
      </c>
      <c r="AK24" s="75" t="e">
        <v>#DIV/0!</v>
      </c>
      <c r="AL24" s="60"/>
    </row>
    <row r="25" spans="1:47">
      <c r="A25" s="63" t="s">
        <v>1454</v>
      </c>
      <c r="B25" s="77">
        <v>0</v>
      </c>
      <c r="C25" s="77">
        <v>8.3299999999999999E-2</v>
      </c>
      <c r="D25" s="77">
        <v>7.85E-2</v>
      </c>
      <c r="E25" s="77">
        <v>7.4200000000000002E-2</v>
      </c>
      <c r="F25" s="77">
        <v>6.1499999999999999E-2</v>
      </c>
      <c r="G25" s="77">
        <v>6.7900000000000002E-2</v>
      </c>
      <c r="H25" s="77">
        <v>6.8900000000000003E-2</v>
      </c>
      <c r="I25" s="77">
        <v>6.25E-2</v>
      </c>
      <c r="J25" s="77">
        <v>5.8599999999999999E-2</v>
      </c>
      <c r="K25" s="77">
        <v>5.2200000000000003E-2</v>
      </c>
      <c r="L25" s="77">
        <v>5.2699999999999997E-2</v>
      </c>
      <c r="M25" s="77">
        <v>5.6000000000000001E-2</v>
      </c>
      <c r="N25" s="100">
        <v>6.7299999999999999E-2</v>
      </c>
      <c r="O25" s="77">
        <v>6.2300000000000001E-2</v>
      </c>
      <c r="P25" s="77">
        <v>5.7700000000000001E-2</v>
      </c>
      <c r="Q25" s="77">
        <v>5.2600000000000001E-2</v>
      </c>
      <c r="R25" s="77">
        <v>5.0900000000000001E-2</v>
      </c>
      <c r="S25" s="77">
        <v>5.1200000000000002E-2</v>
      </c>
      <c r="T25" s="77">
        <v>5.1700000000000003E-2</v>
      </c>
      <c r="U25" s="77">
        <v>5.7200000000000001E-2</v>
      </c>
      <c r="V25" s="77">
        <v>5.9499999999999997E-2</v>
      </c>
      <c r="W25" s="77">
        <v>5.3600000000000002E-2</v>
      </c>
      <c r="X25" s="77">
        <v>5.0999999999999997E-2</v>
      </c>
      <c r="Y25" s="77">
        <v>5.0999999999999997E-2</v>
      </c>
      <c r="Z25" s="77">
        <f t="shared" si="5"/>
        <v>6.4046165129500704E-2</v>
      </c>
      <c r="AA25" s="77">
        <f t="shared" si="5"/>
        <v>6.3313769712332504E-2</v>
      </c>
      <c r="AB25" s="77">
        <f t="shared" ref="AB25" si="10">AB18/AB4</f>
        <v>6.1523502080664635E-2</v>
      </c>
      <c r="AC25" s="77">
        <f t="shared" ref="AC25:AD25" si="11">AC18/AC4</f>
        <v>5.0171240675134232E-2</v>
      </c>
      <c r="AD25" s="77">
        <f t="shared" si="11"/>
        <v>5.6594190468634564E-2</v>
      </c>
      <c r="AE25" s="77">
        <f t="shared" ref="AE25:AG26" si="12">AE18/AE4</f>
        <v>5.255330142653019E-2</v>
      </c>
      <c r="AF25" s="77">
        <f t="shared" si="12"/>
        <v>5.3208950122372499E-2</v>
      </c>
      <c r="AG25" s="77">
        <f t="shared" si="7"/>
        <v>6.058873249889881E-2</v>
      </c>
      <c r="AH25" s="77">
        <f t="shared" si="7"/>
        <v>5.5173049930233135E-2</v>
      </c>
      <c r="AI25" s="77">
        <f t="shared" ref="AI25:AJ25" si="13">AI18/AI4</f>
        <v>5.424130501241832E-2</v>
      </c>
      <c r="AJ25" s="77">
        <f t="shared" si="13"/>
        <v>4.7603041891566188E-2</v>
      </c>
      <c r="AK25" s="77" t="e">
        <v>#DIV/0!</v>
      </c>
      <c r="AL25" s="60"/>
    </row>
    <row r="26" spans="1:47" ht="15.75" thickBot="1">
      <c r="A26" s="65" t="s">
        <v>1455</v>
      </c>
      <c r="B26" s="79">
        <v>0</v>
      </c>
      <c r="C26" s="79">
        <v>6.5600000000000006E-2</v>
      </c>
      <c r="D26" s="79">
        <v>5.74E-2</v>
      </c>
      <c r="E26" s="79">
        <v>5.8500000000000003E-2</v>
      </c>
      <c r="F26" s="79">
        <v>4.99E-2</v>
      </c>
      <c r="G26" s="79">
        <v>5.2299999999999999E-2</v>
      </c>
      <c r="H26" s="79">
        <v>5.91E-2</v>
      </c>
      <c r="I26" s="79">
        <v>5.6899999999999999E-2</v>
      </c>
      <c r="J26" s="79">
        <v>4.99E-2</v>
      </c>
      <c r="K26" s="79">
        <v>4.7500000000000001E-2</v>
      </c>
      <c r="L26" s="79">
        <v>4.6399999999999997E-2</v>
      </c>
      <c r="M26" s="79">
        <v>4.5600000000000002E-2</v>
      </c>
      <c r="N26" s="101">
        <v>5.4300000000000001E-2</v>
      </c>
      <c r="O26" s="79">
        <v>5.45E-2</v>
      </c>
      <c r="P26" s="79">
        <v>4.5699999999999998E-2</v>
      </c>
      <c r="Q26" s="79">
        <v>3.8800000000000001E-2</v>
      </c>
      <c r="R26" s="79">
        <v>3.6299999999999999E-2</v>
      </c>
      <c r="S26" s="79">
        <v>3.95E-2</v>
      </c>
      <c r="T26" s="79">
        <v>4.1399999999999999E-2</v>
      </c>
      <c r="U26" s="79">
        <v>4.4299999999999999E-2</v>
      </c>
      <c r="V26" s="79">
        <v>4.3799999999999999E-2</v>
      </c>
      <c r="W26" s="79">
        <v>4.1099999999999998E-2</v>
      </c>
      <c r="X26" s="79">
        <v>4.3400000000000001E-2</v>
      </c>
      <c r="Y26" s="79">
        <v>4.3400000000000001E-2</v>
      </c>
      <c r="Z26" s="79">
        <f t="shared" si="5"/>
        <v>4.5844247274874739E-2</v>
      </c>
      <c r="AA26" s="79">
        <f t="shared" si="5"/>
        <v>5.1000144679606174E-2</v>
      </c>
      <c r="AB26" s="79">
        <f t="shared" ref="AB26" si="14">AB19/AB5</f>
        <v>4.3676411448957529E-2</v>
      </c>
      <c r="AC26" s="79">
        <f t="shared" ref="AC26" si="15">AC19/AC5</f>
        <v>3.7378116487633554E-2</v>
      </c>
      <c r="AD26" s="79">
        <f>AD19/AD5</f>
        <v>4.0675465402746115E-2</v>
      </c>
      <c r="AE26" s="79">
        <f t="shared" si="12"/>
        <v>4.2931969373384941E-2</v>
      </c>
      <c r="AF26" s="79">
        <f t="shared" si="12"/>
        <v>4.2664535396874481E-2</v>
      </c>
      <c r="AG26" s="79">
        <f t="shared" si="12"/>
        <v>4.7251569495713679E-2</v>
      </c>
      <c r="AH26" s="79">
        <f t="shared" ref="AH26:AI26" si="16">AH19/AH5</f>
        <v>4.4959660318167907E-2</v>
      </c>
      <c r="AI26" s="79">
        <f t="shared" si="16"/>
        <v>4.4711827046342266E-2</v>
      </c>
      <c r="AJ26" s="79">
        <f t="shared" ref="AJ26" si="17">AJ19/AJ5</f>
        <v>4.7479241802070242E-2</v>
      </c>
      <c r="AK26" s="79" t="e">
        <v>#DIV/0!</v>
      </c>
      <c r="AL26" s="60"/>
    </row>
    <row r="27" spans="1:4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U27" t="s">
        <v>1458</v>
      </c>
    </row>
    <row r="28" spans="1:47" ht="15.75" thickBo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row>
    <row r="29" spans="1:47" ht="15.75" thickBot="1">
      <c r="A29" s="36" t="s">
        <v>1459</v>
      </c>
      <c r="B29" s="56" t="s">
        <v>1415</v>
      </c>
      <c r="C29" s="56" t="s">
        <v>1416</v>
      </c>
      <c r="D29" s="56" t="s">
        <v>1417</v>
      </c>
      <c r="E29" s="56" t="s">
        <v>1418</v>
      </c>
      <c r="F29" s="56" t="s">
        <v>1419</v>
      </c>
      <c r="G29" s="56" t="s">
        <v>1420</v>
      </c>
      <c r="H29" s="56" t="s">
        <v>1421</v>
      </c>
      <c r="I29" s="56" t="s">
        <v>1422</v>
      </c>
      <c r="J29" s="56" t="s">
        <v>1423</v>
      </c>
      <c r="K29" s="56" t="s">
        <v>1424</v>
      </c>
      <c r="L29" s="56" t="s">
        <v>1425</v>
      </c>
      <c r="M29" s="56" t="s">
        <v>1426</v>
      </c>
      <c r="N29" s="56" t="s">
        <v>1427</v>
      </c>
      <c r="O29" s="56" t="s">
        <v>1428</v>
      </c>
      <c r="P29" s="56" t="s">
        <v>1429</v>
      </c>
      <c r="Q29" s="56" t="s">
        <v>1430</v>
      </c>
      <c r="R29" s="56" t="s">
        <v>1431</v>
      </c>
      <c r="S29" s="56" t="s">
        <v>1432</v>
      </c>
      <c r="T29" s="56" t="s">
        <v>1433</v>
      </c>
      <c r="U29" s="56" t="s">
        <v>1434</v>
      </c>
      <c r="V29" s="56" t="s">
        <v>1435</v>
      </c>
      <c r="W29" s="56" t="s">
        <v>1436</v>
      </c>
      <c r="X29" s="56" t="s">
        <v>1437</v>
      </c>
      <c r="Y29" s="57" t="s">
        <v>1438</v>
      </c>
      <c r="Z29" s="57" t="s">
        <v>1439</v>
      </c>
      <c r="AA29" s="57" t="s">
        <v>1440</v>
      </c>
      <c r="AB29" s="57" t="s">
        <v>1441</v>
      </c>
      <c r="AC29" s="57" t="s">
        <v>1442</v>
      </c>
      <c r="AD29" s="57" t="s">
        <v>1443</v>
      </c>
      <c r="AE29" s="57" t="s">
        <v>1444</v>
      </c>
      <c r="AF29" s="57" t="s">
        <v>1445</v>
      </c>
      <c r="AG29" s="57" t="s">
        <v>1446</v>
      </c>
      <c r="AH29" s="57" t="s">
        <v>1447</v>
      </c>
      <c r="AI29" s="57" t="s">
        <v>1448</v>
      </c>
      <c r="AJ29" s="56" t="s">
        <v>1449</v>
      </c>
      <c r="AK29" s="145" t="s">
        <v>1450</v>
      </c>
      <c r="AL29" s="67"/>
    </row>
    <row r="30" spans="1:47">
      <c r="A30" s="58" t="s">
        <v>1452</v>
      </c>
      <c r="B30" s="72"/>
      <c r="C30" s="72"/>
      <c r="D30" s="68" t="e">
        <v>#DIV/0!</v>
      </c>
      <c r="E30" s="68" t="e">
        <v>#DIV/0!</v>
      </c>
      <c r="F30" s="68" t="e">
        <v>#DIV/0!</v>
      </c>
      <c r="G30" s="68" t="e">
        <v>#DIV/0!</v>
      </c>
      <c r="H30" s="68" t="e">
        <v>#DIV/0!</v>
      </c>
      <c r="I30" s="73">
        <v>0.18579999999999999</v>
      </c>
      <c r="J30" s="73">
        <v>0.1716</v>
      </c>
      <c r="K30" s="73">
        <v>0.17249999999999999</v>
      </c>
      <c r="L30" s="73">
        <v>0.1678</v>
      </c>
      <c r="M30" s="73">
        <v>0.15870000000000001</v>
      </c>
      <c r="N30" s="98">
        <v>0.1628</v>
      </c>
      <c r="O30" s="73">
        <v>0.1565</v>
      </c>
      <c r="P30" s="73">
        <v>0.14230000000000001</v>
      </c>
      <c r="Q30" s="73">
        <v>0.1343</v>
      </c>
      <c r="R30" s="73">
        <v>0.1358</v>
      </c>
      <c r="S30" s="73">
        <v>0.12809999999999999</v>
      </c>
      <c r="T30" s="73">
        <v>0.12790000000000001</v>
      </c>
      <c r="U30" s="73">
        <v>0.13500000000000001</v>
      </c>
      <c r="V30" s="73">
        <v>0.1424</v>
      </c>
      <c r="W30" s="73">
        <v>0.13719999999999999</v>
      </c>
      <c r="X30" s="73">
        <v>0.1429</v>
      </c>
      <c r="Y30" s="73">
        <v>0.1429</v>
      </c>
      <c r="Z30" s="73">
        <f t="shared" ref="Z30:AA33" si="18">Z16/Z9</f>
        <v>0.15363398954406982</v>
      </c>
      <c r="AA30" s="73">
        <f t="shared" si="18"/>
        <v>0.14605825590070659</v>
      </c>
      <c r="AB30" s="73">
        <f t="shared" ref="AB30:AG30" si="19">AB16/AB9</f>
        <v>0.13692717821432049</v>
      </c>
      <c r="AC30" s="73">
        <f t="shared" si="19"/>
        <v>0.13084613001916395</v>
      </c>
      <c r="AD30" s="73">
        <f t="shared" si="19"/>
        <v>0.1348274596651774</v>
      </c>
      <c r="AE30" s="73">
        <f t="shared" si="19"/>
        <v>0.13800714757342847</v>
      </c>
      <c r="AF30" s="73">
        <f t="shared" si="19"/>
        <v>0.1419046958041999</v>
      </c>
      <c r="AG30" s="73">
        <f t="shared" si="19"/>
        <v>0.14972564940787955</v>
      </c>
      <c r="AH30" s="73">
        <f t="shared" ref="AH30:AI30" si="20">AH16/AH9</f>
        <v>0.13957856971709234</v>
      </c>
      <c r="AI30" s="73">
        <f t="shared" si="20"/>
        <v>0.14011323766311165</v>
      </c>
      <c r="AJ30" s="73">
        <f t="shared" ref="AJ30" si="21">AJ16/AJ9</f>
        <v>0.14735277612731781</v>
      </c>
      <c r="AK30" s="73" t="e">
        <v>#DIV/0!</v>
      </c>
      <c r="AL30" s="60"/>
    </row>
    <row r="31" spans="1:47">
      <c r="A31" s="61" t="s">
        <v>1453</v>
      </c>
      <c r="B31" s="74"/>
      <c r="C31" s="74"/>
      <c r="D31" s="69" t="e">
        <v>#DIV/0!</v>
      </c>
      <c r="E31" s="69" t="e">
        <v>#DIV/0!</v>
      </c>
      <c r="F31" s="69" t="e">
        <v>#DIV/0!</v>
      </c>
      <c r="G31" s="69" t="e">
        <v>#DIV/0!</v>
      </c>
      <c r="H31" s="69" t="e">
        <v>#DIV/0!</v>
      </c>
      <c r="I31" s="75">
        <v>0.21310000000000001</v>
      </c>
      <c r="J31" s="75">
        <v>0.1943</v>
      </c>
      <c r="K31" s="75">
        <v>0.18340000000000001</v>
      </c>
      <c r="L31" s="75">
        <v>0.17169999999999999</v>
      </c>
      <c r="M31" s="75">
        <v>0.17419999999999999</v>
      </c>
      <c r="N31" s="99">
        <v>0.18740000000000001</v>
      </c>
      <c r="O31" s="75">
        <v>0.1933</v>
      </c>
      <c r="P31" s="75">
        <v>0.17369999999999999</v>
      </c>
      <c r="Q31" s="75">
        <v>0.17560000000000001</v>
      </c>
      <c r="R31" s="75">
        <v>0.16700000000000001</v>
      </c>
      <c r="S31" s="75">
        <v>0.1865</v>
      </c>
      <c r="T31" s="75">
        <v>0.1845</v>
      </c>
      <c r="U31" s="75">
        <v>0.2026</v>
      </c>
      <c r="V31" s="75">
        <v>0.2072</v>
      </c>
      <c r="W31" s="75">
        <v>0.193</v>
      </c>
      <c r="X31" s="75">
        <v>0.20300000000000001</v>
      </c>
      <c r="Y31" s="75">
        <v>0.20300000000000001</v>
      </c>
      <c r="Z31" s="75">
        <f t="shared" si="18"/>
        <v>0.21849534059207087</v>
      </c>
      <c r="AA31" s="75">
        <f t="shared" si="18"/>
        <v>0.20236249462640654</v>
      </c>
      <c r="AB31" s="75">
        <f t="shared" ref="AB31" si="22">AB17/AB10</f>
        <v>0.19247852849973884</v>
      </c>
      <c r="AC31" s="75">
        <f t="shared" ref="AC31:AD31" si="23">AC17/AC10</f>
        <v>0.19219505540313167</v>
      </c>
      <c r="AD31" s="75">
        <f t="shared" si="23"/>
        <v>0.19172196146014456</v>
      </c>
      <c r="AE31" s="75">
        <f t="shared" ref="AE31:AF31" si="24">AE17/AE10</f>
        <v>0.19430890995142283</v>
      </c>
      <c r="AF31" s="75">
        <f t="shared" si="24"/>
        <v>0.18444822860792318</v>
      </c>
      <c r="AG31" s="75">
        <f t="shared" ref="AG31:AH31" si="25">AG17/AG10</f>
        <v>0.19544444430893115</v>
      </c>
      <c r="AH31" s="75">
        <f t="shared" si="25"/>
        <v>0.18552931939805858</v>
      </c>
      <c r="AI31" s="75">
        <f t="shared" ref="AI31:AJ31" si="26">AI17/AI10</f>
        <v>0.18349465938422982</v>
      </c>
      <c r="AJ31" s="75">
        <f t="shared" si="26"/>
        <v>0.19469113587599959</v>
      </c>
      <c r="AK31" s="75" t="e">
        <v>#DIV/0!</v>
      </c>
      <c r="AL31" s="60"/>
    </row>
    <row r="32" spans="1:47">
      <c r="A32" s="63" t="s">
        <v>1454</v>
      </c>
      <c r="B32" s="76"/>
      <c r="C32" s="76"/>
      <c r="D32" s="70" t="e">
        <v>#DIV/0!</v>
      </c>
      <c r="E32" s="70" t="e">
        <v>#DIV/0!</v>
      </c>
      <c r="F32" s="70" t="e">
        <v>#DIV/0!</v>
      </c>
      <c r="G32" s="70" t="e">
        <v>#DIV/0!</v>
      </c>
      <c r="H32" s="70" t="e">
        <v>#DIV/0!</v>
      </c>
      <c r="I32" s="77">
        <v>0.2339</v>
      </c>
      <c r="J32" s="77">
        <v>0.216</v>
      </c>
      <c r="K32" s="77">
        <v>0.19989999999999999</v>
      </c>
      <c r="L32" s="77">
        <v>0.19389999999999999</v>
      </c>
      <c r="M32" s="77">
        <v>0.19089999999999999</v>
      </c>
      <c r="N32" s="100">
        <v>0.20619999999999999</v>
      </c>
      <c r="O32" s="77">
        <v>0.1948</v>
      </c>
      <c r="P32" s="77">
        <v>0.18609999999999999</v>
      </c>
      <c r="Q32" s="77">
        <v>0.1807</v>
      </c>
      <c r="R32" s="77">
        <v>0.17069999999999999</v>
      </c>
      <c r="S32" s="77">
        <v>0.187</v>
      </c>
      <c r="T32" s="77">
        <v>0.1908</v>
      </c>
      <c r="U32" s="77">
        <v>0.2054</v>
      </c>
      <c r="V32" s="77">
        <v>0.21079999999999999</v>
      </c>
      <c r="W32" s="77">
        <v>0.19769999999999999</v>
      </c>
      <c r="X32" s="77">
        <v>0.20300000000000001</v>
      </c>
      <c r="Y32" s="77">
        <v>0.20300000000000001</v>
      </c>
      <c r="Z32" s="77">
        <f t="shared" si="18"/>
        <v>0.21045161090610795</v>
      </c>
      <c r="AA32" s="77">
        <f t="shared" si="18"/>
        <v>0.20016615510117269</v>
      </c>
      <c r="AB32" s="77">
        <f t="shared" ref="AB32" si="27">AB18/AB11</f>
        <v>0.19290799386642843</v>
      </c>
      <c r="AC32" s="77">
        <f t="shared" ref="AC32:AD32" si="28">AC18/AC11</f>
        <v>0.18831503637049854</v>
      </c>
      <c r="AD32" s="77">
        <f t="shared" si="28"/>
        <v>0.18866554584890002</v>
      </c>
      <c r="AE32" s="77">
        <f t="shared" ref="AE32:AF32" si="29">AE18/AE11</f>
        <v>0.18578714175779468</v>
      </c>
      <c r="AF32" s="77">
        <f t="shared" si="29"/>
        <v>0.18610587804121836</v>
      </c>
      <c r="AG32" s="77">
        <f t="shared" ref="AG32:AH32" si="30">AG18/AG11</f>
        <v>0.19472377887160394</v>
      </c>
      <c r="AH32" s="77">
        <f t="shared" si="30"/>
        <v>0.18057657174596639</v>
      </c>
      <c r="AI32" s="77">
        <f t="shared" ref="AI32:AJ32" si="31">AI18/AI11</f>
        <v>0.18153735868613088</v>
      </c>
      <c r="AJ32" s="77">
        <f t="shared" si="31"/>
        <v>0.18027956163486786</v>
      </c>
      <c r="AK32" s="77" t="e">
        <v>#DIV/0!</v>
      </c>
      <c r="AL32" s="60"/>
    </row>
    <row r="33" spans="1:38" ht="15.75" thickBot="1">
      <c r="A33" s="65" t="s">
        <v>1455</v>
      </c>
      <c r="B33" s="78"/>
      <c r="C33" s="78"/>
      <c r="D33" s="71" t="e">
        <v>#DIV/0!</v>
      </c>
      <c r="E33" s="71" t="e">
        <v>#DIV/0!</v>
      </c>
      <c r="F33" s="71" t="e">
        <v>#DIV/0!</v>
      </c>
      <c r="G33" s="71" t="e">
        <v>#DIV/0!</v>
      </c>
      <c r="H33" s="71" t="e">
        <v>#DIV/0!</v>
      </c>
      <c r="I33" s="79">
        <v>0.20080000000000001</v>
      </c>
      <c r="J33" s="79">
        <v>0.18690000000000001</v>
      </c>
      <c r="K33" s="79">
        <v>0.18099999999999999</v>
      </c>
      <c r="L33" s="79">
        <v>0.1744</v>
      </c>
      <c r="M33" s="79">
        <v>0.16969999999999999</v>
      </c>
      <c r="N33" s="101">
        <v>0.1782</v>
      </c>
      <c r="O33" s="79">
        <v>0.17150000000000001</v>
      </c>
      <c r="P33" s="79">
        <v>0.15679999999999999</v>
      </c>
      <c r="Q33" s="79">
        <v>0.15079999999999999</v>
      </c>
      <c r="R33" s="79">
        <v>0.14960000000000001</v>
      </c>
      <c r="S33" s="79">
        <v>0.14649999999999999</v>
      </c>
      <c r="T33" s="79">
        <v>0.1454</v>
      </c>
      <c r="U33" s="79">
        <v>0.15590000000000001</v>
      </c>
      <c r="V33" s="79">
        <v>0.1646</v>
      </c>
      <c r="W33" s="79">
        <v>0.15709999999999999</v>
      </c>
      <c r="X33" s="79">
        <v>0.16320000000000001</v>
      </c>
      <c r="Y33" s="79">
        <v>0.16320000000000001</v>
      </c>
      <c r="Z33" s="79">
        <f t="shared" si="18"/>
        <v>0.17469146967080507</v>
      </c>
      <c r="AA33" s="79">
        <f t="shared" si="18"/>
        <v>0.16455440639043289</v>
      </c>
      <c r="AB33" s="79">
        <f t="shared" ref="AB33" si="32">AB19/AB12</f>
        <v>0.15484495005767693</v>
      </c>
      <c r="AC33" s="79">
        <f t="shared" ref="AC33:AD33" si="33">AC19/AC12</f>
        <v>0.14851215055349187</v>
      </c>
      <c r="AD33" s="79">
        <f t="shared" si="33"/>
        <v>0.15201094548982177</v>
      </c>
      <c r="AE33" s="79">
        <f t="shared" ref="AE33:AF33" si="34">AE19/AE12</f>
        <v>0.15348970484405786</v>
      </c>
      <c r="AF33" s="79">
        <f t="shared" si="34"/>
        <v>0.15386112822301662</v>
      </c>
      <c r="AG33" s="79">
        <f t="shared" ref="AG33:AH33" si="35">AG19/AG12</f>
        <v>0.16216757642537344</v>
      </c>
      <c r="AH33" s="79">
        <f t="shared" si="35"/>
        <v>0.15021614340129058</v>
      </c>
      <c r="AI33" s="79">
        <f t="shared" ref="AI33:AJ33" si="36">AI19/AI12</f>
        <v>0.15051414132373214</v>
      </c>
      <c r="AJ33" s="79">
        <f t="shared" si="36"/>
        <v>0.1573213568909286</v>
      </c>
      <c r="AK33" s="79" t="e">
        <v>#DIV/0!</v>
      </c>
      <c r="AL33" s="60"/>
    </row>
    <row r="34" spans="1:38">
      <c r="A34" s="67"/>
      <c r="B34" s="67"/>
      <c r="C34" s="67"/>
      <c r="D34" s="67"/>
      <c r="E34" s="67"/>
      <c r="F34" s="67"/>
      <c r="G34" s="67"/>
      <c r="H34" s="67"/>
      <c r="I34" s="67"/>
      <c r="J34" s="67"/>
      <c r="K34" s="67"/>
      <c r="L34" s="67"/>
      <c r="M34" s="67"/>
      <c r="N34" s="60"/>
      <c r="O34" s="60"/>
      <c r="P34" s="60"/>
      <c r="Q34" s="60"/>
      <c r="R34" s="60"/>
      <c r="S34" s="60"/>
      <c r="T34" s="60"/>
      <c r="U34" s="60"/>
      <c r="V34" s="60"/>
      <c r="W34" s="60"/>
      <c r="X34" s="60"/>
      <c r="Y34" s="60"/>
      <c r="Z34" s="60"/>
      <c r="AA34" s="60"/>
      <c r="AB34" s="60"/>
      <c r="AC34" s="60"/>
      <c r="AD34" s="60"/>
      <c r="AE34" s="60"/>
      <c r="AF34" s="60"/>
      <c r="AG34" s="60"/>
      <c r="AH34" s="27"/>
      <c r="AI34" s="27"/>
      <c r="AJ34" s="27"/>
      <c r="AK34" s="27"/>
      <c r="AL34" s="27"/>
    </row>
    <row r="35" spans="1:38" ht="15.75" thickBo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row>
    <row r="36" spans="1:38" ht="15.75" thickBot="1">
      <c r="A36" s="80" t="s">
        <v>797</v>
      </c>
      <c r="B36" s="81" t="s">
        <v>1415</v>
      </c>
      <c r="C36" s="81" t="s">
        <v>1416</v>
      </c>
      <c r="D36" s="81" t="s">
        <v>1417</v>
      </c>
      <c r="E36" s="81" t="s">
        <v>1418</v>
      </c>
      <c r="F36" s="81" t="s">
        <v>1419</v>
      </c>
      <c r="G36" s="81" t="s">
        <v>1420</v>
      </c>
      <c r="H36" s="81" t="s">
        <v>1421</v>
      </c>
      <c r="I36" s="81" t="s">
        <v>1422</v>
      </c>
      <c r="J36" s="81" t="s">
        <v>1423</v>
      </c>
      <c r="K36" s="81" t="s">
        <v>1424</v>
      </c>
      <c r="L36" s="81" t="s">
        <v>1425</v>
      </c>
      <c r="M36" s="81" t="s">
        <v>1426</v>
      </c>
      <c r="N36" s="81" t="s">
        <v>1427</v>
      </c>
      <c r="O36" s="81" t="s">
        <v>1428</v>
      </c>
      <c r="P36" s="81" t="s">
        <v>1429</v>
      </c>
      <c r="Q36" s="81" t="s">
        <v>1430</v>
      </c>
      <c r="R36" s="81" t="s">
        <v>1431</v>
      </c>
      <c r="S36" s="81" t="s">
        <v>1432</v>
      </c>
      <c r="T36" s="81" t="s">
        <v>1433</v>
      </c>
      <c r="U36" s="81" t="s">
        <v>1434</v>
      </c>
      <c r="V36" s="81" t="s">
        <v>1435</v>
      </c>
      <c r="W36" s="81" t="s">
        <v>1436</v>
      </c>
      <c r="X36" s="81" t="s">
        <v>1437</v>
      </c>
      <c r="Y36" s="82" t="s">
        <v>1438</v>
      </c>
      <c r="Z36" s="57" t="s">
        <v>1439</v>
      </c>
      <c r="AA36" s="57" t="s">
        <v>1440</v>
      </c>
      <c r="AB36" s="57" t="s">
        <v>1441</v>
      </c>
      <c r="AC36" s="57" t="s">
        <v>1442</v>
      </c>
      <c r="AD36" s="57" t="s">
        <v>1443</v>
      </c>
      <c r="AE36" s="57" t="s">
        <v>1444</v>
      </c>
      <c r="AF36" s="57" t="s">
        <v>1445</v>
      </c>
      <c r="AG36" s="57" t="s">
        <v>1446</v>
      </c>
      <c r="AH36" s="57" t="s">
        <v>1447</v>
      </c>
      <c r="AI36" s="57" t="s">
        <v>1448</v>
      </c>
      <c r="AJ36" s="57" t="s">
        <v>1449</v>
      </c>
      <c r="AK36" s="57" t="s">
        <v>1450</v>
      </c>
      <c r="AL36" s="57" t="s">
        <v>1451</v>
      </c>
    </row>
    <row r="37" spans="1:38">
      <c r="A37" s="83" t="s">
        <v>1452</v>
      </c>
      <c r="B37" s="84">
        <v>206450</v>
      </c>
      <c r="C37" s="84">
        <v>201966</v>
      </c>
      <c r="D37" s="84">
        <v>232244</v>
      </c>
      <c r="E37" s="84">
        <v>230500</v>
      </c>
      <c r="F37" s="84">
        <v>228949</v>
      </c>
      <c r="G37" s="84">
        <v>216548</v>
      </c>
      <c r="H37" s="84">
        <v>229222</v>
      </c>
      <c r="I37" s="84">
        <v>226692</v>
      </c>
      <c r="J37" s="84">
        <v>230639</v>
      </c>
      <c r="K37" s="84">
        <v>252280</v>
      </c>
      <c r="L37" s="84">
        <v>264001</v>
      </c>
      <c r="M37" s="102">
        <v>231198</v>
      </c>
      <c r="N37" s="107">
        <v>301961</v>
      </c>
      <c r="O37" s="108">
        <v>331009</v>
      </c>
      <c r="P37" s="108">
        <v>369644</v>
      </c>
      <c r="Q37" s="108">
        <v>419338</v>
      </c>
      <c r="R37" s="108">
        <v>403325</v>
      </c>
      <c r="S37" s="108">
        <v>407084</v>
      </c>
      <c r="T37" s="108">
        <v>446387</v>
      </c>
      <c r="U37" s="108">
        <v>410269</v>
      </c>
      <c r="V37" s="108">
        <v>413757</v>
      </c>
      <c r="W37" s="108">
        <v>445439</v>
      </c>
      <c r="X37" s="108">
        <v>453965</v>
      </c>
      <c r="Y37" s="108">
        <v>462128</v>
      </c>
      <c r="Z37" s="108">
        <v>572775</v>
      </c>
      <c r="AA37" s="108">
        <v>615883</v>
      </c>
      <c r="AB37" s="108">
        <v>604860</v>
      </c>
      <c r="AC37" s="108">
        <v>683843</v>
      </c>
      <c r="AD37" s="108">
        <v>636705</v>
      </c>
      <c r="AE37" s="108">
        <v>621195</v>
      </c>
      <c r="AF37" s="108">
        <v>689495</v>
      </c>
      <c r="AG37" s="108">
        <v>689517</v>
      </c>
      <c r="AH37" s="108">
        <v>775274</v>
      </c>
      <c r="AI37" s="108">
        <v>871708</v>
      </c>
      <c r="AJ37" s="108">
        <v>799507</v>
      </c>
      <c r="AK37" s="108"/>
      <c r="AL37" s="108">
        <f>SUM(Z37:AK37)</f>
        <v>7560762</v>
      </c>
    </row>
    <row r="38" spans="1:38">
      <c r="A38" s="85" t="s">
        <v>1453</v>
      </c>
      <c r="B38" s="86">
        <v>103070</v>
      </c>
      <c r="C38" s="86">
        <v>98910</v>
      </c>
      <c r="D38" s="86">
        <v>116062</v>
      </c>
      <c r="E38" s="86">
        <v>116489</v>
      </c>
      <c r="F38" s="86">
        <v>102286</v>
      </c>
      <c r="G38" s="86">
        <v>110085</v>
      </c>
      <c r="H38" s="86">
        <v>115702</v>
      </c>
      <c r="I38" s="86">
        <v>120670</v>
      </c>
      <c r="J38" s="86">
        <v>142446</v>
      </c>
      <c r="K38" s="86">
        <v>136602</v>
      </c>
      <c r="L38" s="86">
        <v>152488</v>
      </c>
      <c r="M38" s="103">
        <v>144866</v>
      </c>
      <c r="N38" s="109">
        <v>190333</v>
      </c>
      <c r="O38" s="86">
        <v>179484</v>
      </c>
      <c r="P38" s="86">
        <v>182162</v>
      </c>
      <c r="Q38" s="86">
        <v>182919</v>
      </c>
      <c r="R38" s="86">
        <v>183923</v>
      </c>
      <c r="S38" s="86">
        <v>173556</v>
      </c>
      <c r="T38" s="86">
        <v>186892</v>
      </c>
      <c r="U38" s="86">
        <v>171949</v>
      </c>
      <c r="V38" s="86">
        <v>182461</v>
      </c>
      <c r="W38" s="86">
        <v>199796</v>
      </c>
      <c r="X38" s="86">
        <v>214586</v>
      </c>
      <c r="Y38" s="86">
        <v>215754</v>
      </c>
      <c r="Z38" s="86">
        <v>251772</v>
      </c>
      <c r="AA38" s="86">
        <v>247829</v>
      </c>
      <c r="AB38" s="86">
        <v>229484</v>
      </c>
      <c r="AC38" s="86">
        <v>226754</v>
      </c>
      <c r="AD38" s="86">
        <v>241827</v>
      </c>
      <c r="AE38" s="86">
        <v>238449</v>
      </c>
      <c r="AF38" s="86">
        <v>252691</v>
      </c>
      <c r="AG38" s="86">
        <v>248792</v>
      </c>
      <c r="AH38" s="86">
        <v>255858</v>
      </c>
      <c r="AI38" s="86">
        <v>258198</v>
      </c>
      <c r="AJ38" s="86">
        <f>243053+21068</f>
        <v>264121</v>
      </c>
      <c r="AK38" s="86"/>
      <c r="AL38" s="86">
        <f t="shared" ref="AL38:AL40" si="37">SUM(Z38:AK38)</f>
        <v>2715775</v>
      </c>
    </row>
    <row r="39" spans="1:38">
      <c r="A39" s="87" t="s">
        <v>1454</v>
      </c>
      <c r="B39" s="88">
        <v>65792</v>
      </c>
      <c r="C39" s="88">
        <v>66921</v>
      </c>
      <c r="D39" s="88">
        <v>80622</v>
      </c>
      <c r="E39" s="88">
        <v>81286</v>
      </c>
      <c r="F39" s="88">
        <v>88250</v>
      </c>
      <c r="G39" s="88">
        <v>90033</v>
      </c>
      <c r="H39" s="88">
        <v>103104</v>
      </c>
      <c r="I39" s="88">
        <v>103860</v>
      </c>
      <c r="J39" s="88">
        <v>124892</v>
      </c>
      <c r="K39" s="88">
        <v>133302</v>
      </c>
      <c r="L39" s="88">
        <v>140626</v>
      </c>
      <c r="M39" s="104">
        <v>128870</v>
      </c>
      <c r="N39" s="110">
        <v>159471</v>
      </c>
      <c r="O39" s="88">
        <v>157686</v>
      </c>
      <c r="P39" s="88">
        <v>154308</v>
      </c>
      <c r="Q39" s="88">
        <v>154291</v>
      </c>
      <c r="R39" s="88">
        <v>162133</v>
      </c>
      <c r="S39" s="88">
        <v>136127</v>
      </c>
      <c r="T39" s="88">
        <v>146540</v>
      </c>
      <c r="U39" s="88">
        <v>144576</v>
      </c>
      <c r="V39" s="88">
        <v>153627</v>
      </c>
      <c r="W39" s="88">
        <v>158313</v>
      </c>
      <c r="X39" s="88">
        <v>155184</v>
      </c>
      <c r="Y39" s="88">
        <v>141383</v>
      </c>
      <c r="Z39" s="88">
        <v>167484</v>
      </c>
      <c r="AA39" s="88">
        <v>171660</v>
      </c>
      <c r="AB39" s="88">
        <v>168751</v>
      </c>
      <c r="AC39" s="88">
        <v>167429</v>
      </c>
      <c r="AD39" s="88">
        <v>154307</v>
      </c>
      <c r="AE39" s="88">
        <v>166411</v>
      </c>
      <c r="AF39" s="88">
        <v>170327</v>
      </c>
      <c r="AG39" s="88">
        <v>159080</v>
      </c>
      <c r="AH39" s="88">
        <v>176167</v>
      </c>
      <c r="AI39" s="88">
        <v>197143</v>
      </c>
      <c r="AJ39" s="88">
        <v>180525</v>
      </c>
      <c r="AK39" s="88"/>
      <c r="AL39" s="88">
        <f t="shared" si="37"/>
        <v>1879284</v>
      </c>
    </row>
    <row r="40" spans="1:38">
      <c r="A40" s="89" t="s">
        <v>1455</v>
      </c>
      <c r="B40" s="90">
        <v>375312</v>
      </c>
      <c r="C40" s="90">
        <v>367797</v>
      </c>
      <c r="D40" s="90">
        <v>428928</v>
      </c>
      <c r="E40" s="90">
        <v>428275</v>
      </c>
      <c r="F40" s="90">
        <v>419485</v>
      </c>
      <c r="G40" s="90">
        <v>416666</v>
      </c>
      <c r="H40" s="90">
        <v>448028</v>
      </c>
      <c r="I40" s="90">
        <v>451222</v>
      </c>
      <c r="J40" s="90">
        <v>497977</v>
      </c>
      <c r="K40" s="90">
        <v>522184</v>
      </c>
      <c r="L40" s="90">
        <v>557115</v>
      </c>
      <c r="M40" s="105">
        <v>504934</v>
      </c>
      <c r="N40" s="111">
        <v>651765</v>
      </c>
      <c r="O40" s="90">
        <v>668179</v>
      </c>
      <c r="P40" s="90">
        <v>706114</v>
      </c>
      <c r="Q40" s="90">
        <v>756548</v>
      </c>
      <c r="R40" s="90">
        <v>749381</v>
      </c>
      <c r="S40" s="90">
        <v>716767</v>
      </c>
      <c r="T40" s="90">
        <v>779819</v>
      </c>
      <c r="U40" s="90">
        <v>726794</v>
      </c>
      <c r="V40" s="90">
        <v>749845</v>
      </c>
      <c r="W40" s="90">
        <v>803548</v>
      </c>
      <c r="X40" s="90">
        <v>823735</v>
      </c>
      <c r="Y40" s="90">
        <f t="shared" ref="Y40:AD40" si="38">SUM(Y37:Y39)</f>
        <v>819265</v>
      </c>
      <c r="Z40" s="90">
        <f t="shared" si="38"/>
        <v>992031</v>
      </c>
      <c r="AA40" s="90">
        <f t="shared" si="38"/>
        <v>1035372</v>
      </c>
      <c r="AB40" s="90">
        <f t="shared" si="38"/>
        <v>1003095</v>
      </c>
      <c r="AC40" s="90">
        <f t="shared" si="38"/>
        <v>1078026</v>
      </c>
      <c r="AD40" s="90">
        <f t="shared" si="38"/>
        <v>1032839</v>
      </c>
      <c r="AE40" s="90">
        <f t="shared" ref="AE40:AJ40" si="39">SUM(AE37:AE39)</f>
        <v>1026055</v>
      </c>
      <c r="AF40" s="90">
        <f t="shared" si="39"/>
        <v>1112513</v>
      </c>
      <c r="AG40" s="90">
        <f t="shared" si="39"/>
        <v>1097389</v>
      </c>
      <c r="AH40" s="90">
        <f t="shared" si="39"/>
        <v>1207299</v>
      </c>
      <c r="AI40" s="90">
        <f t="shared" si="39"/>
        <v>1327049</v>
      </c>
      <c r="AJ40" s="90">
        <f>SUM(AJ37:AJ39)</f>
        <v>1244153</v>
      </c>
      <c r="AK40" s="90"/>
      <c r="AL40" s="90">
        <f t="shared" si="37"/>
        <v>12155821</v>
      </c>
    </row>
    <row r="41" spans="1:38" ht="15.75" thickBot="1">
      <c r="A41" s="91" t="s">
        <v>1460</v>
      </c>
      <c r="B41" s="92"/>
      <c r="C41" s="93">
        <v>-0.02</v>
      </c>
      <c r="D41" s="93">
        <v>0.17</v>
      </c>
      <c r="E41" s="93">
        <v>0</v>
      </c>
      <c r="F41" s="93">
        <v>-0.02</v>
      </c>
      <c r="G41" s="93">
        <v>-0.01</v>
      </c>
      <c r="H41" s="93">
        <v>0.08</v>
      </c>
      <c r="I41" s="93">
        <v>0.01</v>
      </c>
      <c r="J41" s="93">
        <v>0.1</v>
      </c>
      <c r="K41" s="93">
        <v>0.05</v>
      </c>
      <c r="L41" s="93">
        <v>7.0000000000000007E-2</v>
      </c>
      <c r="M41" s="106">
        <v>-0.09</v>
      </c>
      <c r="N41" s="112">
        <v>0.28999999999999998</v>
      </c>
      <c r="O41" s="113">
        <v>0.03</v>
      </c>
      <c r="P41" s="113">
        <v>0.06</v>
      </c>
      <c r="Q41" s="113">
        <v>7.0000000000000007E-2</v>
      </c>
      <c r="R41" s="113">
        <v>-0.01</v>
      </c>
      <c r="S41" s="113">
        <v>-0.04</v>
      </c>
      <c r="T41" s="113">
        <v>0.09</v>
      </c>
      <c r="U41" s="113">
        <v>-7.0000000000000007E-2</v>
      </c>
      <c r="V41" s="113">
        <v>0.03</v>
      </c>
      <c r="W41" s="113">
        <v>7.0000000000000007E-2</v>
      </c>
      <c r="X41" s="113">
        <v>0.03</v>
      </c>
      <c r="Y41" s="113">
        <v>0</v>
      </c>
      <c r="Z41" s="113">
        <f t="shared" ref="Z41:AF41" si="40">(Z40-Y40)/Y40</f>
        <v>0.21087926373029484</v>
      </c>
      <c r="AA41" s="113">
        <f t="shared" si="40"/>
        <v>4.3689158907332534E-2</v>
      </c>
      <c r="AB41" s="113">
        <f t="shared" si="40"/>
        <v>-3.1174302569511248E-2</v>
      </c>
      <c r="AC41" s="113">
        <f t="shared" si="40"/>
        <v>7.4699804106291026E-2</v>
      </c>
      <c r="AD41" s="113">
        <f t="shared" si="40"/>
        <v>-4.1916428731774556E-2</v>
      </c>
      <c r="AE41" s="113">
        <f t="shared" si="40"/>
        <v>-6.5683034819560455E-3</v>
      </c>
      <c r="AF41" s="113">
        <f t="shared" si="40"/>
        <v>8.4262539532481195E-2</v>
      </c>
      <c r="AG41" s="113">
        <f>(AG40-AF40)/AF40</f>
        <v>-1.3594447885103365E-2</v>
      </c>
      <c r="AH41" s="113">
        <f>(AH40-AG40)/AG40</f>
        <v>0.10015591554134405</v>
      </c>
      <c r="AI41" s="113">
        <f>(AI40-AH40)/AH40</f>
        <v>9.91883535064636E-2</v>
      </c>
      <c r="AJ41" s="113">
        <f>(AJ40-AI40)/AI40</f>
        <v>-6.2466419853373915E-2</v>
      </c>
      <c r="AK41" s="113" t="e">
        <v>#DIV/0!</v>
      </c>
      <c r="AL41" s="113" t="e">
        <v>#DIV/0!</v>
      </c>
    </row>
    <row r="42" spans="1:38">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H42" s="27"/>
      <c r="AI42" s="27"/>
      <c r="AJ42" s="27"/>
      <c r="AK42" s="27"/>
      <c r="AL42" s="27"/>
    </row>
    <row r="43" spans="1:38">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H43" s="27"/>
      <c r="AI43" s="27"/>
      <c r="AJ43" s="27"/>
      <c r="AK43" s="27"/>
      <c r="AL43" s="27"/>
    </row>
    <row r="44" spans="1:38">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H44" s="27"/>
      <c r="AI44" s="27"/>
      <c r="AJ44" s="27"/>
      <c r="AK44" s="27"/>
      <c r="AL44" s="27"/>
    </row>
    <row r="45" spans="1:38">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H45" s="27"/>
      <c r="AI45" s="27"/>
      <c r="AJ45" s="27"/>
      <c r="AK45" s="27"/>
      <c r="AL45" s="27"/>
    </row>
    <row r="46" spans="1:38">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H46" s="27"/>
      <c r="AI46" s="27"/>
      <c r="AJ46" s="27"/>
      <c r="AK46" s="27"/>
      <c r="AL46" s="27"/>
    </row>
    <row r="47" spans="1:38">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H47" s="27"/>
      <c r="AJ47" s="27"/>
      <c r="AK47" s="27"/>
      <c r="AL47" s="27"/>
    </row>
    <row r="48" spans="1:3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H48" s="27"/>
      <c r="AI48" s="27"/>
      <c r="AJ48" s="27"/>
      <c r="AK48" s="27"/>
      <c r="AL48" s="27"/>
    </row>
    <row r="49" spans="1:38">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H49" s="27"/>
      <c r="AI49" s="27"/>
      <c r="AJ49" s="27"/>
      <c r="AK49" s="27"/>
      <c r="AL49" s="27"/>
    </row>
    <row r="50" spans="1:38">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H50" s="27"/>
      <c r="AI50" s="27"/>
      <c r="AJ50" s="27"/>
      <c r="AK50" s="27"/>
      <c r="AL50" s="27"/>
    </row>
    <row r="51" spans="1:38">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H51" s="27"/>
      <c r="AI51" s="27"/>
      <c r="AJ51" s="27"/>
      <c r="AK51" s="27"/>
      <c r="AL51" s="27"/>
    </row>
    <row r="52" spans="1:38">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H52" s="27"/>
      <c r="AI52" s="27"/>
      <c r="AJ52" s="27"/>
      <c r="AK52" s="27"/>
      <c r="AL52" s="27"/>
    </row>
    <row r="53" spans="1:38">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H53" s="27"/>
      <c r="AI53" s="27"/>
      <c r="AJ53" s="27"/>
      <c r="AK53" s="27"/>
      <c r="AL53" s="27"/>
    </row>
    <row r="54" spans="1:38">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H54" s="27"/>
      <c r="AI54" s="27"/>
      <c r="AJ54" s="27"/>
      <c r="AK54" s="27"/>
      <c r="AL54" s="27"/>
    </row>
  </sheetData>
  <phoneticPr fontId="1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1461</v>
      </c>
      <c r="B1" t="s">
        <v>1462</v>
      </c>
    </row>
    <row r="2" spans="1:2">
      <c r="A2" t="s">
        <v>792</v>
      </c>
      <c r="B2" t="s">
        <v>1452</v>
      </c>
    </row>
    <row r="3" spans="1:2">
      <c r="A3" t="s">
        <v>168</v>
      </c>
      <c r="B3" t="s">
        <v>1452</v>
      </c>
    </row>
    <row r="4" spans="1:2">
      <c r="A4" t="s">
        <v>1463</v>
      </c>
      <c r="B4" t="s">
        <v>1452</v>
      </c>
    </row>
    <row r="5" spans="1:2">
      <c r="A5" t="s">
        <v>599</v>
      </c>
      <c r="B5" t="s">
        <v>1452</v>
      </c>
    </row>
    <row r="6" spans="1:2">
      <c r="A6" t="s">
        <v>1464</v>
      </c>
      <c r="B6" t="s">
        <v>1452</v>
      </c>
    </row>
    <row r="7" spans="1:2">
      <c r="A7" t="s">
        <v>475</v>
      </c>
      <c r="B7" t="s">
        <v>1452</v>
      </c>
    </row>
    <row r="8" spans="1:2">
      <c r="A8" t="s">
        <v>770</v>
      </c>
      <c r="B8" t="s">
        <v>1452</v>
      </c>
    </row>
    <row r="9" spans="1:2">
      <c r="A9" t="s">
        <v>691</v>
      </c>
      <c r="B9" t="s">
        <v>1452</v>
      </c>
    </row>
    <row r="10" spans="1:2">
      <c r="A10" t="s">
        <v>1465</v>
      </c>
      <c r="B10" t="s">
        <v>1452</v>
      </c>
    </row>
    <row r="11" spans="1:2">
      <c r="A11" t="s">
        <v>772</v>
      </c>
      <c r="B11" t="s">
        <v>1452</v>
      </c>
    </row>
    <row r="12" spans="1:2">
      <c r="A12" t="s">
        <v>30</v>
      </c>
      <c r="B12" t="s">
        <v>1452</v>
      </c>
    </row>
    <row r="13" spans="1:2">
      <c r="A13" t="s">
        <v>689</v>
      </c>
      <c r="B13" t="s">
        <v>1452</v>
      </c>
    </row>
    <row r="14" spans="1:2">
      <c r="A14" t="s">
        <v>236</v>
      </c>
      <c r="B14" t="s">
        <v>1452</v>
      </c>
    </row>
    <row r="15" spans="1:2">
      <c r="A15" t="s">
        <v>425</v>
      </c>
      <c r="B15" t="s">
        <v>1452</v>
      </c>
    </row>
    <row r="16" spans="1:2">
      <c r="A16" t="s">
        <v>1466</v>
      </c>
      <c r="B16" t="s">
        <v>1452</v>
      </c>
    </row>
    <row r="17" spans="1:2">
      <c r="A17" t="s">
        <v>521</v>
      </c>
      <c r="B17" t="s">
        <v>1452</v>
      </c>
    </row>
    <row r="18" spans="1:2">
      <c r="A18" t="s">
        <v>725</v>
      </c>
      <c r="B18" t="s">
        <v>1452</v>
      </c>
    </row>
    <row r="19" spans="1:2">
      <c r="A19" t="s">
        <v>723</v>
      </c>
      <c r="B19" t="s">
        <v>1452</v>
      </c>
    </row>
    <row r="20" spans="1:2">
      <c r="A20" t="s">
        <v>1467</v>
      </c>
      <c r="B20" t="s">
        <v>1452</v>
      </c>
    </row>
    <row r="21" spans="1:2">
      <c r="A21" t="s">
        <v>307</v>
      </c>
      <c r="B21" t="s">
        <v>1452</v>
      </c>
    </row>
    <row r="22" spans="1:2">
      <c r="A22" t="s">
        <v>321</v>
      </c>
      <c r="B22" t="s">
        <v>1452</v>
      </c>
    </row>
    <row r="23" spans="1:2">
      <c r="A23" t="s">
        <v>1468</v>
      </c>
      <c r="B23" t="s">
        <v>1452</v>
      </c>
    </row>
    <row r="24" spans="1:2">
      <c r="A24" t="s">
        <v>365</v>
      </c>
      <c r="B24" t="s">
        <v>1452</v>
      </c>
    </row>
    <row r="25" spans="1:2">
      <c r="A25" t="s">
        <v>333</v>
      </c>
      <c r="B25" t="s">
        <v>1452</v>
      </c>
    </row>
    <row r="26" spans="1:2">
      <c r="A26" t="s">
        <v>525</v>
      </c>
      <c r="B26" t="s">
        <v>1452</v>
      </c>
    </row>
    <row r="27" spans="1:2">
      <c r="A27" t="s">
        <v>449</v>
      </c>
      <c r="B27" t="s">
        <v>1452</v>
      </c>
    </row>
    <row r="28" spans="1:2">
      <c r="A28" t="s">
        <v>767</v>
      </c>
      <c r="B28" t="s">
        <v>1452</v>
      </c>
    </row>
    <row r="29" spans="1:2">
      <c r="A29" t="s">
        <v>162</v>
      </c>
      <c r="B29" t="s">
        <v>1452</v>
      </c>
    </row>
    <row r="30" spans="1:2">
      <c r="A30" t="s">
        <v>88</v>
      </c>
      <c r="B30" t="s">
        <v>1452</v>
      </c>
    </row>
    <row r="31" spans="1:2">
      <c r="A31" t="s">
        <v>1469</v>
      </c>
      <c r="B31" t="s">
        <v>1452</v>
      </c>
    </row>
    <row r="32" spans="1:2">
      <c r="A32" t="s">
        <v>119</v>
      </c>
      <c r="B32" t="s">
        <v>1452</v>
      </c>
    </row>
    <row r="33" spans="1:2">
      <c r="A33" t="s">
        <v>381</v>
      </c>
      <c r="B33" t="s">
        <v>1452</v>
      </c>
    </row>
    <row r="34" spans="1:2">
      <c r="A34" t="s">
        <v>511</v>
      </c>
      <c r="B34" t="s">
        <v>1452</v>
      </c>
    </row>
    <row r="35" spans="1:2">
      <c r="A35" t="s">
        <v>226</v>
      </c>
      <c r="B35" t="s">
        <v>1452</v>
      </c>
    </row>
    <row r="36" spans="1:2">
      <c r="A36" t="s">
        <v>271</v>
      </c>
      <c r="B36" t="s">
        <v>1452</v>
      </c>
    </row>
    <row r="37" spans="1:2">
      <c r="A37" t="s">
        <v>527</v>
      </c>
      <c r="B37" t="s">
        <v>1452</v>
      </c>
    </row>
    <row r="38" spans="1:2">
      <c r="A38" t="s">
        <v>507</v>
      </c>
      <c r="B38" t="s">
        <v>1452</v>
      </c>
    </row>
    <row r="39" spans="1:2">
      <c r="A39" t="s">
        <v>585</v>
      </c>
      <c r="B39" t="s">
        <v>1452</v>
      </c>
    </row>
    <row r="40" spans="1:2">
      <c r="A40" t="s">
        <v>656</v>
      </c>
      <c r="B40" t="s">
        <v>1452</v>
      </c>
    </row>
    <row r="41" spans="1:2">
      <c r="A41" t="s">
        <v>252</v>
      </c>
      <c r="B41" t="s">
        <v>1452</v>
      </c>
    </row>
    <row r="42" spans="1:2">
      <c r="A42" t="s">
        <v>638</v>
      </c>
      <c r="B42" t="s">
        <v>1452</v>
      </c>
    </row>
    <row r="43" spans="1:2">
      <c r="A43" t="s">
        <v>471</v>
      </c>
      <c r="B43" t="s">
        <v>1452</v>
      </c>
    </row>
    <row r="44" spans="1:2">
      <c r="A44" t="s">
        <v>674</v>
      </c>
      <c r="B44" t="s">
        <v>1452</v>
      </c>
    </row>
    <row r="45" spans="1:2">
      <c r="A45" t="s">
        <v>583</v>
      </c>
      <c r="B45" t="s">
        <v>1452</v>
      </c>
    </row>
    <row r="46" spans="1:2">
      <c r="A46" t="s">
        <v>323</v>
      </c>
      <c r="B46" t="s">
        <v>1452</v>
      </c>
    </row>
    <row r="47" spans="1:2">
      <c r="A47" t="s">
        <v>1470</v>
      </c>
      <c r="B47" t="s">
        <v>1452</v>
      </c>
    </row>
    <row r="48" spans="1:2">
      <c r="A48" t="s">
        <v>419</v>
      </c>
      <c r="B48" t="s">
        <v>1452</v>
      </c>
    </row>
    <row r="49" spans="1:2">
      <c r="A49" t="s">
        <v>1471</v>
      </c>
      <c r="B49" t="s">
        <v>1452</v>
      </c>
    </row>
    <row r="50" spans="1:2">
      <c r="A50" t="s">
        <v>636</v>
      </c>
      <c r="B50" t="s">
        <v>1452</v>
      </c>
    </row>
    <row r="51" spans="1:2">
      <c r="A51" t="s">
        <v>617</v>
      </c>
      <c r="B51" t="s">
        <v>1452</v>
      </c>
    </row>
    <row r="52" spans="1:2">
      <c r="A52" t="s">
        <v>218</v>
      </c>
      <c r="B52" t="s">
        <v>1452</v>
      </c>
    </row>
    <row r="53" spans="1:2">
      <c r="A53" t="s">
        <v>32</v>
      </c>
      <c r="B53" t="s">
        <v>1452</v>
      </c>
    </row>
    <row r="54" spans="1:2">
      <c r="A54" t="s">
        <v>503</v>
      </c>
      <c r="B54" t="s">
        <v>1452</v>
      </c>
    </row>
    <row r="55" spans="1:2">
      <c r="A55" t="s">
        <v>563</v>
      </c>
      <c r="B55" t="s">
        <v>1452</v>
      </c>
    </row>
    <row r="56" spans="1:2">
      <c r="A56" t="s">
        <v>469</v>
      </c>
      <c r="B56" t="s">
        <v>1452</v>
      </c>
    </row>
    <row r="57" spans="1:2">
      <c r="A57" t="s">
        <v>646</v>
      </c>
      <c r="B57" t="s">
        <v>1452</v>
      </c>
    </row>
    <row r="58" spans="1:2">
      <c r="A58" t="s">
        <v>630</v>
      </c>
      <c r="B58" t="s">
        <v>1452</v>
      </c>
    </row>
    <row r="59" spans="1:2">
      <c r="A59" t="s">
        <v>1472</v>
      </c>
      <c r="B59" t="s">
        <v>1452</v>
      </c>
    </row>
    <row r="60" spans="1:2">
      <c r="A60" t="s">
        <v>601</v>
      </c>
      <c r="B60" t="s">
        <v>1452</v>
      </c>
    </row>
    <row r="61" spans="1:2">
      <c r="A61" t="s">
        <v>1473</v>
      </c>
      <c r="B61" t="s">
        <v>1452</v>
      </c>
    </row>
    <row r="62" spans="1:2">
      <c r="A62" t="s">
        <v>785</v>
      </c>
      <c r="B62" t="s">
        <v>1452</v>
      </c>
    </row>
    <row r="63" spans="1:2">
      <c r="A63" t="s">
        <v>1474</v>
      </c>
      <c r="B63" t="s">
        <v>1452</v>
      </c>
    </row>
    <row r="64" spans="1:2">
      <c r="A64" t="s">
        <v>1475</v>
      </c>
      <c r="B64" t="s">
        <v>1452</v>
      </c>
    </row>
    <row r="65" spans="1:2">
      <c r="A65" t="s">
        <v>708</v>
      </c>
      <c r="B65" t="s">
        <v>1452</v>
      </c>
    </row>
    <row r="66" spans="1:2">
      <c r="A66" t="s">
        <v>170</v>
      </c>
      <c r="B66" t="s">
        <v>1452</v>
      </c>
    </row>
    <row r="67" spans="1:2">
      <c r="A67" t="s">
        <v>659</v>
      </c>
      <c r="B67" t="s">
        <v>1452</v>
      </c>
    </row>
    <row r="68" spans="1:2">
      <c r="A68" t="s">
        <v>1476</v>
      </c>
      <c r="B68" t="s">
        <v>1452</v>
      </c>
    </row>
    <row r="69" spans="1:2">
      <c r="A69" t="s">
        <v>248</v>
      </c>
      <c r="B69" t="s">
        <v>1452</v>
      </c>
    </row>
    <row r="70" spans="1:2">
      <c r="A70" t="s">
        <v>676</v>
      </c>
      <c r="B70" t="s">
        <v>1452</v>
      </c>
    </row>
    <row r="71" spans="1:2">
      <c r="A71" t="s">
        <v>555</v>
      </c>
      <c r="B71" t="s">
        <v>1452</v>
      </c>
    </row>
    <row r="72" spans="1:2">
      <c r="A72" t="s">
        <v>90</v>
      </c>
      <c r="B72" t="s">
        <v>1452</v>
      </c>
    </row>
    <row r="73" spans="1:2">
      <c r="A73" t="s">
        <v>315</v>
      </c>
      <c r="B73" t="s">
        <v>1452</v>
      </c>
    </row>
    <row r="74" spans="1:2">
      <c r="A74" t="s">
        <v>665</v>
      </c>
      <c r="B74" t="s">
        <v>1452</v>
      </c>
    </row>
    <row r="75" spans="1:2">
      <c r="A75" t="s">
        <v>311</v>
      </c>
      <c r="B75" t="s">
        <v>1452</v>
      </c>
    </row>
    <row r="76" spans="1:2">
      <c r="A76" t="s">
        <v>1477</v>
      </c>
      <c r="B76" t="s">
        <v>1452</v>
      </c>
    </row>
    <row r="77" spans="1:2">
      <c r="A77" t="s">
        <v>654</v>
      </c>
      <c r="B77" t="s">
        <v>1452</v>
      </c>
    </row>
    <row r="78" spans="1:2">
      <c r="A78" t="s">
        <v>1478</v>
      </c>
      <c r="B78" t="s">
        <v>1452</v>
      </c>
    </row>
    <row r="79" spans="1:2">
      <c r="A79" t="s">
        <v>517</v>
      </c>
      <c r="B79" t="s">
        <v>1452</v>
      </c>
    </row>
    <row r="80" spans="1:2">
      <c r="A80" t="s">
        <v>1479</v>
      </c>
      <c r="B80" t="s">
        <v>1452</v>
      </c>
    </row>
    <row r="81" spans="1:2">
      <c r="A81" t="s">
        <v>443</v>
      </c>
      <c r="B81" t="s">
        <v>1452</v>
      </c>
    </row>
    <row r="82" spans="1:2">
      <c r="A82" t="s">
        <v>1480</v>
      </c>
      <c r="B82" t="s">
        <v>1452</v>
      </c>
    </row>
    <row r="83" spans="1:2">
      <c r="A83" t="s">
        <v>489</v>
      </c>
      <c r="B83" t="s">
        <v>1452</v>
      </c>
    </row>
    <row r="84" spans="1:2">
      <c r="A84" t="s">
        <v>385</v>
      </c>
      <c r="B84" t="s">
        <v>1452</v>
      </c>
    </row>
    <row r="85" spans="1:2">
      <c r="A85" t="s">
        <v>1481</v>
      </c>
      <c r="B85" t="s">
        <v>1452</v>
      </c>
    </row>
    <row r="86" spans="1:2">
      <c r="A86" t="s">
        <v>589</v>
      </c>
      <c r="B86" t="s">
        <v>1452</v>
      </c>
    </row>
    <row r="87" spans="1:2">
      <c r="A87" t="s">
        <v>781</v>
      </c>
      <c r="B87" t="s">
        <v>1452</v>
      </c>
    </row>
    <row r="88" spans="1:2">
      <c r="A88" t="s">
        <v>1482</v>
      </c>
      <c r="B88" t="s">
        <v>1452</v>
      </c>
    </row>
    <row r="89" spans="1:2">
      <c r="A89" t="s">
        <v>523</v>
      </c>
      <c r="B89" t="s">
        <v>1452</v>
      </c>
    </row>
    <row r="90" spans="1:2">
      <c r="A90" t="s">
        <v>587</v>
      </c>
      <c r="B90" t="s">
        <v>1452</v>
      </c>
    </row>
    <row r="91" spans="1:2">
      <c r="A91" t="s">
        <v>447</v>
      </c>
      <c r="B91" t="s">
        <v>1452</v>
      </c>
    </row>
    <row r="92" spans="1:2">
      <c r="A92" t="s">
        <v>579</v>
      </c>
      <c r="B92" t="s">
        <v>1452</v>
      </c>
    </row>
    <row r="93" spans="1:2">
      <c r="A93" t="s">
        <v>505</v>
      </c>
      <c r="B93" t="s">
        <v>1452</v>
      </c>
    </row>
    <row r="94" spans="1:2">
      <c r="A94" t="s">
        <v>1483</v>
      </c>
      <c r="B94" t="s">
        <v>1452</v>
      </c>
    </row>
    <row r="95" spans="1:2">
      <c r="A95" t="s">
        <v>547</v>
      </c>
      <c r="B95" t="s">
        <v>1452</v>
      </c>
    </row>
    <row r="96" spans="1:2">
      <c r="A96" t="s">
        <v>113</v>
      </c>
      <c r="B96" t="s">
        <v>1452</v>
      </c>
    </row>
    <row r="97" spans="1:2">
      <c r="A97" t="s">
        <v>541</v>
      </c>
      <c r="B97" t="s">
        <v>1452</v>
      </c>
    </row>
    <row r="98" spans="1:2">
      <c r="A98" t="s">
        <v>619</v>
      </c>
      <c r="B98" t="s">
        <v>1452</v>
      </c>
    </row>
    <row r="99" spans="1:2">
      <c r="A99" t="s">
        <v>1484</v>
      </c>
      <c r="B99" t="s">
        <v>1452</v>
      </c>
    </row>
    <row r="100" spans="1:2">
      <c r="A100" t="s">
        <v>367</v>
      </c>
      <c r="B100" t="s">
        <v>1452</v>
      </c>
    </row>
    <row r="101" spans="1:2">
      <c r="A101" t="s">
        <v>537</v>
      </c>
      <c r="B101" t="s">
        <v>1452</v>
      </c>
    </row>
    <row r="102" spans="1:2">
      <c r="A102" t="s">
        <v>195</v>
      </c>
      <c r="B102" t="s">
        <v>1452</v>
      </c>
    </row>
    <row r="103" spans="1:2">
      <c r="A103" t="s">
        <v>509</v>
      </c>
      <c r="B103" t="s">
        <v>1452</v>
      </c>
    </row>
    <row r="104" spans="1:2">
      <c r="A104" t="s">
        <v>413</v>
      </c>
      <c r="B104" t="s">
        <v>1452</v>
      </c>
    </row>
    <row r="105" spans="1:2">
      <c r="A105" t="s">
        <v>551</v>
      </c>
      <c r="B105" t="s">
        <v>1452</v>
      </c>
    </row>
    <row r="106" spans="1:2">
      <c r="A106" t="s">
        <v>1485</v>
      </c>
      <c r="B106" t="s">
        <v>1452</v>
      </c>
    </row>
    <row r="107" spans="1:2">
      <c r="A107" t="s">
        <v>698</v>
      </c>
      <c r="B107" t="s">
        <v>1452</v>
      </c>
    </row>
    <row r="108" spans="1:2">
      <c r="A108" t="s">
        <v>561</v>
      </c>
      <c r="B108" t="s">
        <v>1452</v>
      </c>
    </row>
    <row r="109" spans="1:2">
      <c r="A109" t="s">
        <v>513</v>
      </c>
      <c r="B109" t="s">
        <v>1452</v>
      </c>
    </row>
    <row r="110" spans="1:2">
      <c r="A110" t="s">
        <v>1486</v>
      </c>
      <c r="B110" t="s">
        <v>1452</v>
      </c>
    </row>
    <row r="111" spans="1:2">
      <c r="A111" t="s">
        <v>613</v>
      </c>
      <c r="B111" t="s">
        <v>1452</v>
      </c>
    </row>
    <row r="112" spans="1:2">
      <c r="A112" t="s">
        <v>597</v>
      </c>
      <c r="B112" t="s">
        <v>1452</v>
      </c>
    </row>
    <row r="113" spans="1:2">
      <c r="A113" t="s">
        <v>535</v>
      </c>
      <c r="B113" t="s">
        <v>1452</v>
      </c>
    </row>
    <row r="114" spans="1:2">
      <c r="A114" t="s">
        <v>220</v>
      </c>
      <c r="B114" t="s">
        <v>1452</v>
      </c>
    </row>
    <row r="115" spans="1:2">
      <c r="A115" t="s">
        <v>199</v>
      </c>
      <c r="B115" t="s">
        <v>1452</v>
      </c>
    </row>
    <row r="116" spans="1:2">
      <c r="A116" t="s">
        <v>591</v>
      </c>
      <c r="B116" t="s">
        <v>1452</v>
      </c>
    </row>
    <row r="117" spans="1:2">
      <c r="A117" t="s">
        <v>706</v>
      </c>
      <c r="B117" t="s">
        <v>1452</v>
      </c>
    </row>
    <row r="118" spans="1:2">
      <c r="A118" t="s">
        <v>515</v>
      </c>
      <c r="B118" t="s">
        <v>1452</v>
      </c>
    </row>
    <row r="119" spans="1:2">
      <c r="A119" t="s">
        <v>1487</v>
      </c>
      <c r="B119" t="s">
        <v>1452</v>
      </c>
    </row>
    <row r="120" spans="1:2">
      <c r="A120" t="s">
        <v>259</v>
      </c>
      <c r="B120" t="s">
        <v>1452</v>
      </c>
    </row>
    <row r="121" spans="1:2">
      <c r="A121" t="s">
        <v>615</v>
      </c>
      <c r="B121" t="s">
        <v>1452</v>
      </c>
    </row>
    <row r="122" spans="1:2">
      <c r="A122" t="s">
        <v>399</v>
      </c>
      <c r="B122" t="s">
        <v>1452</v>
      </c>
    </row>
    <row r="123" spans="1:2">
      <c r="A123" t="s">
        <v>1488</v>
      </c>
      <c r="B123" t="s">
        <v>1452</v>
      </c>
    </row>
    <row r="124" spans="1:2">
      <c r="A124" t="s">
        <v>685</v>
      </c>
      <c r="B124" t="s">
        <v>1452</v>
      </c>
    </row>
    <row r="125" spans="1:2">
      <c r="A125" t="s">
        <v>423</v>
      </c>
      <c r="B125" t="s">
        <v>1452</v>
      </c>
    </row>
    <row r="126" spans="1:2">
      <c r="A126" t="s">
        <v>549</v>
      </c>
      <c r="B126" t="s">
        <v>1452</v>
      </c>
    </row>
    <row r="127" spans="1:2">
      <c r="A127" t="s">
        <v>716</v>
      </c>
      <c r="B127" t="s">
        <v>1452</v>
      </c>
    </row>
    <row r="128" spans="1:2">
      <c r="A128" t="s">
        <v>634</v>
      </c>
      <c r="B128" t="s">
        <v>1452</v>
      </c>
    </row>
    <row r="129" spans="1:2">
      <c r="A129" t="s">
        <v>567</v>
      </c>
      <c r="B129" t="s">
        <v>1452</v>
      </c>
    </row>
    <row r="130" spans="1:2">
      <c r="A130" t="s">
        <v>1489</v>
      </c>
      <c r="B130" t="s">
        <v>1452</v>
      </c>
    </row>
    <row r="131" spans="1:2">
      <c r="A131" t="s">
        <v>1490</v>
      </c>
      <c r="B131" t="s">
        <v>1452</v>
      </c>
    </row>
    <row r="132" spans="1:2">
      <c r="A132" t="s">
        <v>539</v>
      </c>
      <c r="B132" t="s">
        <v>1452</v>
      </c>
    </row>
    <row r="133" spans="1:2">
      <c r="A133" t="s">
        <v>389</v>
      </c>
      <c r="B133" t="s">
        <v>1452</v>
      </c>
    </row>
    <row r="134" spans="1:2">
      <c r="A134" t="s">
        <v>439</v>
      </c>
      <c r="B134" t="s">
        <v>1452</v>
      </c>
    </row>
    <row r="135" spans="1:2">
      <c r="A135" t="s">
        <v>176</v>
      </c>
      <c r="B135" t="s">
        <v>1452</v>
      </c>
    </row>
    <row r="136" spans="1:2">
      <c r="A136" t="s">
        <v>303</v>
      </c>
      <c r="B136" t="s">
        <v>1452</v>
      </c>
    </row>
    <row r="137" spans="1:2">
      <c r="A137" t="s">
        <v>267</v>
      </c>
      <c r="B137" t="s">
        <v>1452</v>
      </c>
    </row>
    <row r="138" spans="1:2">
      <c r="A138" t="s">
        <v>529</v>
      </c>
      <c r="B138" t="s">
        <v>1452</v>
      </c>
    </row>
    <row r="139" spans="1:2">
      <c r="A139" t="s">
        <v>429</v>
      </c>
      <c r="B139" t="s">
        <v>1452</v>
      </c>
    </row>
    <row r="140" spans="1:2">
      <c r="A140" t="s">
        <v>678</v>
      </c>
      <c r="B140" t="s">
        <v>1452</v>
      </c>
    </row>
    <row r="141" spans="1:2">
      <c r="A141" t="s">
        <v>642</v>
      </c>
      <c r="B141" t="s">
        <v>1452</v>
      </c>
    </row>
    <row r="142" spans="1:2">
      <c r="A142" t="s">
        <v>663</v>
      </c>
      <c r="B142" t="s">
        <v>1452</v>
      </c>
    </row>
    <row r="143" spans="1:2">
      <c r="A143" t="s">
        <v>1491</v>
      </c>
      <c r="B143" t="s">
        <v>1452</v>
      </c>
    </row>
    <row r="144" spans="1:2">
      <c r="A144" t="s">
        <v>683</v>
      </c>
      <c r="B144" t="s">
        <v>1452</v>
      </c>
    </row>
    <row r="145" spans="1:2">
      <c r="A145" t="s">
        <v>313</v>
      </c>
      <c r="B145" t="s">
        <v>1452</v>
      </c>
    </row>
    <row r="146" spans="1:2">
      <c r="A146" t="s">
        <v>441</v>
      </c>
      <c r="B146" t="s">
        <v>1452</v>
      </c>
    </row>
    <row r="147" spans="1:2">
      <c r="A147" t="s">
        <v>387</v>
      </c>
      <c r="B147" t="s">
        <v>1452</v>
      </c>
    </row>
    <row r="148" spans="1:2">
      <c r="A148" t="s">
        <v>187</v>
      </c>
      <c r="B148" t="s">
        <v>1452</v>
      </c>
    </row>
    <row r="149" spans="1:2">
      <c r="A149" t="s">
        <v>405</v>
      </c>
      <c r="B149" t="s">
        <v>1452</v>
      </c>
    </row>
    <row r="150" spans="1:2">
      <c r="A150" t="s">
        <v>275</v>
      </c>
      <c r="B150" t="s">
        <v>1452</v>
      </c>
    </row>
    <row r="151" spans="1:2">
      <c r="A151" t="s">
        <v>341</v>
      </c>
      <c r="B151" t="s">
        <v>1452</v>
      </c>
    </row>
    <row r="152" spans="1:2">
      <c r="A152" t="s">
        <v>519</v>
      </c>
      <c r="B152" t="s">
        <v>1452</v>
      </c>
    </row>
    <row r="153" spans="1:2">
      <c r="A153" t="s">
        <v>453</v>
      </c>
      <c r="B153" t="s">
        <v>1452</v>
      </c>
    </row>
    <row r="154" spans="1:2">
      <c r="A154" t="s">
        <v>455</v>
      </c>
      <c r="B154" t="s">
        <v>1452</v>
      </c>
    </row>
    <row r="155" spans="1:2">
      <c r="A155" t="s">
        <v>493</v>
      </c>
      <c r="B155" t="s">
        <v>1452</v>
      </c>
    </row>
    <row r="156" spans="1:2">
      <c r="A156" t="s">
        <v>427</v>
      </c>
      <c r="B156" t="s">
        <v>1452</v>
      </c>
    </row>
    <row r="157" spans="1:2">
      <c r="A157" t="s">
        <v>1492</v>
      </c>
      <c r="B157" t="s">
        <v>1452</v>
      </c>
    </row>
    <row r="158" spans="1:2">
      <c r="A158" t="s">
        <v>650</v>
      </c>
      <c r="B158" t="s">
        <v>1452</v>
      </c>
    </row>
    <row r="159" spans="1:2">
      <c r="A159" t="s">
        <v>21</v>
      </c>
      <c r="B159" t="s">
        <v>1452</v>
      </c>
    </row>
    <row r="160" spans="1:2">
      <c r="A160" t="s">
        <v>144</v>
      </c>
      <c r="B160" t="s">
        <v>1452</v>
      </c>
    </row>
    <row r="161" spans="1:2">
      <c r="A161" t="s">
        <v>714</v>
      </c>
      <c r="B161" t="s">
        <v>1452</v>
      </c>
    </row>
    <row r="162" spans="1:2">
      <c r="A162" t="s">
        <v>152</v>
      </c>
      <c r="B162" t="s">
        <v>1452</v>
      </c>
    </row>
    <row r="163" spans="1:2">
      <c r="A163" t="s">
        <v>694</v>
      </c>
      <c r="B163" t="s">
        <v>1452</v>
      </c>
    </row>
    <row r="164" spans="1:2">
      <c r="A164" t="s">
        <v>553</v>
      </c>
      <c r="B164" t="s">
        <v>1452</v>
      </c>
    </row>
    <row r="165" spans="1:2">
      <c r="A165" t="s">
        <v>531</v>
      </c>
      <c r="B165" t="s">
        <v>1452</v>
      </c>
    </row>
    <row r="166" spans="1:2">
      <c r="A166" t="s">
        <v>609</v>
      </c>
      <c r="B166" t="s">
        <v>1452</v>
      </c>
    </row>
    <row r="167" spans="1:2">
      <c r="A167" t="s">
        <v>431</v>
      </c>
      <c r="B167" t="s">
        <v>1452</v>
      </c>
    </row>
    <row r="168" spans="1:2">
      <c r="A168" t="s">
        <v>297</v>
      </c>
      <c r="B168" t="s">
        <v>1452</v>
      </c>
    </row>
    <row r="169" spans="1:2">
      <c r="A169" t="s">
        <v>205</v>
      </c>
      <c r="B169" t="s">
        <v>1452</v>
      </c>
    </row>
    <row r="170" spans="1:2">
      <c r="A170" t="s">
        <v>483</v>
      </c>
      <c r="B170" t="s">
        <v>1452</v>
      </c>
    </row>
    <row r="171" spans="1:2">
      <c r="A171" t="s">
        <v>371</v>
      </c>
      <c r="B171" t="s">
        <v>1452</v>
      </c>
    </row>
    <row r="172" spans="1:2">
      <c r="A172" t="s">
        <v>728</v>
      </c>
      <c r="B172" t="s">
        <v>1452</v>
      </c>
    </row>
    <row r="173" spans="1:2">
      <c r="A173" t="s">
        <v>403</v>
      </c>
      <c r="B173" t="s">
        <v>1452</v>
      </c>
    </row>
    <row r="174" spans="1:2">
      <c r="A174" t="s">
        <v>117</v>
      </c>
      <c r="B174" t="s">
        <v>1452</v>
      </c>
    </row>
    <row r="175" spans="1:2">
      <c r="A175" t="s">
        <v>495</v>
      </c>
      <c r="B175" t="s">
        <v>1452</v>
      </c>
    </row>
    <row r="176" spans="1:2">
      <c r="A176" t="s">
        <v>461</v>
      </c>
      <c r="B176" t="s">
        <v>1452</v>
      </c>
    </row>
    <row r="177" spans="1:2">
      <c r="A177" t="s">
        <v>401</v>
      </c>
      <c r="B177" t="s">
        <v>1452</v>
      </c>
    </row>
    <row r="178" spans="1:2">
      <c r="A178" t="s">
        <v>345</v>
      </c>
      <c r="B178" t="s">
        <v>1452</v>
      </c>
    </row>
    <row r="179" spans="1:2">
      <c r="A179" t="s">
        <v>305</v>
      </c>
      <c r="B179" t="s">
        <v>1452</v>
      </c>
    </row>
    <row r="180" spans="1:2">
      <c r="A180" t="s">
        <v>433</v>
      </c>
      <c r="B180" t="s">
        <v>1452</v>
      </c>
    </row>
    <row r="181" spans="1:2">
      <c r="A181" t="s">
        <v>40</v>
      </c>
      <c r="B181" t="s">
        <v>1452</v>
      </c>
    </row>
    <row r="182" spans="1:2">
      <c r="A182" t="s">
        <v>721</v>
      </c>
      <c r="B182" t="s">
        <v>1452</v>
      </c>
    </row>
    <row r="183" spans="1:2">
      <c r="A183" t="s">
        <v>133</v>
      </c>
      <c r="B183" t="s">
        <v>1452</v>
      </c>
    </row>
    <row r="184" spans="1:2">
      <c r="A184" t="s">
        <v>407</v>
      </c>
      <c r="B184" t="s">
        <v>1452</v>
      </c>
    </row>
    <row r="185" spans="1:2">
      <c r="A185" t="s">
        <v>317</v>
      </c>
      <c r="B185" t="s">
        <v>1452</v>
      </c>
    </row>
    <row r="186" spans="1:2">
      <c r="A186" t="s">
        <v>559</v>
      </c>
      <c r="B186" t="s">
        <v>1452</v>
      </c>
    </row>
    <row r="187" spans="1:2">
      <c r="A187" t="s">
        <v>254</v>
      </c>
      <c r="B187" t="s">
        <v>1452</v>
      </c>
    </row>
    <row r="188" spans="1:2">
      <c r="A188" t="s">
        <v>621</v>
      </c>
      <c r="B188" t="s">
        <v>1452</v>
      </c>
    </row>
    <row r="189" spans="1:2">
      <c r="A189" t="s">
        <v>131</v>
      </c>
      <c r="B189" t="s">
        <v>1452</v>
      </c>
    </row>
    <row r="190" spans="1:2">
      <c r="A190" t="s">
        <v>740</v>
      </c>
      <c r="B190" t="s">
        <v>1452</v>
      </c>
    </row>
    <row r="191" spans="1:2">
      <c r="A191" t="s">
        <v>1493</v>
      </c>
      <c r="B191" t="s">
        <v>1452</v>
      </c>
    </row>
    <row r="192" spans="1:2">
      <c r="A192" t="s">
        <v>565</v>
      </c>
      <c r="B192" t="s">
        <v>1452</v>
      </c>
    </row>
    <row r="193" spans="1:2">
      <c r="A193" t="s">
        <v>48</v>
      </c>
      <c r="B193" t="s">
        <v>1452</v>
      </c>
    </row>
    <row r="194" spans="1:2">
      <c r="A194" t="s">
        <v>353</v>
      </c>
      <c r="B194" t="s">
        <v>1452</v>
      </c>
    </row>
    <row r="195" spans="1:2">
      <c r="A195" t="s">
        <v>775</v>
      </c>
      <c r="B195" t="s">
        <v>1452</v>
      </c>
    </row>
    <row r="196" spans="1:2">
      <c r="A196" t="s">
        <v>704</v>
      </c>
      <c r="B196" t="s">
        <v>1452</v>
      </c>
    </row>
    <row r="197" spans="1:2">
      <c r="A197" t="s">
        <v>745</v>
      </c>
      <c r="B197" t="s">
        <v>1452</v>
      </c>
    </row>
    <row r="198" spans="1:2">
      <c r="A198" t="s">
        <v>164</v>
      </c>
      <c r="B198" t="s">
        <v>1452</v>
      </c>
    </row>
    <row r="199" spans="1:2">
      <c r="A199" t="s">
        <v>571</v>
      </c>
      <c r="B199" t="s">
        <v>1452</v>
      </c>
    </row>
    <row r="200" spans="1:2">
      <c r="A200" t="s">
        <v>67</v>
      </c>
      <c r="B200" t="s">
        <v>1452</v>
      </c>
    </row>
    <row r="201" spans="1:2">
      <c r="A201" t="s">
        <v>795</v>
      </c>
      <c r="B201" t="s">
        <v>1452</v>
      </c>
    </row>
    <row r="202" spans="1:2">
      <c r="A202" t="s">
        <v>667</v>
      </c>
      <c r="B202" t="s">
        <v>1452</v>
      </c>
    </row>
    <row r="203" spans="1:2">
      <c r="A203" t="s">
        <v>355</v>
      </c>
      <c r="B203" t="s">
        <v>1452</v>
      </c>
    </row>
    <row r="204" spans="1:2">
      <c r="A204" t="s">
        <v>1494</v>
      </c>
      <c r="B204" t="s">
        <v>1452</v>
      </c>
    </row>
    <row r="205" spans="1:2">
      <c r="A205" t="s">
        <v>160</v>
      </c>
      <c r="B205" t="s">
        <v>1452</v>
      </c>
    </row>
    <row r="206" spans="1:2">
      <c r="A206" t="s">
        <v>1495</v>
      </c>
      <c r="B206" t="s">
        <v>1452</v>
      </c>
    </row>
    <row r="207" spans="1:2">
      <c r="A207" t="s">
        <v>816</v>
      </c>
      <c r="B207" t="s">
        <v>1453</v>
      </c>
    </row>
    <row r="208" spans="1:2">
      <c r="A208" t="s">
        <v>854</v>
      </c>
      <c r="B208" t="s">
        <v>1453</v>
      </c>
    </row>
    <row r="209" spans="1:2">
      <c r="A209" t="s">
        <v>1041</v>
      </c>
      <c r="B209" t="s">
        <v>1453</v>
      </c>
    </row>
    <row r="210" spans="1:2">
      <c r="A210" t="s">
        <v>864</v>
      </c>
      <c r="B210" t="s">
        <v>1453</v>
      </c>
    </row>
    <row r="211" spans="1:2">
      <c r="A211" s="5" t="s">
        <v>900</v>
      </c>
      <c r="B211" t="s">
        <v>1453</v>
      </c>
    </row>
    <row r="212" spans="1:2">
      <c r="A212" t="s">
        <v>1034</v>
      </c>
      <c r="B212" t="s">
        <v>1453</v>
      </c>
    </row>
    <row r="213" spans="1:2">
      <c r="A213" t="s">
        <v>808</v>
      </c>
      <c r="B213" t="s">
        <v>1453</v>
      </c>
    </row>
    <row r="214" spans="1:2">
      <c r="A214" t="s">
        <v>861</v>
      </c>
      <c r="B214" t="s">
        <v>1453</v>
      </c>
    </row>
    <row r="215" spans="1:2">
      <c r="A215" t="s">
        <v>1096</v>
      </c>
      <c r="B215" t="s">
        <v>1453</v>
      </c>
    </row>
    <row r="216" spans="1:2">
      <c r="A216" t="s">
        <v>812</v>
      </c>
      <c r="B216" t="s">
        <v>1453</v>
      </c>
    </row>
    <row r="217" spans="1:2">
      <c r="A217" t="s">
        <v>1088</v>
      </c>
      <c r="B217" t="s">
        <v>1453</v>
      </c>
    </row>
    <row r="218" spans="1:2">
      <c r="A218" t="s">
        <v>1124</v>
      </c>
      <c r="B218" t="s">
        <v>1453</v>
      </c>
    </row>
    <row r="219" spans="1:2">
      <c r="A219" t="s">
        <v>879</v>
      </c>
      <c r="B219" t="s">
        <v>1453</v>
      </c>
    </row>
    <row r="220" spans="1:2">
      <c r="A220" t="s">
        <v>856</v>
      </c>
      <c r="B220" t="s">
        <v>1453</v>
      </c>
    </row>
    <row r="221" spans="1:2">
      <c r="A221" t="s">
        <v>902</v>
      </c>
      <c r="B221" t="s">
        <v>1453</v>
      </c>
    </row>
    <row r="222" spans="1:2">
      <c r="A222" t="s">
        <v>1079</v>
      </c>
      <c r="B222" t="s">
        <v>1453</v>
      </c>
    </row>
    <row r="223" spans="1:2">
      <c r="A223" t="s">
        <v>882</v>
      </c>
      <c r="B223" t="s">
        <v>1453</v>
      </c>
    </row>
    <row r="224" spans="1:2">
      <c r="A224" t="s">
        <v>1496</v>
      </c>
      <c r="B224" t="s">
        <v>1453</v>
      </c>
    </row>
    <row r="225" spans="1:2">
      <c r="A225" t="s">
        <v>1497</v>
      </c>
      <c r="B225" t="s">
        <v>1453</v>
      </c>
    </row>
    <row r="226" spans="1:2">
      <c r="A226" t="s">
        <v>1067</v>
      </c>
      <c r="B226" t="s">
        <v>1453</v>
      </c>
    </row>
    <row r="227" spans="1:2">
      <c r="A227" t="s">
        <v>968</v>
      </c>
      <c r="B227" t="s">
        <v>1453</v>
      </c>
    </row>
    <row r="228" spans="1:2">
      <c r="A228" t="s">
        <v>1138</v>
      </c>
      <c r="B228" t="s">
        <v>1453</v>
      </c>
    </row>
    <row r="229" spans="1:2">
      <c r="A229" t="s">
        <v>950</v>
      </c>
      <c r="B229" t="s">
        <v>1453</v>
      </c>
    </row>
    <row r="230" spans="1:2">
      <c r="A230" t="s">
        <v>830</v>
      </c>
      <c r="B230" t="s">
        <v>1453</v>
      </c>
    </row>
    <row r="231" spans="1:2">
      <c r="A231" t="s">
        <v>1057</v>
      </c>
      <c r="B231" t="s">
        <v>1453</v>
      </c>
    </row>
    <row r="232" spans="1:2">
      <c r="A232" t="s">
        <v>1498</v>
      </c>
      <c r="B232" t="s">
        <v>1453</v>
      </c>
    </row>
    <row r="233" spans="1:2">
      <c r="A233" t="s">
        <v>919</v>
      </c>
      <c r="B233" t="s">
        <v>1453</v>
      </c>
    </row>
    <row r="234" spans="1:2">
      <c r="A234" t="s">
        <v>1129</v>
      </c>
      <c r="B234" t="s">
        <v>1453</v>
      </c>
    </row>
    <row r="235" spans="1:2">
      <c r="A235" t="s">
        <v>962</v>
      </c>
      <c r="B235" t="s">
        <v>1453</v>
      </c>
    </row>
    <row r="236" spans="1:2">
      <c r="A236" t="s">
        <v>1122</v>
      </c>
      <c r="B236" t="s">
        <v>1453</v>
      </c>
    </row>
    <row r="237" spans="1:2">
      <c r="A237" t="s">
        <v>1006</v>
      </c>
      <c r="B237" t="s">
        <v>1453</v>
      </c>
    </row>
    <row r="238" spans="1:2">
      <c r="A238" t="s">
        <v>848</v>
      </c>
      <c r="B238" t="s">
        <v>1453</v>
      </c>
    </row>
    <row r="239" spans="1:2">
      <c r="A239" t="s">
        <v>1499</v>
      </c>
      <c r="B239" t="s">
        <v>1453</v>
      </c>
    </row>
    <row r="240" spans="1:2">
      <c r="A240" t="s">
        <v>892</v>
      </c>
      <c r="B240" t="s">
        <v>1453</v>
      </c>
    </row>
    <row r="241" spans="1:2">
      <c r="A241" t="s">
        <v>990</v>
      </c>
      <c r="B241" t="s">
        <v>1453</v>
      </c>
    </row>
    <row r="242" spans="1:2">
      <c r="A242" t="s">
        <v>1030</v>
      </c>
      <c r="B242" t="s">
        <v>1453</v>
      </c>
    </row>
    <row r="243" spans="1:2">
      <c r="A243" t="s">
        <v>984</v>
      </c>
      <c r="B243" t="s">
        <v>1453</v>
      </c>
    </row>
    <row r="244" spans="1:2">
      <c r="A244" t="s">
        <v>1020</v>
      </c>
      <c r="B244" t="s">
        <v>1453</v>
      </c>
    </row>
    <row r="245" spans="1:2">
      <c r="A245" t="s">
        <v>1500</v>
      </c>
      <c r="B245" t="s">
        <v>1453</v>
      </c>
    </row>
    <row r="246" spans="1:2">
      <c r="A246" t="s">
        <v>1061</v>
      </c>
      <c r="B246" t="s">
        <v>1453</v>
      </c>
    </row>
    <row r="247" spans="1:2">
      <c r="A247" t="s">
        <v>931</v>
      </c>
      <c r="B247" t="s">
        <v>1453</v>
      </c>
    </row>
    <row r="248" spans="1:2">
      <c r="A248" t="s">
        <v>1501</v>
      </c>
      <c r="B248" t="s">
        <v>1453</v>
      </c>
    </row>
    <row r="249" spans="1:2">
      <c r="A249" t="s">
        <v>1032</v>
      </c>
      <c r="B249" t="s">
        <v>1453</v>
      </c>
    </row>
    <row r="250" spans="1:2">
      <c r="A250" t="s">
        <v>825</v>
      </c>
      <c r="B250" t="s">
        <v>1453</v>
      </c>
    </row>
    <row r="251" spans="1:2">
      <c r="A251" t="s">
        <v>974</v>
      </c>
      <c r="B251" t="s">
        <v>1453</v>
      </c>
    </row>
    <row r="252" spans="1:2">
      <c r="A252" t="s">
        <v>942</v>
      </c>
      <c r="B252" t="s">
        <v>1453</v>
      </c>
    </row>
    <row r="253" spans="1:2">
      <c r="A253" t="s">
        <v>1502</v>
      </c>
      <c r="B253" t="s">
        <v>1453</v>
      </c>
    </row>
    <row r="254" spans="1:2">
      <c r="A254" t="s">
        <v>1503</v>
      </c>
      <c r="B254" t="s">
        <v>1453</v>
      </c>
    </row>
    <row r="255" spans="1:2">
      <c r="A255" t="s">
        <v>1073</v>
      </c>
      <c r="B255" t="s">
        <v>1453</v>
      </c>
    </row>
    <row r="256" spans="1:2">
      <c r="A256" t="s">
        <v>1117</v>
      </c>
      <c r="B256" t="s">
        <v>1453</v>
      </c>
    </row>
    <row r="257" spans="1:2">
      <c r="A257" t="s">
        <v>886</v>
      </c>
      <c r="B257" t="s">
        <v>1453</v>
      </c>
    </row>
    <row r="258" spans="1:2">
      <c r="A258" t="s">
        <v>1504</v>
      </c>
      <c r="B258" t="s">
        <v>1453</v>
      </c>
    </row>
    <row r="259" spans="1:2">
      <c r="A259" t="s">
        <v>917</v>
      </c>
      <c r="B259" t="s">
        <v>1453</v>
      </c>
    </row>
    <row r="260" spans="1:2">
      <c r="A260" t="s">
        <v>982</v>
      </c>
      <c r="B260" t="s">
        <v>1453</v>
      </c>
    </row>
    <row r="261" spans="1:2">
      <c r="A261" t="s">
        <v>1505</v>
      </c>
      <c r="B261" t="s">
        <v>1453</v>
      </c>
    </row>
    <row r="262" spans="1:2">
      <c r="A262" t="s">
        <v>1506</v>
      </c>
      <c r="B262" t="s">
        <v>1453</v>
      </c>
    </row>
    <row r="263" spans="1:2">
      <c r="A263" t="s">
        <v>872</v>
      </c>
      <c r="B263" t="s">
        <v>1453</v>
      </c>
    </row>
    <row r="264" spans="1:2">
      <c r="A264" t="s">
        <v>1507</v>
      </c>
      <c r="B264" t="s">
        <v>1453</v>
      </c>
    </row>
    <row r="265" spans="1:2">
      <c r="A265" t="s">
        <v>1050</v>
      </c>
      <c r="B265" t="s">
        <v>1453</v>
      </c>
    </row>
    <row r="266" spans="1:2">
      <c r="A266" t="s">
        <v>1508</v>
      </c>
      <c r="B266" t="s">
        <v>1453</v>
      </c>
    </row>
    <row r="267" spans="1:2">
      <c r="A267" t="s">
        <v>1022</v>
      </c>
      <c r="B267" t="s">
        <v>1453</v>
      </c>
    </row>
    <row r="268" spans="1:2">
      <c r="A268" t="s">
        <v>1509</v>
      </c>
      <c r="B268" t="s">
        <v>1453</v>
      </c>
    </row>
    <row r="269" spans="1:2">
      <c r="A269" t="s">
        <v>966</v>
      </c>
      <c r="B269" t="s">
        <v>1453</v>
      </c>
    </row>
    <row r="270" spans="1:2">
      <c r="A270" t="s">
        <v>970</v>
      </c>
      <c r="B270" t="s">
        <v>1453</v>
      </c>
    </row>
    <row r="271" spans="1:2">
      <c r="A271" t="s">
        <v>1510</v>
      </c>
      <c r="B271" t="s">
        <v>1453</v>
      </c>
    </row>
    <row r="272" spans="1:2">
      <c r="A272" t="s">
        <v>1511</v>
      </c>
      <c r="B272" t="s">
        <v>1453</v>
      </c>
    </row>
    <row r="273" spans="1:2">
      <c r="A273" t="s">
        <v>1512</v>
      </c>
      <c r="B273" t="s">
        <v>1453</v>
      </c>
    </row>
    <row r="274" spans="1:2">
      <c r="A274" t="s">
        <v>1024</v>
      </c>
      <c r="B274" t="s">
        <v>1453</v>
      </c>
    </row>
    <row r="275" spans="1:2">
      <c r="A275" t="s">
        <v>960</v>
      </c>
      <c r="B275" t="s">
        <v>1453</v>
      </c>
    </row>
    <row r="276" spans="1:2">
      <c r="A276" s="5" t="s">
        <v>1083</v>
      </c>
      <c r="B276" t="s">
        <v>1453</v>
      </c>
    </row>
    <row r="277" spans="1:2">
      <c r="A277" t="s">
        <v>1513</v>
      </c>
      <c r="B277" t="s">
        <v>1453</v>
      </c>
    </row>
    <row r="278" spans="1:2">
      <c r="A278" t="s">
        <v>948</v>
      </c>
      <c r="B278" t="s">
        <v>1453</v>
      </c>
    </row>
    <row r="279" spans="1:2">
      <c r="A279" t="s">
        <v>988</v>
      </c>
      <c r="B279" t="s">
        <v>1453</v>
      </c>
    </row>
    <row r="280" spans="1:2">
      <c r="A280" t="s">
        <v>1018</v>
      </c>
      <c r="B280" t="s">
        <v>1453</v>
      </c>
    </row>
    <row r="281" spans="1:2">
      <c r="A281" t="s">
        <v>1514</v>
      </c>
      <c r="B281" t="s">
        <v>1453</v>
      </c>
    </row>
    <row r="282" spans="1:2">
      <c r="A282" t="s">
        <v>1515</v>
      </c>
      <c r="B282" t="s">
        <v>1453</v>
      </c>
    </row>
    <row r="283" spans="1:2">
      <c r="A283" t="s">
        <v>1516</v>
      </c>
      <c r="B283" t="s">
        <v>1453</v>
      </c>
    </row>
    <row r="284" spans="1:2">
      <c r="A284" t="s">
        <v>1048</v>
      </c>
      <c r="B284" t="s">
        <v>1453</v>
      </c>
    </row>
    <row r="285" spans="1:2">
      <c r="A285" t="s">
        <v>1517</v>
      </c>
      <c r="B285" t="s">
        <v>1453</v>
      </c>
    </row>
    <row r="286" spans="1:2">
      <c r="A286" t="s">
        <v>1518</v>
      </c>
      <c r="B286" t="s">
        <v>1453</v>
      </c>
    </row>
    <row r="287" spans="1:2">
      <c r="A287" t="s">
        <v>866</v>
      </c>
      <c r="B287" t="s">
        <v>1453</v>
      </c>
    </row>
    <row r="288" spans="1:2">
      <c r="A288" t="s">
        <v>1071</v>
      </c>
      <c r="B288" t="s">
        <v>1453</v>
      </c>
    </row>
    <row r="289" spans="1:2">
      <c r="A289" t="s">
        <v>1085</v>
      </c>
      <c r="B289" t="s">
        <v>1453</v>
      </c>
    </row>
    <row r="290" spans="1:2">
      <c r="A290" t="s">
        <v>1026</v>
      </c>
      <c r="B290" t="s">
        <v>1453</v>
      </c>
    </row>
    <row r="291" spans="1:2">
      <c r="A291" t="s">
        <v>1059</v>
      </c>
      <c r="B291" t="s">
        <v>1453</v>
      </c>
    </row>
    <row r="292" spans="1:2">
      <c r="A292" t="s">
        <v>1044</v>
      </c>
      <c r="B292" t="s">
        <v>1453</v>
      </c>
    </row>
    <row r="293" spans="1:2">
      <c r="A293" t="s">
        <v>1519</v>
      </c>
      <c r="B293" t="s">
        <v>1453</v>
      </c>
    </row>
    <row r="294" spans="1:2">
      <c r="A294" t="s">
        <v>1520</v>
      </c>
      <c r="B294" t="s">
        <v>1453</v>
      </c>
    </row>
    <row r="295" spans="1:2">
      <c r="A295" t="s">
        <v>972</v>
      </c>
      <c r="B295" t="s">
        <v>1453</v>
      </c>
    </row>
    <row r="296" spans="1:2">
      <c r="A296" t="s">
        <v>1521</v>
      </c>
      <c r="B296" t="s">
        <v>1453</v>
      </c>
    </row>
    <row r="297" spans="1:2">
      <c r="A297" t="s">
        <v>935</v>
      </c>
      <c r="B297" t="s">
        <v>1453</v>
      </c>
    </row>
    <row r="298" spans="1:2">
      <c r="A298" t="s">
        <v>1046</v>
      </c>
      <c r="B298" t="s">
        <v>1453</v>
      </c>
    </row>
    <row r="299" spans="1:2">
      <c r="A299" t="s">
        <v>1075</v>
      </c>
      <c r="B299" t="s">
        <v>1453</v>
      </c>
    </row>
    <row r="300" spans="1:2">
      <c r="A300" t="s">
        <v>956</v>
      </c>
      <c r="B300" t="s">
        <v>1453</v>
      </c>
    </row>
    <row r="301" spans="1:2">
      <c r="A301" t="s">
        <v>1010</v>
      </c>
      <c r="B301" t="s">
        <v>1453</v>
      </c>
    </row>
    <row r="302" spans="1:2">
      <c r="A302" t="s">
        <v>870</v>
      </c>
      <c r="B302" t="s">
        <v>1453</v>
      </c>
    </row>
    <row r="303" spans="1:2">
      <c r="A303" t="s">
        <v>1016</v>
      </c>
      <c r="B303" t="s">
        <v>1453</v>
      </c>
    </row>
    <row r="304" spans="1:2">
      <c r="A304" t="s">
        <v>1069</v>
      </c>
      <c r="B304" t="s">
        <v>1453</v>
      </c>
    </row>
    <row r="305" spans="1:2">
      <c r="A305" t="s">
        <v>1522</v>
      </c>
      <c r="B305" t="s">
        <v>1453</v>
      </c>
    </row>
    <row r="306" spans="1:2">
      <c r="A306" t="s">
        <v>827</v>
      </c>
      <c r="B306" t="s">
        <v>1453</v>
      </c>
    </row>
    <row r="307" spans="1:2">
      <c r="A307" s="5" t="s">
        <v>1107</v>
      </c>
      <c r="B307" t="s">
        <v>1453</v>
      </c>
    </row>
    <row r="308" spans="1:2">
      <c r="A308" t="s">
        <v>890</v>
      </c>
      <c r="B308" t="s">
        <v>1453</v>
      </c>
    </row>
    <row r="309" spans="1:2">
      <c r="A309" t="s">
        <v>978</v>
      </c>
      <c r="B309" t="s">
        <v>1453</v>
      </c>
    </row>
    <row r="310" spans="1:2">
      <c r="A310" t="s">
        <v>819</v>
      </c>
      <c r="B310" t="s">
        <v>1453</v>
      </c>
    </row>
    <row r="311" spans="1:2">
      <c r="A311" t="s">
        <v>1523</v>
      </c>
      <c r="B311" t="s">
        <v>1453</v>
      </c>
    </row>
    <row r="312" spans="1:2">
      <c r="A312" t="s">
        <v>1102</v>
      </c>
      <c r="B312" t="s">
        <v>1453</v>
      </c>
    </row>
    <row r="313" spans="1:2">
      <c r="A313" t="s">
        <v>1119</v>
      </c>
      <c r="B313" t="s">
        <v>1453</v>
      </c>
    </row>
    <row r="314" spans="1:2">
      <c r="A314" t="s">
        <v>940</v>
      </c>
      <c r="B314" t="s">
        <v>1453</v>
      </c>
    </row>
    <row r="315" spans="1:2">
      <c r="A315" t="s">
        <v>877</v>
      </c>
      <c r="B315" t="s">
        <v>1453</v>
      </c>
    </row>
    <row r="316" spans="1:2">
      <c r="A316" t="s">
        <v>896</v>
      </c>
      <c r="B316" t="s">
        <v>1453</v>
      </c>
    </row>
    <row r="317" spans="1:2">
      <c r="A317" t="s">
        <v>921</v>
      </c>
      <c r="B317" t="s">
        <v>1453</v>
      </c>
    </row>
    <row r="318" spans="1:2">
      <c r="A318" t="s">
        <v>1055</v>
      </c>
      <c r="B318" t="s">
        <v>1453</v>
      </c>
    </row>
    <row r="319" spans="1:2">
      <c r="A319" t="s">
        <v>1037</v>
      </c>
      <c r="B319" t="s">
        <v>1453</v>
      </c>
    </row>
    <row r="320" spans="1:2">
      <c r="A320" t="s">
        <v>1131</v>
      </c>
      <c r="B320" t="s">
        <v>1453</v>
      </c>
    </row>
    <row r="321" spans="1:2">
      <c r="A321" t="s">
        <v>933</v>
      </c>
      <c r="B321" t="s">
        <v>1453</v>
      </c>
    </row>
    <row r="322" spans="1:2">
      <c r="A322" t="s">
        <v>1098</v>
      </c>
      <c r="B322" t="s">
        <v>1453</v>
      </c>
    </row>
    <row r="323" spans="1:2">
      <c r="A323" t="s">
        <v>846</v>
      </c>
      <c r="B323" t="s">
        <v>1453</v>
      </c>
    </row>
    <row r="324" spans="1:2">
      <c r="A324" t="s">
        <v>1028</v>
      </c>
      <c r="B324" t="s">
        <v>1453</v>
      </c>
    </row>
    <row r="325" spans="1:2">
      <c r="A325" t="s">
        <v>1111</v>
      </c>
      <c r="B325" t="s">
        <v>1453</v>
      </c>
    </row>
    <row r="326" spans="1:2">
      <c r="A326" t="s">
        <v>904</v>
      </c>
      <c r="B326" t="s">
        <v>1453</v>
      </c>
    </row>
    <row r="327" spans="1:2">
      <c r="A327" t="s">
        <v>925</v>
      </c>
      <c r="B327" t="s">
        <v>1453</v>
      </c>
    </row>
    <row r="328" spans="1:2">
      <c r="A328" t="s">
        <v>1094</v>
      </c>
      <c r="B328" t="s">
        <v>1453</v>
      </c>
    </row>
    <row r="329" spans="1:2">
      <c r="A329" t="s">
        <v>1524</v>
      </c>
      <c r="B329" t="s">
        <v>1453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L488"/>
  <sheetViews>
    <sheetView topLeftCell="A430" zoomScale="85" zoomScaleNormal="85" workbookViewId="0">
      <selection activeCell="L453" sqref="L453"/>
    </sheetView>
  </sheetViews>
  <sheetFormatPr defaultRowHeight="15"/>
  <cols>
    <col min="1" max="1" width="21.5703125" customWidth="1"/>
    <col min="2" max="10" width="23.85546875" customWidth="1"/>
    <col min="11" max="11" width="22" customWidth="1"/>
    <col min="12" max="14" width="26.5703125" customWidth="1"/>
    <col min="15" max="23" width="23.85546875" customWidth="1"/>
    <col min="24" max="24" width="24.85546875" customWidth="1"/>
    <col min="25" max="25" width="25.85546875" customWidth="1"/>
    <col min="26" max="26" width="29.7109375" customWidth="1"/>
    <col min="27" max="27" width="28.85546875" customWidth="1"/>
    <col min="28" max="28" width="0" hidden="1" customWidth="1"/>
    <col min="29" max="29" width="9.140625" hidden="1" customWidth="1"/>
    <col min="30" max="30" width="14.5703125" hidden="1" customWidth="1"/>
    <col min="31" max="31" width="32.28515625" hidden="1" customWidth="1"/>
    <col min="32" max="32" width="26.140625" hidden="1" customWidth="1"/>
    <col min="33" max="33" width="31.5703125" hidden="1" customWidth="1"/>
    <col min="34" max="34" width="25.7109375" hidden="1" customWidth="1"/>
    <col min="35" max="35" width="30" hidden="1" customWidth="1"/>
    <col min="36" max="36" width="17.28515625" hidden="1" customWidth="1"/>
    <col min="37" max="37" width="0" hidden="1" customWidth="1"/>
  </cols>
  <sheetData>
    <row r="1" spans="1:36" hidden="1">
      <c r="A1" s="38" t="s">
        <v>5</v>
      </c>
      <c r="B1" s="38" t="s">
        <v>1525</v>
      </c>
      <c r="C1" s="38" t="s">
        <v>1526</v>
      </c>
      <c r="D1" s="38" t="s">
        <v>1527</v>
      </c>
      <c r="E1" s="38" t="s">
        <v>1528</v>
      </c>
      <c r="F1" s="38" t="s">
        <v>1529</v>
      </c>
      <c r="G1" s="38" t="s">
        <v>1530</v>
      </c>
      <c r="H1" s="38" t="s">
        <v>1531</v>
      </c>
      <c r="I1" s="38" t="s">
        <v>1532</v>
      </c>
      <c r="J1" s="38" t="s">
        <v>1533</v>
      </c>
      <c r="K1" s="38" t="s">
        <v>1534</v>
      </c>
      <c r="L1" s="38" t="s">
        <v>1535</v>
      </c>
      <c r="M1" s="38" t="s">
        <v>1536</v>
      </c>
      <c r="N1" s="38" t="s">
        <v>1537</v>
      </c>
      <c r="O1" s="38" t="s">
        <v>1538</v>
      </c>
      <c r="P1" s="38" t="s">
        <v>1539</v>
      </c>
      <c r="Q1" s="38" t="s">
        <v>1540</v>
      </c>
      <c r="R1" s="38" t="s">
        <v>1541</v>
      </c>
      <c r="S1" s="38" t="s">
        <v>1542</v>
      </c>
      <c r="T1" s="38" t="s">
        <v>1543</v>
      </c>
      <c r="U1" s="38" t="s">
        <v>1544</v>
      </c>
      <c r="V1" s="38" t="s">
        <v>1545</v>
      </c>
      <c r="W1" s="38" t="s">
        <v>1546</v>
      </c>
      <c r="X1" s="38" t="s">
        <v>1547</v>
      </c>
      <c r="Y1" s="38" t="s">
        <v>1548</v>
      </c>
      <c r="Z1" s="38" t="s">
        <v>1549</v>
      </c>
      <c r="AA1" s="38" t="s">
        <v>1550</v>
      </c>
      <c r="AD1" s="129" t="s">
        <v>1461</v>
      </c>
      <c r="AE1" s="38" t="s">
        <v>1551</v>
      </c>
      <c r="AF1" s="38" t="s">
        <v>1552</v>
      </c>
      <c r="AG1" s="38" t="s">
        <v>1553</v>
      </c>
      <c r="AH1" s="38" t="s">
        <v>1554</v>
      </c>
      <c r="AI1" s="38" t="s">
        <v>1555</v>
      </c>
      <c r="AJ1" s="38" t="s">
        <v>1556</v>
      </c>
    </row>
    <row r="2" spans="1:36" hidden="1">
      <c r="A2" s="39" t="s">
        <v>461</v>
      </c>
      <c r="B2" s="39">
        <v>3591</v>
      </c>
      <c r="C2" s="39">
        <v>5033</v>
      </c>
      <c r="D2" s="39">
        <v>3472</v>
      </c>
      <c r="E2" s="39">
        <v>6534</v>
      </c>
      <c r="F2" s="39">
        <v>5480</v>
      </c>
      <c r="G2" s="39">
        <v>4553</v>
      </c>
      <c r="H2" s="39">
        <v>15646</v>
      </c>
      <c r="I2" s="39">
        <v>5423</v>
      </c>
      <c r="J2" s="39">
        <v>4135</v>
      </c>
      <c r="K2">
        <v>3762</v>
      </c>
      <c r="L2">
        <v>3361</v>
      </c>
      <c r="M2">
        <v>2925</v>
      </c>
      <c r="N2">
        <v>5767</v>
      </c>
      <c r="O2">
        <v>830</v>
      </c>
      <c r="P2">
        <v>949</v>
      </c>
      <c r="Q2">
        <v>615</v>
      </c>
      <c r="R2">
        <v>1182</v>
      </c>
      <c r="S2">
        <v>1059</v>
      </c>
      <c r="T2">
        <v>868</v>
      </c>
      <c r="U2">
        <v>1282</v>
      </c>
      <c r="V2">
        <v>1003</v>
      </c>
      <c r="W2">
        <v>775</v>
      </c>
      <c r="X2">
        <v>791</v>
      </c>
      <c r="Y2">
        <v>762</v>
      </c>
      <c r="Z2">
        <v>607</v>
      </c>
      <c r="AA2">
        <v>836</v>
      </c>
      <c r="AD2" t="s">
        <v>30</v>
      </c>
      <c r="AE2" s="28">
        <v>67399</v>
      </c>
      <c r="AF2">
        <v>297250</v>
      </c>
      <c r="AG2">
        <v>63452</v>
      </c>
      <c r="AH2">
        <v>220366</v>
      </c>
    </row>
    <row r="3" spans="1:36" hidden="1">
      <c r="A3" s="39" t="s">
        <v>781</v>
      </c>
      <c r="B3" s="39">
        <v>1487</v>
      </c>
      <c r="C3" s="39">
        <v>1490</v>
      </c>
      <c r="D3" s="39">
        <v>1213</v>
      </c>
      <c r="E3" s="39">
        <v>1477</v>
      </c>
      <c r="F3" s="39">
        <v>1181</v>
      </c>
      <c r="G3" s="39">
        <v>1914</v>
      </c>
      <c r="H3" s="39">
        <v>1610</v>
      </c>
      <c r="I3" s="39">
        <v>1971</v>
      </c>
      <c r="J3" s="39">
        <v>3959</v>
      </c>
      <c r="K3">
        <v>1873</v>
      </c>
      <c r="L3">
        <v>556</v>
      </c>
      <c r="M3">
        <v>3789</v>
      </c>
      <c r="N3">
        <v>7411</v>
      </c>
      <c r="O3">
        <v>368</v>
      </c>
      <c r="P3">
        <v>393</v>
      </c>
      <c r="Q3">
        <v>316</v>
      </c>
      <c r="R3">
        <v>369</v>
      </c>
      <c r="S3">
        <v>352</v>
      </c>
      <c r="T3">
        <v>508</v>
      </c>
      <c r="U3">
        <v>475</v>
      </c>
      <c r="V3">
        <v>519</v>
      </c>
      <c r="W3">
        <v>1081</v>
      </c>
      <c r="X3">
        <v>483</v>
      </c>
      <c r="Y3">
        <v>156</v>
      </c>
      <c r="Z3">
        <v>1067</v>
      </c>
      <c r="AA3">
        <v>1424</v>
      </c>
      <c r="AD3" t="s">
        <v>507</v>
      </c>
      <c r="AE3" s="28">
        <v>4822</v>
      </c>
      <c r="AF3">
        <v>29959</v>
      </c>
      <c r="AG3">
        <v>4146</v>
      </c>
      <c r="AH3">
        <v>24385</v>
      </c>
    </row>
    <row r="4" spans="1:36" hidden="1">
      <c r="A4" s="39" t="s">
        <v>667</v>
      </c>
      <c r="B4" s="39">
        <v>16658</v>
      </c>
      <c r="C4" s="39">
        <v>30899</v>
      </c>
      <c r="D4" s="39">
        <v>78885</v>
      </c>
      <c r="E4" s="39">
        <v>85527</v>
      </c>
      <c r="F4" s="39">
        <v>47308</v>
      </c>
      <c r="G4" s="39">
        <v>81411</v>
      </c>
      <c r="H4" s="39">
        <v>35571</v>
      </c>
      <c r="I4" s="39">
        <v>48721</v>
      </c>
      <c r="J4" s="39">
        <v>25564</v>
      </c>
      <c r="K4">
        <v>23851</v>
      </c>
      <c r="L4">
        <v>39817</v>
      </c>
      <c r="M4">
        <v>14538</v>
      </c>
      <c r="N4">
        <v>54946</v>
      </c>
      <c r="O4">
        <v>3336</v>
      </c>
      <c r="P4">
        <v>5787</v>
      </c>
      <c r="Q4">
        <v>12299</v>
      </c>
      <c r="R4">
        <v>11391</v>
      </c>
      <c r="S4">
        <v>8342</v>
      </c>
      <c r="T4">
        <v>14734</v>
      </c>
      <c r="U4">
        <v>7820</v>
      </c>
      <c r="V4">
        <v>11514</v>
      </c>
      <c r="W4">
        <v>6245</v>
      </c>
      <c r="X4">
        <v>6054</v>
      </c>
      <c r="Y4">
        <v>10104</v>
      </c>
      <c r="Z4">
        <v>4521</v>
      </c>
      <c r="AA4">
        <v>10395</v>
      </c>
      <c r="AD4" t="s">
        <v>475</v>
      </c>
      <c r="AE4" s="28">
        <v>10249</v>
      </c>
      <c r="AF4">
        <v>30497</v>
      </c>
      <c r="AG4">
        <v>11317</v>
      </c>
      <c r="AH4">
        <v>40299</v>
      </c>
    </row>
    <row r="5" spans="1:36" hidden="1">
      <c r="A5" s="39" t="s">
        <v>1046</v>
      </c>
      <c r="B5" s="39">
        <v>1398</v>
      </c>
      <c r="C5" s="39">
        <v>1450</v>
      </c>
      <c r="D5" s="39">
        <v>1595</v>
      </c>
      <c r="E5" s="39">
        <v>1135</v>
      </c>
      <c r="F5" s="39">
        <v>997</v>
      </c>
      <c r="G5" s="39">
        <v>1326</v>
      </c>
      <c r="H5" s="39">
        <v>1041</v>
      </c>
      <c r="I5" s="39">
        <v>798</v>
      </c>
      <c r="J5" s="39">
        <v>627</v>
      </c>
      <c r="K5">
        <v>744</v>
      </c>
      <c r="L5">
        <v>533</v>
      </c>
      <c r="M5">
        <v>695</v>
      </c>
      <c r="N5">
        <v>1260</v>
      </c>
      <c r="O5">
        <v>273</v>
      </c>
      <c r="P5">
        <v>281</v>
      </c>
      <c r="Q5">
        <v>271</v>
      </c>
      <c r="R5">
        <v>250</v>
      </c>
      <c r="S5">
        <v>231</v>
      </c>
      <c r="T5">
        <v>274</v>
      </c>
      <c r="U5">
        <v>238</v>
      </c>
      <c r="V5">
        <v>252</v>
      </c>
      <c r="W5">
        <v>168</v>
      </c>
      <c r="X5">
        <v>283</v>
      </c>
      <c r="Y5">
        <v>170</v>
      </c>
      <c r="Z5">
        <v>162</v>
      </c>
      <c r="AA5">
        <v>272</v>
      </c>
      <c r="AD5" t="s">
        <v>789</v>
      </c>
      <c r="AE5" s="28">
        <v>26241</v>
      </c>
      <c r="AF5">
        <v>119613</v>
      </c>
      <c r="AG5">
        <v>21449</v>
      </c>
      <c r="AH5">
        <v>89404</v>
      </c>
    </row>
    <row r="6" spans="1:36" hidden="1">
      <c r="A6" s="39" t="s">
        <v>170</v>
      </c>
      <c r="B6" s="39">
        <v>3844</v>
      </c>
      <c r="C6" s="39">
        <v>4014</v>
      </c>
      <c r="D6" s="39">
        <v>4538</v>
      </c>
      <c r="E6" s="39">
        <v>5254</v>
      </c>
      <c r="F6" s="39">
        <v>4263</v>
      </c>
      <c r="G6" s="39">
        <v>2871</v>
      </c>
      <c r="H6" s="39">
        <v>5344</v>
      </c>
      <c r="I6" s="39">
        <v>3059</v>
      </c>
      <c r="J6" s="39">
        <v>3399</v>
      </c>
      <c r="K6">
        <v>3929</v>
      </c>
      <c r="L6">
        <v>4007</v>
      </c>
      <c r="M6">
        <v>4426</v>
      </c>
      <c r="N6">
        <v>4126</v>
      </c>
      <c r="O6">
        <v>967</v>
      </c>
      <c r="P6">
        <v>1074</v>
      </c>
      <c r="Q6">
        <v>966</v>
      </c>
      <c r="R6">
        <v>1242</v>
      </c>
      <c r="S6">
        <v>1147</v>
      </c>
      <c r="T6">
        <v>881</v>
      </c>
      <c r="U6">
        <v>878</v>
      </c>
      <c r="V6">
        <v>833</v>
      </c>
      <c r="W6">
        <v>864</v>
      </c>
      <c r="X6">
        <v>995</v>
      </c>
      <c r="Y6">
        <v>1181</v>
      </c>
      <c r="Z6">
        <v>1259</v>
      </c>
      <c r="AA6">
        <v>1148</v>
      </c>
      <c r="AD6" t="s">
        <v>792</v>
      </c>
      <c r="AE6" s="28">
        <v>20605</v>
      </c>
      <c r="AF6">
        <v>87723</v>
      </c>
      <c r="AG6">
        <v>17467</v>
      </c>
      <c r="AH6">
        <v>88572</v>
      </c>
    </row>
    <row r="7" spans="1:36" hidden="1">
      <c r="A7" s="39" t="s">
        <v>168</v>
      </c>
      <c r="B7" s="39">
        <v>5966</v>
      </c>
      <c r="C7" s="39">
        <v>5536</v>
      </c>
      <c r="D7" s="39">
        <v>4172</v>
      </c>
      <c r="E7" s="39">
        <v>4356</v>
      </c>
      <c r="F7" s="39">
        <v>3592</v>
      </c>
      <c r="G7" s="39">
        <v>3729</v>
      </c>
      <c r="H7" s="39">
        <v>4120</v>
      </c>
      <c r="I7" s="39">
        <v>3692</v>
      </c>
      <c r="J7" s="39">
        <v>4656</v>
      </c>
      <c r="K7">
        <v>4414</v>
      </c>
      <c r="L7">
        <v>4545</v>
      </c>
      <c r="M7">
        <v>4562</v>
      </c>
      <c r="N7">
        <v>4126</v>
      </c>
      <c r="O7">
        <v>1085</v>
      </c>
      <c r="P7">
        <v>973</v>
      </c>
      <c r="Q7">
        <v>761</v>
      </c>
      <c r="R7">
        <v>844</v>
      </c>
      <c r="S7">
        <v>776</v>
      </c>
      <c r="T7">
        <v>736</v>
      </c>
      <c r="U7">
        <v>760</v>
      </c>
      <c r="V7">
        <v>886</v>
      </c>
      <c r="W7">
        <v>993</v>
      </c>
      <c r="X7">
        <v>938</v>
      </c>
      <c r="Y7">
        <v>1001</v>
      </c>
      <c r="Z7">
        <v>987</v>
      </c>
      <c r="AA7">
        <v>926</v>
      </c>
      <c r="AD7" t="s">
        <v>694</v>
      </c>
      <c r="AE7" s="28">
        <v>6929</v>
      </c>
      <c r="AF7">
        <v>20535</v>
      </c>
      <c r="AG7">
        <v>6853</v>
      </c>
      <c r="AH7">
        <v>20846</v>
      </c>
    </row>
    <row r="8" spans="1:36" hidden="1">
      <c r="A8" s="39" t="s">
        <v>493</v>
      </c>
      <c r="B8" s="39">
        <v>1688</v>
      </c>
      <c r="C8" s="39">
        <v>1592</v>
      </c>
      <c r="D8" s="39">
        <v>1521</v>
      </c>
      <c r="E8" s="39">
        <v>1648</v>
      </c>
      <c r="F8" s="39">
        <v>1746</v>
      </c>
      <c r="G8" s="39">
        <v>1535</v>
      </c>
      <c r="H8" s="39">
        <v>1551</v>
      </c>
      <c r="I8" s="39">
        <v>1971</v>
      </c>
      <c r="J8" s="39">
        <v>2343</v>
      </c>
      <c r="K8">
        <v>2362</v>
      </c>
      <c r="L8">
        <v>1558</v>
      </c>
      <c r="M8">
        <v>1189</v>
      </c>
      <c r="N8">
        <v>4102</v>
      </c>
      <c r="O8">
        <v>348</v>
      </c>
      <c r="P8">
        <v>338</v>
      </c>
      <c r="Q8">
        <v>372</v>
      </c>
      <c r="R8">
        <v>366</v>
      </c>
      <c r="S8">
        <v>403</v>
      </c>
      <c r="T8">
        <v>328</v>
      </c>
      <c r="U8">
        <v>379</v>
      </c>
      <c r="V8">
        <v>466</v>
      </c>
      <c r="W8">
        <v>504</v>
      </c>
      <c r="X8">
        <v>536</v>
      </c>
      <c r="Y8">
        <v>430</v>
      </c>
      <c r="Z8">
        <v>296</v>
      </c>
      <c r="AA8">
        <v>553</v>
      </c>
      <c r="AD8" t="s">
        <v>718</v>
      </c>
      <c r="AE8" s="28">
        <v>2129</v>
      </c>
      <c r="AF8">
        <v>8488</v>
      </c>
      <c r="AG8">
        <v>2143</v>
      </c>
      <c r="AH8">
        <v>9087</v>
      </c>
    </row>
    <row r="9" spans="1:36" hidden="1">
      <c r="A9" s="39" t="s">
        <v>403</v>
      </c>
      <c r="B9" s="39">
        <v>2241</v>
      </c>
      <c r="C9" s="39">
        <v>2869</v>
      </c>
      <c r="D9" s="39">
        <v>2475</v>
      </c>
      <c r="E9" s="39">
        <v>2346</v>
      </c>
      <c r="F9" s="39">
        <v>2356</v>
      </c>
      <c r="G9" s="39">
        <v>2232</v>
      </c>
      <c r="H9" s="39">
        <v>2382</v>
      </c>
      <c r="I9" s="39">
        <v>2655</v>
      </c>
      <c r="J9" s="39">
        <v>2719</v>
      </c>
      <c r="K9">
        <v>3108</v>
      </c>
      <c r="L9">
        <v>2807</v>
      </c>
      <c r="M9">
        <v>2079</v>
      </c>
      <c r="N9">
        <v>4200</v>
      </c>
      <c r="O9">
        <v>822</v>
      </c>
      <c r="P9">
        <v>840</v>
      </c>
      <c r="Q9">
        <v>824</v>
      </c>
      <c r="R9">
        <v>668</v>
      </c>
      <c r="S9">
        <v>697</v>
      </c>
      <c r="T9">
        <v>695</v>
      </c>
      <c r="U9">
        <v>718</v>
      </c>
      <c r="V9">
        <v>757</v>
      </c>
      <c r="W9">
        <v>905</v>
      </c>
      <c r="X9">
        <v>998</v>
      </c>
      <c r="Y9">
        <v>1037</v>
      </c>
      <c r="Z9">
        <v>703</v>
      </c>
      <c r="AA9">
        <v>1185</v>
      </c>
      <c r="AD9" t="s">
        <v>90</v>
      </c>
      <c r="AE9" s="28">
        <v>11862</v>
      </c>
      <c r="AF9">
        <v>26335</v>
      </c>
      <c r="AG9">
        <v>11360</v>
      </c>
      <c r="AH9">
        <v>25016</v>
      </c>
    </row>
    <row r="10" spans="1:36" hidden="1">
      <c r="A10" s="39" t="s">
        <v>678</v>
      </c>
      <c r="B10" s="39">
        <v>4923</v>
      </c>
      <c r="C10" s="39">
        <v>5641</v>
      </c>
      <c r="D10" s="39">
        <v>4456</v>
      </c>
      <c r="E10" s="39">
        <v>4936</v>
      </c>
      <c r="F10" s="39">
        <v>5716</v>
      </c>
      <c r="G10" s="39">
        <v>6278</v>
      </c>
      <c r="H10" s="39">
        <v>5569</v>
      </c>
      <c r="I10" s="39">
        <v>5685</v>
      </c>
      <c r="J10" s="39">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c r="AD10" t="s">
        <v>168</v>
      </c>
      <c r="AE10" s="28">
        <v>4129</v>
      </c>
      <c r="AF10">
        <v>18813</v>
      </c>
      <c r="AG10">
        <v>5345</v>
      </c>
      <c r="AH10">
        <v>22943</v>
      </c>
    </row>
    <row r="11" spans="1:36" hidden="1">
      <c r="A11" s="39" t="s">
        <v>469</v>
      </c>
      <c r="B11" s="39">
        <v>861</v>
      </c>
      <c r="C11" s="39">
        <v>747</v>
      </c>
      <c r="D11" s="39">
        <v>763</v>
      </c>
      <c r="E11" s="39">
        <v>879</v>
      </c>
      <c r="F11" s="39">
        <v>857</v>
      </c>
      <c r="G11" s="39">
        <v>797</v>
      </c>
      <c r="H11" s="39">
        <v>772</v>
      </c>
      <c r="I11" s="39">
        <v>826</v>
      </c>
      <c r="J11" s="39">
        <v>821</v>
      </c>
      <c r="K11">
        <v>798</v>
      </c>
      <c r="L11">
        <v>649</v>
      </c>
      <c r="M11">
        <v>650</v>
      </c>
      <c r="N11">
        <v>1190</v>
      </c>
      <c r="O11">
        <v>171</v>
      </c>
      <c r="P11">
        <v>137</v>
      </c>
      <c r="Q11">
        <v>126</v>
      </c>
      <c r="R11">
        <v>178</v>
      </c>
      <c r="S11">
        <v>171</v>
      </c>
      <c r="T11">
        <v>179</v>
      </c>
      <c r="U11">
        <v>173</v>
      </c>
      <c r="V11">
        <v>174</v>
      </c>
      <c r="W11">
        <v>205</v>
      </c>
      <c r="X11">
        <v>189</v>
      </c>
      <c r="Y11">
        <v>180</v>
      </c>
      <c r="Z11">
        <v>152</v>
      </c>
      <c r="AA11">
        <v>228</v>
      </c>
      <c r="AD11" t="s">
        <v>667</v>
      </c>
      <c r="AE11" s="28">
        <v>25786</v>
      </c>
      <c r="AF11">
        <v>115850</v>
      </c>
      <c r="AG11">
        <v>23841</v>
      </c>
      <c r="AH11">
        <v>98104</v>
      </c>
    </row>
    <row r="12" spans="1:36" hidden="1">
      <c r="A12" s="39" t="s">
        <v>1034</v>
      </c>
      <c r="B12" s="39">
        <v>4756</v>
      </c>
      <c r="C12" s="39">
        <v>4401</v>
      </c>
      <c r="D12" s="39">
        <v>3375</v>
      </c>
      <c r="E12" s="39">
        <v>2711</v>
      </c>
      <c r="F12" s="39">
        <v>2154</v>
      </c>
      <c r="G12" s="39">
        <v>2492</v>
      </c>
      <c r="H12" s="39">
        <v>2441</v>
      </c>
      <c r="I12" s="39">
        <v>2387</v>
      </c>
      <c r="J12" s="39">
        <v>2192</v>
      </c>
      <c r="K12">
        <v>5826</v>
      </c>
      <c r="L12">
        <v>1778</v>
      </c>
      <c r="M12">
        <v>2728</v>
      </c>
      <c r="N12">
        <v>3129</v>
      </c>
      <c r="O12">
        <v>1284</v>
      </c>
      <c r="P12">
        <v>1113</v>
      </c>
      <c r="Q12">
        <v>889</v>
      </c>
      <c r="R12">
        <v>656</v>
      </c>
      <c r="S12">
        <v>730</v>
      </c>
      <c r="T12">
        <v>754</v>
      </c>
      <c r="U12">
        <v>744</v>
      </c>
      <c r="V12">
        <v>764</v>
      </c>
      <c r="W12">
        <v>748</v>
      </c>
      <c r="X12">
        <v>1657</v>
      </c>
      <c r="Y12">
        <v>615</v>
      </c>
      <c r="Z12">
        <v>808</v>
      </c>
      <c r="AA12">
        <v>909</v>
      </c>
      <c r="AD12" t="s">
        <v>656</v>
      </c>
      <c r="AE12" s="28">
        <v>4818</v>
      </c>
      <c r="AF12">
        <v>12139</v>
      </c>
      <c r="AG12">
        <v>3375</v>
      </c>
      <c r="AH12">
        <v>8797</v>
      </c>
    </row>
    <row r="13" spans="1:36" hidden="1">
      <c r="A13" s="39" t="s">
        <v>870</v>
      </c>
      <c r="B13" s="39">
        <v>532</v>
      </c>
      <c r="C13" s="39">
        <v>765</v>
      </c>
      <c r="D13" s="39">
        <v>1661</v>
      </c>
      <c r="E13" s="39">
        <v>674</v>
      </c>
      <c r="F13" s="39">
        <v>684</v>
      </c>
      <c r="G13" s="39">
        <v>1793</v>
      </c>
      <c r="H13" s="39">
        <v>963</v>
      </c>
      <c r="I13" s="39">
        <v>922</v>
      </c>
      <c r="J13" s="39">
        <v>637</v>
      </c>
      <c r="K13">
        <v>525</v>
      </c>
      <c r="L13">
        <v>470</v>
      </c>
      <c r="M13">
        <v>483</v>
      </c>
      <c r="N13">
        <v>494</v>
      </c>
      <c r="O13">
        <v>129</v>
      </c>
      <c r="P13">
        <v>168</v>
      </c>
      <c r="Q13">
        <v>265</v>
      </c>
      <c r="R13">
        <v>169</v>
      </c>
      <c r="S13">
        <v>145</v>
      </c>
      <c r="T13">
        <v>303</v>
      </c>
      <c r="U13">
        <v>216</v>
      </c>
      <c r="V13">
        <v>240</v>
      </c>
      <c r="W13">
        <v>174</v>
      </c>
      <c r="X13">
        <v>192</v>
      </c>
      <c r="Y13">
        <v>153</v>
      </c>
      <c r="Z13">
        <v>152</v>
      </c>
      <c r="AA13">
        <v>143</v>
      </c>
      <c r="AD13" t="s">
        <v>403</v>
      </c>
      <c r="AE13" s="28">
        <v>3732</v>
      </c>
      <c r="AF13">
        <v>12113</v>
      </c>
      <c r="AG13">
        <v>3441</v>
      </c>
      <c r="AH13">
        <v>11479</v>
      </c>
    </row>
    <row r="14" spans="1:36" hidden="1">
      <c r="A14" s="39" t="s">
        <v>453</v>
      </c>
      <c r="B14" s="39">
        <v>1912</v>
      </c>
      <c r="C14" s="39">
        <v>1956</v>
      </c>
      <c r="D14" s="39">
        <v>1740</v>
      </c>
      <c r="E14" s="39">
        <v>1413</v>
      </c>
      <c r="F14" s="39">
        <v>1833</v>
      </c>
      <c r="G14" s="39">
        <v>2677</v>
      </c>
      <c r="H14" s="39">
        <v>2190</v>
      </c>
      <c r="I14" s="39">
        <v>2027</v>
      </c>
      <c r="J14" s="39">
        <v>1633</v>
      </c>
      <c r="K14">
        <v>1832</v>
      </c>
      <c r="L14">
        <v>1435</v>
      </c>
      <c r="M14">
        <v>1408</v>
      </c>
      <c r="N14">
        <v>1776</v>
      </c>
      <c r="O14">
        <v>304</v>
      </c>
      <c r="P14">
        <v>366</v>
      </c>
      <c r="Q14">
        <v>351</v>
      </c>
      <c r="R14">
        <v>345</v>
      </c>
      <c r="S14">
        <v>462</v>
      </c>
      <c r="T14">
        <v>590</v>
      </c>
      <c r="U14">
        <v>553</v>
      </c>
      <c r="V14">
        <v>572</v>
      </c>
      <c r="W14">
        <v>459</v>
      </c>
      <c r="X14">
        <v>453</v>
      </c>
      <c r="Y14">
        <v>421</v>
      </c>
      <c r="Z14">
        <v>396</v>
      </c>
      <c r="AA14">
        <v>518</v>
      </c>
      <c r="AD14" t="s">
        <v>785</v>
      </c>
      <c r="AE14" s="28">
        <v>11641</v>
      </c>
      <c r="AF14">
        <v>28899</v>
      </c>
      <c r="AG14">
        <v>10424</v>
      </c>
      <c r="AH14">
        <v>27780</v>
      </c>
    </row>
    <row r="15" spans="1:36" hidden="1">
      <c r="A15" s="39" t="s">
        <v>527</v>
      </c>
      <c r="B15" s="39">
        <v>1255</v>
      </c>
      <c r="C15" s="39">
        <v>1309</v>
      </c>
      <c r="D15" s="39">
        <v>1188</v>
      </c>
      <c r="E15" s="39">
        <v>1177</v>
      </c>
      <c r="F15" s="39">
        <v>969</v>
      </c>
      <c r="G15" s="39">
        <v>930</v>
      </c>
      <c r="H15" s="39">
        <v>983</v>
      </c>
      <c r="I15" s="39">
        <v>1126</v>
      </c>
      <c r="J15" s="39">
        <v>1079</v>
      </c>
      <c r="K15">
        <v>1054</v>
      </c>
      <c r="L15">
        <v>1015</v>
      </c>
      <c r="M15">
        <v>906</v>
      </c>
      <c r="N15">
        <v>1289</v>
      </c>
      <c r="O15">
        <v>201</v>
      </c>
      <c r="P15">
        <v>168</v>
      </c>
      <c r="Q15">
        <v>212</v>
      </c>
      <c r="R15">
        <v>230</v>
      </c>
      <c r="S15">
        <v>223</v>
      </c>
      <c r="T15">
        <v>261</v>
      </c>
      <c r="U15">
        <v>188</v>
      </c>
      <c r="V15">
        <v>247</v>
      </c>
      <c r="W15">
        <v>263</v>
      </c>
      <c r="X15">
        <v>227</v>
      </c>
      <c r="Y15">
        <v>227</v>
      </c>
      <c r="Z15">
        <v>174</v>
      </c>
      <c r="AA15">
        <v>290</v>
      </c>
      <c r="AD15" t="s">
        <v>21</v>
      </c>
      <c r="AE15" s="28">
        <v>7271</v>
      </c>
      <c r="AF15">
        <v>24464</v>
      </c>
      <c r="AG15">
        <v>10543</v>
      </c>
      <c r="AH15">
        <v>40468</v>
      </c>
    </row>
    <row r="16" spans="1:36" hidden="1">
      <c r="A16" s="39" t="s">
        <v>48</v>
      </c>
      <c r="B16" s="39">
        <v>2626</v>
      </c>
      <c r="C16" s="39">
        <v>3952</v>
      </c>
      <c r="D16" s="39">
        <v>4615</v>
      </c>
      <c r="E16" s="39">
        <v>2880</v>
      </c>
      <c r="F16" s="39">
        <v>2635</v>
      </c>
      <c r="G16" s="39">
        <v>2191</v>
      </c>
      <c r="H16" s="39">
        <v>2469</v>
      </c>
      <c r="I16" s="39">
        <v>2406</v>
      </c>
      <c r="J16" s="39">
        <v>2429</v>
      </c>
      <c r="K16">
        <v>2214</v>
      </c>
      <c r="L16">
        <v>2115</v>
      </c>
      <c r="M16">
        <v>2439</v>
      </c>
      <c r="N16">
        <v>3954</v>
      </c>
      <c r="O16">
        <v>568</v>
      </c>
      <c r="P16">
        <v>843</v>
      </c>
      <c r="Q16">
        <v>962</v>
      </c>
      <c r="R16">
        <v>740</v>
      </c>
      <c r="S16">
        <v>734</v>
      </c>
      <c r="T16">
        <v>678</v>
      </c>
      <c r="U16">
        <v>625</v>
      </c>
      <c r="V16">
        <v>683</v>
      </c>
      <c r="W16">
        <v>742</v>
      </c>
      <c r="X16">
        <v>685</v>
      </c>
      <c r="Y16">
        <v>663</v>
      </c>
      <c r="Z16">
        <v>623</v>
      </c>
      <c r="AA16">
        <v>984</v>
      </c>
      <c r="AD16" t="s">
        <v>40</v>
      </c>
      <c r="AE16" s="28">
        <v>4069</v>
      </c>
      <c r="AF16">
        <v>14752</v>
      </c>
      <c r="AG16">
        <v>3844</v>
      </c>
      <c r="AH16">
        <v>14485</v>
      </c>
    </row>
    <row r="17" spans="1:34" hidden="1">
      <c r="A17" s="39" t="s">
        <v>431</v>
      </c>
      <c r="B17" s="39">
        <v>2251</v>
      </c>
      <c r="C17" s="39">
        <v>1981</v>
      </c>
      <c r="D17" s="39">
        <v>2209</v>
      </c>
      <c r="E17" s="39">
        <v>1972</v>
      </c>
      <c r="F17" s="39">
        <v>2037</v>
      </c>
      <c r="G17" s="39">
        <v>1574</v>
      </c>
      <c r="H17" s="39">
        <v>1888</v>
      </c>
      <c r="I17" s="39">
        <v>1598</v>
      </c>
      <c r="J17" s="39">
        <v>1823</v>
      </c>
      <c r="K17">
        <v>1655</v>
      </c>
      <c r="L17">
        <v>1763</v>
      </c>
      <c r="M17">
        <v>1796</v>
      </c>
      <c r="N17">
        <v>2081</v>
      </c>
      <c r="O17">
        <v>468</v>
      </c>
      <c r="P17">
        <v>440</v>
      </c>
      <c r="Q17">
        <v>411</v>
      </c>
      <c r="R17">
        <v>391</v>
      </c>
      <c r="S17">
        <v>403</v>
      </c>
      <c r="T17">
        <v>297</v>
      </c>
      <c r="U17">
        <v>327</v>
      </c>
      <c r="V17">
        <v>286</v>
      </c>
      <c r="W17">
        <v>353</v>
      </c>
      <c r="X17">
        <v>316</v>
      </c>
      <c r="Y17">
        <v>411</v>
      </c>
      <c r="Z17">
        <v>390</v>
      </c>
      <c r="AA17">
        <v>494</v>
      </c>
      <c r="AD17" t="s">
        <v>559</v>
      </c>
      <c r="AE17" s="28">
        <v>3689</v>
      </c>
      <c r="AF17">
        <v>14117</v>
      </c>
      <c r="AG17">
        <v>3473</v>
      </c>
      <c r="AH17">
        <v>14892</v>
      </c>
    </row>
    <row r="18" spans="1:34" hidden="1">
      <c r="A18" s="39" t="s">
        <v>427</v>
      </c>
      <c r="B18" s="39">
        <v>2912</v>
      </c>
      <c r="C18" s="39">
        <v>3613</v>
      </c>
      <c r="D18" s="39">
        <v>3895</v>
      </c>
      <c r="E18" s="39">
        <v>3361</v>
      </c>
      <c r="F18" s="39">
        <v>2176</v>
      </c>
      <c r="G18" s="39">
        <v>2473</v>
      </c>
      <c r="H18" s="39">
        <v>1708</v>
      </c>
      <c r="I18" s="39">
        <v>1921</v>
      </c>
      <c r="J18" s="39">
        <v>2401</v>
      </c>
      <c r="K18">
        <v>1834</v>
      </c>
      <c r="L18">
        <v>1629</v>
      </c>
      <c r="M18">
        <v>1433</v>
      </c>
      <c r="N18">
        <v>1702</v>
      </c>
      <c r="O18">
        <v>681</v>
      </c>
      <c r="P18">
        <v>842</v>
      </c>
      <c r="Q18">
        <v>1179</v>
      </c>
      <c r="R18">
        <v>984</v>
      </c>
      <c r="S18">
        <v>676</v>
      </c>
      <c r="T18">
        <v>707</v>
      </c>
      <c r="U18">
        <v>580</v>
      </c>
      <c r="V18">
        <v>624</v>
      </c>
      <c r="W18">
        <v>764</v>
      </c>
      <c r="X18">
        <v>664</v>
      </c>
      <c r="Y18">
        <v>605</v>
      </c>
      <c r="Z18">
        <v>520</v>
      </c>
      <c r="AA18">
        <v>599</v>
      </c>
      <c r="AD18" t="s">
        <v>663</v>
      </c>
      <c r="AE18" s="28">
        <v>1500</v>
      </c>
      <c r="AF18">
        <v>6351</v>
      </c>
      <c r="AH18">
        <v>0</v>
      </c>
    </row>
    <row r="19" spans="1:34" hidden="1">
      <c r="A19" s="39" t="s">
        <v>439</v>
      </c>
      <c r="B19" s="39">
        <v>0</v>
      </c>
      <c r="C19" s="39">
        <v>1748</v>
      </c>
      <c r="D19" s="39">
        <v>1392</v>
      </c>
      <c r="E19" s="39">
        <v>1702</v>
      </c>
      <c r="F19" s="39">
        <v>1694</v>
      </c>
      <c r="G19" s="39">
        <v>1549</v>
      </c>
      <c r="H19" s="39">
        <v>1385</v>
      </c>
      <c r="I19" s="39">
        <v>893</v>
      </c>
      <c r="J19" s="39">
        <v>1336</v>
      </c>
      <c r="K19">
        <v>1120</v>
      </c>
      <c r="L19">
        <v>1198</v>
      </c>
      <c r="M19">
        <v>1005</v>
      </c>
      <c r="N19">
        <v>1435</v>
      </c>
      <c r="O19">
        <v>0</v>
      </c>
      <c r="P19">
        <v>287</v>
      </c>
      <c r="Q19">
        <v>199</v>
      </c>
      <c r="R19">
        <v>228</v>
      </c>
      <c r="S19">
        <v>225</v>
      </c>
      <c r="T19">
        <v>203</v>
      </c>
      <c r="U19">
        <v>218</v>
      </c>
      <c r="V19">
        <v>202</v>
      </c>
      <c r="W19">
        <v>274</v>
      </c>
      <c r="X19">
        <v>235</v>
      </c>
      <c r="Y19">
        <v>206</v>
      </c>
      <c r="Z19">
        <v>197</v>
      </c>
      <c r="AA19">
        <v>274</v>
      </c>
      <c r="AD19" t="s">
        <v>365</v>
      </c>
      <c r="AE19" s="28">
        <v>2196</v>
      </c>
      <c r="AF19">
        <v>5001</v>
      </c>
      <c r="AG19">
        <v>2246</v>
      </c>
      <c r="AH19">
        <v>4686</v>
      </c>
    </row>
    <row r="20" spans="1:34" hidden="1">
      <c r="A20" s="39" t="s">
        <v>615</v>
      </c>
      <c r="B20" s="39">
        <v>1166</v>
      </c>
      <c r="C20" s="39">
        <v>1365</v>
      </c>
      <c r="D20" s="39">
        <v>1305</v>
      </c>
      <c r="E20" s="39">
        <v>1369</v>
      </c>
      <c r="F20" s="39">
        <v>1204</v>
      </c>
      <c r="G20" s="39">
        <v>1479</v>
      </c>
      <c r="H20" s="39">
        <v>2276</v>
      </c>
      <c r="I20" s="39">
        <v>2413</v>
      </c>
      <c r="J20" s="39">
        <v>2415</v>
      </c>
      <c r="K20">
        <v>1982</v>
      </c>
      <c r="L20">
        <v>1332</v>
      </c>
      <c r="M20">
        <v>1273</v>
      </c>
      <c r="N20">
        <v>1332</v>
      </c>
      <c r="O20">
        <v>191</v>
      </c>
      <c r="P20">
        <v>245</v>
      </c>
      <c r="Q20">
        <v>282</v>
      </c>
      <c r="R20">
        <v>280</v>
      </c>
      <c r="S20">
        <v>242</v>
      </c>
      <c r="T20">
        <v>289</v>
      </c>
      <c r="U20">
        <v>294</v>
      </c>
      <c r="V20">
        <v>321</v>
      </c>
      <c r="W20">
        <v>314</v>
      </c>
      <c r="X20">
        <v>255</v>
      </c>
      <c r="Y20">
        <v>225</v>
      </c>
      <c r="Z20">
        <v>186</v>
      </c>
      <c r="AA20">
        <v>238</v>
      </c>
      <c r="AD20" t="s">
        <v>685</v>
      </c>
      <c r="AE20" s="28">
        <v>1326</v>
      </c>
      <c r="AF20">
        <v>7012</v>
      </c>
      <c r="AH20">
        <v>0</v>
      </c>
    </row>
    <row r="21" spans="1:34" hidden="1">
      <c r="A21" s="39" t="s">
        <v>723</v>
      </c>
      <c r="B21" s="39">
        <v>0</v>
      </c>
      <c r="C21" s="39">
        <v>2043</v>
      </c>
      <c r="D21" s="39">
        <v>2010</v>
      </c>
      <c r="E21" s="39">
        <v>1973</v>
      </c>
      <c r="F21" s="39">
        <v>1304</v>
      </c>
      <c r="G21" s="39">
        <v>1219</v>
      </c>
      <c r="H21" s="39">
        <v>1175</v>
      </c>
      <c r="I21" s="39">
        <v>1201</v>
      </c>
      <c r="J21" s="39">
        <v>1105</v>
      </c>
      <c r="K21">
        <v>1069</v>
      </c>
      <c r="L21">
        <v>983</v>
      </c>
      <c r="M21">
        <v>992</v>
      </c>
      <c r="N21">
        <v>1228</v>
      </c>
      <c r="O21">
        <v>0</v>
      </c>
      <c r="P21">
        <v>795</v>
      </c>
      <c r="Q21">
        <v>769</v>
      </c>
      <c r="R21">
        <v>713</v>
      </c>
      <c r="S21">
        <v>483</v>
      </c>
      <c r="T21">
        <v>508</v>
      </c>
      <c r="U21">
        <v>479</v>
      </c>
      <c r="V21">
        <v>509</v>
      </c>
      <c r="W21">
        <v>484</v>
      </c>
      <c r="X21">
        <v>452</v>
      </c>
      <c r="Y21">
        <v>435</v>
      </c>
      <c r="Z21">
        <v>440</v>
      </c>
      <c r="AA21">
        <v>520</v>
      </c>
      <c r="AD21" t="s">
        <v>160</v>
      </c>
      <c r="AE21" s="28">
        <v>1109</v>
      </c>
      <c r="AF21">
        <v>3594</v>
      </c>
      <c r="AG21">
        <v>916</v>
      </c>
      <c r="AH21">
        <v>4179</v>
      </c>
    </row>
    <row r="22" spans="1:34" hidden="1">
      <c r="A22" s="39" t="s">
        <v>877</v>
      </c>
      <c r="B22" s="39">
        <v>805</v>
      </c>
      <c r="C22" s="39">
        <v>2222</v>
      </c>
      <c r="D22" s="39">
        <v>770</v>
      </c>
      <c r="E22" s="39">
        <v>1022</v>
      </c>
      <c r="F22" s="39">
        <v>847</v>
      </c>
      <c r="G22" s="39">
        <v>1065</v>
      </c>
      <c r="H22" s="39">
        <v>741</v>
      </c>
      <c r="I22" s="39">
        <v>957</v>
      </c>
      <c r="J22" s="39">
        <v>661</v>
      </c>
      <c r="K22">
        <v>1346</v>
      </c>
      <c r="L22">
        <v>643</v>
      </c>
      <c r="M22">
        <v>930</v>
      </c>
      <c r="N22">
        <v>1036</v>
      </c>
      <c r="O22">
        <v>135</v>
      </c>
      <c r="P22">
        <v>356</v>
      </c>
      <c r="Q22">
        <v>156</v>
      </c>
      <c r="R22">
        <v>237</v>
      </c>
      <c r="S22">
        <v>210</v>
      </c>
      <c r="T22">
        <v>292</v>
      </c>
      <c r="U22">
        <v>163</v>
      </c>
      <c r="V22">
        <v>266</v>
      </c>
      <c r="W22">
        <v>193</v>
      </c>
      <c r="X22">
        <v>328</v>
      </c>
      <c r="Y22">
        <v>224</v>
      </c>
      <c r="Z22">
        <v>274</v>
      </c>
      <c r="AA22">
        <v>298</v>
      </c>
      <c r="AD22" t="s">
        <v>369</v>
      </c>
      <c r="AE22" s="28">
        <v>4052</v>
      </c>
      <c r="AF22">
        <v>25148</v>
      </c>
      <c r="AG22">
        <v>2601</v>
      </c>
      <c r="AH22">
        <v>23557</v>
      </c>
    </row>
    <row r="23" spans="1:34" hidden="1">
      <c r="A23" s="39" t="s">
        <v>507</v>
      </c>
      <c r="B23" s="39">
        <v>2837</v>
      </c>
      <c r="C23" s="39">
        <v>3008</v>
      </c>
      <c r="D23" s="39">
        <v>3196</v>
      </c>
      <c r="E23" s="39">
        <v>8455</v>
      </c>
      <c r="F23" s="39">
        <v>7979</v>
      </c>
      <c r="G23" s="39">
        <v>10916</v>
      </c>
      <c r="H23" s="39">
        <v>6931</v>
      </c>
      <c r="I23" s="39">
        <v>7015</v>
      </c>
      <c r="J23" s="39">
        <v>5966</v>
      </c>
      <c r="K23">
        <v>4340</v>
      </c>
      <c r="L23">
        <v>7601</v>
      </c>
      <c r="M23">
        <v>9082</v>
      </c>
      <c r="N23">
        <v>8055</v>
      </c>
      <c r="O23">
        <v>393</v>
      </c>
      <c r="P23">
        <v>400</v>
      </c>
      <c r="Q23">
        <v>425</v>
      </c>
      <c r="R23">
        <v>1142</v>
      </c>
      <c r="S23">
        <v>957</v>
      </c>
      <c r="T23">
        <v>1323</v>
      </c>
      <c r="U23">
        <v>976</v>
      </c>
      <c r="V23">
        <v>1388</v>
      </c>
      <c r="W23">
        <v>892</v>
      </c>
      <c r="X23">
        <v>694</v>
      </c>
      <c r="Y23">
        <v>1372</v>
      </c>
      <c r="Z23">
        <v>1378</v>
      </c>
      <c r="AA23">
        <v>1573</v>
      </c>
      <c r="AD23" t="s">
        <v>721</v>
      </c>
      <c r="AE23" s="28">
        <v>1476</v>
      </c>
      <c r="AF23">
        <v>6959</v>
      </c>
      <c r="AH23">
        <v>0</v>
      </c>
    </row>
    <row r="24" spans="1:34" hidden="1">
      <c r="A24" s="39" t="s">
        <v>389</v>
      </c>
      <c r="B24" s="39">
        <v>1158</v>
      </c>
      <c r="C24" s="39">
        <v>1375</v>
      </c>
      <c r="D24" s="39">
        <v>622</v>
      </c>
      <c r="E24" s="39">
        <v>552</v>
      </c>
      <c r="F24" s="39">
        <v>735</v>
      </c>
      <c r="G24" s="39">
        <v>710</v>
      </c>
      <c r="H24" s="39">
        <v>805</v>
      </c>
      <c r="I24" s="39">
        <v>937</v>
      </c>
      <c r="J24" s="39">
        <v>1084</v>
      </c>
      <c r="K24">
        <v>746</v>
      </c>
      <c r="L24">
        <v>566</v>
      </c>
      <c r="M24">
        <v>528</v>
      </c>
      <c r="N24">
        <v>887</v>
      </c>
      <c r="O24">
        <v>54</v>
      </c>
      <c r="P24">
        <v>110</v>
      </c>
      <c r="Q24">
        <v>113</v>
      </c>
      <c r="R24">
        <v>81</v>
      </c>
      <c r="S24">
        <v>103</v>
      </c>
      <c r="T24">
        <v>126</v>
      </c>
      <c r="U24">
        <v>153</v>
      </c>
      <c r="V24">
        <v>216</v>
      </c>
      <c r="W24">
        <v>230</v>
      </c>
      <c r="X24">
        <v>141</v>
      </c>
      <c r="Y24">
        <v>111</v>
      </c>
      <c r="Z24">
        <v>89</v>
      </c>
      <c r="AA24">
        <v>182</v>
      </c>
      <c r="AD24" t="s">
        <v>781</v>
      </c>
      <c r="AE24" s="28">
        <v>14987</v>
      </c>
      <c r="AF24">
        <v>52476</v>
      </c>
      <c r="AG24">
        <v>15202</v>
      </c>
      <c r="AH24">
        <v>62646</v>
      </c>
    </row>
    <row r="25" spans="1:34" hidden="1">
      <c r="A25" s="39" t="s">
        <v>303</v>
      </c>
      <c r="B25" s="39">
        <v>1208</v>
      </c>
      <c r="C25" s="39">
        <v>1250</v>
      </c>
      <c r="D25" s="39">
        <v>871</v>
      </c>
      <c r="E25" s="39">
        <v>821</v>
      </c>
      <c r="F25" s="39">
        <v>689</v>
      </c>
      <c r="G25" s="39">
        <v>638</v>
      </c>
      <c r="H25" s="39">
        <v>695</v>
      </c>
      <c r="I25" s="39">
        <v>1739</v>
      </c>
      <c r="J25" s="39">
        <v>849</v>
      </c>
      <c r="K25">
        <v>938</v>
      </c>
      <c r="L25">
        <v>850</v>
      </c>
      <c r="M25">
        <v>913</v>
      </c>
      <c r="N25">
        <v>1214</v>
      </c>
      <c r="O25">
        <v>325</v>
      </c>
      <c r="P25">
        <v>361</v>
      </c>
      <c r="Q25">
        <v>290</v>
      </c>
      <c r="R25">
        <v>277</v>
      </c>
      <c r="S25">
        <v>274</v>
      </c>
      <c r="T25">
        <v>252</v>
      </c>
      <c r="U25">
        <v>291</v>
      </c>
      <c r="V25">
        <v>611</v>
      </c>
      <c r="W25">
        <v>332</v>
      </c>
      <c r="X25">
        <v>382</v>
      </c>
      <c r="Y25">
        <v>427</v>
      </c>
      <c r="Z25">
        <v>361</v>
      </c>
      <c r="AA25">
        <v>487</v>
      </c>
      <c r="AD25" t="s">
        <v>708</v>
      </c>
      <c r="AE25" s="28">
        <v>652</v>
      </c>
      <c r="AF25">
        <v>3797</v>
      </c>
      <c r="AG25">
        <v>750</v>
      </c>
      <c r="AH25">
        <v>3773</v>
      </c>
    </row>
    <row r="26" spans="1:34" hidden="1">
      <c r="A26" s="39" t="s">
        <v>315</v>
      </c>
      <c r="B26" s="39">
        <v>1350</v>
      </c>
      <c r="C26" s="39">
        <v>1572</v>
      </c>
      <c r="D26" s="39">
        <v>1531</v>
      </c>
      <c r="E26" s="39">
        <v>1099</v>
      </c>
      <c r="F26" s="39">
        <v>993</v>
      </c>
      <c r="G26" s="39">
        <v>953</v>
      </c>
      <c r="H26" s="39">
        <v>1321</v>
      </c>
      <c r="I26" s="39">
        <v>1159</v>
      </c>
      <c r="J26" s="39">
        <v>1280</v>
      </c>
      <c r="K26">
        <v>1374</v>
      </c>
      <c r="L26">
        <v>952</v>
      </c>
      <c r="M26">
        <v>1057</v>
      </c>
      <c r="N26">
        <v>1414</v>
      </c>
      <c r="O26">
        <v>184</v>
      </c>
      <c r="P26">
        <v>212</v>
      </c>
      <c r="Q26">
        <v>218</v>
      </c>
      <c r="R26">
        <v>166</v>
      </c>
      <c r="S26">
        <v>146</v>
      </c>
      <c r="T26">
        <v>129</v>
      </c>
      <c r="U26">
        <v>156</v>
      </c>
      <c r="V26">
        <v>159</v>
      </c>
      <c r="W26">
        <v>162</v>
      </c>
      <c r="X26">
        <v>200</v>
      </c>
      <c r="Y26">
        <v>166</v>
      </c>
      <c r="Z26">
        <v>220</v>
      </c>
      <c r="AA26">
        <v>235</v>
      </c>
      <c r="AD26" s="37" t="s">
        <v>625</v>
      </c>
      <c r="AE26" s="28">
        <v>1671</v>
      </c>
      <c r="AF26">
        <v>3766</v>
      </c>
      <c r="AG26">
        <v>1289</v>
      </c>
      <c r="AH26">
        <v>3350</v>
      </c>
    </row>
    <row r="27" spans="1:34" hidden="1">
      <c r="A27" s="39" t="s">
        <v>405</v>
      </c>
      <c r="B27" s="39">
        <v>665</v>
      </c>
      <c r="C27" s="39">
        <v>685</v>
      </c>
      <c r="D27" s="39">
        <v>512</v>
      </c>
      <c r="E27" s="39">
        <v>531</v>
      </c>
      <c r="F27" s="39">
        <v>543</v>
      </c>
      <c r="G27" s="39">
        <v>726</v>
      </c>
      <c r="H27" s="39">
        <v>571</v>
      </c>
      <c r="I27" s="39">
        <v>593</v>
      </c>
      <c r="J27" s="39">
        <v>602</v>
      </c>
      <c r="K27">
        <v>563</v>
      </c>
      <c r="L27">
        <v>564</v>
      </c>
      <c r="M27">
        <v>541</v>
      </c>
      <c r="N27">
        <v>685</v>
      </c>
      <c r="O27">
        <v>149</v>
      </c>
      <c r="P27">
        <v>135</v>
      </c>
      <c r="Q27">
        <v>100</v>
      </c>
      <c r="R27">
        <v>154</v>
      </c>
      <c r="S27">
        <v>168</v>
      </c>
      <c r="T27">
        <v>212</v>
      </c>
      <c r="U27">
        <v>154</v>
      </c>
      <c r="V27">
        <v>188</v>
      </c>
      <c r="W27">
        <v>209</v>
      </c>
      <c r="X27">
        <v>206</v>
      </c>
      <c r="Y27">
        <v>211</v>
      </c>
      <c r="Z27">
        <v>178</v>
      </c>
      <c r="AA27">
        <v>237</v>
      </c>
      <c r="AD27" t="s">
        <v>207</v>
      </c>
      <c r="AE27" s="28">
        <v>2656</v>
      </c>
      <c r="AF27">
        <v>14102</v>
      </c>
      <c r="AG27">
        <v>1956</v>
      </c>
      <c r="AH27">
        <v>10593</v>
      </c>
    </row>
    <row r="28" spans="1:34" hidden="1">
      <c r="A28" s="39" t="s">
        <v>521</v>
      </c>
      <c r="B28" s="39">
        <v>1234</v>
      </c>
      <c r="C28" s="39">
        <v>1378</v>
      </c>
      <c r="D28" s="39">
        <v>1315</v>
      </c>
      <c r="E28" s="39">
        <v>1069</v>
      </c>
      <c r="F28" s="39">
        <v>963</v>
      </c>
      <c r="G28" s="39">
        <v>1037</v>
      </c>
      <c r="H28" s="39">
        <v>872</v>
      </c>
      <c r="I28" s="39">
        <v>952</v>
      </c>
      <c r="J28" s="39">
        <v>1143</v>
      </c>
      <c r="K28">
        <v>1047</v>
      </c>
      <c r="L28">
        <v>862</v>
      </c>
      <c r="M28">
        <v>920</v>
      </c>
      <c r="N28">
        <v>1554</v>
      </c>
      <c r="O28">
        <v>454</v>
      </c>
      <c r="P28">
        <v>495</v>
      </c>
      <c r="Q28">
        <v>444</v>
      </c>
      <c r="R28">
        <v>424</v>
      </c>
      <c r="S28">
        <v>398</v>
      </c>
      <c r="T28">
        <v>416</v>
      </c>
      <c r="U28">
        <v>313</v>
      </c>
      <c r="V28">
        <v>402</v>
      </c>
      <c r="W28">
        <v>430</v>
      </c>
      <c r="X28">
        <v>374</v>
      </c>
      <c r="Y28">
        <v>348</v>
      </c>
      <c r="Z28">
        <v>395</v>
      </c>
      <c r="AA28">
        <v>594</v>
      </c>
      <c r="AD28" t="s">
        <v>523</v>
      </c>
      <c r="AE28" s="28">
        <v>596</v>
      </c>
      <c r="AF28">
        <v>3841</v>
      </c>
      <c r="AH28">
        <v>0</v>
      </c>
    </row>
    <row r="29" spans="1:34" hidden="1">
      <c r="A29" s="39" t="s">
        <v>40</v>
      </c>
      <c r="B29" s="39">
        <v>2643</v>
      </c>
      <c r="C29" s="39">
        <v>2194</v>
      </c>
      <c r="D29" s="39">
        <v>2460</v>
      </c>
      <c r="E29" s="39">
        <v>3131</v>
      </c>
      <c r="F29" s="39">
        <v>5169</v>
      </c>
      <c r="G29" s="39">
        <v>5311</v>
      </c>
      <c r="H29" s="39">
        <v>4351</v>
      </c>
      <c r="I29" s="39">
        <v>3748</v>
      </c>
      <c r="J29" s="39">
        <v>3306</v>
      </c>
      <c r="K29">
        <v>3286</v>
      </c>
      <c r="L29">
        <v>2361</v>
      </c>
      <c r="M29">
        <v>2038</v>
      </c>
      <c r="N29">
        <v>3435</v>
      </c>
      <c r="O29">
        <v>711</v>
      </c>
      <c r="P29">
        <v>586</v>
      </c>
      <c r="Q29">
        <v>659</v>
      </c>
      <c r="R29">
        <v>902</v>
      </c>
      <c r="S29">
        <v>1232</v>
      </c>
      <c r="T29">
        <v>1377</v>
      </c>
      <c r="U29">
        <v>1016</v>
      </c>
      <c r="V29">
        <v>1019</v>
      </c>
      <c r="W29">
        <v>854</v>
      </c>
      <c r="X29">
        <v>955</v>
      </c>
      <c r="Y29">
        <v>705</v>
      </c>
      <c r="Z29">
        <v>572</v>
      </c>
      <c r="AA29">
        <v>946</v>
      </c>
      <c r="AD29" t="s">
        <v>131</v>
      </c>
      <c r="AE29" s="28">
        <v>1681</v>
      </c>
      <c r="AF29">
        <v>7809</v>
      </c>
      <c r="AG29">
        <v>1626</v>
      </c>
      <c r="AH29">
        <v>6360</v>
      </c>
    </row>
    <row r="30" spans="1:34" hidden="1">
      <c r="A30" s="39" t="s">
        <v>144</v>
      </c>
      <c r="B30" s="39">
        <v>1291</v>
      </c>
      <c r="C30" s="39">
        <v>1246</v>
      </c>
      <c r="D30" s="39">
        <v>1323</v>
      </c>
      <c r="E30" s="39">
        <v>1384</v>
      </c>
      <c r="F30" s="39">
        <v>2896</v>
      </c>
      <c r="G30" s="39">
        <v>3091</v>
      </c>
      <c r="H30" s="39">
        <v>1801</v>
      </c>
      <c r="I30" s="39">
        <v>1312</v>
      </c>
      <c r="J30" s="39">
        <v>1316</v>
      </c>
      <c r="K30">
        <v>1231</v>
      </c>
      <c r="L30">
        <v>1033</v>
      </c>
      <c r="M30">
        <v>878</v>
      </c>
      <c r="N30">
        <v>1263</v>
      </c>
      <c r="O30">
        <v>128</v>
      </c>
      <c r="P30">
        <v>337</v>
      </c>
      <c r="Q30">
        <v>295</v>
      </c>
      <c r="R30">
        <v>320</v>
      </c>
      <c r="S30">
        <v>520</v>
      </c>
      <c r="T30">
        <v>495</v>
      </c>
      <c r="U30">
        <v>369</v>
      </c>
      <c r="V30">
        <v>309</v>
      </c>
      <c r="W30">
        <v>344</v>
      </c>
      <c r="X30">
        <v>306</v>
      </c>
      <c r="Y30">
        <v>274</v>
      </c>
      <c r="Z30">
        <v>224</v>
      </c>
      <c r="AA30">
        <v>343</v>
      </c>
      <c r="AD30" s="37" t="s">
        <v>491</v>
      </c>
      <c r="AE30" s="28">
        <v>1969</v>
      </c>
      <c r="AF30">
        <v>3186</v>
      </c>
      <c r="AG30">
        <v>1236</v>
      </c>
      <c r="AH30">
        <v>3337</v>
      </c>
    </row>
    <row r="31" spans="1:34" hidden="1">
      <c r="A31" s="39" t="s">
        <v>529</v>
      </c>
      <c r="B31" s="39">
        <v>1802</v>
      </c>
      <c r="C31" s="39">
        <v>2266</v>
      </c>
      <c r="D31" s="39">
        <v>2188</v>
      </c>
      <c r="E31" s="39">
        <v>2260</v>
      </c>
      <c r="F31" s="39">
        <v>1855</v>
      </c>
      <c r="G31" s="39">
        <v>1756</v>
      </c>
      <c r="H31" s="39">
        <v>1896</v>
      </c>
      <c r="I31" s="39">
        <v>1935</v>
      </c>
      <c r="J31" s="39">
        <v>2329</v>
      </c>
      <c r="K31">
        <v>3193</v>
      </c>
      <c r="L31">
        <v>2270</v>
      </c>
      <c r="M31">
        <v>1891</v>
      </c>
      <c r="N31">
        <v>2542</v>
      </c>
      <c r="O31">
        <v>112</v>
      </c>
      <c r="P31">
        <v>322</v>
      </c>
      <c r="Q31">
        <v>424</v>
      </c>
      <c r="R31">
        <v>422</v>
      </c>
      <c r="S31">
        <v>346</v>
      </c>
      <c r="T31">
        <v>313</v>
      </c>
      <c r="U31">
        <v>348</v>
      </c>
      <c r="V31">
        <v>323</v>
      </c>
      <c r="W31">
        <v>411</v>
      </c>
      <c r="X31">
        <v>635</v>
      </c>
      <c r="Y31">
        <v>454</v>
      </c>
      <c r="Z31">
        <v>365</v>
      </c>
      <c r="AA31">
        <v>540</v>
      </c>
      <c r="AD31" s="37" t="s">
        <v>283</v>
      </c>
      <c r="AE31" s="28">
        <v>1923</v>
      </c>
      <c r="AF31">
        <v>7678</v>
      </c>
      <c r="AG31">
        <v>1586</v>
      </c>
      <c r="AH31">
        <v>6667</v>
      </c>
    </row>
    <row r="32" spans="1:34" hidden="1">
      <c r="A32" s="39" t="s">
        <v>271</v>
      </c>
      <c r="B32" s="39">
        <v>1697</v>
      </c>
      <c r="C32" s="39">
        <v>1662</v>
      </c>
      <c r="D32" s="39">
        <v>1362</v>
      </c>
      <c r="E32" s="39">
        <v>1046</v>
      </c>
      <c r="F32" s="39">
        <v>973</v>
      </c>
      <c r="G32" s="39">
        <v>1027</v>
      </c>
      <c r="H32" s="39">
        <v>1129</v>
      </c>
      <c r="I32" s="39">
        <v>893</v>
      </c>
      <c r="J32" s="39">
        <v>844</v>
      </c>
      <c r="K32">
        <v>759</v>
      </c>
      <c r="L32">
        <v>683</v>
      </c>
      <c r="M32">
        <v>552</v>
      </c>
      <c r="N32">
        <v>750</v>
      </c>
      <c r="O32">
        <v>377</v>
      </c>
      <c r="P32">
        <v>343</v>
      </c>
      <c r="Q32">
        <v>338</v>
      </c>
      <c r="R32">
        <v>274</v>
      </c>
      <c r="S32">
        <v>237</v>
      </c>
      <c r="T32">
        <v>236</v>
      </c>
      <c r="U32">
        <v>268</v>
      </c>
      <c r="V32">
        <v>203</v>
      </c>
      <c r="W32">
        <v>211</v>
      </c>
      <c r="X32">
        <v>204</v>
      </c>
      <c r="Y32">
        <v>192</v>
      </c>
      <c r="Z32">
        <v>164</v>
      </c>
      <c r="AA32">
        <v>204</v>
      </c>
      <c r="AD32" t="s">
        <v>187</v>
      </c>
      <c r="AE32" s="28">
        <v>1541</v>
      </c>
      <c r="AF32">
        <v>5675</v>
      </c>
      <c r="AG32">
        <v>1822</v>
      </c>
      <c r="AH32">
        <v>6730</v>
      </c>
    </row>
    <row r="33" spans="1:34" hidden="1">
      <c r="A33" s="39" t="s">
        <v>471</v>
      </c>
      <c r="B33" s="39">
        <v>2049</v>
      </c>
      <c r="C33" s="39">
        <v>2090</v>
      </c>
      <c r="D33" s="39">
        <v>1579</v>
      </c>
      <c r="E33" s="39">
        <v>1696</v>
      </c>
      <c r="F33" s="39">
        <v>1568</v>
      </c>
      <c r="G33" s="39">
        <v>1921</v>
      </c>
      <c r="H33" s="39">
        <v>1701</v>
      </c>
      <c r="I33" s="39">
        <v>1734</v>
      </c>
      <c r="J33" s="39">
        <v>1785</v>
      </c>
      <c r="K33">
        <v>1672</v>
      </c>
      <c r="L33">
        <v>1332</v>
      </c>
      <c r="M33">
        <v>1412</v>
      </c>
      <c r="N33">
        <v>1775</v>
      </c>
      <c r="O33">
        <v>391</v>
      </c>
      <c r="P33">
        <v>425</v>
      </c>
      <c r="Q33">
        <v>424</v>
      </c>
      <c r="R33">
        <v>371</v>
      </c>
      <c r="S33">
        <v>364</v>
      </c>
      <c r="T33">
        <v>421</v>
      </c>
      <c r="U33">
        <v>412</v>
      </c>
      <c r="V33">
        <v>413</v>
      </c>
      <c r="W33">
        <v>432</v>
      </c>
      <c r="X33">
        <v>398</v>
      </c>
      <c r="Y33">
        <v>340</v>
      </c>
      <c r="Z33">
        <v>338</v>
      </c>
      <c r="AA33">
        <v>371</v>
      </c>
      <c r="AD33" t="s">
        <v>176</v>
      </c>
      <c r="AE33" s="28">
        <v>2159</v>
      </c>
      <c r="AF33">
        <v>7520</v>
      </c>
      <c r="AG33">
        <v>2259</v>
      </c>
      <c r="AH33">
        <v>7860</v>
      </c>
    </row>
    <row r="34" spans="1:34" hidden="1">
      <c r="A34" s="39" t="s">
        <v>455</v>
      </c>
      <c r="B34" s="39">
        <v>0</v>
      </c>
      <c r="C34" s="39">
        <v>0</v>
      </c>
      <c r="D34" s="39">
        <v>0</v>
      </c>
      <c r="E34" s="39">
        <v>0</v>
      </c>
      <c r="F34" s="39">
        <v>0</v>
      </c>
      <c r="G34" s="39">
        <v>0</v>
      </c>
      <c r="H34" s="39">
        <v>0</v>
      </c>
      <c r="I34" s="39">
        <v>0</v>
      </c>
      <c r="J34" s="39">
        <v>825</v>
      </c>
      <c r="K34">
        <v>820</v>
      </c>
      <c r="L34">
        <v>1364</v>
      </c>
      <c r="M34">
        <v>677</v>
      </c>
      <c r="N34">
        <v>514</v>
      </c>
      <c r="O34">
        <v>0</v>
      </c>
      <c r="P34">
        <v>0</v>
      </c>
      <c r="Q34">
        <v>0</v>
      </c>
      <c r="R34">
        <v>0</v>
      </c>
      <c r="S34">
        <v>0</v>
      </c>
      <c r="T34">
        <v>0</v>
      </c>
      <c r="U34">
        <v>0</v>
      </c>
      <c r="V34">
        <v>0</v>
      </c>
      <c r="W34">
        <v>34</v>
      </c>
      <c r="X34">
        <v>202</v>
      </c>
      <c r="Y34">
        <v>493</v>
      </c>
      <c r="Z34">
        <v>45</v>
      </c>
      <c r="AA34">
        <v>141</v>
      </c>
      <c r="AD34" t="s">
        <v>313</v>
      </c>
      <c r="AE34" s="28">
        <v>1658</v>
      </c>
      <c r="AF34">
        <v>6313</v>
      </c>
      <c r="AG34">
        <v>1995</v>
      </c>
      <c r="AH34">
        <v>7785</v>
      </c>
    </row>
    <row r="35" spans="1:34" hidden="1">
      <c r="A35" s="39" t="s">
        <v>323</v>
      </c>
      <c r="B35" s="39">
        <v>1612</v>
      </c>
      <c r="C35" s="39">
        <v>1612</v>
      </c>
      <c r="D35" s="39">
        <v>1268</v>
      </c>
      <c r="E35" s="39">
        <v>1177</v>
      </c>
      <c r="F35" s="39">
        <v>1265</v>
      </c>
      <c r="G35" s="39">
        <v>1237</v>
      </c>
      <c r="H35" s="39">
        <v>1282</v>
      </c>
      <c r="I35" s="39">
        <v>1568</v>
      </c>
      <c r="J35" s="39">
        <v>1412</v>
      </c>
      <c r="K35">
        <v>1492</v>
      </c>
      <c r="L35">
        <v>1521</v>
      </c>
      <c r="M35">
        <v>1456</v>
      </c>
      <c r="N35">
        <v>2046</v>
      </c>
      <c r="O35">
        <v>332</v>
      </c>
      <c r="P35">
        <v>374</v>
      </c>
      <c r="Q35">
        <v>377</v>
      </c>
      <c r="R35">
        <v>351</v>
      </c>
      <c r="S35">
        <v>302</v>
      </c>
      <c r="T35">
        <v>317</v>
      </c>
      <c r="U35">
        <v>308</v>
      </c>
      <c r="V35">
        <v>353</v>
      </c>
      <c r="W35">
        <v>384</v>
      </c>
      <c r="X35">
        <v>405</v>
      </c>
      <c r="Y35">
        <v>403</v>
      </c>
      <c r="Z35">
        <v>363</v>
      </c>
      <c r="AA35">
        <v>482</v>
      </c>
      <c r="AD35" t="s">
        <v>535</v>
      </c>
      <c r="AE35" s="28">
        <v>1546</v>
      </c>
      <c r="AF35">
        <v>6817</v>
      </c>
      <c r="AH35">
        <v>0</v>
      </c>
    </row>
    <row r="36" spans="1:34" hidden="1">
      <c r="A36" s="39" t="s">
        <v>708</v>
      </c>
      <c r="B36" s="39">
        <v>1438</v>
      </c>
      <c r="C36" s="39">
        <v>1596</v>
      </c>
      <c r="D36" s="39">
        <v>1534</v>
      </c>
      <c r="E36" s="39">
        <v>1000</v>
      </c>
      <c r="F36" s="39">
        <v>813</v>
      </c>
      <c r="G36" s="39">
        <v>737</v>
      </c>
      <c r="H36" s="39">
        <v>772</v>
      </c>
      <c r="I36" s="39">
        <v>1128</v>
      </c>
      <c r="J36" s="39">
        <v>987</v>
      </c>
      <c r="K36">
        <v>807</v>
      </c>
      <c r="L36">
        <v>912</v>
      </c>
      <c r="M36">
        <v>972</v>
      </c>
      <c r="N36">
        <v>1050</v>
      </c>
      <c r="O36">
        <v>272</v>
      </c>
      <c r="P36">
        <v>327</v>
      </c>
      <c r="Q36">
        <v>237</v>
      </c>
      <c r="R36">
        <v>138</v>
      </c>
      <c r="S36">
        <v>119</v>
      </c>
      <c r="T36">
        <v>95</v>
      </c>
      <c r="U36">
        <v>111</v>
      </c>
      <c r="V36">
        <v>219</v>
      </c>
      <c r="W36">
        <v>156</v>
      </c>
      <c r="X36">
        <v>143</v>
      </c>
      <c r="Y36">
        <v>143</v>
      </c>
      <c r="Z36">
        <v>173</v>
      </c>
      <c r="AA36">
        <v>179</v>
      </c>
      <c r="AD36" t="s">
        <v>275</v>
      </c>
      <c r="AE36" s="28">
        <v>2684</v>
      </c>
      <c r="AF36">
        <v>10777</v>
      </c>
      <c r="AG36">
        <v>2343</v>
      </c>
      <c r="AH36">
        <v>9865</v>
      </c>
    </row>
    <row r="37" spans="1:34" hidden="1">
      <c r="A37" s="39" t="s">
        <v>1067</v>
      </c>
      <c r="B37" s="39">
        <v>1173</v>
      </c>
      <c r="C37" s="39">
        <v>1416</v>
      </c>
      <c r="D37" s="39">
        <v>1415</v>
      </c>
      <c r="E37" s="39">
        <v>1937</v>
      </c>
      <c r="F37" s="39">
        <v>1513</v>
      </c>
      <c r="G37" s="39">
        <v>1190</v>
      </c>
      <c r="H37" s="39">
        <v>1096</v>
      </c>
      <c r="I37" s="39">
        <v>1043</v>
      </c>
      <c r="J37" s="39">
        <v>1008</v>
      </c>
      <c r="K37">
        <v>997</v>
      </c>
      <c r="L37">
        <v>831</v>
      </c>
      <c r="M37">
        <v>782</v>
      </c>
      <c r="N37">
        <v>1235</v>
      </c>
      <c r="O37">
        <v>508</v>
      </c>
      <c r="P37">
        <v>615</v>
      </c>
      <c r="Q37">
        <v>723</v>
      </c>
      <c r="R37">
        <v>929</v>
      </c>
      <c r="S37">
        <v>694</v>
      </c>
      <c r="T37">
        <v>571</v>
      </c>
      <c r="U37">
        <v>578</v>
      </c>
      <c r="V37">
        <v>556</v>
      </c>
      <c r="W37">
        <v>571</v>
      </c>
      <c r="X37">
        <v>519</v>
      </c>
      <c r="Y37">
        <v>487</v>
      </c>
      <c r="Z37">
        <v>443</v>
      </c>
      <c r="AA37">
        <v>672</v>
      </c>
      <c r="AD37" t="s">
        <v>152</v>
      </c>
      <c r="AE37" s="28">
        <v>4901</v>
      </c>
      <c r="AF37">
        <v>19375</v>
      </c>
      <c r="AG37">
        <v>5061</v>
      </c>
      <c r="AH37">
        <v>23565</v>
      </c>
    </row>
    <row r="38" spans="1:34" hidden="1">
      <c r="A38" s="39" t="s">
        <v>1024</v>
      </c>
      <c r="B38" s="39">
        <v>520</v>
      </c>
      <c r="C38" s="39">
        <v>584</v>
      </c>
      <c r="D38" s="39">
        <v>493</v>
      </c>
      <c r="E38" s="39">
        <v>425</v>
      </c>
      <c r="F38" s="39">
        <v>379</v>
      </c>
      <c r="G38" s="39">
        <v>478</v>
      </c>
      <c r="H38" s="39">
        <v>501</v>
      </c>
      <c r="I38" s="39">
        <v>487</v>
      </c>
      <c r="J38" s="39">
        <v>540</v>
      </c>
      <c r="K38">
        <v>402</v>
      </c>
      <c r="L38">
        <v>381</v>
      </c>
      <c r="M38">
        <v>402</v>
      </c>
      <c r="N38">
        <v>534</v>
      </c>
      <c r="O38">
        <v>111</v>
      </c>
      <c r="P38">
        <v>166</v>
      </c>
      <c r="Q38">
        <v>127</v>
      </c>
      <c r="R38">
        <v>138</v>
      </c>
      <c r="S38">
        <v>137</v>
      </c>
      <c r="T38">
        <v>168</v>
      </c>
      <c r="U38">
        <v>208</v>
      </c>
      <c r="V38">
        <v>200</v>
      </c>
      <c r="W38">
        <v>198</v>
      </c>
      <c r="X38">
        <v>206</v>
      </c>
      <c r="Y38">
        <v>186</v>
      </c>
      <c r="Z38">
        <v>158</v>
      </c>
      <c r="AA38">
        <v>265</v>
      </c>
      <c r="AD38" t="s">
        <v>716</v>
      </c>
      <c r="AE38" s="28">
        <v>1150</v>
      </c>
      <c r="AF38">
        <v>3529</v>
      </c>
      <c r="AH38">
        <v>0</v>
      </c>
    </row>
    <row r="39" spans="1:34" hidden="1">
      <c r="A39" s="39" t="s">
        <v>785</v>
      </c>
      <c r="B39" s="39">
        <v>3440</v>
      </c>
      <c r="C39" s="39">
        <v>3745</v>
      </c>
      <c r="D39" s="39">
        <v>3270</v>
      </c>
      <c r="E39" s="39">
        <v>2648</v>
      </c>
      <c r="F39" s="39">
        <v>2103</v>
      </c>
      <c r="G39" s="39">
        <v>2343</v>
      </c>
      <c r="H39" s="39">
        <v>3264</v>
      </c>
      <c r="I39" s="39">
        <v>2287</v>
      </c>
      <c r="J39" s="39">
        <v>2689</v>
      </c>
      <c r="K39">
        <v>4401</v>
      </c>
      <c r="L39">
        <v>4969</v>
      </c>
      <c r="M39">
        <v>5817</v>
      </c>
      <c r="N39">
        <v>5630</v>
      </c>
      <c r="O39">
        <v>996</v>
      </c>
      <c r="P39">
        <v>1006</v>
      </c>
      <c r="Q39">
        <v>1006</v>
      </c>
      <c r="R39">
        <v>861</v>
      </c>
      <c r="S39">
        <v>839</v>
      </c>
      <c r="T39">
        <v>752</v>
      </c>
      <c r="U39">
        <v>1064</v>
      </c>
      <c r="V39">
        <v>905</v>
      </c>
      <c r="W39">
        <v>1062</v>
      </c>
      <c r="X39">
        <v>1761</v>
      </c>
      <c r="Y39">
        <v>1931</v>
      </c>
      <c r="Z39">
        <v>2393</v>
      </c>
      <c r="AA39">
        <v>2243</v>
      </c>
      <c r="AD39" t="s">
        <v>511</v>
      </c>
      <c r="AE39" s="28">
        <v>3490</v>
      </c>
      <c r="AF39">
        <v>18684</v>
      </c>
      <c r="AG39">
        <v>4073</v>
      </c>
      <c r="AH39">
        <v>21724</v>
      </c>
    </row>
    <row r="40" spans="1:34" hidden="1">
      <c r="A40" s="39" t="s">
        <v>982</v>
      </c>
      <c r="B40" s="39">
        <v>520</v>
      </c>
      <c r="C40" s="39">
        <v>405</v>
      </c>
      <c r="D40" s="39">
        <v>397</v>
      </c>
      <c r="E40" s="39">
        <v>425</v>
      </c>
      <c r="F40" s="39">
        <v>312</v>
      </c>
      <c r="G40" s="39">
        <v>227</v>
      </c>
      <c r="H40" s="39">
        <v>265</v>
      </c>
      <c r="I40" s="39">
        <v>201</v>
      </c>
      <c r="J40" s="39">
        <v>246</v>
      </c>
      <c r="K40">
        <v>185</v>
      </c>
      <c r="L40">
        <v>164</v>
      </c>
      <c r="M40">
        <v>187</v>
      </c>
      <c r="N40">
        <v>236</v>
      </c>
      <c r="O40">
        <v>196</v>
      </c>
      <c r="P40">
        <v>143</v>
      </c>
      <c r="Q40">
        <v>172</v>
      </c>
      <c r="R40">
        <v>176</v>
      </c>
      <c r="S40">
        <v>158</v>
      </c>
      <c r="T40">
        <v>116</v>
      </c>
      <c r="U40">
        <v>173</v>
      </c>
      <c r="V40">
        <v>144</v>
      </c>
      <c r="W40">
        <v>126</v>
      </c>
      <c r="X40">
        <v>125</v>
      </c>
      <c r="Y40">
        <v>104</v>
      </c>
      <c r="Z40">
        <v>90</v>
      </c>
      <c r="AA40">
        <v>143</v>
      </c>
      <c r="AD40" t="s">
        <v>636</v>
      </c>
      <c r="AE40" s="28">
        <v>973</v>
      </c>
      <c r="AF40">
        <v>4096</v>
      </c>
      <c r="AH40">
        <v>0</v>
      </c>
    </row>
    <row r="41" spans="1:34" hidden="1">
      <c r="A41" s="39" t="s">
        <v>519</v>
      </c>
      <c r="B41" s="39">
        <v>4037</v>
      </c>
      <c r="C41" s="39">
        <v>3903</v>
      </c>
      <c r="D41" s="39">
        <v>3419</v>
      </c>
      <c r="E41" s="39">
        <v>3701</v>
      </c>
      <c r="F41" s="39">
        <v>2603</v>
      </c>
      <c r="G41" s="39">
        <v>2448</v>
      </c>
      <c r="H41" s="39">
        <v>2013</v>
      </c>
      <c r="I41" s="39">
        <v>1537</v>
      </c>
      <c r="J41" s="39">
        <v>2097</v>
      </c>
      <c r="K41">
        <v>2074</v>
      </c>
      <c r="L41">
        <v>1918</v>
      </c>
      <c r="M41">
        <v>1615</v>
      </c>
      <c r="N41">
        <v>2039</v>
      </c>
      <c r="O41">
        <v>757</v>
      </c>
      <c r="P41">
        <v>749</v>
      </c>
      <c r="Q41">
        <v>666</v>
      </c>
      <c r="R41">
        <v>700</v>
      </c>
      <c r="S41">
        <v>574</v>
      </c>
      <c r="T41">
        <v>551</v>
      </c>
      <c r="U41">
        <v>379</v>
      </c>
      <c r="V41">
        <v>296</v>
      </c>
      <c r="W41">
        <v>536</v>
      </c>
      <c r="X41">
        <v>503</v>
      </c>
      <c r="Y41">
        <v>490</v>
      </c>
      <c r="Z41">
        <v>374</v>
      </c>
      <c r="AA41">
        <v>484</v>
      </c>
      <c r="AD41" t="s">
        <v>345</v>
      </c>
      <c r="AE41" s="28">
        <v>1611</v>
      </c>
      <c r="AF41">
        <v>4335</v>
      </c>
      <c r="AG41">
        <v>1357</v>
      </c>
      <c r="AH41">
        <v>2617</v>
      </c>
    </row>
    <row r="42" spans="1:34" hidden="1">
      <c r="A42" s="39" t="s">
        <v>861</v>
      </c>
      <c r="B42" s="39">
        <v>2406</v>
      </c>
      <c r="C42" s="39">
        <v>2851</v>
      </c>
      <c r="D42" s="39">
        <v>2786</v>
      </c>
      <c r="E42" s="39">
        <v>2649</v>
      </c>
      <c r="F42" s="39">
        <v>2343</v>
      </c>
      <c r="G42" s="39">
        <v>2072</v>
      </c>
      <c r="H42" s="39">
        <v>1866</v>
      </c>
      <c r="I42" s="39">
        <v>1847</v>
      </c>
      <c r="J42" s="39">
        <v>1790</v>
      </c>
      <c r="K42">
        <v>3299</v>
      </c>
      <c r="L42">
        <v>6309</v>
      </c>
      <c r="M42">
        <v>10864</v>
      </c>
      <c r="N42">
        <v>3244</v>
      </c>
      <c r="O42">
        <v>673</v>
      </c>
      <c r="P42">
        <v>802</v>
      </c>
      <c r="Q42">
        <v>786</v>
      </c>
      <c r="R42">
        <v>852</v>
      </c>
      <c r="S42">
        <v>776</v>
      </c>
      <c r="T42">
        <v>770</v>
      </c>
      <c r="U42">
        <v>701</v>
      </c>
      <c r="V42">
        <v>674</v>
      </c>
      <c r="W42">
        <v>664</v>
      </c>
      <c r="X42">
        <v>886</v>
      </c>
      <c r="Y42">
        <v>1081</v>
      </c>
      <c r="Z42">
        <v>1138</v>
      </c>
      <c r="AA42">
        <v>722</v>
      </c>
      <c r="AD42" t="s">
        <v>670</v>
      </c>
      <c r="AE42" s="28">
        <v>2321</v>
      </c>
      <c r="AF42">
        <v>21220</v>
      </c>
      <c r="AG42">
        <v>2515</v>
      </c>
      <c r="AH42">
        <v>18482</v>
      </c>
    </row>
    <row r="43" spans="1:34" hidden="1">
      <c r="A43" s="39" t="s">
        <v>1026</v>
      </c>
      <c r="B43" s="39">
        <v>639</v>
      </c>
      <c r="C43" s="39">
        <v>656</v>
      </c>
      <c r="D43" s="39">
        <v>555</v>
      </c>
      <c r="E43" s="39">
        <v>594</v>
      </c>
      <c r="F43" s="39">
        <v>550</v>
      </c>
      <c r="G43" s="39">
        <v>465</v>
      </c>
      <c r="H43" s="39">
        <v>502</v>
      </c>
      <c r="I43" s="39">
        <v>452</v>
      </c>
      <c r="J43" s="39">
        <v>383</v>
      </c>
      <c r="K43">
        <v>524</v>
      </c>
      <c r="L43">
        <v>338</v>
      </c>
      <c r="M43">
        <v>450</v>
      </c>
      <c r="N43">
        <v>692</v>
      </c>
      <c r="O43">
        <v>169</v>
      </c>
      <c r="P43">
        <v>177</v>
      </c>
      <c r="Q43">
        <v>168</v>
      </c>
      <c r="R43">
        <v>156</v>
      </c>
      <c r="S43">
        <v>200</v>
      </c>
      <c r="T43">
        <v>169</v>
      </c>
      <c r="U43">
        <v>159</v>
      </c>
      <c r="V43">
        <v>145</v>
      </c>
      <c r="W43">
        <v>136</v>
      </c>
      <c r="X43">
        <v>167</v>
      </c>
      <c r="Y43">
        <v>115</v>
      </c>
      <c r="Z43">
        <v>138</v>
      </c>
      <c r="AA43">
        <v>208</v>
      </c>
      <c r="AD43" t="s">
        <v>393</v>
      </c>
      <c r="AE43" s="28">
        <v>2223</v>
      </c>
      <c r="AF43">
        <v>12395</v>
      </c>
      <c r="AG43">
        <v>2088</v>
      </c>
      <c r="AH43">
        <v>12498</v>
      </c>
    </row>
    <row r="44" spans="1:34" hidden="1">
      <c r="A44" s="39" t="s">
        <v>1061</v>
      </c>
      <c r="B44" s="39">
        <v>775</v>
      </c>
      <c r="C44" s="39">
        <v>731</v>
      </c>
      <c r="D44" s="39">
        <v>667</v>
      </c>
      <c r="E44" s="39">
        <v>630</v>
      </c>
      <c r="F44" s="39">
        <v>391</v>
      </c>
      <c r="G44" s="39">
        <v>443</v>
      </c>
      <c r="H44" s="39">
        <v>465</v>
      </c>
      <c r="I44" s="39">
        <v>548</v>
      </c>
      <c r="J44" s="39">
        <v>560</v>
      </c>
      <c r="K44">
        <v>541</v>
      </c>
      <c r="L44">
        <v>589</v>
      </c>
      <c r="M44">
        <v>603</v>
      </c>
      <c r="N44">
        <v>566</v>
      </c>
      <c r="O44">
        <v>225</v>
      </c>
      <c r="P44">
        <v>224</v>
      </c>
      <c r="Q44">
        <v>209</v>
      </c>
      <c r="R44">
        <v>214</v>
      </c>
      <c r="S44">
        <v>176</v>
      </c>
      <c r="T44">
        <v>185</v>
      </c>
      <c r="U44">
        <v>200</v>
      </c>
      <c r="V44">
        <v>235</v>
      </c>
      <c r="W44">
        <v>241</v>
      </c>
      <c r="X44">
        <v>223</v>
      </c>
      <c r="Y44">
        <v>285</v>
      </c>
      <c r="Z44">
        <v>224</v>
      </c>
      <c r="AA44">
        <v>287</v>
      </c>
      <c r="AD44" t="s">
        <v>355</v>
      </c>
      <c r="AE44" s="28">
        <v>741</v>
      </c>
      <c r="AF44">
        <v>2337</v>
      </c>
      <c r="AG44">
        <v>580</v>
      </c>
      <c r="AH44">
        <v>1736</v>
      </c>
    </row>
    <row r="45" spans="1:34" hidden="1">
      <c r="A45" s="39" t="s">
        <v>856</v>
      </c>
      <c r="B45" s="39">
        <v>4597</v>
      </c>
      <c r="C45" s="39">
        <v>4821</v>
      </c>
      <c r="D45" s="39">
        <v>4592</v>
      </c>
      <c r="E45" s="39">
        <v>4863</v>
      </c>
      <c r="F45" s="39">
        <v>4459</v>
      </c>
      <c r="G45" s="39">
        <v>3738</v>
      </c>
      <c r="H45" s="39">
        <v>3250</v>
      </c>
      <c r="I45" s="39">
        <v>2725</v>
      </c>
      <c r="J45" s="39">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c r="AD45" t="s">
        <v>725</v>
      </c>
      <c r="AE45" s="28">
        <v>1931</v>
      </c>
      <c r="AF45">
        <v>6561</v>
      </c>
      <c r="AG45">
        <v>890</v>
      </c>
      <c r="AH45">
        <v>2945</v>
      </c>
    </row>
    <row r="46" spans="1:34" hidden="1">
      <c r="A46" s="39" t="s">
        <v>866</v>
      </c>
      <c r="B46" s="39">
        <v>1517</v>
      </c>
      <c r="C46" s="39">
        <v>1163</v>
      </c>
      <c r="D46" s="39">
        <v>772</v>
      </c>
      <c r="E46" s="39">
        <v>568</v>
      </c>
      <c r="F46" s="39">
        <v>433</v>
      </c>
      <c r="G46" s="39">
        <v>366</v>
      </c>
      <c r="H46" s="39">
        <v>467</v>
      </c>
      <c r="I46" s="39">
        <v>512</v>
      </c>
      <c r="J46" s="39">
        <v>473</v>
      </c>
      <c r="K46">
        <v>1521</v>
      </c>
      <c r="L46">
        <v>1458</v>
      </c>
      <c r="M46">
        <v>3166</v>
      </c>
      <c r="N46">
        <v>930</v>
      </c>
      <c r="O46">
        <v>248</v>
      </c>
      <c r="P46">
        <v>246</v>
      </c>
      <c r="Q46">
        <v>183</v>
      </c>
      <c r="R46">
        <v>162</v>
      </c>
      <c r="S46">
        <v>145</v>
      </c>
      <c r="T46">
        <v>117</v>
      </c>
      <c r="U46">
        <v>167</v>
      </c>
      <c r="V46">
        <v>182</v>
      </c>
      <c r="W46">
        <v>160</v>
      </c>
      <c r="X46">
        <v>392</v>
      </c>
      <c r="Y46">
        <v>328</v>
      </c>
      <c r="Z46">
        <v>438</v>
      </c>
      <c r="AA46">
        <v>298</v>
      </c>
      <c r="AD46" t="s">
        <v>599</v>
      </c>
      <c r="AE46" s="28">
        <v>1390</v>
      </c>
      <c r="AF46">
        <v>8504</v>
      </c>
      <c r="AH46">
        <v>0</v>
      </c>
    </row>
    <row r="47" spans="1:34" hidden="1">
      <c r="A47" s="39" t="s">
        <v>419</v>
      </c>
      <c r="B47" s="39">
        <v>2202</v>
      </c>
      <c r="C47" s="39">
        <v>2261</v>
      </c>
      <c r="D47" s="39">
        <v>2587</v>
      </c>
      <c r="E47" s="39">
        <v>1966</v>
      </c>
      <c r="F47" s="39">
        <v>1833</v>
      </c>
      <c r="G47" s="39">
        <v>1661</v>
      </c>
      <c r="H47" s="39">
        <v>1989</v>
      </c>
      <c r="I47" s="39">
        <v>2059</v>
      </c>
      <c r="J47" s="39">
        <v>2115</v>
      </c>
      <c r="K47">
        <v>1904</v>
      </c>
      <c r="L47">
        <v>2927</v>
      </c>
      <c r="M47">
        <v>2058</v>
      </c>
      <c r="N47">
        <v>2693</v>
      </c>
      <c r="O47">
        <v>375</v>
      </c>
      <c r="P47">
        <v>371</v>
      </c>
      <c r="Q47">
        <v>417</v>
      </c>
      <c r="R47">
        <v>372</v>
      </c>
      <c r="S47">
        <v>413</v>
      </c>
      <c r="T47">
        <v>334</v>
      </c>
      <c r="U47">
        <v>370</v>
      </c>
      <c r="V47">
        <v>412</v>
      </c>
      <c r="W47">
        <v>436</v>
      </c>
      <c r="X47">
        <v>422</v>
      </c>
      <c r="Y47">
        <v>665</v>
      </c>
      <c r="Z47">
        <v>454</v>
      </c>
      <c r="AA47">
        <v>610</v>
      </c>
      <c r="AD47" s="37" t="s">
        <v>497</v>
      </c>
      <c r="AE47" s="28">
        <v>940</v>
      </c>
      <c r="AF47">
        <v>3810</v>
      </c>
      <c r="AG47">
        <v>1019</v>
      </c>
      <c r="AH47">
        <v>5786</v>
      </c>
    </row>
    <row r="48" spans="1:34" hidden="1">
      <c r="A48" s="39" t="s">
        <v>425</v>
      </c>
      <c r="B48" s="39">
        <v>1165</v>
      </c>
      <c r="C48" s="39">
        <v>1108</v>
      </c>
      <c r="D48" s="39">
        <v>2964</v>
      </c>
      <c r="E48" s="39">
        <v>8</v>
      </c>
      <c r="F48" s="39">
        <v>0</v>
      </c>
      <c r="G48" s="39">
        <v>626</v>
      </c>
      <c r="H48" s="39">
        <v>1040</v>
      </c>
      <c r="I48" s="39">
        <v>1161</v>
      </c>
      <c r="J48" s="39">
        <v>1011</v>
      </c>
      <c r="K48">
        <v>943</v>
      </c>
      <c r="L48">
        <v>618</v>
      </c>
      <c r="M48">
        <v>631</v>
      </c>
      <c r="N48">
        <v>782</v>
      </c>
      <c r="O48">
        <v>202</v>
      </c>
      <c r="P48">
        <v>180</v>
      </c>
      <c r="Q48">
        <v>610</v>
      </c>
      <c r="R48">
        <v>1</v>
      </c>
      <c r="S48">
        <v>0</v>
      </c>
      <c r="T48">
        <v>85</v>
      </c>
      <c r="U48">
        <v>240</v>
      </c>
      <c r="V48">
        <v>226</v>
      </c>
      <c r="W48">
        <v>214</v>
      </c>
      <c r="X48">
        <v>176</v>
      </c>
      <c r="Y48">
        <v>105</v>
      </c>
      <c r="Z48">
        <v>149</v>
      </c>
      <c r="AA48">
        <v>156</v>
      </c>
      <c r="AD48" t="s">
        <v>728</v>
      </c>
      <c r="AE48" s="28">
        <v>3488</v>
      </c>
      <c r="AF48">
        <v>16265</v>
      </c>
      <c r="AH48">
        <v>0</v>
      </c>
    </row>
    <row r="49" spans="1:34" hidden="1">
      <c r="A49" s="39" t="s">
        <v>950</v>
      </c>
      <c r="B49" s="39">
        <v>789</v>
      </c>
      <c r="C49" s="39">
        <v>638</v>
      </c>
      <c r="D49" s="39">
        <v>560</v>
      </c>
      <c r="E49" s="39">
        <v>595</v>
      </c>
      <c r="F49" s="39">
        <v>668</v>
      </c>
      <c r="G49" s="39">
        <v>611</v>
      </c>
      <c r="H49" s="39">
        <v>761</v>
      </c>
      <c r="I49" s="39">
        <v>780</v>
      </c>
      <c r="J49" s="39">
        <v>653</v>
      </c>
      <c r="K49">
        <v>783</v>
      </c>
      <c r="L49">
        <v>937</v>
      </c>
      <c r="M49">
        <v>780</v>
      </c>
      <c r="N49">
        <v>968</v>
      </c>
      <c r="O49">
        <v>275</v>
      </c>
      <c r="P49">
        <v>276</v>
      </c>
      <c r="Q49">
        <v>276</v>
      </c>
      <c r="R49">
        <v>278</v>
      </c>
      <c r="S49">
        <v>308</v>
      </c>
      <c r="T49">
        <v>290</v>
      </c>
      <c r="U49">
        <v>378</v>
      </c>
      <c r="V49">
        <v>367</v>
      </c>
      <c r="W49">
        <v>315</v>
      </c>
      <c r="X49">
        <v>403</v>
      </c>
      <c r="Y49">
        <v>498</v>
      </c>
      <c r="Z49">
        <v>410</v>
      </c>
      <c r="AA49">
        <v>531</v>
      </c>
      <c r="AD49" t="s">
        <v>353</v>
      </c>
      <c r="AE49" s="28">
        <v>5377</v>
      </c>
      <c r="AF49">
        <v>25769</v>
      </c>
      <c r="AG49">
        <v>5780</v>
      </c>
      <c r="AH49">
        <v>29652</v>
      </c>
    </row>
    <row r="50" spans="1:34" hidden="1">
      <c r="A50" s="39" t="s">
        <v>892</v>
      </c>
      <c r="B50" s="39">
        <v>598</v>
      </c>
      <c r="C50" s="39">
        <v>376</v>
      </c>
      <c r="D50" s="39">
        <v>314</v>
      </c>
      <c r="E50" s="39">
        <v>285</v>
      </c>
      <c r="F50" s="39">
        <v>298</v>
      </c>
      <c r="G50" s="39">
        <v>282</v>
      </c>
      <c r="H50" s="39">
        <v>327</v>
      </c>
      <c r="I50" s="39">
        <v>376</v>
      </c>
      <c r="J50" s="39">
        <v>344</v>
      </c>
      <c r="K50">
        <v>251</v>
      </c>
      <c r="L50">
        <v>288</v>
      </c>
      <c r="M50">
        <v>269</v>
      </c>
      <c r="N50">
        <v>411</v>
      </c>
      <c r="O50">
        <v>210</v>
      </c>
      <c r="P50">
        <v>147</v>
      </c>
      <c r="Q50">
        <v>148</v>
      </c>
      <c r="R50">
        <v>123</v>
      </c>
      <c r="S50">
        <v>135</v>
      </c>
      <c r="T50">
        <v>114</v>
      </c>
      <c r="U50">
        <v>137</v>
      </c>
      <c r="V50">
        <v>182</v>
      </c>
      <c r="W50">
        <v>167</v>
      </c>
      <c r="X50">
        <v>139</v>
      </c>
      <c r="Y50">
        <v>132</v>
      </c>
      <c r="Z50">
        <v>114</v>
      </c>
      <c r="AA50">
        <v>159</v>
      </c>
      <c r="AD50" t="s">
        <v>706</v>
      </c>
      <c r="AE50" s="28">
        <v>633</v>
      </c>
      <c r="AF50">
        <v>2757</v>
      </c>
      <c r="AH50">
        <v>0</v>
      </c>
    </row>
    <row r="51" spans="1:34" hidden="1">
      <c r="A51" s="39" t="s">
        <v>559</v>
      </c>
      <c r="B51" s="39">
        <v>3107</v>
      </c>
      <c r="C51" s="39">
        <v>2997</v>
      </c>
      <c r="D51" s="39">
        <v>6966</v>
      </c>
      <c r="E51" s="39">
        <v>2340</v>
      </c>
      <c r="F51" s="39">
        <v>1935</v>
      </c>
      <c r="G51" s="39">
        <v>2093</v>
      </c>
      <c r="H51" s="39">
        <v>1135</v>
      </c>
      <c r="I51" s="39">
        <v>2075</v>
      </c>
      <c r="J51" s="39">
        <v>1715</v>
      </c>
      <c r="K51">
        <v>1716</v>
      </c>
      <c r="L51">
        <v>1560</v>
      </c>
      <c r="M51">
        <v>1419</v>
      </c>
      <c r="N51">
        <v>3552</v>
      </c>
      <c r="O51">
        <v>652</v>
      </c>
      <c r="P51">
        <v>615</v>
      </c>
      <c r="Q51">
        <v>927</v>
      </c>
      <c r="R51">
        <v>594</v>
      </c>
      <c r="S51">
        <v>559</v>
      </c>
      <c r="T51">
        <v>531</v>
      </c>
      <c r="U51">
        <v>307</v>
      </c>
      <c r="V51">
        <v>516</v>
      </c>
      <c r="W51">
        <v>434</v>
      </c>
      <c r="X51">
        <v>504</v>
      </c>
      <c r="Y51">
        <v>420</v>
      </c>
      <c r="Z51">
        <v>369</v>
      </c>
      <c r="AA51">
        <v>813</v>
      </c>
      <c r="AD51" t="s">
        <v>341</v>
      </c>
      <c r="AE51" s="28">
        <v>1412</v>
      </c>
      <c r="AF51">
        <v>5438</v>
      </c>
      <c r="AG51">
        <v>1615</v>
      </c>
      <c r="AH51">
        <v>5779</v>
      </c>
    </row>
    <row r="52" spans="1:34" hidden="1">
      <c r="A52" s="39" t="s">
        <v>513</v>
      </c>
      <c r="B52" s="39">
        <v>1714</v>
      </c>
      <c r="C52" s="39">
        <v>1951</v>
      </c>
      <c r="D52" s="39">
        <v>1431</v>
      </c>
      <c r="E52" s="39">
        <v>1568</v>
      </c>
      <c r="F52" s="39">
        <v>1278</v>
      </c>
      <c r="G52" s="39">
        <v>880</v>
      </c>
      <c r="H52" s="39">
        <v>971</v>
      </c>
      <c r="I52" s="39">
        <v>712</v>
      </c>
      <c r="J52" s="39">
        <v>1022</v>
      </c>
      <c r="K52">
        <v>904</v>
      </c>
      <c r="L52">
        <v>845</v>
      </c>
      <c r="M52">
        <v>764</v>
      </c>
      <c r="N52">
        <v>962</v>
      </c>
      <c r="O52">
        <v>290</v>
      </c>
      <c r="P52">
        <v>329</v>
      </c>
      <c r="Q52">
        <v>287</v>
      </c>
      <c r="R52">
        <v>267</v>
      </c>
      <c r="S52">
        <v>216</v>
      </c>
      <c r="T52">
        <v>192</v>
      </c>
      <c r="U52">
        <v>240</v>
      </c>
      <c r="V52">
        <v>217</v>
      </c>
      <c r="W52">
        <v>204</v>
      </c>
      <c r="X52">
        <v>234</v>
      </c>
      <c r="Y52">
        <v>239</v>
      </c>
      <c r="Z52">
        <v>213</v>
      </c>
      <c r="AA52">
        <v>274</v>
      </c>
      <c r="AD52" t="s">
        <v>597</v>
      </c>
      <c r="AE52" s="28">
        <v>829</v>
      </c>
      <c r="AF52">
        <v>3547</v>
      </c>
      <c r="AH52">
        <v>0</v>
      </c>
    </row>
    <row r="53" spans="1:34" hidden="1">
      <c r="A53" s="39" t="s">
        <v>341</v>
      </c>
      <c r="B53" s="39">
        <v>0</v>
      </c>
      <c r="C53" s="39">
        <v>0</v>
      </c>
      <c r="D53" s="39">
        <v>0</v>
      </c>
      <c r="E53" s="39">
        <v>0</v>
      </c>
      <c r="F53" s="39">
        <v>1346</v>
      </c>
      <c r="G53" s="39">
        <v>1294</v>
      </c>
      <c r="H53" s="39">
        <v>1208</v>
      </c>
      <c r="I53" s="39">
        <v>1210</v>
      </c>
      <c r="J53" s="39">
        <v>1161</v>
      </c>
      <c r="K53">
        <v>1136</v>
      </c>
      <c r="L53">
        <v>1060</v>
      </c>
      <c r="M53">
        <v>912</v>
      </c>
      <c r="N53">
        <v>1478</v>
      </c>
      <c r="O53">
        <v>0</v>
      </c>
      <c r="P53">
        <v>0</v>
      </c>
      <c r="Q53">
        <v>0</v>
      </c>
      <c r="R53">
        <v>0</v>
      </c>
      <c r="S53">
        <v>389</v>
      </c>
      <c r="T53">
        <v>384</v>
      </c>
      <c r="U53">
        <v>323</v>
      </c>
      <c r="V53">
        <v>350</v>
      </c>
      <c r="W53">
        <v>336</v>
      </c>
      <c r="X53">
        <v>331</v>
      </c>
      <c r="Y53">
        <v>309</v>
      </c>
      <c r="Z53">
        <v>267</v>
      </c>
      <c r="AA53">
        <v>409</v>
      </c>
      <c r="AD53" t="s">
        <v>605</v>
      </c>
      <c r="AE53" s="28">
        <v>3176</v>
      </c>
      <c r="AF53">
        <v>14241</v>
      </c>
      <c r="AG53">
        <v>2909</v>
      </c>
      <c r="AH53">
        <v>12706</v>
      </c>
    </row>
    <row r="54" spans="1:34" hidden="1">
      <c r="A54" s="39" t="s">
        <v>433</v>
      </c>
      <c r="B54" s="39">
        <v>1713</v>
      </c>
      <c r="C54" s="39">
        <v>2945</v>
      </c>
      <c r="D54" s="39">
        <v>4035</v>
      </c>
      <c r="E54" s="39">
        <v>1162</v>
      </c>
      <c r="F54" s="39">
        <v>888</v>
      </c>
      <c r="G54" s="39">
        <v>964</v>
      </c>
      <c r="H54" s="39">
        <v>928</v>
      </c>
      <c r="I54" s="39">
        <v>975</v>
      </c>
      <c r="J54" s="39">
        <v>957</v>
      </c>
      <c r="K54">
        <v>893</v>
      </c>
      <c r="L54">
        <v>838</v>
      </c>
      <c r="M54">
        <v>850</v>
      </c>
      <c r="N54">
        <v>1169</v>
      </c>
      <c r="O54">
        <v>321</v>
      </c>
      <c r="P54">
        <v>480</v>
      </c>
      <c r="Q54">
        <v>520</v>
      </c>
      <c r="R54">
        <v>342</v>
      </c>
      <c r="S54">
        <v>289</v>
      </c>
      <c r="T54">
        <v>244</v>
      </c>
      <c r="U54">
        <v>235</v>
      </c>
      <c r="V54">
        <v>308</v>
      </c>
      <c r="W54">
        <v>285</v>
      </c>
      <c r="X54">
        <v>268</v>
      </c>
      <c r="Y54">
        <v>233</v>
      </c>
      <c r="Z54">
        <v>263</v>
      </c>
      <c r="AA54">
        <v>365</v>
      </c>
      <c r="AD54" t="s">
        <v>489</v>
      </c>
      <c r="AE54" s="28">
        <v>775</v>
      </c>
      <c r="AF54">
        <v>3944</v>
      </c>
      <c r="AH54">
        <v>0</v>
      </c>
    </row>
    <row r="55" spans="1:34" hidden="1">
      <c r="A55" s="39" t="s">
        <v>1557</v>
      </c>
      <c r="B55" s="39">
        <v>0</v>
      </c>
      <c r="C55" s="39">
        <v>0</v>
      </c>
      <c r="D55" s="39">
        <v>0</v>
      </c>
      <c r="E55" s="39">
        <v>0</v>
      </c>
      <c r="F55" s="39">
        <v>0</v>
      </c>
      <c r="G55" s="39">
        <v>0</v>
      </c>
      <c r="H55" s="39">
        <v>0</v>
      </c>
      <c r="I55" s="39">
        <v>0</v>
      </c>
      <c r="J55" s="39">
        <v>0</v>
      </c>
      <c r="K55">
        <v>692</v>
      </c>
      <c r="L55">
        <v>130</v>
      </c>
      <c r="M55">
        <v>487</v>
      </c>
      <c r="N55">
        <v>78</v>
      </c>
      <c r="O55">
        <v>0</v>
      </c>
      <c r="P55">
        <v>0</v>
      </c>
      <c r="Q55">
        <v>0</v>
      </c>
      <c r="R55">
        <v>0</v>
      </c>
      <c r="S55">
        <v>0</v>
      </c>
      <c r="T55">
        <v>0</v>
      </c>
      <c r="U55">
        <v>0</v>
      </c>
      <c r="V55">
        <v>0</v>
      </c>
      <c r="W55">
        <v>0</v>
      </c>
      <c r="X55">
        <v>2</v>
      </c>
      <c r="Y55">
        <v>27</v>
      </c>
      <c r="Z55">
        <v>45</v>
      </c>
      <c r="AA55">
        <v>1</v>
      </c>
      <c r="AD55" t="s">
        <v>473</v>
      </c>
      <c r="AE55" s="28">
        <v>652</v>
      </c>
      <c r="AF55">
        <v>4042</v>
      </c>
      <c r="AG55">
        <v>684</v>
      </c>
      <c r="AH55">
        <v>4399</v>
      </c>
    </row>
    <row r="56" spans="1:34" hidden="1">
      <c r="A56" s="39" t="s">
        <v>1069</v>
      </c>
      <c r="B56" s="39">
        <v>705</v>
      </c>
      <c r="C56" s="39">
        <v>778</v>
      </c>
      <c r="D56" s="39">
        <v>1098</v>
      </c>
      <c r="E56" s="39">
        <v>862</v>
      </c>
      <c r="F56" s="39">
        <v>999</v>
      </c>
      <c r="G56" s="39">
        <v>968</v>
      </c>
      <c r="H56" s="39">
        <v>794</v>
      </c>
      <c r="I56" s="39">
        <v>740</v>
      </c>
      <c r="J56" s="39">
        <v>644</v>
      </c>
      <c r="K56">
        <v>526</v>
      </c>
      <c r="L56">
        <v>629</v>
      </c>
      <c r="M56">
        <v>505</v>
      </c>
      <c r="N56">
        <v>505</v>
      </c>
      <c r="O56">
        <v>218</v>
      </c>
      <c r="P56">
        <v>267</v>
      </c>
      <c r="Q56">
        <v>238</v>
      </c>
      <c r="R56">
        <v>239</v>
      </c>
      <c r="S56">
        <v>315</v>
      </c>
      <c r="T56">
        <v>281</v>
      </c>
      <c r="U56">
        <v>270</v>
      </c>
      <c r="V56">
        <v>279</v>
      </c>
      <c r="W56">
        <v>243</v>
      </c>
      <c r="X56">
        <v>213</v>
      </c>
      <c r="Y56">
        <v>273</v>
      </c>
      <c r="Z56">
        <v>212</v>
      </c>
      <c r="AA56">
        <v>257</v>
      </c>
      <c r="AD56" t="s">
        <v>770</v>
      </c>
      <c r="AE56" s="28">
        <v>7423</v>
      </c>
      <c r="AF56">
        <v>30685</v>
      </c>
      <c r="AG56">
        <v>9541</v>
      </c>
      <c r="AH56">
        <v>38305</v>
      </c>
    </row>
    <row r="57" spans="1:34" hidden="1">
      <c r="A57" s="39" t="s">
        <v>1129</v>
      </c>
      <c r="B57" s="39">
        <v>1649</v>
      </c>
      <c r="C57" s="39">
        <v>812</v>
      </c>
      <c r="D57" s="39">
        <v>0</v>
      </c>
      <c r="E57" s="39">
        <v>2488</v>
      </c>
      <c r="F57" s="39">
        <v>1265</v>
      </c>
      <c r="G57" s="39">
        <v>1119</v>
      </c>
      <c r="H57" s="39">
        <v>1033</v>
      </c>
      <c r="I57" s="39">
        <v>1417</v>
      </c>
      <c r="J57" s="39">
        <v>1890</v>
      </c>
      <c r="K57">
        <v>1181</v>
      </c>
      <c r="L57">
        <v>1588</v>
      </c>
      <c r="M57">
        <v>1385</v>
      </c>
      <c r="N57">
        <v>2365</v>
      </c>
      <c r="O57">
        <v>272</v>
      </c>
      <c r="P57">
        <v>58</v>
      </c>
      <c r="Q57">
        <v>0</v>
      </c>
      <c r="R57">
        <v>136</v>
      </c>
      <c r="S57">
        <v>69</v>
      </c>
      <c r="T57">
        <v>121</v>
      </c>
      <c r="U57">
        <v>601</v>
      </c>
      <c r="V57">
        <v>357</v>
      </c>
      <c r="W57">
        <v>927</v>
      </c>
      <c r="X57">
        <v>405</v>
      </c>
      <c r="Y57">
        <v>941</v>
      </c>
      <c r="Z57">
        <v>778</v>
      </c>
      <c r="AA57">
        <v>1179</v>
      </c>
      <c r="AD57" t="s">
        <v>451</v>
      </c>
      <c r="AE57" s="28">
        <v>1327</v>
      </c>
      <c r="AF57">
        <v>11643</v>
      </c>
      <c r="AG57">
        <v>1380</v>
      </c>
      <c r="AH57">
        <v>10923</v>
      </c>
    </row>
    <row r="58" spans="1:34" hidden="1">
      <c r="A58" s="39" t="s">
        <v>1071</v>
      </c>
      <c r="B58" s="39">
        <v>600</v>
      </c>
      <c r="C58" s="39">
        <v>710</v>
      </c>
      <c r="D58" s="39">
        <v>611</v>
      </c>
      <c r="E58" s="39">
        <v>504</v>
      </c>
      <c r="F58" s="39">
        <v>427</v>
      </c>
      <c r="G58" s="39">
        <v>647</v>
      </c>
      <c r="H58" s="39">
        <v>517</v>
      </c>
      <c r="I58" s="39">
        <v>693</v>
      </c>
      <c r="J58" s="39">
        <v>1153</v>
      </c>
      <c r="K58">
        <v>1013</v>
      </c>
      <c r="L58">
        <v>1336</v>
      </c>
      <c r="M58">
        <v>1197</v>
      </c>
      <c r="N58">
        <v>3505</v>
      </c>
      <c r="O58">
        <v>139</v>
      </c>
      <c r="P58">
        <v>164</v>
      </c>
      <c r="Q58">
        <v>143</v>
      </c>
      <c r="R58">
        <v>138</v>
      </c>
      <c r="S58">
        <v>130</v>
      </c>
      <c r="T58">
        <v>153</v>
      </c>
      <c r="U58">
        <v>156</v>
      </c>
      <c r="V58">
        <v>199</v>
      </c>
      <c r="W58">
        <v>312</v>
      </c>
      <c r="X58">
        <v>288</v>
      </c>
      <c r="Y58">
        <v>427</v>
      </c>
      <c r="Z58">
        <v>293</v>
      </c>
      <c r="AA58">
        <v>958</v>
      </c>
      <c r="AD58" t="s">
        <v>567</v>
      </c>
      <c r="AE58" s="28">
        <v>932</v>
      </c>
      <c r="AF58">
        <v>4545</v>
      </c>
      <c r="AH58">
        <v>0</v>
      </c>
    </row>
    <row r="59" spans="1:34" hidden="1">
      <c r="A59" s="39" t="s">
        <v>475</v>
      </c>
      <c r="B59" s="39">
        <v>6904</v>
      </c>
      <c r="C59" s="39">
        <v>6392</v>
      </c>
      <c r="D59" s="39">
        <v>5424</v>
      </c>
      <c r="E59" s="39">
        <v>5782</v>
      </c>
      <c r="F59" s="39">
        <v>5396</v>
      </c>
      <c r="G59" s="39">
        <v>5490</v>
      </c>
      <c r="H59" s="39">
        <v>4963</v>
      </c>
      <c r="I59" s="39">
        <v>6007</v>
      </c>
      <c r="J59" s="39">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c r="AD59" t="s">
        <v>698</v>
      </c>
      <c r="AE59" s="28">
        <v>1214</v>
      </c>
      <c r="AF59">
        <v>4168</v>
      </c>
      <c r="AH59">
        <v>0</v>
      </c>
    </row>
    <row r="60" spans="1:34" hidden="1">
      <c r="A60" s="39" t="s">
        <v>902</v>
      </c>
      <c r="B60" s="39">
        <v>1711</v>
      </c>
      <c r="C60" s="39">
        <v>1416</v>
      </c>
      <c r="D60" s="39">
        <v>900</v>
      </c>
      <c r="E60" s="39">
        <v>932</v>
      </c>
      <c r="F60" s="39">
        <v>700</v>
      </c>
      <c r="G60" s="39">
        <v>565</v>
      </c>
      <c r="H60" s="39">
        <v>1216</v>
      </c>
      <c r="I60" s="39">
        <v>1004</v>
      </c>
      <c r="J60" s="39">
        <v>972</v>
      </c>
      <c r="K60">
        <v>613</v>
      </c>
      <c r="L60">
        <v>602</v>
      </c>
      <c r="M60">
        <v>649</v>
      </c>
      <c r="N60">
        <v>1002</v>
      </c>
      <c r="O60">
        <v>621</v>
      </c>
      <c r="P60">
        <v>579</v>
      </c>
      <c r="Q60">
        <v>398</v>
      </c>
      <c r="R60">
        <v>453</v>
      </c>
      <c r="S60">
        <v>393</v>
      </c>
      <c r="T60">
        <v>319</v>
      </c>
      <c r="U60">
        <v>885</v>
      </c>
      <c r="V60">
        <v>469</v>
      </c>
      <c r="W60">
        <v>437</v>
      </c>
      <c r="X60">
        <v>346</v>
      </c>
      <c r="Y60">
        <v>294</v>
      </c>
      <c r="Z60">
        <v>315</v>
      </c>
      <c r="AA60">
        <v>432</v>
      </c>
      <c r="AD60" t="s">
        <v>162</v>
      </c>
      <c r="AE60" s="28">
        <v>1982</v>
      </c>
      <c r="AF60">
        <v>4535</v>
      </c>
      <c r="AG60">
        <v>1664</v>
      </c>
      <c r="AH60">
        <v>3195</v>
      </c>
    </row>
    <row r="61" spans="1:34" hidden="1">
      <c r="A61" s="39" t="s">
        <v>1088</v>
      </c>
      <c r="B61" s="39">
        <v>2915</v>
      </c>
      <c r="C61" s="39">
        <v>1681</v>
      </c>
      <c r="D61" s="39">
        <v>1501</v>
      </c>
      <c r="E61" s="39">
        <v>1123</v>
      </c>
      <c r="F61" s="39">
        <v>1016</v>
      </c>
      <c r="G61" s="39">
        <v>1109</v>
      </c>
      <c r="H61" s="39">
        <v>1044</v>
      </c>
      <c r="I61" s="39">
        <v>1063</v>
      </c>
      <c r="J61" s="39">
        <v>1121</v>
      </c>
      <c r="K61">
        <v>969</v>
      </c>
      <c r="L61">
        <v>941</v>
      </c>
      <c r="M61">
        <v>776</v>
      </c>
      <c r="N61">
        <v>1013</v>
      </c>
      <c r="O61">
        <v>711</v>
      </c>
      <c r="P61">
        <v>395</v>
      </c>
      <c r="Q61">
        <v>379</v>
      </c>
      <c r="R61">
        <v>335</v>
      </c>
      <c r="S61">
        <v>335</v>
      </c>
      <c r="T61">
        <v>385</v>
      </c>
      <c r="U61">
        <v>318</v>
      </c>
      <c r="V61">
        <v>379</v>
      </c>
      <c r="W61">
        <v>354</v>
      </c>
      <c r="X61">
        <v>342</v>
      </c>
      <c r="Y61">
        <v>353</v>
      </c>
      <c r="Z61">
        <v>276</v>
      </c>
      <c r="AA61">
        <v>385</v>
      </c>
      <c r="AD61" s="27" t="s">
        <v>702</v>
      </c>
      <c r="AE61" s="28">
        <v>1254</v>
      </c>
      <c r="AF61">
        <v>8932</v>
      </c>
      <c r="AG61">
        <v>767</v>
      </c>
      <c r="AH61">
        <v>5607</v>
      </c>
    </row>
    <row r="62" spans="1:34" hidden="1">
      <c r="A62" s="39" t="s">
        <v>133</v>
      </c>
      <c r="B62" s="39">
        <v>2151</v>
      </c>
      <c r="C62" s="39">
        <v>2594</v>
      </c>
      <c r="D62" s="39">
        <v>6699</v>
      </c>
      <c r="E62" s="39">
        <v>2080</v>
      </c>
      <c r="F62" s="39">
        <v>2415</v>
      </c>
      <c r="G62" s="39">
        <v>2029</v>
      </c>
      <c r="H62" s="39">
        <v>2033</v>
      </c>
      <c r="I62" s="39">
        <v>2191</v>
      </c>
      <c r="J62" s="39">
        <v>2233</v>
      </c>
      <c r="K62">
        <v>1930</v>
      </c>
      <c r="L62">
        <v>3145</v>
      </c>
      <c r="M62">
        <v>2109</v>
      </c>
      <c r="N62">
        <v>3759</v>
      </c>
      <c r="O62">
        <v>413</v>
      </c>
      <c r="P62">
        <v>493</v>
      </c>
      <c r="Q62">
        <v>701</v>
      </c>
      <c r="R62">
        <v>450</v>
      </c>
      <c r="S62">
        <v>651</v>
      </c>
      <c r="T62">
        <v>579</v>
      </c>
      <c r="U62">
        <v>551</v>
      </c>
      <c r="V62">
        <v>531</v>
      </c>
      <c r="W62">
        <v>538</v>
      </c>
      <c r="X62">
        <v>472</v>
      </c>
      <c r="Y62">
        <v>1096</v>
      </c>
      <c r="Z62">
        <v>560</v>
      </c>
      <c r="AA62">
        <v>956</v>
      </c>
      <c r="AD62" t="s">
        <v>315</v>
      </c>
      <c r="AE62" s="28">
        <v>971</v>
      </c>
      <c r="AF62">
        <v>5979</v>
      </c>
      <c r="AG62">
        <v>844</v>
      </c>
      <c r="AH62">
        <v>5430</v>
      </c>
    </row>
    <row r="63" spans="1:34" hidden="1">
      <c r="A63" s="39" t="s">
        <v>413</v>
      </c>
      <c r="B63" s="39">
        <v>1075</v>
      </c>
      <c r="C63" s="39">
        <v>1310</v>
      </c>
      <c r="D63" s="39">
        <v>1452</v>
      </c>
      <c r="E63" s="39">
        <v>1196</v>
      </c>
      <c r="F63" s="39">
        <v>1309</v>
      </c>
      <c r="G63" s="39">
        <v>912</v>
      </c>
      <c r="H63" s="39">
        <v>937</v>
      </c>
      <c r="I63" s="39">
        <v>918</v>
      </c>
      <c r="J63" s="39">
        <v>765</v>
      </c>
      <c r="K63">
        <v>547</v>
      </c>
      <c r="L63">
        <v>687</v>
      </c>
      <c r="M63">
        <v>727</v>
      </c>
      <c r="N63">
        <v>1318</v>
      </c>
      <c r="O63">
        <v>183</v>
      </c>
      <c r="P63">
        <v>235</v>
      </c>
      <c r="Q63">
        <v>261</v>
      </c>
      <c r="R63">
        <v>189</v>
      </c>
      <c r="S63">
        <v>244</v>
      </c>
      <c r="T63">
        <v>198</v>
      </c>
      <c r="U63">
        <v>167</v>
      </c>
      <c r="V63">
        <v>205</v>
      </c>
      <c r="W63">
        <v>149</v>
      </c>
      <c r="X63">
        <v>119</v>
      </c>
      <c r="Y63">
        <v>124</v>
      </c>
      <c r="Z63">
        <v>169</v>
      </c>
      <c r="AA63">
        <v>206</v>
      </c>
      <c r="AD63" t="s">
        <v>48</v>
      </c>
      <c r="AE63" s="28">
        <v>3925</v>
      </c>
      <c r="AF63">
        <v>15541</v>
      </c>
      <c r="AG63">
        <v>3954</v>
      </c>
      <c r="AH63">
        <v>14023</v>
      </c>
    </row>
    <row r="64" spans="1:34" hidden="1">
      <c r="A64" s="39" t="s">
        <v>297</v>
      </c>
      <c r="B64" s="39">
        <v>1071</v>
      </c>
      <c r="C64" s="39">
        <v>1232</v>
      </c>
      <c r="D64" s="39">
        <v>1079</v>
      </c>
      <c r="E64" s="39">
        <v>1252</v>
      </c>
      <c r="F64" s="39">
        <v>968</v>
      </c>
      <c r="G64" s="39">
        <v>924</v>
      </c>
      <c r="H64" s="39">
        <v>867</v>
      </c>
      <c r="I64" s="39">
        <v>710</v>
      </c>
      <c r="J64" s="39">
        <v>843</v>
      </c>
      <c r="K64">
        <v>652</v>
      </c>
      <c r="L64">
        <v>1050</v>
      </c>
      <c r="M64">
        <v>1073</v>
      </c>
      <c r="N64">
        <v>1234</v>
      </c>
      <c r="O64">
        <v>294</v>
      </c>
      <c r="P64">
        <v>330</v>
      </c>
      <c r="Q64">
        <v>282</v>
      </c>
      <c r="R64">
        <v>299</v>
      </c>
      <c r="S64">
        <v>255</v>
      </c>
      <c r="T64">
        <v>268</v>
      </c>
      <c r="U64">
        <v>241</v>
      </c>
      <c r="V64">
        <v>244</v>
      </c>
      <c r="W64">
        <v>285</v>
      </c>
      <c r="X64">
        <v>234</v>
      </c>
      <c r="Y64">
        <v>260</v>
      </c>
      <c r="Z64">
        <v>234</v>
      </c>
      <c r="AA64">
        <v>314</v>
      </c>
      <c r="AD64" t="s">
        <v>646</v>
      </c>
      <c r="AE64" s="28">
        <v>470</v>
      </c>
      <c r="AF64">
        <v>1786</v>
      </c>
      <c r="AH64">
        <v>0</v>
      </c>
    </row>
    <row r="65" spans="1:34" hidden="1">
      <c r="A65" s="39" t="s">
        <v>67</v>
      </c>
      <c r="B65" s="39">
        <v>4762</v>
      </c>
      <c r="C65" s="39">
        <v>5839</v>
      </c>
      <c r="D65" s="39">
        <v>5526</v>
      </c>
      <c r="E65" s="39">
        <v>12099</v>
      </c>
      <c r="F65" s="39">
        <v>5977</v>
      </c>
      <c r="G65" s="39">
        <v>9576</v>
      </c>
      <c r="H65" s="39">
        <v>13936</v>
      </c>
      <c r="I65" s="39">
        <v>8649</v>
      </c>
      <c r="J65" s="39">
        <v>5550</v>
      </c>
      <c r="K65">
        <v>5893</v>
      </c>
      <c r="L65">
        <v>5155</v>
      </c>
      <c r="M65">
        <v>2684</v>
      </c>
      <c r="N65">
        <v>2430</v>
      </c>
      <c r="O65">
        <v>951</v>
      </c>
      <c r="P65">
        <v>1239</v>
      </c>
      <c r="Q65">
        <v>1150</v>
      </c>
      <c r="R65">
        <v>1697</v>
      </c>
      <c r="S65">
        <v>360</v>
      </c>
      <c r="T65">
        <v>1279</v>
      </c>
      <c r="U65">
        <v>2744</v>
      </c>
      <c r="V65">
        <v>1651</v>
      </c>
      <c r="W65">
        <v>1166</v>
      </c>
      <c r="X65">
        <v>1203</v>
      </c>
      <c r="Y65">
        <v>1240</v>
      </c>
      <c r="Z65">
        <v>617</v>
      </c>
      <c r="AA65">
        <v>589</v>
      </c>
      <c r="AD65" t="s">
        <v>493</v>
      </c>
      <c r="AE65" s="28">
        <v>2026</v>
      </c>
      <c r="AF65">
        <v>10626</v>
      </c>
      <c r="AG65">
        <v>1840</v>
      </c>
      <c r="AH65">
        <v>7932</v>
      </c>
    </row>
    <row r="66" spans="1:34" hidden="1">
      <c r="A66" s="39" t="s">
        <v>674</v>
      </c>
      <c r="B66" s="39">
        <v>0</v>
      </c>
      <c r="C66" s="39">
        <v>0</v>
      </c>
      <c r="D66" s="39">
        <v>441</v>
      </c>
      <c r="E66" s="39">
        <v>1139</v>
      </c>
      <c r="F66" s="39">
        <v>932</v>
      </c>
      <c r="G66" s="39">
        <v>832</v>
      </c>
      <c r="H66" s="39">
        <v>1086</v>
      </c>
      <c r="I66" s="39">
        <v>954</v>
      </c>
      <c r="J66" s="39">
        <v>834</v>
      </c>
      <c r="K66">
        <v>1064</v>
      </c>
      <c r="L66">
        <v>1104</v>
      </c>
      <c r="M66">
        <v>1099</v>
      </c>
      <c r="N66">
        <v>1295</v>
      </c>
      <c r="O66">
        <v>0</v>
      </c>
      <c r="P66">
        <v>0</v>
      </c>
      <c r="Q66">
        <v>115</v>
      </c>
      <c r="R66">
        <v>298</v>
      </c>
      <c r="S66">
        <v>212</v>
      </c>
      <c r="T66">
        <v>205</v>
      </c>
      <c r="U66">
        <v>240</v>
      </c>
      <c r="V66">
        <v>221</v>
      </c>
      <c r="W66">
        <v>219</v>
      </c>
      <c r="X66">
        <v>292</v>
      </c>
      <c r="Y66">
        <v>273</v>
      </c>
      <c r="Z66">
        <v>242</v>
      </c>
      <c r="AA66">
        <v>338</v>
      </c>
      <c r="AD66" t="s">
        <v>220</v>
      </c>
      <c r="AE66" s="28">
        <v>2247</v>
      </c>
      <c r="AF66">
        <v>9320</v>
      </c>
      <c r="AG66">
        <v>2293</v>
      </c>
      <c r="AH66">
        <v>8955</v>
      </c>
    </row>
    <row r="67" spans="1:34" hidden="1">
      <c r="A67" s="39" t="s">
        <v>1471</v>
      </c>
      <c r="B67" s="39">
        <v>1074</v>
      </c>
      <c r="C67" s="39">
        <v>995</v>
      </c>
      <c r="D67" s="39">
        <v>1182</v>
      </c>
      <c r="E67" s="39">
        <v>780</v>
      </c>
      <c r="F67" s="39">
        <v>771</v>
      </c>
      <c r="G67" s="39">
        <v>652</v>
      </c>
      <c r="H67" s="39">
        <v>675</v>
      </c>
      <c r="I67" s="39">
        <v>672</v>
      </c>
      <c r="J67" s="39">
        <v>676</v>
      </c>
      <c r="K67">
        <v>0</v>
      </c>
      <c r="L67">
        <v>0</v>
      </c>
      <c r="M67">
        <v>0</v>
      </c>
      <c r="N67">
        <v>0</v>
      </c>
      <c r="O67">
        <v>182</v>
      </c>
      <c r="P67">
        <v>154</v>
      </c>
      <c r="Q67">
        <v>206</v>
      </c>
      <c r="R67">
        <v>133</v>
      </c>
      <c r="S67">
        <v>166</v>
      </c>
      <c r="T67">
        <v>137</v>
      </c>
      <c r="U67">
        <v>137</v>
      </c>
      <c r="V67">
        <v>137</v>
      </c>
      <c r="W67">
        <v>143</v>
      </c>
      <c r="X67">
        <v>1</v>
      </c>
      <c r="Y67">
        <v>0</v>
      </c>
      <c r="Z67">
        <v>0</v>
      </c>
      <c r="AA67">
        <v>0</v>
      </c>
      <c r="AD67" t="s">
        <v>545</v>
      </c>
      <c r="AE67" s="28">
        <v>2514</v>
      </c>
      <c r="AF67">
        <v>14408</v>
      </c>
      <c r="AG67">
        <v>2314</v>
      </c>
      <c r="AH67">
        <v>9966</v>
      </c>
    </row>
    <row r="68" spans="1:34" hidden="1">
      <c r="A68" s="39" t="s">
        <v>317</v>
      </c>
      <c r="B68" s="39">
        <v>2356</v>
      </c>
      <c r="C68" s="39">
        <v>4166</v>
      </c>
      <c r="D68" s="39">
        <v>4947</v>
      </c>
      <c r="E68" s="39">
        <v>1743</v>
      </c>
      <c r="F68" s="39">
        <v>2316</v>
      </c>
      <c r="G68" s="39">
        <v>535</v>
      </c>
      <c r="H68" s="39">
        <v>1144</v>
      </c>
      <c r="I68" s="39">
        <v>1118</v>
      </c>
      <c r="J68" s="39">
        <v>892</v>
      </c>
      <c r="K68">
        <v>691</v>
      </c>
      <c r="L68">
        <v>583</v>
      </c>
      <c r="M68">
        <v>612</v>
      </c>
      <c r="N68">
        <v>1172</v>
      </c>
      <c r="O68">
        <v>405</v>
      </c>
      <c r="P68">
        <v>438</v>
      </c>
      <c r="Q68">
        <v>614</v>
      </c>
      <c r="R68">
        <v>437</v>
      </c>
      <c r="S68">
        <v>515</v>
      </c>
      <c r="T68">
        <v>70</v>
      </c>
      <c r="U68">
        <v>306</v>
      </c>
      <c r="V68">
        <v>283</v>
      </c>
      <c r="W68">
        <v>319</v>
      </c>
      <c r="X68">
        <v>248</v>
      </c>
      <c r="Y68">
        <v>190</v>
      </c>
      <c r="Z68">
        <v>193</v>
      </c>
      <c r="AA68">
        <v>367</v>
      </c>
      <c r="AD68" t="s">
        <v>619</v>
      </c>
      <c r="AE68" s="28">
        <v>666</v>
      </c>
      <c r="AF68">
        <v>3291</v>
      </c>
      <c r="AH68">
        <v>0</v>
      </c>
    </row>
    <row r="69" spans="1:34" hidden="1">
      <c r="A69" s="39" t="s">
        <v>1030</v>
      </c>
      <c r="B69" s="39">
        <v>842</v>
      </c>
      <c r="C69" s="39">
        <v>638</v>
      </c>
      <c r="D69" s="39">
        <v>426</v>
      </c>
      <c r="E69" s="39">
        <v>403</v>
      </c>
      <c r="F69" s="39">
        <v>359</v>
      </c>
      <c r="G69" s="39">
        <v>317</v>
      </c>
      <c r="H69" s="39">
        <v>310</v>
      </c>
      <c r="I69" s="39">
        <v>362</v>
      </c>
      <c r="J69" s="39">
        <v>322</v>
      </c>
      <c r="K69">
        <v>435</v>
      </c>
      <c r="L69">
        <v>490</v>
      </c>
      <c r="M69">
        <v>312</v>
      </c>
      <c r="N69">
        <v>424</v>
      </c>
      <c r="O69">
        <v>359</v>
      </c>
      <c r="P69">
        <v>265</v>
      </c>
      <c r="Q69">
        <v>199</v>
      </c>
      <c r="R69">
        <v>236</v>
      </c>
      <c r="S69">
        <v>248</v>
      </c>
      <c r="T69">
        <v>210</v>
      </c>
      <c r="U69">
        <v>199</v>
      </c>
      <c r="V69">
        <v>217</v>
      </c>
      <c r="W69">
        <v>221</v>
      </c>
      <c r="X69">
        <v>270</v>
      </c>
      <c r="Y69">
        <v>297</v>
      </c>
      <c r="Z69">
        <v>204</v>
      </c>
      <c r="AA69">
        <v>289</v>
      </c>
      <c r="AD69" t="s">
        <v>117</v>
      </c>
      <c r="AE69" s="28">
        <v>2677</v>
      </c>
      <c r="AF69">
        <v>7629</v>
      </c>
      <c r="AG69">
        <v>3124</v>
      </c>
      <c r="AH69">
        <v>9860</v>
      </c>
    </row>
    <row r="70" spans="1:34" hidden="1">
      <c r="A70" s="39" t="s">
        <v>1057</v>
      </c>
      <c r="B70" s="39">
        <v>806</v>
      </c>
      <c r="C70" s="39">
        <v>802</v>
      </c>
      <c r="D70" s="39">
        <v>1030</v>
      </c>
      <c r="E70" s="39">
        <v>913</v>
      </c>
      <c r="F70" s="39">
        <v>725</v>
      </c>
      <c r="G70" s="39">
        <v>689</v>
      </c>
      <c r="H70" s="39">
        <v>571</v>
      </c>
      <c r="I70" s="39">
        <v>568</v>
      </c>
      <c r="J70" s="39">
        <v>586</v>
      </c>
      <c r="K70">
        <v>672</v>
      </c>
      <c r="L70">
        <v>591</v>
      </c>
      <c r="M70">
        <v>557</v>
      </c>
      <c r="N70">
        <v>651</v>
      </c>
      <c r="O70">
        <v>256</v>
      </c>
      <c r="P70">
        <v>313</v>
      </c>
      <c r="Q70">
        <v>304</v>
      </c>
      <c r="R70">
        <v>283</v>
      </c>
      <c r="S70">
        <v>282</v>
      </c>
      <c r="T70">
        <v>268</v>
      </c>
      <c r="U70">
        <v>256</v>
      </c>
      <c r="V70">
        <v>260</v>
      </c>
      <c r="W70">
        <v>290</v>
      </c>
      <c r="X70">
        <v>304</v>
      </c>
      <c r="Y70">
        <v>256</v>
      </c>
      <c r="Z70">
        <v>241</v>
      </c>
      <c r="AA70">
        <v>279</v>
      </c>
      <c r="AD70" t="s">
        <v>252</v>
      </c>
      <c r="AE70" s="28">
        <v>1267</v>
      </c>
      <c r="AF70">
        <v>6553</v>
      </c>
      <c r="AG70">
        <v>1252</v>
      </c>
      <c r="AH70">
        <v>6536</v>
      </c>
    </row>
    <row r="71" spans="1:34" hidden="1">
      <c r="A71" s="39" t="s">
        <v>972</v>
      </c>
      <c r="B71" s="39">
        <v>308</v>
      </c>
      <c r="C71" s="39">
        <v>509</v>
      </c>
      <c r="D71" s="39">
        <v>351</v>
      </c>
      <c r="E71" s="39">
        <v>429</v>
      </c>
      <c r="F71" s="39">
        <v>224</v>
      </c>
      <c r="G71" s="39">
        <v>241</v>
      </c>
      <c r="H71" s="39">
        <v>274</v>
      </c>
      <c r="I71" s="39">
        <v>272</v>
      </c>
      <c r="J71" s="39">
        <v>311</v>
      </c>
      <c r="K71">
        <v>348</v>
      </c>
      <c r="L71">
        <v>386</v>
      </c>
      <c r="M71">
        <v>287</v>
      </c>
      <c r="N71">
        <v>355</v>
      </c>
      <c r="O71">
        <v>122</v>
      </c>
      <c r="P71">
        <v>139</v>
      </c>
      <c r="Q71">
        <v>99</v>
      </c>
      <c r="R71">
        <v>142</v>
      </c>
      <c r="S71">
        <v>80</v>
      </c>
      <c r="T71">
        <v>87</v>
      </c>
      <c r="U71">
        <v>97</v>
      </c>
      <c r="V71">
        <v>105</v>
      </c>
      <c r="W71">
        <v>116</v>
      </c>
      <c r="X71">
        <v>109</v>
      </c>
      <c r="Y71">
        <v>171</v>
      </c>
      <c r="Z71">
        <v>103</v>
      </c>
      <c r="AA71">
        <v>169</v>
      </c>
      <c r="AD71" t="s">
        <v>199</v>
      </c>
      <c r="AE71" s="28">
        <v>1937</v>
      </c>
      <c r="AF71">
        <v>8681</v>
      </c>
      <c r="AG71">
        <v>1898</v>
      </c>
      <c r="AH71">
        <v>8948</v>
      </c>
    </row>
    <row r="72" spans="1:34" hidden="1">
      <c r="A72" s="39" t="s">
        <v>819</v>
      </c>
      <c r="B72" s="39">
        <v>2377</v>
      </c>
      <c r="C72" s="39">
        <v>2225</v>
      </c>
      <c r="D72" s="39">
        <v>1589</v>
      </c>
      <c r="E72" s="39">
        <v>1287</v>
      </c>
      <c r="F72" s="39">
        <v>883</v>
      </c>
      <c r="G72" s="39">
        <v>1077</v>
      </c>
      <c r="H72" s="39">
        <v>1580</v>
      </c>
      <c r="I72" s="39">
        <v>1922</v>
      </c>
      <c r="J72" s="39">
        <v>1790</v>
      </c>
      <c r="K72">
        <v>1622</v>
      </c>
      <c r="L72">
        <v>2721</v>
      </c>
      <c r="M72">
        <v>2958</v>
      </c>
      <c r="N72">
        <v>2109</v>
      </c>
      <c r="O72">
        <v>713</v>
      </c>
      <c r="P72">
        <v>863</v>
      </c>
      <c r="Q72">
        <v>604</v>
      </c>
      <c r="R72">
        <v>601</v>
      </c>
      <c r="S72">
        <v>470</v>
      </c>
      <c r="T72">
        <v>450</v>
      </c>
      <c r="U72">
        <v>484</v>
      </c>
      <c r="V72">
        <v>656</v>
      </c>
      <c r="W72">
        <v>594</v>
      </c>
      <c r="X72">
        <v>621</v>
      </c>
      <c r="Y72">
        <v>1451</v>
      </c>
      <c r="Z72">
        <v>913</v>
      </c>
      <c r="AA72">
        <v>849</v>
      </c>
      <c r="AD72" t="s">
        <v>638</v>
      </c>
      <c r="AE72" s="28">
        <v>898</v>
      </c>
      <c r="AF72">
        <v>2535</v>
      </c>
      <c r="AH72">
        <v>0</v>
      </c>
    </row>
    <row r="73" spans="1:34" hidden="1">
      <c r="A73" s="39" t="s">
        <v>218</v>
      </c>
      <c r="B73" s="39">
        <v>2161</v>
      </c>
      <c r="C73" s="39">
        <v>2173</v>
      </c>
      <c r="D73" s="39">
        <v>1377</v>
      </c>
      <c r="E73" s="39">
        <v>1420</v>
      </c>
      <c r="F73" s="39">
        <v>169</v>
      </c>
      <c r="G73" s="39">
        <v>1268</v>
      </c>
      <c r="H73" s="39">
        <v>1048</v>
      </c>
      <c r="I73" s="39">
        <v>1075</v>
      </c>
      <c r="J73" s="39">
        <v>1192</v>
      </c>
      <c r="K73">
        <v>1118</v>
      </c>
      <c r="L73">
        <v>1058</v>
      </c>
      <c r="M73">
        <v>944</v>
      </c>
      <c r="N73">
        <v>1539</v>
      </c>
      <c r="O73">
        <v>410</v>
      </c>
      <c r="P73">
        <v>407</v>
      </c>
      <c r="Q73">
        <v>425</v>
      </c>
      <c r="R73">
        <v>428</v>
      </c>
      <c r="S73">
        <v>7</v>
      </c>
      <c r="T73">
        <v>353</v>
      </c>
      <c r="U73">
        <v>315</v>
      </c>
      <c r="V73">
        <v>306</v>
      </c>
      <c r="W73">
        <v>361</v>
      </c>
      <c r="X73">
        <v>360</v>
      </c>
      <c r="Y73">
        <v>356</v>
      </c>
      <c r="Z73">
        <v>293</v>
      </c>
      <c r="AA73">
        <v>451</v>
      </c>
      <c r="AD73" t="s">
        <v>642</v>
      </c>
      <c r="AE73" s="28">
        <v>866</v>
      </c>
      <c r="AF73">
        <v>4550</v>
      </c>
      <c r="AH73">
        <v>0</v>
      </c>
    </row>
    <row r="74" spans="1:34" hidden="1">
      <c r="A74" s="39" t="s">
        <v>401</v>
      </c>
      <c r="B74" s="39">
        <v>2210</v>
      </c>
      <c r="C74" s="39">
        <v>3028</v>
      </c>
      <c r="D74" s="39">
        <v>3623</v>
      </c>
      <c r="E74" s="39">
        <v>3181</v>
      </c>
      <c r="F74" s="39">
        <v>2203</v>
      </c>
      <c r="G74" s="39">
        <v>2217</v>
      </c>
      <c r="H74" s="39">
        <v>2451</v>
      </c>
      <c r="I74" s="39">
        <v>2601</v>
      </c>
      <c r="J74" s="39">
        <v>2823</v>
      </c>
      <c r="K74">
        <v>3020</v>
      </c>
      <c r="L74">
        <v>2259</v>
      </c>
      <c r="M74">
        <v>2814</v>
      </c>
      <c r="N74">
        <v>4111</v>
      </c>
      <c r="O74">
        <v>352</v>
      </c>
      <c r="P74">
        <v>455</v>
      </c>
      <c r="Q74">
        <v>449</v>
      </c>
      <c r="R74">
        <v>457</v>
      </c>
      <c r="S74">
        <v>378</v>
      </c>
      <c r="T74">
        <v>377</v>
      </c>
      <c r="U74">
        <v>425</v>
      </c>
      <c r="V74">
        <v>451</v>
      </c>
      <c r="W74">
        <v>475</v>
      </c>
      <c r="X74">
        <v>589</v>
      </c>
      <c r="Y74">
        <v>484</v>
      </c>
      <c r="Z74">
        <v>611</v>
      </c>
      <c r="AA74">
        <v>837</v>
      </c>
      <c r="AD74" s="27" t="s">
        <v>51</v>
      </c>
      <c r="AE74" s="28">
        <v>1675</v>
      </c>
      <c r="AF74">
        <v>10426</v>
      </c>
      <c r="AG74">
        <v>2155</v>
      </c>
      <c r="AH74">
        <v>11551</v>
      </c>
    </row>
    <row r="75" spans="1:34" hidden="1">
      <c r="A75" s="39" t="s">
        <v>767</v>
      </c>
      <c r="B75" s="39">
        <v>7420</v>
      </c>
      <c r="C75" s="39">
        <v>9064</v>
      </c>
      <c r="D75" s="39">
        <v>7113</v>
      </c>
      <c r="E75" s="39">
        <v>7511</v>
      </c>
      <c r="F75" s="39">
        <v>10781</v>
      </c>
      <c r="G75" s="39">
        <v>6137</v>
      </c>
      <c r="H75" s="39">
        <v>4806</v>
      </c>
      <c r="I75" s="39">
        <v>4603</v>
      </c>
      <c r="J75" s="39">
        <v>5082</v>
      </c>
      <c r="K75">
        <v>4032</v>
      </c>
      <c r="L75">
        <v>4557</v>
      </c>
      <c r="M75">
        <v>3120</v>
      </c>
      <c r="N75">
        <v>3964</v>
      </c>
      <c r="O75">
        <v>1284</v>
      </c>
      <c r="P75">
        <v>1383</v>
      </c>
      <c r="Q75">
        <v>1154</v>
      </c>
      <c r="R75">
        <v>1183</v>
      </c>
      <c r="S75">
        <v>1367</v>
      </c>
      <c r="T75">
        <v>1027</v>
      </c>
      <c r="U75">
        <v>837</v>
      </c>
      <c r="V75">
        <v>764</v>
      </c>
      <c r="W75">
        <v>939</v>
      </c>
      <c r="X75">
        <v>778</v>
      </c>
      <c r="Y75">
        <v>1033</v>
      </c>
      <c r="Z75">
        <v>712</v>
      </c>
      <c r="AA75">
        <v>890</v>
      </c>
      <c r="AD75" t="s">
        <v>617</v>
      </c>
      <c r="AE75" s="28">
        <v>821</v>
      </c>
      <c r="AF75">
        <v>3505</v>
      </c>
      <c r="AH75">
        <v>0</v>
      </c>
    </row>
    <row r="76" spans="1:34" hidden="1">
      <c r="A76" s="39" t="s">
        <v>792</v>
      </c>
      <c r="B76" s="39">
        <v>14958</v>
      </c>
      <c r="C76" s="39">
        <v>14790</v>
      </c>
      <c r="D76" s="39">
        <v>32925</v>
      </c>
      <c r="E76" s="39">
        <v>57954</v>
      </c>
      <c r="F76" s="39">
        <v>81282</v>
      </c>
      <c r="G76" s="39">
        <v>59715</v>
      </c>
      <c r="H76" s="39">
        <v>27814</v>
      </c>
      <c r="I76" s="39">
        <v>24145</v>
      </c>
      <c r="J76" s="39">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c r="AD76" t="s">
        <v>585</v>
      </c>
      <c r="AE76" s="28">
        <v>472</v>
      </c>
      <c r="AF76">
        <v>1955</v>
      </c>
      <c r="AH76">
        <v>0</v>
      </c>
    </row>
    <row r="77" spans="1:34" hidden="1">
      <c r="A77" s="39" t="s">
        <v>365</v>
      </c>
      <c r="B77" s="39">
        <v>784</v>
      </c>
      <c r="C77" s="39">
        <v>894</v>
      </c>
      <c r="D77" s="39">
        <v>1045</v>
      </c>
      <c r="E77" s="39">
        <v>822</v>
      </c>
      <c r="F77" s="39">
        <v>652</v>
      </c>
      <c r="G77" s="39">
        <v>715</v>
      </c>
      <c r="H77" s="39">
        <v>843</v>
      </c>
      <c r="I77" s="39">
        <v>803</v>
      </c>
      <c r="J77" s="39">
        <v>1022</v>
      </c>
      <c r="K77">
        <v>907</v>
      </c>
      <c r="L77">
        <v>734</v>
      </c>
      <c r="M77">
        <v>775</v>
      </c>
      <c r="N77">
        <v>1187</v>
      </c>
      <c r="O77">
        <v>377</v>
      </c>
      <c r="P77">
        <v>441</v>
      </c>
      <c r="Q77">
        <v>437</v>
      </c>
      <c r="R77">
        <v>408</v>
      </c>
      <c r="S77">
        <v>361</v>
      </c>
      <c r="T77">
        <v>403</v>
      </c>
      <c r="U77">
        <v>438</v>
      </c>
      <c r="V77">
        <v>424</v>
      </c>
      <c r="W77">
        <v>514</v>
      </c>
      <c r="X77">
        <v>494</v>
      </c>
      <c r="Y77">
        <v>463</v>
      </c>
      <c r="Z77">
        <v>385</v>
      </c>
      <c r="AA77">
        <v>536</v>
      </c>
      <c r="AD77" t="s">
        <v>561</v>
      </c>
      <c r="AE77" s="28">
        <v>525</v>
      </c>
      <c r="AF77">
        <v>1914</v>
      </c>
      <c r="AH77">
        <v>0</v>
      </c>
    </row>
    <row r="78" spans="1:34" hidden="1">
      <c r="A78" s="39" t="s">
        <v>385</v>
      </c>
      <c r="B78" s="39">
        <v>800</v>
      </c>
      <c r="C78" s="39">
        <v>768</v>
      </c>
      <c r="D78" s="39">
        <v>939</v>
      </c>
      <c r="E78" s="39">
        <v>644</v>
      </c>
      <c r="F78" s="39">
        <v>589</v>
      </c>
      <c r="G78" s="39">
        <v>693</v>
      </c>
      <c r="H78" s="39">
        <v>820</v>
      </c>
      <c r="I78" s="39">
        <v>492</v>
      </c>
      <c r="J78" s="39">
        <v>431</v>
      </c>
      <c r="K78">
        <v>442</v>
      </c>
      <c r="L78">
        <v>378</v>
      </c>
      <c r="M78">
        <v>412</v>
      </c>
      <c r="N78">
        <v>671</v>
      </c>
      <c r="O78">
        <v>139</v>
      </c>
      <c r="P78">
        <v>143</v>
      </c>
      <c r="Q78">
        <v>124</v>
      </c>
      <c r="R78">
        <v>105</v>
      </c>
      <c r="S78">
        <v>94</v>
      </c>
      <c r="T78">
        <v>132</v>
      </c>
      <c r="U78">
        <v>131</v>
      </c>
      <c r="V78">
        <v>96</v>
      </c>
      <c r="W78">
        <v>102</v>
      </c>
      <c r="X78">
        <v>80</v>
      </c>
      <c r="Y78">
        <v>95</v>
      </c>
      <c r="Z78">
        <v>87</v>
      </c>
      <c r="AA78">
        <v>136</v>
      </c>
      <c r="AD78" t="s">
        <v>609</v>
      </c>
      <c r="AE78" s="28">
        <v>901</v>
      </c>
      <c r="AF78">
        <v>2044</v>
      </c>
      <c r="AH78">
        <v>0</v>
      </c>
    </row>
    <row r="79" spans="1:34" hidden="1">
      <c r="A79" s="39" t="s">
        <v>407</v>
      </c>
      <c r="B79" s="39">
        <v>2815</v>
      </c>
      <c r="C79" s="39">
        <v>1982</v>
      </c>
      <c r="D79" s="39">
        <v>1912</v>
      </c>
      <c r="E79" s="39">
        <v>1912</v>
      </c>
      <c r="F79" s="39">
        <v>1533</v>
      </c>
      <c r="G79" s="39">
        <v>1405</v>
      </c>
      <c r="H79" s="39">
        <v>1810</v>
      </c>
      <c r="I79" s="39">
        <v>1581</v>
      </c>
      <c r="J79" s="39">
        <v>1788</v>
      </c>
      <c r="K79">
        <v>2156</v>
      </c>
      <c r="L79">
        <v>1366</v>
      </c>
      <c r="M79">
        <v>988</v>
      </c>
      <c r="N79">
        <v>1352</v>
      </c>
      <c r="O79">
        <v>581</v>
      </c>
      <c r="P79">
        <v>493</v>
      </c>
      <c r="Q79">
        <v>504</v>
      </c>
      <c r="R79">
        <v>449</v>
      </c>
      <c r="S79">
        <v>374</v>
      </c>
      <c r="T79">
        <v>298</v>
      </c>
      <c r="U79">
        <v>510</v>
      </c>
      <c r="V79">
        <v>347</v>
      </c>
      <c r="W79">
        <v>369</v>
      </c>
      <c r="X79">
        <v>466</v>
      </c>
      <c r="Y79">
        <v>207</v>
      </c>
      <c r="Z79">
        <v>171</v>
      </c>
      <c r="AA79">
        <v>331</v>
      </c>
      <c r="AD79" t="s">
        <v>427</v>
      </c>
      <c r="AE79" s="28">
        <v>2428</v>
      </c>
      <c r="AF79">
        <v>7026</v>
      </c>
      <c r="AG79">
        <v>2713</v>
      </c>
      <c r="AH79">
        <v>9376</v>
      </c>
    </row>
    <row r="80" spans="1:34" hidden="1">
      <c r="A80" s="39" t="s">
        <v>345</v>
      </c>
      <c r="B80" s="39">
        <v>1231</v>
      </c>
      <c r="C80" s="39">
        <v>1312</v>
      </c>
      <c r="D80" s="39">
        <v>956</v>
      </c>
      <c r="E80" s="39">
        <v>752</v>
      </c>
      <c r="F80" s="39">
        <v>805</v>
      </c>
      <c r="G80" s="39">
        <v>765</v>
      </c>
      <c r="H80" s="39">
        <v>897</v>
      </c>
      <c r="I80" s="39">
        <v>836</v>
      </c>
      <c r="J80" s="39">
        <v>715</v>
      </c>
      <c r="K80">
        <v>852</v>
      </c>
      <c r="L80">
        <v>672</v>
      </c>
      <c r="M80">
        <v>597</v>
      </c>
      <c r="N80">
        <v>2995</v>
      </c>
      <c r="O80">
        <v>428</v>
      </c>
      <c r="P80">
        <v>480</v>
      </c>
      <c r="Q80">
        <v>449</v>
      </c>
      <c r="R80">
        <v>362</v>
      </c>
      <c r="S80">
        <v>375</v>
      </c>
      <c r="T80">
        <v>330</v>
      </c>
      <c r="U80">
        <v>344</v>
      </c>
      <c r="V80">
        <v>339</v>
      </c>
      <c r="W80">
        <v>370</v>
      </c>
      <c r="X80">
        <v>417</v>
      </c>
      <c r="Y80">
        <v>373</v>
      </c>
      <c r="Z80">
        <v>329</v>
      </c>
      <c r="AA80">
        <v>565</v>
      </c>
      <c r="AD80" t="s">
        <v>683</v>
      </c>
      <c r="AE80" s="28">
        <v>1476</v>
      </c>
      <c r="AF80">
        <v>4569</v>
      </c>
      <c r="AH80">
        <v>0</v>
      </c>
    </row>
    <row r="81" spans="1:34" hidden="1">
      <c r="A81" s="39" t="s">
        <v>90</v>
      </c>
      <c r="B81" s="39">
        <v>4947</v>
      </c>
      <c r="C81" s="39">
        <v>5221</v>
      </c>
      <c r="D81" s="39">
        <v>5089</v>
      </c>
      <c r="E81" s="39">
        <v>5351</v>
      </c>
      <c r="F81" s="39">
        <v>4403</v>
      </c>
      <c r="G81" s="39">
        <v>4309</v>
      </c>
      <c r="H81" s="39">
        <v>4807</v>
      </c>
      <c r="I81" s="39">
        <v>4661</v>
      </c>
      <c r="J81" s="39">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c r="AD81" t="s">
        <v>601</v>
      </c>
      <c r="AE81" s="28">
        <v>978</v>
      </c>
      <c r="AF81">
        <v>5143</v>
      </c>
      <c r="AH81">
        <v>0</v>
      </c>
    </row>
    <row r="82" spans="1:34" hidden="1">
      <c r="A82" s="39" t="s">
        <v>1075</v>
      </c>
      <c r="B82" s="39">
        <v>624</v>
      </c>
      <c r="C82" s="39">
        <v>693</v>
      </c>
      <c r="D82" s="39">
        <v>602</v>
      </c>
      <c r="E82" s="39">
        <v>594</v>
      </c>
      <c r="F82" s="39">
        <v>501</v>
      </c>
      <c r="G82" s="39">
        <v>410</v>
      </c>
      <c r="H82" s="39">
        <v>476</v>
      </c>
      <c r="I82" s="39">
        <v>463</v>
      </c>
      <c r="J82" s="39">
        <v>458</v>
      </c>
      <c r="K82">
        <v>468</v>
      </c>
      <c r="L82">
        <v>509</v>
      </c>
      <c r="M82">
        <v>414</v>
      </c>
      <c r="N82">
        <v>890</v>
      </c>
      <c r="O82">
        <v>212</v>
      </c>
      <c r="P82">
        <v>226</v>
      </c>
      <c r="Q82">
        <v>221</v>
      </c>
      <c r="R82">
        <v>210</v>
      </c>
      <c r="S82">
        <v>210</v>
      </c>
      <c r="T82">
        <v>186</v>
      </c>
      <c r="U82">
        <v>209</v>
      </c>
      <c r="V82">
        <v>192</v>
      </c>
      <c r="W82">
        <v>206</v>
      </c>
      <c r="X82">
        <v>225</v>
      </c>
      <c r="Y82">
        <v>243</v>
      </c>
      <c r="Z82">
        <v>179</v>
      </c>
      <c r="AA82">
        <v>263</v>
      </c>
      <c r="AD82" t="s">
        <v>413</v>
      </c>
      <c r="AE82" s="28">
        <v>952</v>
      </c>
      <c r="AF82">
        <v>5221</v>
      </c>
      <c r="AG82">
        <v>883</v>
      </c>
      <c r="AH82">
        <v>5063</v>
      </c>
    </row>
    <row r="83" spans="1:34" hidden="1">
      <c r="A83" s="39" t="s">
        <v>962</v>
      </c>
      <c r="B83" s="39">
        <v>1634</v>
      </c>
      <c r="C83" s="39">
        <v>510</v>
      </c>
      <c r="D83" s="39">
        <v>569</v>
      </c>
      <c r="E83" s="39">
        <v>304</v>
      </c>
      <c r="F83" s="39">
        <v>647</v>
      </c>
      <c r="G83" s="39">
        <v>771</v>
      </c>
      <c r="H83" s="39">
        <v>706</v>
      </c>
      <c r="I83" s="39">
        <v>1038</v>
      </c>
      <c r="J83" s="39">
        <v>1047</v>
      </c>
      <c r="K83">
        <v>834</v>
      </c>
      <c r="L83">
        <v>695</v>
      </c>
      <c r="M83">
        <v>550</v>
      </c>
      <c r="N83">
        <v>835</v>
      </c>
      <c r="O83">
        <v>215</v>
      </c>
      <c r="P83">
        <v>40</v>
      </c>
      <c r="Q83">
        <v>102</v>
      </c>
      <c r="R83">
        <v>103</v>
      </c>
      <c r="S83">
        <v>169</v>
      </c>
      <c r="T83">
        <v>176</v>
      </c>
      <c r="U83">
        <v>175</v>
      </c>
      <c r="V83">
        <v>205</v>
      </c>
      <c r="W83">
        <v>181</v>
      </c>
      <c r="X83">
        <v>174</v>
      </c>
      <c r="Y83">
        <v>180</v>
      </c>
      <c r="Z83">
        <v>131</v>
      </c>
      <c r="AA83">
        <v>173</v>
      </c>
      <c r="AD83" t="s">
        <v>205</v>
      </c>
      <c r="AE83" s="28">
        <v>1631</v>
      </c>
      <c r="AF83">
        <v>7645</v>
      </c>
      <c r="AG83">
        <v>1902</v>
      </c>
      <c r="AH83">
        <v>9147</v>
      </c>
    </row>
    <row r="84" spans="1:34" hidden="1">
      <c r="A84" s="39" t="s">
        <v>88</v>
      </c>
      <c r="B84" s="39">
        <v>0</v>
      </c>
      <c r="C84" s="39">
        <v>829</v>
      </c>
      <c r="D84" s="39">
        <v>3224</v>
      </c>
      <c r="E84" s="39">
        <v>3573</v>
      </c>
      <c r="F84" s="39">
        <v>56</v>
      </c>
      <c r="G84" s="39">
        <v>1278</v>
      </c>
      <c r="H84" s="39">
        <v>2263</v>
      </c>
      <c r="I84" s="39">
        <v>1919</v>
      </c>
      <c r="J84" s="39">
        <v>1664</v>
      </c>
      <c r="K84">
        <v>1472</v>
      </c>
      <c r="L84">
        <v>1940</v>
      </c>
      <c r="M84">
        <v>1434</v>
      </c>
      <c r="N84">
        <v>1612</v>
      </c>
      <c r="O84">
        <v>0</v>
      </c>
      <c r="P84">
        <v>203</v>
      </c>
      <c r="Q84">
        <v>360</v>
      </c>
      <c r="R84">
        <v>442</v>
      </c>
      <c r="S84">
        <v>1</v>
      </c>
      <c r="T84">
        <v>89</v>
      </c>
      <c r="U84">
        <v>156</v>
      </c>
      <c r="V84">
        <v>208</v>
      </c>
      <c r="W84">
        <v>185</v>
      </c>
      <c r="X84">
        <v>214</v>
      </c>
      <c r="Y84">
        <v>389</v>
      </c>
      <c r="Z84">
        <v>184</v>
      </c>
      <c r="AA84">
        <v>282</v>
      </c>
      <c r="AD84" t="s">
        <v>553</v>
      </c>
      <c r="AE84" s="28">
        <v>602</v>
      </c>
      <c r="AF84">
        <v>3783</v>
      </c>
      <c r="AH84">
        <v>0</v>
      </c>
    </row>
    <row r="85" spans="1:34" hidden="1">
      <c r="A85" s="39" t="s">
        <v>917</v>
      </c>
      <c r="B85" s="39">
        <v>235</v>
      </c>
      <c r="C85" s="39">
        <v>211</v>
      </c>
      <c r="D85" s="39">
        <v>226</v>
      </c>
      <c r="E85" s="39">
        <v>165</v>
      </c>
      <c r="F85" s="39">
        <v>188</v>
      </c>
      <c r="G85" s="39">
        <v>143</v>
      </c>
      <c r="H85" s="39">
        <v>158</v>
      </c>
      <c r="I85" s="39">
        <v>155</v>
      </c>
      <c r="J85" s="39">
        <v>164</v>
      </c>
      <c r="K85">
        <v>173</v>
      </c>
      <c r="L85">
        <v>138</v>
      </c>
      <c r="M85">
        <v>151</v>
      </c>
      <c r="N85">
        <v>259</v>
      </c>
      <c r="O85">
        <v>53</v>
      </c>
      <c r="P85">
        <v>61</v>
      </c>
      <c r="Q85">
        <v>70</v>
      </c>
      <c r="R85">
        <v>53</v>
      </c>
      <c r="S85">
        <v>64</v>
      </c>
      <c r="T85">
        <v>43</v>
      </c>
      <c r="U85">
        <v>71</v>
      </c>
      <c r="V85">
        <v>63</v>
      </c>
      <c r="W85">
        <v>76</v>
      </c>
      <c r="X85">
        <v>66</v>
      </c>
      <c r="Y85">
        <v>69</v>
      </c>
      <c r="Z85">
        <v>69</v>
      </c>
      <c r="AA85">
        <v>102</v>
      </c>
      <c r="AD85" t="s">
        <v>449</v>
      </c>
      <c r="AE85" s="28">
        <v>1231</v>
      </c>
      <c r="AF85">
        <v>4891</v>
      </c>
      <c r="AG85">
        <v>1385</v>
      </c>
      <c r="AH85">
        <v>5413</v>
      </c>
    </row>
    <row r="86" spans="1:34" hidden="1">
      <c r="A86" s="39" t="s">
        <v>1493</v>
      </c>
      <c r="B86" s="39">
        <v>2417</v>
      </c>
      <c r="C86" s="39">
        <v>2300</v>
      </c>
      <c r="D86" s="39">
        <v>1974</v>
      </c>
      <c r="E86" s="39">
        <v>1692</v>
      </c>
      <c r="F86" s="39">
        <v>1407</v>
      </c>
      <c r="G86" s="39">
        <v>1118</v>
      </c>
      <c r="H86" s="39">
        <v>888</v>
      </c>
      <c r="I86" s="39">
        <v>1165</v>
      </c>
      <c r="J86" s="39">
        <v>847</v>
      </c>
      <c r="K86">
        <v>433</v>
      </c>
      <c r="L86">
        <v>400</v>
      </c>
      <c r="M86">
        <v>0</v>
      </c>
      <c r="N86">
        <v>0</v>
      </c>
      <c r="O86">
        <v>333</v>
      </c>
      <c r="P86">
        <v>385</v>
      </c>
      <c r="Q86">
        <v>273</v>
      </c>
      <c r="R86">
        <v>289</v>
      </c>
      <c r="S86">
        <v>249</v>
      </c>
      <c r="T86">
        <v>197</v>
      </c>
      <c r="U86">
        <v>150</v>
      </c>
      <c r="V86">
        <v>197</v>
      </c>
      <c r="W86">
        <v>143</v>
      </c>
      <c r="X86">
        <v>122</v>
      </c>
      <c r="Y86">
        <v>101</v>
      </c>
      <c r="Z86">
        <v>2</v>
      </c>
      <c r="AA86">
        <v>0</v>
      </c>
      <c r="AD86" t="s">
        <v>263</v>
      </c>
      <c r="AE86" s="28">
        <v>1672</v>
      </c>
      <c r="AF86">
        <v>9371</v>
      </c>
      <c r="AG86">
        <v>1619</v>
      </c>
      <c r="AH86">
        <v>9686</v>
      </c>
    </row>
    <row r="87" spans="1:34" hidden="1">
      <c r="A87" s="39" t="s">
        <v>1510</v>
      </c>
      <c r="B87" s="39">
        <v>98</v>
      </c>
      <c r="C87" s="39">
        <v>97</v>
      </c>
      <c r="D87" s="39">
        <v>88</v>
      </c>
      <c r="E87" s="39">
        <v>73</v>
      </c>
      <c r="F87" s="39">
        <v>70</v>
      </c>
      <c r="G87" s="39">
        <v>64</v>
      </c>
      <c r="H87" s="39">
        <v>70</v>
      </c>
      <c r="I87" s="39">
        <v>73</v>
      </c>
      <c r="J87" s="39">
        <v>61</v>
      </c>
      <c r="K87">
        <v>57</v>
      </c>
      <c r="L87">
        <v>60</v>
      </c>
      <c r="M87">
        <v>85</v>
      </c>
      <c r="N87">
        <v>84</v>
      </c>
      <c r="O87">
        <v>56</v>
      </c>
      <c r="P87">
        <v>38</v>
      </c>
      <c r="Q87">
        <v>27</v>
      </c>
      <c r="R87">
        <v>25</v>
      </c>
      <c r="S87">
        <v>39</v>
      </c>
      <c r="T87">
        <v>26</v>
      </c>
      <c r="U87">
        <v>34</v>
      </c>
      <c r="V87">
        <v>27</v>
      </c>
      <c r="W87">
        <v>31</v>
      </c>
      <c r="X87">
        <v>28</v>
      </c>
      <c r="Y87">
        <v>21</v>
      </c>
      <c r="Z87">
        <v>40</v>
      </c>
      <c r="AA87">
        <v>21</v>
      </c>
      <c r="AD87" t="s">
        <v>311</v>
      </c>
      <c r="AE87" s="28">
        <v>662</v>
      </c>
      <c r="AF87">
        <v>2203</v>
      </c>
      <c r="AG87">
        <v>660</v>
      </c>
      <c r="AH87">
        <v>2078</v>
      </c>
    </row>
    <row r="88" spans="1:34" hidden="1">
      <c r="A88" s="39" t="s">
        <v>1412</v>
      </c>
      <c r="B88" s="39">
        <v>5274</v>
      </c>
      <c r="C88" s="39">
        <v>957</v>
      </c>
      <c r="D88" s="39">
        <v>2180</v>
      </c>
      <c r="E88" s="39">
        <v>3131</v>
      </c>
      <c r="F88" s="39">
        <v>2602</v>
      </c>
      <c r="G88" s="39">
        <v>2583</v>
      </c>
      <c r="H88" s="39">
        <v>2693</v>
      </c>
      <c r="I88" s="39">
        <v>3088</v>
      </c>
      <c r="J88" s="39">
        <v>3606</v>
      </c>
      <c r="K88">
        <v>4139</v>
      </c>
      <c r="L88">
        <v>2554</v>
      </c>
      <c r="M88">
        <v>2027</v>
      </c>
      <c r="N88">
        <v>2983</v>
      </c>
      <c r="O88">
        <v>1056</v>
      </c>
      <c r="P88">
        <v>161</v>
      </c>
      <c r="Q88">
        <v>778</v>
      </c>
      <c r="R88">
        <v>981</v>
      </c>
      <c r="S88">
        <v>733</v>
      </c>
      <c r="T88">
        <v>731</v>
      </c>
      <c r="U88">
        <v>780</v>
      </c>
      <c r="V88">
        <v>823</v>
      </c>
      <c r="W88">
        <v>952</v>
      </c>
      <c r="X88">
        <v>1164</v>
      </c>
      <c r="Y88">
        <v>897</v>
      </c>
      <c r="Z88">
        <v>732</v>
      </c>
      <c r="AA88">
        <v>1056</v>
      </c>
      <c r="AD88" t="s">
        <v>256</v>
      </c>
      <c r="AE88" s="28">
        <v>423</v>
      </c>
      <c r="AF88">
        <v>2735</v>
      </c>
      <c r="AG88">
        <v>560</v>
      </c>
      <c r="AH88">
        <v>3270</v>
      </c>
    </row>
    <row r="89" spans="1:34" hidden="1">
      <c r="A89" s="39" t="s">
        <v>1558</v>
      </c>
      <c r="B89" s="39">
        <v>1401</v>
      </c>
      <c r="C89" s="39">
        <v>1191</v>
      </c>
      <c r="D89" s="39">
        <v>565</v>
      </c>
      <c r="E89" s="39">
        <v>259</v>
      </c>
      <c r="F89" s="39">
        <v>29</v>
      </c>
      <c r="G89" s="39">
        <v>0</v>
      </c>
      <c r="H89" s="39">
        <v>0</v>
      </c>
      <c r="I89" s="39">
        <v>0</v>
      </c>
      <c r="J89" s="39">
        <v>0</v>
      </c>
      <c r="K89">
        <v>104</v>
      </c>
      <c r="L89">
        <v>0</v>
      </c>
      <c r="M89">
        <v>602</v>
      </c>
      <c r="N89">
        <v>994</v>
      </c>
      <c r="O89">
        <v>366</v>
      </c>
      <c r="P89">
        <v>306</v>
      </c>
      <c r="Q89">
        <v>143</v>
      </c>
      <c r="R89">
        <v>88</v>
      </c>
      <c r="S89">
        <v>3</v>
      </c>
      <c r="T89">
        <v>0</v>
      </c>
      <c r="U89">
        <v>0</v>
      </c>
      <c r="V89">
        <v>0</v>
      </c>
      <c r="W89">
        <v>0</v>
      </c>
      <c r="X89">
        <v>18</v>
      </c>
      <c r="Y89">
        <v>0</v>
      </c>
      <c r="Z89">
        <v>102</v>
      </c>
      <c r="AA89">
        <v>116</v>
      </c>
      <c r="AD89" t="s">
        <v>583</v>
      </c>
      <c r="AE89" s="28">
        <v>431</v>
      </c>
      <c r="AF89">
        <v>2578</v>
      </c>
      <c r="AH89">
        <v>0</v>
      </c>
    </row>
    <row r="90" spans="1:34" hidden="1">
      <c r="A90" s="39" t="s">
        <v>1259</v>
      </c>
      <c r="B90" s="39">
        <v>539</v>
      </c>
      <c r="C90" s="39">
        <v>362</v>
      </c>
      <c r="D90" s="39">
        <v>249</v>
      </c>
      <c r="E90" s="39">
        <v>229</v>
      </c>
      <c r="F90" s="39">
        <v>207</v>
      </c>
      <c r="G90" s="39">
        <v>220</v>
      </c>
      <c r="H90" s="39">
        <v>297</v>
      </c>
      <c r="I90" s="39">
        <v>137</v>
      </c>
      <c r="J90" s="39">
        <v>96</v>
      </c>
      <c r="K90">
        <v>140</v>
      </c>
      <c r="L90">
        <v>0</v>
      </c>
      <c r="M90">
        <v>134</v>
      </c>
      <c r="N90">
        <v>222</v>
      </c>
      <c r="O90">
        <v>72</v>
      </c>
      <c r="P90">
        <v>117</v>
      </c>
      <c r="Q90">
        <v>63</v>
      </c>
      <c r="R90">
        <v>80</v>
      </c>
      <c r="S90">
        <v>84</v>
      </c>
      <c r="T90">
        <v>75</v>
      </c>
      <c r="U90">
        <v>144</v>
      </c>
      <c r="V90">
        <v>60</v>
      </c>
      <c r="W90">
        <v>46</v>
      </c>
      <c r="X90">
        <v>75</v>
      </c>
      <c r="Y90">
        <v>0</v>
      </c>
      <c r="Z90">
        <v>40</v>
      </c>
      <c r="AA90">
        <v>56</v>
      </c>
      <c r="AD90" t="s">
        <v>1484</v>
      </c>
      <c r="AE90" s="28">
        <v>208</v>
      </c>
      <c r="AF90">
        <v>1108</v>
      </c>
      <c r="AH90">
        <v>0</v>
      </c>
    </row>
    <row r="91" spans="1:34" hidden="1">
      <c r="A91" s="39" t="s">
        <v>152</v>
      </c>
      <c r="B91" s="39">
        <v>2661</v>
      </c>
      <c r="C91" s="39">
        <v>3561</v>
      </c>
      <c r="D91" s="39">
        <v>3146</v>
      </c>
      <c r="E91" s="39">
        <v>3133</v>
      </c>
      <c r="F91" s="39">
        <v>2990</v>
      </c>
      <c r="G91" s="39">
        <v>5395</v>
      </c>
      <c r="H91" s="39">
        <v>3136</v>
      </c>
      <c r="I91" s="39">
        <v>2754</v>
      </c>
      <c r="J91" s="39">
        <v>3536</v>
      </c>
      <c r="K91">
        <v>6006</v>
      </c>
      <c r="L91">
        <v>3772</v>
      </c>
      <c r="M91">
        <v>3383</v>
      </c>
      <c r="N91">
        <v>4768</v>
      </c>
      <c r="O91">
        <v>624</v>
      </c>
      <c r="P91">
        <v>799</v>
      </c>
      <c r="Q91">
        <v>725</v>
      </c>
      <c r="R91">
        <v>799</v>
      </c>
      <c r="S91">
        <v>748</v>
      </c>
      <c r="T91">
        <v>1050</v>
      </c>
      <c r="U91">
        <v>876</v>
      </c>
      <c r="V91">
        <v>790</v>
      </c>
      <c r="W91">
        <v>921</v>
      </c>
      <c r="X91">
        <v>1831</v>
      </c>
      <c r="Y91">
        <v>1052</v>
      </c>
      <c r="Z91">
        <v>919</v>
      </c>
      <c r="AA91">
        <v>1203</v>
      </c>
      <c r="AD91" t="s">
        <v>563</v>
      </c>
      <c r="AE91" s="28">
        <v>427</v>
      </c>
      <c r="AF91">
        <v>2097</v>
      </c>
      <c r="AH91">
        <v>0</v>
      </c>
    </row>
    <row r="92" spans="1:34" hidden="1">
      <c r="A92" s="39" t="s">
        <v>162</v>
      </c>
      <c r="B92" s="39">
        <v>1256</v>
      </c>
      <c r="C92" s="39">
        <v>916</v>
      </c>
      <c r="D92" s="39">
        <v>731</v>
      </c>
      <c r="E92" s="39">
        <v>867</v>
      </c>
      <c r="F92" s="39">
        <v>838</v>
      </c>
      <c r="G92" s="39">
        <v>745</v>
      </c>
      <c r="H92" s="39">
        <v>692</v>
      </c>
      <c r="I92" s="39">
        <v>721</v>
      </c>
      <c r="J92" s="39">
        <v>652</v>
      </c>
      <c r="K92">
        <v>690</v>
      </c>
      <c r="L92">
        <v>597</v>
      </c>
      <c r="M92">
        <v>459</v>
      </c>
      <c r="N92">
        <v>2757</v>
      </c>
      <c r="O92">
        <v>210</v>
      </c>
      <c r="P92">
        <v>211</v>
      </c>
      <c r="Q92">
        <v>211</v>
      </c>
      <c r="R92">
        <v>334</v>
      </c>
      <c r="S92">
        <v>290</v>
      </c>
      <c r="T92">
        <v>296</v>
      </c>
      <c r="U92">
        <v>258</v>
      </c>
      <c r="V92">
        <v>260</v>
      </c>
      <c r="W92">
        <v>254</v>
      </c>
      <c r="X92">
        <v>376</v>
      </c>
      <c r="Y92">
        <v>333</v>
      </c>
      <c r="Z92">
        <v>293</v>
      </c>
      <c r="AA92">
        <v>669</v>
      </c>
      <c r="AD92" t="s">
        <v>678</v>
      </c>
      <c r="AE92" s="28">
        <v>6857</v>
      </c>
      <c r="AF92">
        <v>24329</v>
      </c>
      <c r="AG92">
        <v>6633</v>
      </c>
      <c r="AH92">
        <v>23253</v>
      </c>
    </row>
    <row r="93" spans="1:34" hidden="1">
      <c r="A93" s="39" t="s">
        <v>311</v>
      </c>
      <c r="B93" s="39">
        <v>0</v>
      </c>
      <c r="C93" s="39">
        <v>400</v>
      </c>
      <c r="D93" s="39">
        <v>321</v>
      </c>
      <c r="E93" s="39">
        <v>270</v>
      </c>
      <c r="F93" s="39">
        <v>345</v>
      </c>
      <c r="G93" s="39">
        <v>165</v>
      </c>
      <c r="H93" s="39">
        <v>426</v>
      </c>
      <c r="I93" s="39">
        <v>412</v>
      </c>
      <c r="J93" s="39">
        <v>372</v>
      </c>
      <c r="K93">
        <v>346</v>
      </c>
      <c r="L93">
        <v>504</v>
      </c>
      <c r="M93">
        <v>410</v>
      </c>
      <c r="N93">
        <v>650</v>
      </c>
      <c r="O93">
        <v>0</v>
      </c>
      <c r="P93">
        <v>73</v>
      </c>
      <c r="Q93">
        <v>49</v>
      </c>
      <c r="R93">
        <v>76</v>
      </c>
      <c r="S93">
        <v>101</v>
      </c>
      <c r="T93">
        <v>32</v>
      </c>
      <c r="U93">
        <v>102</v>
      </c>
      <c r="V93">
        <v>89</v>
      </c>
      <c r="W93">
        <v>105</v>
      </c>
      <c r="X93">
        <v>83</v>
      </c>
      <c r="Y93">
        <v>121</v>
      </c>
      <c r="Z93">
        <v>85</v>
      </c>
      <c r="AA93">
        <v>160</v>
      </c>
      <c r="AD93" t="s">
        <v>674</v>
      </c>
      <c r="AE93" s="28">
        <v>1277</v>
      </c>
      <c r="AF93">
        <v>5528</v>
      </c>
      <c r="AG93">
        <v>1354</v>
      </c>
      <c r="AH93">
        <v>5274</v>
      </c>
    </row>
    <row r="94" spans="1:34" hidden="1">
      <c r="A94" s="39" t="s">
        <v>1263</v>
      </c>
      <c r="B94" s="39">
        <v>1047</v>
      </c>
      <c r="C94" s="39">
        <v>1003</v>
      </c>
      <c r="D94" s="39">
        <v>1070</v>
      </c>
      <c r="E94" s="39">
        <v>936</v>
      </c>
      <c r="F94" s="39">
        <v>532</v>
      </c>
      <c r="G94" s="39">
        <v>490</v>
      </c>
      <c r="H94" s="39">
        <v>575</v>
      </c>
      <c r="I94" s="39">
        <v>466</v>
      </c>
      <c r="J94" s="39">
        <v>438</v>
      </c>
      <c r="K94">
        <v>373</v>
      </c>
      <c r="L94">
        <v>350</v>
      </c>
      <c r="M94">
        <v>403</v>
      </c>
      <c r="N94">
        <v>547</v>
      </c>
      <c r="O94">
        <v>200</v>
      </c>
      <c r="P94">
        <v>193</v>
      </c>
      <c r="Q94">
        <v>158</v>
      </c>
      <c r="R94">
        <v>172</v>
      </c>
      <c r="S94">
        <v>135</v>
      </c>
      <c r="T94">
        <v>145</v>
      </c>
      <c r="U94">
        <v>167</v>
      </c>
      <c r="V94">
        <v>149</v>
      </c>
      <c r="W94">
        <v>118</v>
      </c>
      <c r="X94">
        <v>137</v>
      </c>
      <c r="Y94">
        <v>141</v>
      </c>
      <c r="Z94">
        <v>138</v>
      </c>
      <c r="AA94">
        <v>119</v>
      </c>
      <c r="AD94" t="s">
        <v>513</v>
      </c>
      <c r="AE94" s="28">
        <v>1046</v>
      </c>
      <c r="AF94">
        <v>4252</v>
      </c>
      <c r="AG94">
        <v>963</v>
      </c>
      <c r="AH94">
        <v>3558</v>
      </c>
    </row>
    <row r="95" spans="1:34" hidden="1">
      <c r="A95" s="39" t="s">
        <v>1175</v>
      </c>
      <c r="B95" s="39">
        <v>569</v>
      </c>
      <c r="C95" s="39">
        <v>464</v>
      </c>
      <c r="D95" s="39">
        <v>413</v>
      </c>
      <c r="E95" s="39">
        <v>490</v>
      </c>
      <c r="F95" s="39">
        <v>388</v>
      </c>
      <c r="G95" s="39">
        <v>490</v>
      </c>
      <c r="H95" s="39">
        <v>570</v>
      </c>
      <c r="I95" s="39">
        <v>520</v>
      </c>
      <c r="J95" s="39">
        <v>455</v>
      </c>
      <c r="K95">
        <v>471</v>
      </c>
      <c r="L95">
        <v>330</v>
      </c>
      <c r="M95">
        <v>395</v>
      </c>
      <c r="N95">
        <v>623</v>
      </c>
      <c r="O95">
        <v>153</v>
      </c>
      <c r="P95">
        <v>131</v>
      </c>
      <c r="Q95">
        <v>113</v>
      </c>
      <c r="R95">
        <v>125</v>
      </c>
      <c r="S95">
        <v>141</v>
      </c>
      <c r="T95">
        <v>188</v>
      </c>
      <c r="U95">
        <v>215</v>
      </c>
      <c r="V95">
        <v>209</v>
      </c>
      <c r="W95">
        <v>181</v>
      </c>
      <c r="X95">
        <v>203</v>
      </c>
      <c r="Y95">
        <v>135</v>
      </c>
      <c r="Z95">
        <v>170</v>
      </c>
      <c r="AA95">
        <v>233</v>
      </c>
      <c r="AD95" t="s">
        <v>423</v>
      </c>
      <c r="AE95" s="28">
        <v>577</v>
      </c>
      <c r="AF95">
        <v>2249</v>
      </c>
      <c r="AH95">
        <v>0</v>
      </c>
    </row>
    <row r="96" spans="1:34" hidden="1">
      <c r="A96" s="39" t="s">
        <v>1405</v>
      </c>
      <c r="B96" s="39">
        <v>4013</v>
      </c>
      <c r="C96" s="39">
        <v>2760</v>
      </c>
      <c r="D96" s="39">
        <v>1710</v>
      </c>
      <c r="E96" s="39">
        <v>2229</v>
      </c>
      <c r="F96" s="39">
        <v>2199</v>
      </c>
      <c r="G96" s="39">
        <v>2033</v>
      </c>
      <c r="H96" s="39">
        <v>2284</v>
      </c>
      <c r="I96" s="39">
        <v>2387</v>
      </c>
      <c r="J96" s="39">
        <v>2687</v>
      </c>
      <c r="K96">
        <v>2842</v>
      </c>
      <c r="L96">
        <v>2037</v>
      </c>
      <c r="M96">
        <v>2126</v>
      </c>
      <c r="N96">
        <v>3080</v>
      </c>
      <c r="O96">
        <v>1342</v>
      </c>
      <c r="P96">
        <v>1081</v>
      </c>
      <c r="Q96">
        <v>760</v>
      </c>
      <c r="R96">
        <v>779</v>
      </c>
      <c r="S96">
        <v>809</v>
      </c>
      <c r="T96">
        <v>763</v>
      </c>
      <c r="U96">
        <v>879</v>
      </c>
      <c r="V96">
        <v>971</v>
      </c>
      <c r="W96">
        <v>954</v>
      </c>
      <c r="X96">
        <v>973</v>
      </c>
      <c r="Y96">
        <v>866</v>
      </c>
      <c r="Z96">
        <v>771</v>
      </c>
      <c r="AA96">
        <v>1073</v>
      </c>
      <c r="AD96" t="s">
        <v>634</v>
      </c>
      <c r="AE96" s="28">
        <v>576</v>
      </c>
      <c r="AF96">
        <v>1593</v>
      </c>
      <c r="AH96">
        <v>0</v>
      </c>
    </row>
    <row r="97" spans="1:34" hidden="1">
      <c r="A97" s="39" t="s">
        <v>1183</v>
      </c>
      <c r="B97" s="39">
        <v>4430</v>
      </c>
      <c r="C97" s="39">
        <v>4077</v>
      </c>
      <c r="D97" s="39">
        <v>4073</v>
      </c>
      <c r="E97" s="39">
        <v>5819</v>
      </c>
      <c r="F97" s="39">
        <v>4803</v>
      </c>
      <c r="G97" s="39">
        <v>3465</v>
      </c>
      <c r="H97" s="39">
        <v>2984</v>
      </c>
      <c r="I97" s="39">
        <v>3286</v>
      </c>
      <c r="J97" s="39">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c r="AD97" t="s">
        <v>579</v>
      </c>
      <c r="AE97" s="28">
        <v>752</v>
      </c>
      <c r="AF97">
        <v>2822</v>
      </c>
      <c r="AH97">
        <v>0</v>
      </c>
    </row>
    <row r="98" spans="1:34" hidden="1">
      <c r="A98" s="39" t="s">
        <v>933</v>
      </c>
      <c r="B98" s="39">
        <v>877</v>
      </c>
      <c r="C98" s="39">
        <v>834</v>
      </c>
      <c r="D98" s="39">
        <v>498</v>
      </c>
      <c r="E98" s="39">
        <v>593</v>
      </c>
      <c r="F98" s="39">
        <v>469</v>
      </c>
      <c r="G98" s="39">
        <v>364</v>
      </c>
      <c r="H98" s="39">
        <v>309</v>
      </c>
      <c r="I98" s="39">
        <v>310</v>
      </c>
      <c r="J98" s="39">
        <v>325</v>
      </c>
      <c r="K98">
        <v>292</v>
      </c>
      <c r="L98">
        <v>306</v>
      </c>
      <c r="M98">
        <v>409</v>
      </c>
      <c r="N98">
        <v>568</v>
      </c>
      <c r="O98">
        <v>335</v>
      </c>
      <c r="P98">
        <v>274</v>
      </c>
      <c r="Q98">
        <v>156</v>
      </c>
      <c r="R98">
        <v>169</v>
      </c>
      <c r="S98">
        <v>168</v>
      </c>
      <c r="T98">
        <v>105</v>
      </c>
      <c r="U98">
        <v>180</v>
      </c>
      <c r="V98">
        <v>157</v>
      </c>
      <c r="W98">
        <v>145</v>
      </c>
      <c r="X98">
        <v>211</v>
      </c>
      <c r="Y98">
        <v>159</v>
      </c>
      <c r="Z98">
        <v>204</v>
      </c>
      <c r="AA98">
        <v>269</v>
      </c>
      <c r="AD98" t="s">
        <v>397</v>
      </c>
      <c r="AE98" s="28">
        <v>613</v>
      </c>
      <c r="AF98">
        <v>10530</v>
      </c>
      <c r="AG98">
        <v>503</v>
      </c>
      <c r="AH98">
        <v>7597</v>
      </c>
    </row>
    <row r="99" spans="1:34" hidden="1">
      <c r="A99" s="39" t="s">
        <v>795</v>
      </c>
      <c r="B99" s="39">
        <v>8670</v>
      </c>
      <c r="C99" s="39">
        <v>10909</v>
      </c>
      <c r="D99" s="39">
        <v>20029</v>
      </c>
      <c r="E99" s="39">
        <v>36832</v>
      </c>
      <c r="F99" s="39">
        <v>48074</v>
      </c>
      <c r="G99" s="39">
        <v>8569</v>
      </c>
      <c r="H99" s="39">
        <v>38597</v>
      </c>
      <c r="I99" s="39">
        <v>35871</v>
      </c>
      <c r="J99" s="39">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c r="AD99" t="s">
        <v>680</v>
      </c>
      <c r="AE99" s="28">
        <v>1880</v>
      </c>
      <c r="AF99">
        <v>18081</v>
      </c>
      <c r="AG99">
        <v>1564</v>
      </c>
      <c r="AH99">
        <v>15682</v>
      </c>
    </row>
    <row r="100" spans="1:34" hidden="1">
      <c r="A100" s="39" t="s">
        <v>333</v>
      </c>
      <c r="B100" s="39">
        <v>760</v>
      </c>
      <c r="C100" s="39">
        <v>617</v>
      </c>
      <c r="D100" s="39">
        <v>797</v>
      </c>
      <c r="E100" s="39">
        <v>929</v>
      </c>
      <c r="F100" s="39">
        <v>661</v>
      </c>
      <c r="G100" s="39">
        <v>307</v>
      </c>
      <c r="H100" s="39">
        <v>441</v>
      </c>
      <c r="I100" s="39">
        <v>360</v>
      </c>
      <c r="J100" s="39">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c r="AD100" t="s">
        <v>650</v>
      </c>
      <c r="AE100" s="28">
        <v>513</v>
      </c>
      <c r="AF100">
        <v>2211</v>
      </c>
      <c r="AH100">
        <v>0</v>
      </c>
    </row>
    <row r="101" spans="1:34" hidden="1">
      <c r="A101" s="39" t="s">
        <v>429</v>
      </c>
      <c r="B101" s="39">
        <v>632</v>
      </c>
      <c r="C101" s="39">
        <v>1062</v>
      </c>
      <c r="D101" s="39">
        <v>1126</v>
      </c>
      <c r="E101" s="39">
        <v>1227</v>
      </c>
      <c r="F101" s="39">
        <v>713</v>
      </c>
      <c r="G101" s="39">
        <v>320</v>
      </c>
      <c r="H101" s="39">
        <v>544</v>
      </c>
      <c r="I101" s="39">
        <v>581</v>
      </c>
      <c r="J101" s="39">
        <v>434</v>
      </c>
      <c r="K101">
        <v>541</v>
      </c>
      <c r="L101">
        <v>380</v>
      </c>
      <c r="M101">
        <v>394</v>
      </c>
      <c r="N101">
        <v>195</v>
      </c>
      <c r="O101">
        <v>193</v>
      </c>
      <c r="P101">
        <v>297</v>
      </c>
      <c r="Q101">
        <v>180</v>
      </c>
      <c r="R101">
        <v>225</v>
      </c>
      <c r="S101">
        <v>107</v>
      </c>
      <c r="T101">
        <v>37</v>
      </c>
      <c r="U101">
        <v>147</v>
      </c>
      <c r="V101">
        <v>162</v>
      </c>
      <c r="W101">
        <v>141</v>
      </c>
      <c r="X101">
        <v>139</v>
      </c>
      <c r="Y101">
        <v>104</v>
      </c>
      <c r="Z101">
        <v>96</v>
      </c>
      <c r="AA101">
        <v>51</v>
      </c>
      <c r="AD101" t="s">
        <v>447</v>
      </c>
      <c r="AE101" s="28">
        <v>196</v>
      </c>
      <c r="AF101">
        <v>1176</v>
      </c>
      <c r="AH101">
        <v>0</v>
      </c>
    </row>
    <row r="102" spans="1:34" hidden="1">
      <c r="A102" s="39" t="s">
        <v>587</v>
      </c>
      <c r="B102" s="39">
        <v>417</v>
      </c>
      <c r="C102" s="39">
        <v>369</v>
      </c>
      <c r="D102" s="39">
        <v>427</v>
      </c>
      <c r="E102" s="39">
        <v>482</v>
      </c>
      <c r="F102" s="39">
        <v>418</v>
      </c>
      <c r="G102" s="39">
        <v>408</v>
      </c>
      <c r="H102" s="39">
        <v>412</v>
      </c>
      <c r="I102" s="39">
        <v>489</v>
      </c>
      <c r="J102" s="39">
        <v>404</v>
      </c>
      <c r="K102">
        <v>390</v>
      </c>
      <c r="L102">
        <v>383</v>
      </c>
      <c r="M102">
        <v>392</v>
      </c>
      <c r="N102">
        <v>567</v>
      </c>
      <c r="O102">
        <v>80</v>
      </c>
      <c r="P102">
        <v>69</v>
      </c>
      <c r="Q102">
        <v>69</v>
      </c>
      <c r="R102">
        <v>85</v>
      </c>
      <c r="S102">
        <v>84</v>
      </c>
      <c r="T102">
        <v>60</v>
      </c>
      <c r="U102">
        <v>80</v>
      </c>
      <c r="V102">
        <v>84</v>
      </c>
      <c r="W102">
        <v>60</v>
      </c>
      <c r="X102">
        <v>83</v>
      </c>
      <c r="Y102">
        <v>78</v>
      </c>
      <c r="Z102">
        <v>52</v>
      </c>
      <c r="AA102">
        <v>110</v>
      </c>
      <c r="AD102" t="s">
        <v>591</v>
      </c>
      <c r="AE102" s="28">
        <v>707</v>
      </c>
      <c r="AF102">
        <v>3766</v>
      </c>
      <c r="AH102">
        <v>0</v>
      </c>
    </row>
    <row r="103" spans="1:34" hidden="1">
      <c r="A103" s="39" t="s">
        <v>32</v>
      </c>
      <c r="B103" s="39">
        <v>1416</v>
      </c>
      <c r="C103" s="39">
        <v>1319</v>
      </c>
      <c r="D103" s="39">
        <v>1252</v>
      </c>
      <c r="E103" s="39">
        <v>1470</v>
      </c>
      <c r="F103" s="39">
        <v>1502</v>
      </c>
      <c r="G103" s="39">
        <v>1536</v>
      </c>
      <c r="H103" s="39">
        <v>1132</v>
      </c>
      <c r="I103" s="39">
        <v>1296</v>
      </c>
      <c r="J103" s="39">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c r="AD103" t="s">
        <v>88</v>
      </c>
      <c r="AE103" s="28">
        <v>1594</v>
      </c>
      <c r="AF103">
        <v>8161</v>
      </c>
      <c r="AG103">
        <v>1148</v>
      </c>
      <c r="AH103">
        <v>7643</v>
      </c>
    </row>
    <row r="104" spans="1:34" hidden="1">
      <c r="A104" s="39" t="s">
        <v>387</v>
      </c>
      <c r="B104" s="39">
        <v>2658</v>
      </c>
      <c r="C104" s="39">
        <v>1941</v>
      </c>
      <c r="D104" s="39">
        <v>1600</v>
      </c>
      <c r="E104" s="39">
        <v>2850</v>
      </c>
      <c r="F104" s="39">
        <v>2049</v>
      </c>
      <c r="G104" s="39">
        <v>1591</v>
      </c>
      <c r="H104" s="39">
        <v>1100</v>
      </c>
      <c r="I104" s="39">
        <v>1282</v>
      </c>
      <c r="J104" s="39">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c r="AD104" t="s">
        <v>740</v>
      </c>
      <c r="AE104" s="28">
        <v>2511</v>
      </c>
      <c r="AF104">
        <v>12700</v>
      </c>
      <c r="AG104">
        <v>2624</v>
      </c>
      <c r="AH104">
        <v>11543</v>
      </c>
    </row>
    <row r="105" spans="1:34" hidden="1">
      <c r="A105" s="39" t="s">
        <v>220</v>
      </c>
      <c r="B105" s="39">
        <v>1711</v>
      </c>
      <c r="C105" s="39">
        <v>1517</v>
      </c>
      <c r="D105" s="39">
        <v>1607</v>
      </c>
      <c r="E105" s="39">
        <v>1913</v>
      </c>
      <c r="F105" s="39">
        <v>1166</v>
      </c>
      <c r="G105" s="39">
        <v>1267</v>
      </c>
      <c r="H105" s="39">
        <v>1273</v>
      </c>
      <c r="I105" s="39">
        <v>1016</v>
      </c>
      <c r="J105" s="39">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c r="AD105" t="s">
        <v>439</v>
      </c>
      <c r="AE105" s="28">
        <v>1114</v>
      </c>
      <c r="AF105">
        <v>6172</v>
      </c>
      <c r="AG105">
        <v>1024</v>
      </c>
      <c r="AH105">
        <v>5169</v>
      </c>
    </row>
    <row r="106" spans="1:34" hidden="1">
      <c r="A106" s="39" t="s">
        <v>1154</v>
      </c>
      <c r="B106" s="39">
        <v>1350</v>
      </c>
      <c r="C106" s="39">
        <v>1288</v>
      </c>
      <c r="D106" s="39">
        <v>1007</v>
      </c>
      <c r="E106" s="39">
        <v>920</v>
      </c>
      <c r="F106" s="39">
        <v>747</v>
      </c>
      <c r="G106" s="39">
        <v>676</v>
      </c>
      <c r="H106" s="39">
        <v>705</v>
      </c>
      <c r="I106" s="39">
        <v>751</v>
      </c>
      <c r="J106" s="39">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c r="AD106" t="s">
        <v>689</v>
      </c>
      <c r="AE106" s="28">
        <v>950</v>
      </c>
      <c r="AF106">
        <v>2213</v>
      </c>
      <c r="AH106">
        <v>0</v>
      </c>
    </row>
    <row r="107" spans="1:34" hidden="1">
      <c r="A107" s="39" t="s">
        <v>1559</v>
      </c>
      <c r="B107" s="39">
        <v>0</v>
      </c>
      <c r="C107" s="39">
        <v>0</v>
      </c>
      <c r="D107" s="39">
        <v>0</v>
      </c>
      <c r="E107" s="39">
        <v>0</v>
      </c>
      <c r="F107" s="39">
        <v>0</v>
      </c>
      <c r="G107" s="39">
        <v>0</v>
      </c>
      <c r="H107" s="39">
        <v>208</v>
      </c>
      <c r="I107" s="39">
        <v>163</v>
      </c>
      <c r="J107" s="39">
        <v>136</v>
      </c>
      <c r="K107">
        <v>90</v>
      </c>
      <c r="L107">
        <v>112</v>
      </c>
      <c r="M107">
        <v>98</v>
      </c>
      <c r="N107">
        <v>107</v>
      </c>
      <c r="O107">
        <v>0</v>
      </c>
      <c r="P107">
        <v>0</v>
      </c>
      <c r="Q107">
        <v>0</v>
      </c>
      <c r="R107">
        <v>0</v>
      </c>
      <c r="S107">
        <v>0</v>
      </c>
      <c r="T107">
        <v>0</v>
      </c>
      <c r="U107">
        <v>53</v>
      </c>
      <c r="V107">
        <v>0</v>
      </c>
      <c r="W107">
        <v>89</v>
      </c>
      <c r="X107">
        <v>76</v>
      </c>
      <c r="Y107">
        <v>65</v>
      </c>
      <c r="Z107">
        <v>59</v>
      </c>
      <c r="AA107">
        <v>71</v>
      </c>
      <c r="AD107" t="s">
        <v>531</v>
      </c>
      <c r="AE107" s="28">
        <v>756</v>
      </c>
      <c r="AF107">
        <v>2872</v>
      </c>
      <c r="AH107">
        <v>0</v>
      </c>
    </row>
    <row r="108" spans="1:34" hidden="1">
      <c r="A108" s="39" t="s">
        <v>1208</v>
      </c>
      <c r="B108" s="39">
        <v>974</v>
      </c>
      <c r="C108" s="39">
        <v>1095</v>
      </c>
      <c r="D108" s="39">
        <v>2094</v>
      </c>
      <c r="E108" s="39">
        <v>1713</v>
      </c>
      <c r="F108" s="39">
        <v>1063</v>
      </c>
      <c r="G108" s="39">
        <v>7926</v>
      </c>
      <c r="H108" s="39">
        <v>1635</v>
      </c>
      <c r="I108" s="39">
        <v>895</v>
      </c>
      <c r="J108" s="39">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c r="AD108" t="s">
        <v>539</v>
      </c>
      <c r="AE108" s="28">
        <v>535</v>
      </c>
      <c r="AF108">
        <v>2720</v>
      </c>
      <c r="AH108">
        <v>0</v>
      </c>
    </row>
    <row r="109" spans="1:34" hidden="1">
      <c r="A109" s="39" t="s">
        <v>1358</v>
      </c>
      <c r="B109" s="39">
        <v>3177</v>
      </c>
      <c r="C109" s="39">
        <v>2464</v>
      </c>
      <c r="D109" s="39">
        <v>2763</v>
      </c>
      <c r="E109" s="39">
        <v>1976</v>
      </c>
      <c r="F109" s="39">
        <v>1821</v>
      </c>
      <c r="G109" s="39">
        <v>2050</v>
      </c>
      <c r="H109" s="39">
        <v>1848</v>
      </c>
      <c r="I109" s="39">
        <v>3303</v>
      </c>
      <c r="J109" s="39">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c r="AD109" t="s">
        <v>723</v>
      </c>
      <c r="AE109" s="28">
        <v>1992</v>
      </c>
      <c r="AF109">
        <v>4809</v>
      </c>
      <c r="AG109">
        <v>1876</v>
      </c>
      <c r="AH109">
        <v>4381</v>
      </c>
    </row>
    <row r="110" spans="1:34" hidden="1">
      <c r="A110" s="39" t="s">
        <v>176</v>
      </c>
      <c r="B110" s="39">
        <v>1558</v>
      </c>
      <c r="C110" s="39">
        <v>1634</v>
      </c>
      <c r="D110" s="39">
        <v>1646</v>
      </c>
      <c r="E110" s="39">
        <v>1521</v>
      </c>
      <c r="F110" s="39">
        <v>1323</v>
      </c>
      <c r="G110" s="39">
        <v>1390</v>
      </c>
      <c r="H110" s="39">
        <v>1297</v>
      </c>
      <c r="I110" s="39">
        <v>1409</v>
      </c>
      <c r="J110" s="39">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c r="AD110" s="37" t="s">
        <v>652</v>
      </c>
      <c r="AE110" s="28">
        <v>910</v>
      </c>
      <c r="AF110">
        <v>4186</v>
      </c>
      <c r="AG110">
        <v>683</v>
      </c>
      <c r="AH110">
        <v>5958</v>
      </c>
    </row>
    <row r="111" spans="1:34" hidden="1">
      <c r="A111" s="39" t="s">
        <v>443</v>
      </c>
      <c r="B111" s="39">
        <v>1299</v>
      </c>
      <c r="C111" s="39">
        <v>1499</v>
      </c>
      <c r="D111" s="39">
        <v>1816</v>
      </c>
      <c r="E111" s="39">
        <v>1430</v>
      </c>
      <c r="F111" s="39">
        <v>1165</v>
      </c>
      <c r="G111" s="39">
        <v>1127</v>
      </c>
      <c r="H111" s="39">
        <v>1156</v>
      </c>
      <c r="I111" s="39">
        <v>1195</v>
      </c>
      <c r="J111" s="39">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c r="AD111" t="s">
        <v>630</v>
      </c>
      <c r="AE111" s="28">
        <v>991</v>
      </c>
      <c r="AF111">
        <v>4900</v>
      </c>
      <c r="AH111">
        <v>0</v>
      </c>
    </row>
    <row r="112" spans="1:34" hidden="1">
      <c r="A112" s="39" t="s">
        <v>1334</v>
      </c>
      <c r="B112" s="39">
        <v>1354</v>
      </c>
      <c r="C112" s="39">
        <v>1035</v>
      </c>
      <c r="D112" s="39">
        <v>988</v>
      </c>
      <c r="E112" s="39">
        <v>832</v>
      </c>
      <c r="F112" s="39">
        <v>578</v>
      </c>
      <c r="G112" s="39">
        <v>641</v>
      </c>
      <c r="H112" s="39">
        <v>495</v>
      </c>
      <c r="I112" s="39">
        <v>449</v>
      </c>
      <c r="J112" s="39">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c r="AD112" t="s">
        <v>469</v>
      </c>
      <c r="AE112" s="28">
        <v>1070</v>
      </c>
      <c r="AF112">
        <v>4644</v>
      </c>
      <c r="AG112">
        <v>1149</v>
      </c>
      <c r="AH112">
        <v>4926</v>
      </c>
    </row>
    <row r="113" spans="1:34" hidden="1">
      <c r="A113" s="39" t="s">
        <v>1560</v>
      </c>
      <c r="B113" s="39">
        <v>2000</v>
      </c>
      <c r="C113" s="39">
        <v>2085</v>
      </c>
      <c r="D113" s="39">
        <v>1899</v>
      </c>
      <c r="E113" s="39">
        <v>1650</v>
      </c>
      <c r="F113" s="39">
        <v>382</v>
      </c>
      <c r="G113" s="39">
        <v>0</v>
      </c>
      <c r="H113" s="39">
        <v>22</v>
      </c>
      <c r="I113" s="39">
        <v>12</v>
      </c>
      <c r="J113" s="39">
        <v>0</v>
      </c>
      <c r="K113">
        <v>6</v>
      </c>
      <c r="L113">
        <v>0</v>
      </c>
      <c r="M113">
        <v>0</v>
      </c>
      <c r="N113">
        <v>0</v>
      </c>
      <c r="O113">
        <v>746</v>
      </c>
      <c r="P113">
        <v>797</v>
      </c>
      <c r="Q113">
        <v>748</v>
      </c>
      <c r="R113">
        <v>696</v>
      </c>
      <c r="S113">
        <v>44</v>
      </c>
      <c r="T113">
        <v>0</v>
      </c>
      <c r="U113">
        <v>6</v>
      </c>
      <c r="V113">
        <v>2</v>
      </c>
      <c r="W113">
        <v>0</v>
      </c>
      <c r="X113">
        <v>1</v>
      </c>
      <c r="Y113">
        <v>0</v>
      </c>
      <c r="Z113">
        <v>0</v>
      </c>
      <c r="AA113">
        <v>0</v>
      </c>
      <c r="AD113" t="s">
        <v>509</v>
      </c>
      <c r="AE113" s="28">
        <v>269</v>
      </c>
      <c r="AF113">
        <v>1012</v>
      </c>
      <c r="AH113">
        <v>0</v>
      </c>
    </row>
    <row r="114" spans="1:34" hidden="1">
      <c r="A114" s="39" t="s">
        <v>1201</v>
      </c>
      <c r="B114" s="39">
        <v>485</v>
      </c>
      <c r="C114" s="39">
        <v>784</v>
      </c>
      <c r="D114" s="39">
        <v>1103</v>
      </c>
      <c r="E114" s="39">
        <v>586</v>
      </c>
      <c r="F114" s="39">
        <v>489</v>
      </c>
      <c r="G114" s="39">
        <v>498</v>
      </c>
      <c r="H114" s="39">
        <v>519</v>
      </c>
      <c r="I114" s="39">
        <v>491</v>
      </c>
      <c r="J114" s="39">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c r="AD114" t="s">
        <v>587</v>
      </c>
      <c r="AE114" s="28">
        <v>366</v>
      </c>
      <c r="AF114">
        <v>2376</v>
      </c>
      <c r="AG114">
        <v>335</v>
      </c>
      <c r="AH114">
        <v>2573</v>
      </c>
    </row>
    <row r="115" spans="1:34" hidden="1">
      <c r="A115" s="39" t="s">
        <v>1304</v>
      </c>
      <c r="B115" s="39">
        <v>1192</v>
      </c>
      <c r="C115" s="39">
        <v>1048</v>
      </c>
      <c r="D115" s="39">
        <v>821</v>
      </c>
      <c r="E115" s="39">
        <v>1049</v>
      </c>
      <c r="F115" s="39">
        <v>657</v>
      </c>
      <c r="G115" s="39">
        <v>569</v>
      </c>
      <c r="H115" s="39">
        <v>676</v>
      </c>
      <c r="I115" s="39">
        <v>751</v>
      </c>
      <c r="J115" s="39">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c r="AD115" t="s">
        <v>303</v>
      </c>
      <c r="AE115" s="28">
        <v>2113</v>
      </c>
      <c r="AF115">
        <v>5392</v>
      </c>
      <c r="AG115">
        <v>1765</v>
      </c>
      <c r="AH115">
        <v>4661</v>
      </c>
    </row>
    <row r="116" spans="1:34" hidden="1">
      <c r="A116" s="39" t="s">
        <v>1210</v>
      </c>
      <c r="B116" s="39">
        <v>1214</v>
      </c>
      <c r="C116" s="39">
        <v>674</v>
      </c>
      <c r="D116" s="39">
        <v>89</v>
      </c>
      <c r="E116" s="39">
        <v>820</v>
      </c>
      <c r="F116" s="39">
        <v>684</v>
      </c>
      <c r="G116" s="39">
        <v>594</v>
      </c>
      <c r="H116" s="39">
        <v>649</v>
      </c>
      <c r="I116" s="39">
        <v>840</v>
      </c>
      <c r="J116" s="39">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c r="AD116" t="s">
        <v>195</v>
      </c>
      <c r="AE116" s="28">
        <v>1161</v>
      </c>
      <c r="AF116">
        <v>5011</v>
      </c>
      <c r="AG116">
        <v>1486</v>
      </c>
      <c r="AH116">
        <v>6808</v>
      </c>
    </row>
    <row r="117" spans="1:34" hidden="1">
      <c r="A117" s="39" t="s">
        <v>1507</v>
      </c>
      <c r="B117" s="39">
        <v>128</v>
      </c>
      <c r="C117" s="39">
        <v>112</v>
      </c>
      <c r="D117" s="39">
        <v>69</v>
      </c>
      <c r="E117" s="39">
        <v>74</v>
      </c>
      <c r="F117" s="39">
        <v>64</v>
      </c>
      <c r="G117" s="39">
        <v>77</v>
      </c>
      <c r="H117" s="39">
        <v>86</v>
      </c>
      <c r="I117" s="39">
        <v>74</v>
      </c>
      <c r="J117" s="39">
        <v>72</v>
      </c>
      <c r="K117">
        <v>67</v>
      </c>
      <c r="L117">
        <v>63</v>
      </c>
      <c r="M117">
        <v>67</v>
      </c>
      <c r="N117">
        <v>263</v>
      </c>
      <c r="O117">
        <v>33</v>
      </c>
      <c r="P117">
        <v>29</v>
      </c>
      <c r="Q117">
        <v>23</v>
      </c>
      <c r="R117">
        <v>29</v>
      </c>
      <c r="S117">
        <v>18</v>
      </c>
      <c r="T117">
        <v>31</v>
      </c>
      <c r="U117">
        <v>36</v>
      </c>
      <c r="V117">
        <v>23</v>
      </c>
      <c r="W117">
        <v>33</v>
      </c>
      <c r="X117">
        <v>40</v>
      </c>
      <c r="Y117">
        <v>26</v>
      </c>
      <c r="Z117">
        <v>28</v>
      </c>
      <c r="AA117">
        <v>88</v>
      </c>
      <c r="AD117" t="s">
        <v>676</v>
      </c>
      <c r="AE117" s="28">
        <v>690</v>
      </c>
      <c r="AF117">
        <v>1755</v>
      </c>
      <c r="AH117">
        <v>0</v>
      </c>
    </row>
    <row r="118" spans="1:34" hidden="1">
      <c r="A118" s="39" t="s">
        <v>1022</v>
      </c>
      <c r="B118" s="39">
        <v>198</v>
      </c>
      <c r="C118" s="39">
        <v>302</v>
      </c>
      <c r="D118" s="39">
        <v>84</v>
      </c>
      <c r="E118" s="39">
        <v>72</v>
      </c>
      <c r="F118" s="39">
        <v>53</v>
      </c>
      <c r="G118" s="39">
        <v>62</v>
      </c>
      <c r="H118" s="39">
        <v>107</v>
      </c>
      <c r="I118" s="39">
        <v>137</v>
      </c>
      <c r="J118" s="39">
        <v>147</v>
      </c>
      <c r="K118">
        <v>127</v>
      </c>
      <c r="L118">
        <v>161</v>
      </c>
      <c r="M118">
        <v>164</v>
      </c>
      <c r="N118">
        <v>206</v>
      </c>
      <c r="O118">
        <v>12</v>
      </c>
      <c r="P118">
        <v>33</v>
      </c>
      <c r="Q118">
        <v>6</v>
      </c>
      <c r="R118">
        <v>21</v>
      </c>
      <c r="S118">
        <v>13</v>
      </c>
      <c r="T118">
        <v>18</v>
      </c>
      <c r="U118">
        <v>47</v>
      </c>
      <c r="V118">
        <v>61</v>
      </c>
      <c r="W118">
        <v>67</v>
      </c>
      <c r="X118">
        <v>51</v>
      </c>
      <c r="Y118">
        <v>90</v>
      </c>
      <c r="Z118">
        <v>75</v>
      </c>
      <c r="AA118">
        <v>129</v>
      </c>
      <c r="AD118" t="s">
        <v>226</v>
      </c>
      <c r="AE118" s="28">
        <v>1115</v>
      </c>
      <c r="AF118">
        <v>4213</v>
      </c>
      <c r="AG118">
        <v>995</v>
      </c>
      <c r="AH118">
        <v>3952</v>
      </c>
    </row>
    <row r="119" spans="1:34" hidden="1">
      <c r="A119" s="39" t="s">
        <v>1512</v>
      </c>
      <c r="B119" s="39">
        <v>28</v>
      </c>
      <c r="C119" s="39">
        <v>33</v>
      </c>
      <c r="D119" s="39">
        <v>39</v>
      </c>
      <c r="E119" s="39">
        <v>35</v>
      </c>
      <c r="F119" s="39">
        <v>36</v>
      </c>
      <c r="G119" s="39">
        <v>26</v>
      </c>
      <c r="H119" s="39">
        <v>51</v>
      </c>
      <c r="I119" s="39">
        <v>43</v>
      </c>
      <c r="J119" s="39">
        <v>53</v>
      </c>
      <c r="K119">
        <v>67</v>
      </c>
      <c r="L119">
        <v>59</v>
      </c>
      <c r="M119">
        <v>63</v>
      </c>
      <c r="N119">
        <v>73</v>
      </c>
      <c r="O119">
        <v>20</v>
      </c>
      <c r="P119">
        <v>13</v>
      </c>
      <c r="Q119">
        <v>18</v>
      </c>
      <c r="R119">
        <v>17</v>
      </c>
      <c r="S119">
        <v>21</v>
      </c>
      <c r="T119">
        <v>21</v>
      </c>
      <c r="U119">
        <v>23</v>
      </c>
      <c r="V119">
        <v>20</v>
      </c>
      <c r="W119">
        <v>30</v>
      </c>
      <c r="X119">
        <v>29</v>
      </c>
      <c r="Y119">
        <v>33</v>
      </c>
      <c r="Z119">
        <v>23</v>
      </c>
      <c r="AA119">
        <v>29</v>
      </c>
      <c r="AD119" t="s">
        <v>515</v>
      </c>
      <c r="AE119" s="28">
        <v>1273</v>
      </c>
      <c r="AF119">
        <v>4614</v>
      </c>
      <c r="AG119">
        <v>1509</v>
      </c>
      <c r="AH119">
        <v>5326</v>
      </c>
    </row>
    <row r="120" spans="1:34" hidden="1">
      <c r="A120" s="39" t="s">
        <v>935</v>
      </c>
      <c r="B120" s="39">
        <v>1002</v>
      </c>
      <c r="C120" s="39">
        <v>1034</v>
      </c>
      <c r="D120" s="39">
        <v>660</v>
      </c>
      <c r="E120" s="39">
        <v>563</v>
      </c>
      <c r="F120" s="39">
        <v>480</v>
      </c>
      <c r="G120" s="39">
        <v>479</v>
      </c>
      <c r="H120" s="39">
        <v>567</v>
      </c>
      <c r="I120" s="39">
        <v>408</v>
      </c>
      <c r="J120" s="39">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c r="AD120" t="s">
        <v>527</v>
      </c>
      <c r="AE120" s="28">
        <v>1003</v>
      </c>
      <c r="AF120">
        <v>5089</v>
      </c>
      <c r="AG120">
        <v>1135</v>
      </c>
      <c r="AH120">
        <v>6127</v>
      </c>
    </row>
    <row r="121" spans="1:34" hidden="1">
      <c r="A121" s="39" t="s">
        <v>515</v>
      </c>
      <c r="B121" s="39">
        <v>556</v>
      </c>
      <c r="C121" s="39">
        <v>644</v>
      </c>
      <c r="D121" s="39">
        <v>668</v>
      </c>
      <c r="E121" s="39">
        <v>708</v>
      </c>
      <c r="F121" s="39">
        <v>563</v>
      </c>
      <c r="G121" s="39">
        <v>598</v>
      </c>
      <c r="H121" s="39">
        <v>612</v>
      </c>
      <c r="I121" s="39">
        <v>598</v>
      </c>
      <c r="J121" s="39">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c r="AD121" t="s">
        <v>589</v>
      </c>
      <c r="AE121" s="28">
        <v>425</v>
      </c>
      <c r="AF121">
        <v>1216</v>
      </c>
      <c r="AH121">
        <v>0</v>
      </c>
    </row>
    <row r="122" spans="1:34" hidden="1">
      <c r="A122" s="39" t="s">
        <v>259</v>
      </c>
      <c r="B122" s="39">
        <v>1013</v>
      </c>
      <c r="C122" s="39">
        <v>1382</v>
      </c>
      <c r="D122" s="39">
        <v>1449</v>
      </c>
      <c r="E122" s="39">
        <v>2537</v>
      </c>
      <c r="F122" s="39">
        <v>1852</v>
      </c>
      <c r="G122" s="39">
        <v>1365</v>
      </c>
      <c r="H122" s="39">
        <v>998</v>
      </c>
      <c r="I122" s="39">
        <v>1016</v>
      </c>
      <c r="J122" s="39">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c r="AD122" t="s">
        <v>441</v>
      </c>
      <c r="AE122" s="28">
        <v>457</v>
      </c>
      <c r="AF122">
        <v>2842</v>
      </c>
      <c r="AH122">
        <v>0</v>
      </c>
    </row>
    <row r="123" spans="1:34" hidden="1">
      <c r="A123" s="39" t="s">
        <v>505</v>
      </c>
      <c r="B123" s="39">
        <v>426</v>
      </c>
      <c r="C123" s="39">
        <v>462</v>
      </c>
      <c r="D123" s="39">
        <v>516</v>
      </c>
      <c r="E123" s="39">
        <v>557</v>
      </c>
      <c r="F123" s="39">
        <v>514</v>
      </c>
      <c r="G123" s="39">
        <v>606</v>
      </c>
      <c r="H123" s="39">
        <v>431</v>
      </c>
      <c r="I123" s="39">
        <v>496</v>
      </c>
      <c r="J123" s="39">
        <v>579</v>
      </c>
      <c r="K123">
        <v>611</v>
      </c>
      <c r="L123">
        <v>0</v>
      </c>
      <c r="M123">
        <v>455</v>
      </c>
      <c r="N123">
        <v>937</v>
      </c>
      <c r="O123">
        <v>89</v>
      </c>
      <c r="P123">
        <v>102</v>
      </c>
      <c r="Q123">
        <v>118</v>
      </c>
      <c r="R123">
        <v>109</v>
      </c>
      <c r="S123">
        <v>102</v>
      </c>
      <c r="T123">
        <v>90</v>
      </c>
      <c r="U123">
        <v>94</v>
      </c>
      <c r="V123">
        <v>112</v>
      </c>
      <c r="W123">
        <v>157</v>
      </c>
      <c r="X123">
        <v>136</v>
      </c>
      <c r="Y123">
        <v>0</v>
      </c>
      <c r="Z123">
        <v>148</v>
      </c>
      <c r="AA123">
        <v>232</v>
      </c>
      <c r="AD123" t="s">
        <v>537</v>
      </c>
      <c r="AE123" s="28">
        <v>396</v>
      </c>
      <c r="AF123">
        <v>1089</v>
      </c>
      <c r="AH123">
        <v>0</v>
      </c>
    </row>
    <row r="124" spans="1:34" hidden="1">
      <c r="A124" s="39" t="s">
        <v>371</v>
      </c>
      <c r="B124" s="39">
        <v>2274</v>
      </c>
      <c r="C124" s="39">
        <v>2856</v>
      </c>
      <c r="D124" s="39">
        <v>3377</v>
      </c>
      <c r="E124" s="39">
        <v>5031</v>
      </c>
      <c r="F124" s="39">
        <v>5590</v>
      </c>
      <c r="G124" s="39">
        <v>4851</v>
      </c>
      <c r="H124" s="39">
        <v>4649</v>
      </c>
      <c r="I124" s="39">
        <v>6101</v>
      </c>
      <c r="J124" s="39">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c r="AD124" t="s">
        <v>541</v>
      </c>
      <c r="AE124" s="28">
        <v>374</v>
      </c>
      <c r="AF124">
        <v>1383</v>
      </c>
      <c r="AH124">
        <v>0</v>
      </c>
    </row>
    <row r="125" spans="1:34" hidden="1">
      <c r="A125" s="39" t="s">
        <v>267</v>
      </c>
      <c r="B125" s="39">
        <v>879</v>
      </c>
      <c r="C125" s="39">
        <v>1082</v>
      </c>
      <c r="D125" s="39">
        <v>983</v>
      </c>
      <c r="E125" s="39">
        <v>1031</v>
      </c>
      <c r="F125" s="39">
        <v>927</v>
      </c>
      <c r="G125" s="39">
        <v>974</v>
      </c>
      <c r="H125" s="39">
        <v>1011</v>
      </c>
      <c r="I125" s="39">
        <v>1156</v>
      </c>
      <c r="J125" s="39">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c r="AD125" t="s">
        <v>529</v>
      </c>
      <c r="AE125" s="28">
        <v>2024</v>
      </c>
      <c r="AF125">
        <v>10130</v>
      </c>
      <c r="AG125">
        <v>2145</v>
      </c>
      <c r="AH125">
        <v>9967</v>
      </c>
    </row>
    <row r="126" spans="1:34" hidden="1">
      <c r="A126" s="39" t="s">
        <v>1191</v>
      </c>
      <c r="B126" s="39">
        <v>1634</v>
      </c>
      <c r="C126" s="39">
        <v>1088</v>
      </c>
      <c r="D126" s="39">
        <v>1379</v>
      </c>
      <c r="E126" s="39">
        <v>1401</v>
      </c>
      <c r="F126" s="39">
        <v>1057</v>
      </c>
      <c r="G126" s="39">
        <v>1155</v>
      </c>
      <c r="H126" s="39">
        <v>1143</v>
      </c>
      <c r="I126" s="39">
        <v>1093</v>
      </c>
      <c r="J126" s="39">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c r="AD126" t="s">
        <v>549</v>
      </c>
      <c r="AE126" s="28">
        <v>444</v>
      </c>
      <c r="AF126">
        <v>1903</v>
      </c>
      <c r="AH126">
        <v>0</v>
      </c>
    </row>
    <row r="127" spans="1:34" hidden="1">
      <c r="A127" s="39" t="s">
        <v>1561</v>
      </c>
      <c r="B127" s="39">
        <v>550</v>
      </c>
      <c r="C127" s="39">
        <v>528</v>
      </c>
      <c r="D127" s="39">
        <v>327</v>
      </c>
      <c r="E127" s="39">
        <v>306</v>
      </c>
      <c r="F127" s="39">
        <v>296</v>
      </c>
      <c r="G127" s="39">
        <v>241</v>
      </c>
      <c r="H127" s="39">
        <v>257</v>
      </c>
      <c r="I127" s="39">
        <v>382</v>
      </c>
      <c r="J127" s="39">
        <v>0</v>
      </c>
      <c r="K127">
        <v>2</v>
      </c>
      <c r="L127">
        <v>0</v>
      </c>
      <c r="M127">
        <v>0</v>
      </c>
      <c r="N127">
        <v>0</v>
      </c>
      <c r="O127">
        <v>164</v>
      </c>
      <c r="P127">
        <v>142</v>
      </c>
      <c r="Q127">
        <v>146</v>
      </c>
      <c r="R127">
        <v>116</v>
      </c>
      <c r="S127">
        <v>130</v>
      </c>
      <c r="T127">
        <v>118</v>
      </c>
      <c r="U127">
        <v>138</v>
      </c>
      <c r="V127">
        <v>136</v>
      </c>
      <c r="W127">
        <v>0</v>
      </c>
      <c r="X127">
        <v>2</v>
      </c>
      <c r="Y127">
        <v>0</v>
      </c>
      <c r="Z127">
        <v>0</v>
      </c>
      <c r="AA127">
        <v>0</v>
      </c>
      <c r="AD127" t="s">
        <v>547</v>
      </c>
      <c r="AE127" s="28">
        <v>384</v>
      </c>
      <c r="AF127">
        <v>1342</v>
      </c>
      <c r="AH127">
        <v>0</v>
      </c>
    </row>
    <row r="128" spans="1:34" hidden="1">
      <c r="A128" s="39" t="s">
        <v>399</v>
      </c>
      <c r="B128" s="39">
        <v>0</v>
      </c>
      <c r="C128" s="39">
        <v>687</v>
      </c>
      <c r="D128" s="39">
        <v>1065</v>
      </c>
      <c r="E128" s="39">
        <v>1231</v>
      </c>
      <c r="F128" s="39">
        <v>754</v>
      </c>
      <c r="G128" s="39">
        <v>682</v>
      </c>
      <c r="H128" s="39">
        <v>1047</v>
      </c>
      <c r="I128" s="39">
        <v>797</v>
      </c>
      <c r="J128" s="39">
        <v>826</v>
      </c>
      <c r="K128">
        <v>771</v>
      </c>
      <c r="L128">
        <v>636</v>
      </c>
      <c r="M128">
        <v>704</v>
      </c>
      <c r="N128">
        <v>901</v>
      </c>
      <c r="O128">
        <v>0</v>
      </c>
      <c r="P128">
        <v>53</v>
      </c>
      <c r="Q128">
        <v>159</v>
      </c>
      <c r="R128">
        <v>206</v>
      </c>
      <c r="S128">
        <v>130</v>
      </c>
      <c r="T128">
        <v>139</v>
      </c>
      <c r="U128">
        <v>251</v>
      </c>
      <c r="V128">
        <v>156</v>
      </c>
      <c r="W128">
        <v>167</v>
      </c>
      <c r="X128">
        <v>148</v>
      </c>
      <c r="Y128">
        <v>148</v>
      </c>
      <c r="Z128">
        <v>131</v>
      </c>
      <c r="AA128">
        <v>180</v>
      </c>
      <c r="AD128" t="s">
        <v>371</v>
      </c>
      <c r="AE128" s="28">
        <v>4667</v>
      </c>
      <c r="AF128">
        <v>17712</v>
      </c>
      <c r="AG128">
        <v>4531</v>
      </c>
      <c r="AH128">
        <v>24486</v>
      </c>
    </row>
    <row r="129" spans="1:34" hidden="1">
      <c r="A129" s="39" t="s">
        <v>948</v>
      </c>
      <c r="B129" s="39">
        <v>109</v>
      </c>
      <c r="C129" s="39">
        <v>64</v>
      </c>
      <c r="D129" s="39">
        <v>94</v>
      </c>
      <c r="E129" s="39">
        <v>63</v>
      </c>
      <c r="F129" s="39">
        <v>86</v>
      </c>
      <c r="G129" s="39">
        <v>93</v>
      </c>
      <c r="H129" s="39">
        <v>96</v>
      </c>
      <c r="I129" s="39">
        <v>208</v>
      </c>
      <c r="J129" s="39">
        <v>240</v>
      </c>
      <c r="K129">
        <v>192</v>
      </c>
      <c r="L129">
        <v>211</v>
      </c>
      <c r="M129">
        <v>238</v>
      </c>
      <c r="N129">
        <v>282</v>
      </c>
      <c r="O129">
        <v>21</v>
      </c>
      <c r="P129">
        <v>13</v>
      </c>
      <c r="Q129">
        <v>34</v>
      </c>
      <c r="R129">
        <v>29</v>
      </c>
      <c r="S129">
        <v>33</v>
      </c>
      <c r="T129">
        <v>33</v>
      </c>
      <c r="U129">
        <v>32</v>
      </c>
      <c r="V129">
        <v>99</v>
      </c>
      <c r="W129">
        <v>111</v>
      </c>
      <c r="X129">
        <v>85</v>
      </c>
      <c r="Y129">
        <v>90</v>
      </c>
      <c r="Z129">
        <v>128</v>
      </c>
      <c r="AA129">
        <v>152</v>
      </c>
      <c r="AD129" t="s">
        <v>236</v>
      </c>
      <c r="AE129" s="28">
        <v>2577</v>
      </c>
      <c r="AF129">
        <v>9416</v>
      </c>
      <c r="AG129">
        <v>2224</v>
      </c>
      <c r="AH129">
        <v>8107</v>
      </c>
    </row>
    <row r="130" spans="1:34" hidden="1">
      <c r="A130" s="39" t="s">
        <v>1364</v>
      </c>
      <c r="B130" s="39">
        <v>4323</v>
      </c>
      <c r="C130" s="39">
        <v>3717</v>
      </c>
      <c r="D130" s="39">
        <v>6969</v>
      </c>
      <c r="E130" s="39">
        <v>12230</v>
      </c>
      <c r="F130" s="39">
        <v>8131</v>
      </c>
      <c r="G130" s="39">
        <v>5322</v>
      </c>
      <c r="H130" s="39">
        <v>3436</v>
      </c>
      <c r="I130" s="39">
        <v>3161</v>
      </c>
      <c r="J130" s="39">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c r="AD130" t="s">
        <v>521</v>
      </c>
      <c r="AE130" s="28">
        <v>2165</v>
      </c>
      <c r="AF130">
        <v>5383</v>
      </c>
      <c r="AG130">
        <v>2320</v>
      </c>
      <c r="AH130">
        <v>5350</v>
      </c>
    </row>
    <row r="131" spans="1:34" hidden="1">
      <c r="A131" s="39" t="s">
        <v>1289</v>
      </c>
      <c r="B131" s="39">
        <v>1450</v>
      </c>
      <c r="C131" s="39">
        <v>1559</v>
      </c>
      <c r="D131" s="39">
        <v>1228</v>
      </c>
      <c r="E131" s="39">
        <v>1388</v>
      </c>
      <c r="F131" s="39">
        <v>1438</v>
      </c>
      <c r="G131" s="39">
        <v>1443</v>
      </c>
      <c r="H131" s="39">
        <v>1497</v>
      </c>
      <c r="I131" s="39">
        <v>1915</v>
      </c>
      <c r="J131" s="39">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c r="AD131" t="s">
        <v>615</v>
      </c>
      <c r="AE131" s="28">
        <v>1108</v>
      </c>
      <c r="AF131">
        <v>5115</v>
      </c>
      <c r="AG131">
        <v>971</v>
      </c>
      <c r="AH131">
        <v>4608</v>
      </c>
    </row>
    <row r="132" spans="1:34" hidden="1">
      <c r="A132" s="39" t="s">
        <v>1269</v>
      </c>
      <c r="B132" s="39">
        <v>1100</v>
      </c>
      <c r="C132" s="39">
        <v>860</v>
      </c>
      <c r="D132" s="39">
        <v>863</v>
      </c>
      <c r="E132" s="39">
        <v>884</v>
      </c>
      <c r="F132" s="39">
        <v>902</v>
      </c>
      <c r="G132" s="39">
        <v>813</v>
      </c>
      <c r="H132" s="39">
        <v>690</v>
      </c>
      <c r="I132" s="39">
        <v>871</v>
      </c>
      <c r="J132" s="39">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c r="AD132" t="s">
        <v>419</v>
      </c>
      <c r="AE132" s="28">
        <v>2302</v>
      </c>
      <c r="AF132">
        <v>10218</v>
      </c>
      <c r="AG132">
        <v>2189</v>
      </c>
      <c r="AH132">
        <v>9526</v>
      </c>
    </row>
    <row r="133" spans="1:34" hidden="1">
      <c r="A133" s="39" t="s">
        <v>1237</v>
      </c>
      <c r="B133" s="39">
        <v>310</v>
      </c>
      <c r="C133" s="39">
        <v>322</v>
      </c>
      <c r="D133" s="39">
        <v>924</v>
      </c>
      <c r="E133" s="39">
        <v>1220</v>
      </c>
      <c r="F133" s="39">
        <v>1061</v>
      </c>
      <c r="G133" s="39">
        <v>741</v>
      </c>
      <c r="H133" s="39">
        <v>669</v>
      </c>
      <c r="I133" s="39">
        <v>633</v>
      </c>
      <c r="J133" s="39">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c r="AD133" t="s">
        <v>267</v>
      </c>
      <c r="AE133" s="28">
        <v>2047</v>
      </c>
      <c r="AF133">
        <v>7282</v>
      </c>
      <c r="AG133">
        <v>1788</v>
      </c>
      <c r="AH133">
        <v>6367</v>
      </c>
    </row>
    <row r="134" spans="1:34" hidden="1">
      <c r="A134" s="39" t="s">
        <v>1267</v>
      </c>
      <c r="B134" s="39">
        <v>21</v>
      </c>
      <c r="C134" s="39">
        <v>23</v>
      </c>
      <c r="D134" s="39">
        <v>38</v>
      </c>
      <c r="E134" s="39">
        <v>47</v>
      </c>
      <c r="F134" s="39">
        <v>34</v>
      </c>
      <c r="G134" s="39">
        <v>33</v>
      </c>
      <c r="H134" s="39">
        <v>22</v>
      </c>
      <c r="I134" s="39">
        <v>28</v>
      </c>
      <c r="J134" s="39">
        <v>39</v>
      </c>
      <c r="K134">
        <v>30</v>
      </c>
      <c r="L134">
        <v>28</v>
      </c>
      <c r="M134">
        <v>24</v>
      </c>
      <c r="N134">
        <v>56</v>
      </c>
      <c r="O134">
        <v>3</v>
      </c>
      <c r="P134">
        <v>4</v>
      </c>
      <c r="Q134">
        <v>4</v>
      </c>
      <c r="R134">
        <v>3</v>
      </c>
      <c r="S134">
        <v>5</v>
      </c>
      <c r="T134">
        <v>1</v>
      </c>
      <c r="U134">
        <v>1</v>
      </c>
      <c r="V134">
        <v>2</v>
      </c>
      <c r="W134">
        <v>4</v>
      </c>
      <c r="X134">
        <v>1</v>
      </c>
      <c r="Y134">
        <v>6</v>
      </c>
      <c r="Z134">
        <v>3</v>
      </c>
      <c r="AA134">
        <v>6</v>
      </c>
      <c r="AD134" t="s">
        <v>603</v>
      </c>
      <c r="AE134" s="28">
        <v>760</v>
      </c>
      <c r="AF134">
        <v>2586</v>
      </c>
      <c r="AG134">
        <v>654</v>
      </c>
      <c r="AH134">
        <v>2486</v>
      </c>
    </row>
    <row r="135" spans="1:34" hidden="1">
      <c r="A135" s="39" t="s">
        <v>1282</v>
      </c>
      <c r="B135" s="39">
        <v>66</v>
      </c>
      <c r="C135" s="39">
        <v>134</v>
      </c>
      <c r="D135" s="39">
        <v>267</v>
      </c>
      <c r="E135" s="39">
        <v>141</v>
      </c>
      <c r="F135" s="39">
        <v>86</v>
      </c>
      <c r="G135" s="39">
        <v>77</v>
      </c>
      <c r="H135" s="39">
        <v>87</v>
      </c>
      <c r="I135" s="39">
        <v>169</v>
      </c>
      <c r="J135" s="39">
        <v>166</v>
      </c>
      <c r="K135">
        <v>162</v>
      </c>
      <c r="L135">
        <v>254</v>
      </c>
      <c r="M135">
        <v>250</v>
      </c>
      <c r="N135">
        <v>537</v>
      </c>
      <c r="O135">
        <v>20</v>
      </c>
      <c r="P135">
        <v>32</v>
      </c>
      <c r="Q135">
        <v>78</v>
      </c>
      <c r="R135">
        <v>29</v>
      </c>
      <c r="S135">
        <v>31</v>
      </c>
      <c r="T135">
        <v>22</v>
      </c>
      <c r="U135">
        <v>25</v>
      </c>
      <c r="V135">
        <v>55</v>
      </c>
      <c r="W135">
        <v>38</v>
      </c>
      <c r="X135">
        <v>67</v>
      </c>
      <c r="Y135">
        <v>86</v>
      </c>
      <c r="Z135">
        <v>53</v>
      </c>
      <c r="AA135">
        <v>102</v>
      </c>
      <c r="AD135" t="s">
        <v>407</v>
      </c>
      <c r="AE135" s="28">
        <v>1249</v>
      </c>
      <c r="AF135">
        <v>5495</v>
      </c>
      <c r="AG135">
        <v>1127</v>
      </c>
      <c r="AH135">
        <v>5014</v>
      </c>
    </row>
    <row r="136" spans="1:34" hidden="1">
      <c r="A136" s="39" t="s">
        <v>21</v>
      </c>
      <c r="B136" s="39">
        <v>5320</v>
      </c>
      <c r="C136" s="39">
        <v>3011</v>
      </c>
      <c r="D136" s="39">
        <v>1145</v>
      </c>
      <c r="E136" s="39">
        <v>3689</v>
      </c>
      <c r="F136" s="39">
        <v>2504</v>
      </c>
      <c r="G136" s="39">
        <v>2187</v>
      </c>
      <c r="H136" s="39">
        <v>2306</v>
      </c>
      <c r="I136" s="39">
        <v>2366</v>
      </c>
      <c r="J136" s="39">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c r="AE136" s="28">
        <v>0</v>
      </c>
      <c r="AF136">
        <v>0</v>
      </c>
    </row>
    <row r="137" spans="1:34" hidden="1">
      <c r="A137" s="39" t="s">
        <v>205</v>
      </c>
      <c r="B137" s="39">
        <v>1619</v>
      </c>
      <c r="C137" s="39">
        <v>1633</v>
      </c>
      <c r="D137" s="39">
        <v>717</v>
      </c>
      <c r="E137" s="39">
        <v>826</v>
      </c>
      <c r="F137" s="39">
        <v>650</v>
      </c>
      <c r="G137" s="39">
        <v>725</v>
      </c>
      <c r="H137" s="39">
        <v>777</v>
      </c>
      <c r="I137" s="39">
        <v>962</v>
      </c>
      <c r="J137" s="39">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c r="AE137" s="28">
        <v>0</v>
      </c>
      <c r="AF137">
        <v>0</v>
      </c>
    </row>
    <row r="138" spans="1:34" hidden="1">
      <c r="A138" s="39" t="s">
        <v>275</v>
      </c>
      <c r="B138" s="39">
        <v>2361</v>
      </c>
      <c r="C138" s="39">
        <v>2605</v>
      </c>
      <c r="D138" s="39">
        <v>2688</v>
      </c>
      <c r="E138" s="39">
        <v>3554</v>
      </c>
      <c r="F138" s="39">
        <v>3657</v>
      </c>
      <c r="G138" s="39">
        <v>3360</v>
      </c>
      <c r="H138" s="39">
        <v>3137</v>
      </c>
      <c r="I138" s="39">
        <v>3454</v>
      </c>
      <c r="J138" s="39">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c r="AE138" s="28">
        <v>0</v>
      </c>
      <c r="AF138">
        <v>0</v>
      </c>
    </row>
    <row r="139" spans="1:34" hidden="1">
      <c r="A139" s="39" t="s">
        <v>199</v>
      </c>
      <c r="B139" s="39">
        <v>1476</v>
      </c>
      <c r="C139" s="39">
        <v>1945</v>
      </c>
      <c r="D139" s="39">
        <v>2127</v>
      </c>
      <c r="E139" s="39">
        <v>2420</v>
      </c>
      <c r="F139" s="39">
        <v>2366</v>
      </c>
      <c r="G139" s="39">
        <v>2349</v>
      </c>
      <c r="H139" s="39">
        <v>2432</v>
      </c>
      <c r="I139" s="39">
        <v>2364</v>
      </c>
      <c r="J139" s="39">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c r="AE139" s="28">
        <v>0</v>
      </c>
      <c r="AF139">
        <v>0</v>
      </c>
    </row>
    <row r="140" spans="1:34" hidden="1">
      <c r="A140" s="39" t="s">
        <v>770</v>
      </c>
      <c r="B140" s="39">
        <v>5127</v>
      </c>
      <c r="C140" s="39">
        <v>2691</v>
      </c>
      <c r="D140" s="39">
        <v>3374</v>
      </c>
      <c r="E140" s="39">
        <v>5722</v>
      </c>
      <c r="F140" s="39">
        <v>4410</v>
      </c>
      <c r="G140" s="39">
        <v>4656</v>
      </c>
      <c r="H140" s="39">
        <v>5272</v>
      </c>
      <c r="I140" s="39">
        <v>3944</v>
      </c>
      <c r="J140" s="39">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c r="AE140" s="28">
        <v>0</v>
      </c>
      <c r="AF140">
        <v>0</v>
      </c>
    </row>
    <row r="141" spans="1:34" hidden="1">
      <c r="A141" s="39" t="s">
        <v>691</v>
      </c>
      <c r="B141" s="39">
        <v>5383</v>
      </c>
      <c r="C141" s="39">
        <v>4790</v>
      </c>
      <c r="D141" s="39">
        <v>3916</v>
      </c>
      <c r="E141" s="39">
        <v>3315</v>
      </c>
      <c r="F141" s="39">
        <v>2791</v>
      </c>
      <c r="G141" s="39">
        <v>2696</v>
      </c>
      <c r="H141" s="39">
        <v>2057</v>
      </c>
      <c r="I141" s="39">
        <v>3008</v>
      </c>
      <c r="J141" s="39">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c r="AE141" s="28">
        <v>0</v>
      </c>
      <c r="AF141">
        <v>0</v>
      </c>
    </row>
    <row r="142" spans="1:34" hidden="1">
      <c r="A142" s="39" t="s">
        <v>565</v>
      </c>
      <c r="B142" s="39">
        <v>0</v>
      </c>
      <c r="C142" s="39">
        <v>2098</v>
      </c>
      <c r="D142" s="39">
        <v>2243</v>
      </c>
      <c r="E142" s="39">
        <v>2036</v>
      </c>
      <c r="F142" s="39">
        <v>1818</v>
      </c>
      <c r="G142" s="39">
        <v>2072</v>
      </c>
      <c r="H142" s="39">
        <v>1235</v>
      </c>
      <c r="I142" s="39">
        <v>1323</v>
      </c>
      <c r="J142" s="39">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c r="AD142" t="s">
        <v>385</v>
      </c>
      <c r="AE142" s="28">
        <v>477</v>
      </c>
      <c r="AF142">
        <v>2478</v>
      </c>
      <c r="AG142">
        <v>475</v>
      </c>
      <c r="AH142">
        <v>2376</v>
      </c>
    </row>
    <row r="143" spans="1:34" hidden="1">
      <c r="A143" s="39" t="s">
        <v>745</v>
      </c>
      <c r="B143" s="39">
        <v>762</v>
      </c>
      <c r="C143" s="39">
        <v>1141</v>
      </c>
      <c r="D143" s="39">
        <v>996</v>
      </c>
      <c r="E143" s="39">
        <v>2175</v>
      </c>
      <c r="F143" s="39">
        <v>1366</v>
      </c>
      <c r="G143" s="39">
        <v>2724</v>
      </c>
      <c r="H143" s="39">
        <v>1011</v>
      </c>
      <c r="I143" s="39">
        <v>1058</v>
      </c>
      <c r="J143" s="39">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c r="AD143" s="37" t="s">
        <v>343</v>
      </c>
      <c r="AE143" s="28">
        <v>732</v>
      </c>
      <c r="AF143">
        <v>3414</v>
      </c>
      <c r="AG143">
        <v>738</v>
      </c>
      <c r="AH143">
        <v>3203</v>
      </c>
    </row>
    <row r="144" spans="1:34" hidden="1">
      <c r="A144" s="39" t="s">
        <v>119</v>
      </c>
      <c r="B144" s="39">
        <v>1491</v>
      </c>
      <c r="C144" s="39">
        <v>1436</v>
      </c>
      <c r="D144" s="39">
        <v>1225</v>
      </c>
      <c r="E144" s="39">
        <v>1684</v>
      </c>
      <c r="F144" s="39">
        <v>1462</v>
      </c>
      <c r="G144" s="39">
        <v>1782</v>
      </c>
      <c r="H144" s="39">
        <v>1906</v>
      </c>
      <c r="I144" s="39">
        <v>1800</v>
      </c>
      <c r="J144" s="39">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c r="AD144" t="s">
        <v>389</v>
      </c>
      <c r="AE144" s="28">
        <v>807</v>
      </c>
      <c r="AF144">
        <v>3474</v>
      </c>
      <c r="AG144">
        <v>685</v>
      </c>
      <c r="AH144">
        <v>3403</v>
      </c>
    </row>
    <row r="145" spans="1:34" hidden="1">
      <c r="A145" s="39" t="s">
        <v>1348</v>
      </c>
      <c r="B145" s="39">
        <v>1434</v>
      </c>
      <c r="C145" s="39">
        <v>1037</v>
      </c>
      <c r="D145" s="39">
        <v>643</v>
      </c>
      <c r="E145" s="39">
        <v>560</v>
      </c>
      <c r="F145" s="39">
        <v>454</v>
      </c>
      <c r="G145" s="39">
        <v>513</v>
      </c>
      <c r="H145" s="39">
        <v>583</v>
      </c>
      <c r="I145" s="39">
        <v>404</v>
      </c>
      <c r="J145" s="39">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c r="AD145" t="s">
        <v>297</v>
      </c>
      <c r="AE145" s="28">
        <v>1176</v>
      </c>
      <c r="AF145">
        <v>4928</v>
      </c>
      <c r="AG145">
        <v>1070</v>
      </c>
      <c r="AH145">
        <v>3829</v>
      </c>
    </row>
    <row r="146" spans="1:34" hidden="1">
      <c r="A146" s="39" t="s">
        <v>1562</v>
      </c>
      <c r="B146" s="39">
        <v>602</v>
      </c>
      <c r="C146" s="39">
        <v>454</v>
      </c>
      <c r="D146" s="39">
        <v>98</v>
      </c>
      <c r="E146" s="39">
        <v>417</v>
      </c>
      <c r="F146" s="39">
        <v>336</v>
      </c>
      <c r="G146" s="39">
        <v>285</v>
      </c>
      <c r="H146" s="39">
        <v>926</v>
      </c>
      <c r="I146" s="39">
        <v>289</v>
      </c>
      <c r="J146" s="39">
        <v>0</v>
      </c>
      <c r="K146">
        <v>4</v>
      </c>
      <c r="L146">
        <v>2</v>
      </c>
      <c r="M146">
        <v>0</v>
      </c>
      <c r="N146">
        <v>0</v>
      </c>
      <c r="O146">
        <v>175</v>
      </c>
      <c r="P146">
        <v>91</v>
      </c>
      <c r="Q146">
        <v>0</v>
      </c>
      <c r="R146">
        <v>160</v>
      </c>
      <c r="S146">
        <v>111</v>
      </c>
      <c r="T146">
        <v>111</v>
      </c>
      <c r="U146">
        <v>399</v>
      </c>
      <c r="V146">
        <v>61</v>
      </c>
      <c r="W146">
        <v>1</v>
      </c>
      <c r="X146">
        <v>2</v>
      </c>
      <c r="Y146">
        <v>1</v>
      </c>
      <c r="Z146">
        <v>0</v>
      </c>
      <c r="AA146">
        <v>0</v>
      </c>
      <c r="AD146" t="s">
        <v>429</v>
      </c>
      <c r="AE146" s="28">
        <v>485</v>
      </c>
      <c r="AF146">
        <v>1503</v>
      </c>
      <c r="AG146">
        <v>600</v>
      </c>
      <c r="AH146">
        <v>2244</v>
      </c>
    </row>
    <row r="147" spans="1:34" hidden="1">
      <c r="A147" s="39" t="s">
        <v>1563</v>
      </c>
      <c r="B147" s="39">
        <v>511</v>
      </c>
      <c r="C147" s="39">
        <v>0</v>
      </c>
      <c r="D147" s="39">
        <v>0</v>
      </c>
      <c r="E147" s="39">
        <v>0</v>
      </c>
      <c r="F147" s="39">
        <v>0</v>
      </c>
      <c r="G147" s="39">
        <v>0</v>
      </c>
      <c r="H147" s="39">
        <v>0</v>
      </c>
      <c r="I147" s="39">
        <v>0</v>
      </c>
      <c r="J147" s="39">
        <v>107</v>
      </c>
      <c r="K147">
        <v>0</v>
      </c>
      <c r="L147">
        <v>127</v>
      </c>
      <c r="M147">
        <v>22</v>
      </c>
      <c r="N147">
        <v>51</v>
      </c>
      <c r="O147">
        <v>153</v>
      </c>
      <c r="P147">
        <v>0</v>
      </c>
      <c r="Q147">
        <v>0</v>
      </c>
      <c r="R147">
        <v>0</v>
      </c>
      <c r="S147">
        <v>0</v>
      </c>
      <c r="T147">
        <v>0</v>
      </c>
      <c r="U147">
        <v>0</v>
      </c>
      <c r="V147">
        <v>0</v>
      </c>
      <c r="W147">
        <v>21</v>
      </c>
      <c r="X147">
        <v>1</v>
      </c>
      <c r="Y147">
        <v>25</v>
      </c>
      <c r="Z147">
        <v>1</v>
      </c>
      <c r="AA147">
        <v>9</v>
      </c>
      <c r="AD147" t="s">
        <v>381</v>
      </c>
      <c r="AE147" s="28">
        <v>1603</v>
      </c>
      <c r="AF147">
        <v>5425</v>
      </c>
      <c r="AG147">
        <v>1488</v>
      </c>
      <c r="AH147">
        <v>5220</v>
      </c>
    </row>
    <row r="148" spans="1:34" hidden="1">
      <c r="A148" s="39" t="s">
        <v>1221</v>
      </c>
      <c r="B148" s="39">
        <v>446</v>
      </c>
      <c r="C148" s="39">
        <v>408</v>
      </c>
      <c r="D148" s="39">
        <v>328</v>
      </c>
      <c r="E148" s="39">
        <v>346</v>
      </c>
      <c r="F148" s="39">
        <v>332</v>
      </c>
      <c r="G148" s="39">
        <v>369</v>
      </c>
      <c r="H148" s="39">
        <v>428</v>
      </c>
      <c r="I148" s="39">
        <v>522</v>
      </c>
      <c r="J148" s="39">
        <v>778</v>
      </c>
      <c r="K148">
        <v>704</v>
      </c>
      <c r="L148">
        <v>572</v>
      </c>
      <c r="M148">
        <v>423</v>
      </c>
      <c r="N148">
        <v>526</v>
      </c>
      <c r="O148">
        <v>11</v>
      </c>
      <c r="P148">
        <v>88</v>
      </c>
      <c r="Q148">
        <v>85</v>
      </c>
      <c r="R148">
        <v>99</v>
      </c>
      <c r="S148">
        <v>107</v>
      </c>
      <c r="T148">
        <v>93</v>
      </c>
      <c r="U148">
        <v>125</v>
      </c>
      <c r="V148">
        <v>205</v>
      </c>
      <c r="W148">
        <v>261</v>
      </c>
      <c r="X148">
        <v>219</v>
      </c>
      <c r="Y148">
        <v>247</v>
      </c>
      <c r="Z148">
        <v>131</v>
      </c>
      <c r="AA148">
        <v>176</v>
      </c>
      <c r="AD148" t="s">
        <v>704</v>
      </c>
      <c r="AE148" s="28">
        <v>5633</v>
      </c>
      <c r="AF148">
        <v>24131</v>
      </c>
      <c r="AG148">
        <v>5006</v>
      </c>
      <c r="AH148">
        <v>20579</v>
      </c>
    </row>
    <row r="149" spans="1:34" hidden="1">
      <c r="A149" s="39" t="s">
        <v>1291</v>
      </c>
      <c r="B149" s="39">
        <v>198</v>
      </c>
      <c r="C149" s="39">
        <v>149</v>
      </c>
      <c r="D149" s="39">
        <v>200</v>
      </c>
      <c r="E149" s="39">
        <v>244</v>
      </c>
      <c r="F149" s="39">
        <v>134</v>
      </c>
      <c r="G149" s="39">
        <v>153</v>
      </c>
      <c r="H149" s="39">
        <v>155</v>
      </c>
      <c r="I149" s="39">
        <v>204</v>
      </c>
      <c r="J149" s="39">
        <v>198</v>
      </c>
      <c r="K149">
        <v>145</v>
      </c>
      <c r="L149">
        <v>180</v>
      </c>
      <c r="M149">
        <v>144</v>
      </c>
      <c r="N149">
        <v>144</v>
      </c>
      <c r="O149">
        <v>66</v>
      </c>
      <c r="P149">
        <v>49</v>
      </c>
      <c r="Q149">
        <v>88</v>
      </c>
      <c r="R149">
        <v>98</v>
      </c>
      <c r="S149">
        <v>31</v>
      </c>
      <c r="T149">
        <v>52</v>
      </c>
      <c r="U149">
        <v>56</v>
      </c>
      <c r="V149">
        <v>84</v>
      </c>
      <c r="W149">
        <v>90</v>
      </c>
      <c r="X149">
        <v>83</v>
      </c>
      <c r="Y149">
        <v>72</v>
      </c>
      <c r="Z149">
        <v>78</v>
      </c>
      <c r="AA149">
        <v>84</v>
      </c>
      <c r="AD149" t="s">
        <v>461</v>
      </c>
      <c r="AE149" s="28">
        <v>3162</v>
      </c>
      <c r="AF149">
        <v>14680</v>
      </c>
      <c r="AG149">
        <v>3141</v>
      </c>
      <c r="AH149">
        <v>14722</v>
      </c>
    </row>
    <row r="150" spans="1:34" hidden="1">
      <c r="A150" s="39" t="s">
        <v>1016</v>
      </c>
      <c r="B150" s="39">
        <v>336</v>
      </c>
      <c r="C150" s="39">
        <v>468</v>
      </c>
      <c r="D150" s="39">
        <v>470</v>
      </c>
      <c r="E150" s="39">
        <v>532</v>
      </c>
      <c r="F150" s="39">
        <v>375</v>
      </c>
      <c r="G150" s="39">
        <v>397</v>
      </c>
      <c r="H150" s="39">
        <v>488</v>
      </c>
      <c r="I150" s="39">
        <v>590</v>
      </c>
      <c r="J150" s="39">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c r="AD150" t="s">
        <v>1485</v>
      </c>
      <c r="AE150" s="28">
        <v>401</v>
      </c>
      <c r="AF150">
        <v>2749</v>
      </c>
      <c r="AH150">
        <v>0</v>
      </c>
    </row>
    <row r="151" spans="1:34" hidden="1">
      <c r="A151" s="39" t="s">
        <v>1483</v>
      </c>
      <c r="B151" s="39">
        <v>0</v>
      </c>
      <c r="C151" s="39">
        <v>298</v>
      </c>
      <c r="D151" s="39">
        <v>1106</v>
      </c>
      <c r="E151" s="39">
        <v>743</v>
      </c>
      <c r="F151" s="39">
        <v>683</v>
      </c>
      <c r="G151" s="39">
        <v>854</v>
      </c>
      <c r="H151" s="39">
        <v>562</v>
      </c>
      <c r="I151" s="39">
        <v>553</v>
      </c>
      <c r="J151" s="39">
        <v>893</v>
      </c>
      <c r="K151">
        <v>3</v>
      </c>
      <c r="L151">
        <v>0</v>
      </c>
      <c r="M151">
        <v>0</v>
      </c>
      <c r="N151">
        <v>0</v>
      </c>
      <c r="O151">
        <v>0</v>
      </c>
      <c r="P151">
        <v>24</v>
      </c>
      <c r="Q151">
        <v>100</v>
      </c>
      <c r="R151">
        <v>73</v>
      </c>
      <c r="S151">
        <v>72</v>
      </c>
      <c r="T151">
        <v>110</v>
      </c>
      <c r="U151">
        <v>69</v>
      </c>
      <c r="V151">
        <v>65</v>
      </c>
      <c r="W151">
        <v>103</v>
      </c>
      <c r="X151">
        <v>2</v>
      </c>
      <c r="Y151">
        <v>0</v>
      </c>
      <c r="Z151">
        <v>0</v>
      </c>
      <c r="AA151">
        <v>0</v>
      </c>
      <c r="AD151" t="s">
        <v>525</v>
      </c>
      <c r="AE151" s="28">
        <v>1430</v>
      </c>
      <c r="AF151">
        <v>3218</v>
      </c>
      <c r="AG151">
        <v>1479</v>
      </c>
      <c r="AH151">
        <v>2963</v>
      </c>
    </row>
    <row r="152" spans="1:34" hidden="1">
      <c r="A152" s="39" t="s">
        <v>1377</v>
      </c>
      <c r="B152" s="39">
        <v>637</v>
      </c>
      <c r="C152" s="39">
        <v>380</v>
      </c>
      <c r="D152" s="39">
        <v>776</v>
      </c>
      <c r="E152" s="39">
        <v>625</v>
      </c>
      <c r="F152" s="39">
        <v>736</v>
      </c>
      <c r="G152" s="39">
        <v>1280</v>
      </c>
      <c r="H152" s="39">
        <v>1008</v>
      </c>
      <c r="I152" s="39">
        <v>646</v>
      </c>
      <c r="J152" s="39">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c r="AD152" t="s">
        <v>613</v>
      </c>
      <c r="AE152" s="28">
        <v>751</v>
      </c>
      <c r="AF152">
        <v>2346</v>
      </c>
      <c r="AH152">
        <v>0</v>
      </c>
    </row>
    <row r="153" spans="1:34" hidden="1">
      <c r="A153" s="39" t="s">
        <v>1511</v>
      </c>
      <c r="B153" s="39">
        <v>260</v>
      </c>
      <c r="C153" s="39">
        <v>216</v>
      </c>
      <c r="D153" s="39">
        <v>283</v>
      </c>
      <c r="E153" s="39">
        <v>204</v>
      </c>
      <c r="F153" s="39">
        <v>165</v>
      </c>
      <c r="G153" s="39">
        <v>228</v>
      </c>
      <c r="H153" s="39">
        <v>208</v>
      </c>
      <c r="I153" s="39">
        <v>201</v>
      </c>
      <c r="J153" s="39">
        <v>173</v>
      </c>
      <c r="K153">
        <v>160</v>
      </c>
      <c r="L153">
        <v>141</v>
      </c>
      <c r="M153">
        <v>148</v>
      </c>
      <c r="N153">
        <v>0</v>
      </c>
      <c r="O153">
        <v>88</v>
      </c>
      <c r="P153">
        <v>71</v>
      </c>
      <c r="Q153">
        <v>60</v>
      </c>
      <c r="R153">
        <v>72</v>
      </c>
      <c r="S153">
        <v>73</v>
      </c>
      <c r="T153">
        <v>84</v>
      </c>
      <c r="U153">
        <v>68</v>
      </c>
      <c r="V153">
        <v>81</v>
      </c>
      <c r="W153">
        <v>89</v>
      </c>
      <c r="X153">
        <v>56</v>
      </c>
      <c r="Y153">
        <v>72</v>
      </c>
      <c r="Z153">
        <v>63</v>
      </c>
      <c r="AA153">
        <v>0</v>
      </c>
      <c r="AD153" t="s">
        <v>654</v>
      </c>
      <c r="AE153" s="28">
        <v>696</v>
      </c>
      <c r="AF153">
        <v>1647</v>
      </c>
      <c r="AH153">
        <v>0</v>
      </c>
    </row>
    <row r="154" spans="1:34" hidden="1">
      <c r="A154" s="39" t="s">
        <v>988</v>
      </c>
      <c r="B154" s="39">
        <v>404</v>
      </c>
      <c r="C154" s="39">
        <v>496</v>
      </c>
      <c r="D154" s="39">
        <v>401</v>
      </c>
      <c r="E154" s="39">
        <v>381</v>
      </c>
      <c r="F154" s="39">
        <v>413</v>
      </c>
      <c r="G154" s="39">
        <v>334</v>
      </c>
      <c r="H154" s="39">
        <v>330</v>
      </c>
      <c r="I154" s="39">
        <v>340</v>
      </c>
      <c r="J154" s="39">
        <v>279</v>
      </c>
      <c r="K154">
        <v>18</v>
      </c>
      <c r="L154">
        <v>0</v>
      </c>
      <c r="M154">
        <v>3</v>
      </c>
      <c r="N154">
        <v>0</v>
      </c>
      <c r="O154">
        <v>111</v>
      </c>
      <c r="P154">
        <v>203</v>
      </c>
      <c r="Q154">
        <v>114</v>
      </c>
      <c r="R154">
        <v>201</v>
      </c>
      <c r="S154">
        <v>108</v>
      </c>
      <c r="T154">
        <v>98</v>
      </c>
      <c r="U154">
        <v>89</v>
      </c>
      <c r="V154">
        <v>101</v>
      </c>
      <c r="W154">
        <v>118</v>
      </c>
      <c r="X154">
        <v>6</v>
      </c>
      <c r="Y154">
        <v>0</v>
      </c>
      <c r="Z154">
        <v>0</v>
      </c>
      <c r="AA154">
        <v>0</v>
      </c>
      <c r="AD154" t="s">
        <v>517</v>
      </c>
      <c r="AE154" s="28">
        <v>1272</v>
      </c>
      <c r="AF154">
        <v>3593</v>
      </c>
      <c r="AG154">
        <v>1083</v>
      </c>
      <c r="AH154">
        <v>3121</v>
      </c>
    </row>
    <row r="155" spans="1:34" hidden="1">
      <c r="A155" s="39" t="s">
        <v>872</v>
      </c>
      <c r="B155" s="39">
        <v>1239</v>
      </c>
      <c r="C155" s="39">
        <v>1315</v>
      </c>
      <c r="D155" s="39">
        <v>1112</v>
      </c>
      <c r="E155" s="39">
        <v>1316</v>
      </c>
      <c r="F155" s="39">
        <v>1188</v>
      </c>
      <c r="G155" s="39">
        <v>1019</v>
      </c>
      <c r="H155" s="39">
        <v>1042</v>
      </c>
      <c r="I155" s="39">
        <v>1211</v>
      </c>
      <c r="J155" s="39">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c r="AD155" s="37" t="s">
        <v>379</v>
      </c>
      <c r="AE155" s="28">
        <v>924</v>
      </c>
      <c r="AF155">
        <v>5069</v>
      </c>
      <c r="AG155">
        <v>968</v>
      </c>
      <c r="AH155">
        <v>5496</v>
      </c>
    </row>
    <row r="156" spans="1:34" hidden="1">
      <c r="A156" s="39" t="s">
        <v>1160</v>
      </c>
      <c r="B156" s="39">
        <v>0</v>
      </c>
      <c r="C156" s="39">
        <v>334</v>
      </c>
      <c r="D156" s="39">
        <v>746</v>
      </c>
      <c r="E156" s="39">
        <v>755</v>
      </c>
      <c r="F156" s="39">
        <v>764</v>
      </c>
      <c r="G156" s="39">
        <v>776</v>
      </c>
      <c r="H156" s="39">
        <v>736</v>
      </c>
      <c r="I156" s="39">
        <v>863</v>
      </c>
      <c r="J156" s="39">
        <v>821</v>
      </c>
      <c r="K156">
        <v>694</v>
      </c>
      <c r="L156">
        <v>791</v>
      </c>
      <c r="M156">
        <v>634</v>
      </c>
      <c r="N156">
        <v>958</v>
      </c>
      <c r="O156">
        <v>0</v>
      </c>
      <c r="P156">
        <v>0</v>
      </c>
      <c r="Q156">
        <v>95</v>
      </c>
      <c r="R156">
        <v>371</v>
      </c>
      <c r="S156">
        <v>320</v>
      </c>
      <c r="T156">
        <v>332</v>
      </c>
      <c r="U156">
        <v>309</v>
      </c>
      <c r="V156">
        <v>403</v>
      </c>
      <c r="W156">
        <v>340</v>
      </c>
      <c r="X156">
        <v>314</v>
      </c>
      <c r="Y156">
        <v>441</v>
      </c>
      <c r="Z156">
        <v>273</v>
      </c>
      <c r="AA156">
        <v>444</v>
      </c>
      <c r="AD156" t="s">
        <v>1493</v>
      </c>
      <c r="AE156" s="28">
        <v>3</v>
      </c>
      <c r="AF156">
        <v>134</v>
      </c>
      <c r="AG156">
        <v>11</v>
      </c>
      <c r="AH156">
        <v>171</v>
      </c>
    </row>
    <row r="157" spans="1:34" hidden="1">
      <c r="A157" s="39" t="s">
        <v>1245</v>
      </c>
      <c r="B157" s="39">
        <v>715</v>
      </c>
      <c r="C157" s="39">
        <v>979</v>
      </c>
      <c r="D157" s="39">
        <v>854</v>
      </c>
      <c r="E157" s="39">
        <v>785</v>
      </c>
      <c r="F157" s="39">
        <v>626</v>
      </c>
      <c r="G157" s="39">
        <v>719</v>
      </c>
      <c r="H157" s="39">
        <v>373</v>
      </c>
      <c r="I157" s="39">
        <v>642</v>
      </c>
      <c r="J157" s="39">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c r="AD157" t="s">
        <v>467</v>
      </c>
      <c r="AE157" s="28">
        <v>654</v>
      </c>
      <c r="AF157">
        <v>2670</v>
      </c>
      <c r="AG157">
        <v>562</v>
      </c>
      <c r="AH157">
        <v>2401</v>
      </c>
    </row>
    <row r="158" spans="1:34" hidden="1">
      <c r="A158" s="39" t="s">
        <v>1252</v>
      </c>
      <c r="B158" s="39">
        <v>1369</v>
      </c>
      <c r="C158" s="39">
        <v>297</v>
      </c>
      <c r="D158" s="39">
        <v>0</v>
      </c>
      <c r="E158" s="39">
        <v>848</v>
      </c>
      <c r="F158" s="39">
        <v>772</v>
      </c>
      <c r="G158" s="39">
        <v>797</v>
      </c>
      <c r="H158" s="39">
        <v>491</v>
      </c>
      <c r="I158" s="39">
        <v>684</v>
      </c>
      <c r="J158" s="39">
        <v>620</v>
      </c>
      <c r="K158">
        <v>435</v>
      </c>
      <c r="L158">
        <v>807</v>
      </c>
      <c r="M158">
        <v>784</v>
      </c>
      <c r="N158">
        <v>629</v>
      </c>
      <c r="O158">
        <v>342</v>
      </c>
      <c r="P158">
        <v>0</v>
      </c>
      <c r="Q158">
        <v>36</v>
      </c>
      <c r="R158">
        <v>255</v>
      </c>
      <c r="S158">
        <v>250</v>
      </c>
      <c r="T158">
        <v>258</v>
      </c>
      <c r="U158">
        <v>142</v>
      </c>
      <c r="V158">
        <v>217</v>
      </c>
      <c r="W158">
        <v>214</v>
      </c>
      <c r="X158">
        <v>145</v>
      </c>
      <c r="Y158">
        <v>268</v>
      </c>
      <c r="Z158">
        <v>150</v>
      </c>
      <c r="AA158">
        <v>169</v>
      </c>
      <c r="AD158" t="s">
        <v>1472</v>
      </c>
      <c r="AE158" s="28">
        <v>272</v>
      </c>
      <c r="AF158">
        <v>858</v>
      </c>
      <c r="AH158">
        <v>0</v>
      </c>
    </row>
    <row r="159" spans="1:34" hidden="1">
      <c r="A159" s="39" t="s">
        <v>1368</v>
      </c>
      <c r="B159" s="39">
        <v>819</v>
      </c>
      <c r="C159" s="39">
        <v>1055</v>
      </c>
      <c r="D159" s="39">
        <v>723</v>
      </c>
      <c r="E159" s="39">
        <v>644</v>
      </c>
      <c r="F159" s="39">
        <v>477</v>
      </c>
      <c r="G159" s="39">
        <v>469</v>
      </c>
      <c r="H159" s="39">
        <v>483</v>
      </c>
      <c r="I159" s="39">
        <v>630</v>
      </c>
      <c r="J159" s="39">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c r="AD159" t="s">
        <v>1465</v>
      </c>
      <c r="AE159" s="28">
        <v>8</v>
      </c>
      <c r="AF159">
        <v>68</v>
      </c>
      <c r="AH159">
        <v>0</v>
      </c>
    </row>
    <row r="160" spans="1:34" hidden="1">
      <c r="A160" s="39" t="s">
        <v>1352</v>
      </c>
      <c r="B160" s="39">
        <v>2153</v>
      </c>
      <c r="C160" s="39">
        <v>2493</v>
      </c>
      <c r="D160" s="39">
        <v>2220</v>
      </c>
      <c r="E160" s="39">
        <v>2376</v>
      </c>
      <c r="F160" s="39">
        <v>1752</v>
      </c>
      <c r="G160" s="39">
        <v>1787</v>
      </c>
      <c r="H160" s="39">
        <v>1888</v>
      </c>
      <c r="I160" s="39">
        <v>2022</v>
      </c>
      <c r="J160" s="39">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c r="AD160" t="s">
        <v>551</v>
      </c>
      <c r="AE160" s="28">
        <v>460</v>
      </c>
      <c r="AF160">
        <v>2947</v>
      </c>
      <c r="AH160">
        <v>0</v>
      </c>
    </row>
    <row r="161" spans="1:34" hidden="1">
      <c r="A161" s="39" t="s">
        <v>1231</v>
      </c>
      <c r="B161" s="39">
        <v>0</v>
      </c>
      <c r="C161" s="39">
        <v>0</v>
      </c>
      <c r="D161" s="39">
        <v>0</v>
      </c>
      <c r="E161" s="39">
        <v>36</v>
      </c>
      <c r="F161" s="39">
        <v>172</v>
      </c>
      <c r="G161" s="39">
        <v>179</v>
      </c>
      <c r="H161" s="39">
        <v>394</v>
      </c>
      <c r="I161" s="39">
        <v>608</v>
      </c>
      <c r="J161" s="39">
        <v>276</v>
      </c>
      <c r="K161">
        <v>322</v>
      </c>
      <c r="L161">
        <v>310</v>
      </c>
      <c r="M161">
        <v>225</v>
      </c>
      <c r="N161">
        <v>249</v>
      </c>
      <c r="O161">
        <v>0</v>
      </c>
      <c r="P161">
        <v>0</v>
      </c>
      <c r="Q161">
        <v>0</v>
      </c>
      <c r="R161">
        <v>0</v>
      </c>
      <c r="S161">
        <v>44</v>
      </c>
      <c r="T161">
        <v>55</v>
      </c>
      <c r="U161">
        <v>111</v>
      </c>
      <c r="V161">
        <v>163</v>
      </c>
      <c r="W161">
        <v>67</v>
      </c>
      <c r="X161">
        <v>69</v>
      </c>
      <c r="Y161">
        <v>80</v>
      </c>
      <c r="Z161">
        <v>38</v>
      </c>
      <c r="AA161">
        <v>63</v>
      </c>
      <c r="AD161" t="s">
        <v>443</v>
      </c>
      <c r="AE161" s="28">
        <v>1605</v>
      </c>
      <c r="AF161">
        <v>4839</v>
      </c>
      <c r="AG161">
        <v>1480</v>
      </c>
      <c r="AH161">
        <v>4715</v>
      </c>
    </row>
    <row r="162" spans="1:34" hidden="1">
      <c r="A162" s="39" t="s">
        <v>978</v>
      </c>
      <c r="B162" s="39">
        <v>558</v>
      </c>
      <c r="C162" s="39">
        <v>624</v>
      </c>
      <c r="D162" s="39">
        <v>980</v>
      </c>
      <c r="E162" s="39">
        <v>460</v>
      </c>
      <c r="F162" s="39">
        <v>324</v>
      </c>
      <c r="G162" s="39">
        <v>407</v>
      </c>
      <c r="H162" s="39">
        <v>537</v>
      </c>
      <c r="I162" s="39">
        <v>403</v>
      </c>
      <c r="J162" s="39">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c r="AD162" t="s">
        <v>405</v>
      </c>
      <c r="AE162" s="28">
        <v>906</v>
      </c>
      <c r="AF162">
        <v>2927</v>
      </c>
      <c r="AG162">
        <v>951</v>
      </c>
      <c r="AH162">
        <v>3156</v>
      </c>
    </row>
    <row r="163" spans="1:34" hidden="1">
      <c r="A163" s="39" t="s">
        <v>886</v>
      </c>
      <c r="B163" s="39">
        <v>424</v>
      </c>
      <c r="C163" s="39">
        <v>475</v>
      </c>
      <c r="D163" s="39">
        <v>420</v>
      </c>
      <c r="E163" s="39">
        <v>447</v>
      </c>
      <c r="F163" s="39">
        <v>461</v>
      </c>
      <c r="G163" s="39">
        <v>434</v>
      </c>
      <c r="H163" s="39">
        <v>476</v>
      </c>
      <c r="I163" s="39">
        <v>441</v>
      </c>
      <c r="J163" s="39">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c r="AD163" t="s">
        <v>1479</v>
      </c>
      <c r="AE163" s="28">
        <v>2</v>
      </c>
      <c r="AF163">
        <v>10</v>
      </c>
      <c r="AH163">
        <v>0</v>
      </c>
    </row>
    <row r="164" spans="1:34" hidden="1">
      <c r="A164" s="39" t="s">
        <v>1342</v>
      </c>
      <c r="B164" s="39">
        <v>3418</v>
      </c>
      <c r="C164" s="39">
        <v>372</v>
      </c>
      <c r="D164" s="39">
        <v>1874</v>
      </c>
      <c r="E164" s="39">
        <v>2165</v>
      </c>
      <c r="F164" s="39">
        <v>1222</v>
      </c>
      <c r="G164" s="39">
        <v>918</v>
      </c>
      <c r="H164" s="39">
        <v>2617</v>
      </c>
      <c r="I164" s="39">
        <v>1522</v>
      </c>
      <c r="J164" s="39">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c r="AD164" t="s">
        <v>248</v>
      </c>
      <c r="AE164" s="28">
        <v>910</v>
      </c>
      <c r="AF164">
        <v>2491</v>
      </c>
      <c r="AG164">
        <v>794</v>
      </c>
      <c r="AH164">
        <v>2329</v>
      </c>
    </row>
    <row r="165" spans="1:34" hidden="1">
      <c r="A165" s="39" t="s">
        <v>1179</v>
      </c>
      <c r="B165" s="39">
        <v>985</v>
      </c>
      <c r="C165" s="39">
        <v>847</v>
      </c>
      <c r="D165" s="39">
        <v>817</v>
      </c>
      <c r="E165" s="39">
        <v>688</v>
      </c>
      <c r="F165" s="39">
        <v>499</v>
      </c>
      <c r="G165" s="39">
        <v>442</v>
      </c>
      <c r="H165" s="39">
        <v>445</v>
      </c>
      <c r="I165" s="39">
        <v>515</v>
      </c>
      <c r="J165" s="39">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c r="AD165" t="s">
        <v>32</v>
      </c>
      <c r="AE165" s="28">
        <v>2224</v>
      </c>
      <c r="AF165">
        <v>6292</v>
      </c>
      <c r="AG165">
        <v>2171</v>
      </c>
      <c r="AH165">
        <v>6267</v>
      </c>
    </row>
    <row r="166" spans="1:34" hidden="1">
      <c r="A166" s="39" t="s">
        <v>812</v>
      </c>
      <c r="B166" s="39">
        <v>2497</v>
      </c>
      <c r="C166" s="39">
        <v>1850</v>
      </c>
      <c r="D166" s="39">
        <v>1991</v>
      </c>
      <c r="E166" s="39">
        <v>2772</v>
      </c>
      <c r="F166" s="39">
        <v>2176</v>
      </c>
      <c r="G166" s="39">
        <v>1501</v>
      </c>
      <c r="H166" s="39">
        <v>1366</v>
      </c>
      <c r="I166" s="39">
        <v>1596</v>
      </c>
      <c r="J166" s="39">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c r="AD166" t="s">
        <v>399</v>
      </c>
      <c r="AE166" s="28">
        <v>739</v>
      </c>
      <c r="AF166">
        <v>3285</v>
      </c>
      <c r="AG166">
        <v>766</v>
      </c>
      <c r="AH166">
        <v>3874</v>
      </c>
    </row>
    <row r="167" spans="1:34" hidden="1">
      <c r="A167" s="39" t="s">
        <v>195</v>
      </c>
      <c r="B167" s="39">
        <v>1688</v>
      </c>
      <c r="C167" s="39">
        <v>1053</v>
      </c>
      <c r="D167" s="39">
        <v>946</v>
      </c>
      <c r="E167" s="39">
        <v>928</v>
      </c>
      <c r="F167" s="39">
        <v>934</v>
      </c>
      <c r="G167" s="39">
        <v>895</v>
      </c>
      <c r="H167" s="39">
        <v>975</v>
      </c>
      <c r="I167" s="39">
        <v>944</v>
      </c>
      <c r="J167" s="39">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c r="AD167" t="s">
        <v>1478</v>
      </c>
      <c r="AE167" s="28">
        <v>189</v>
      </c>
      <c r="AF167">
        <v>685</v>
      </c>
      <c r="AH167">
        <v>0</v>
      </c>
    </row>
    <row r="168" spans="1:34" hidden="1">
      <c r="A168" s="39" t="s">
        <v>1138</v>
      </c>
      <c r="B168" s="39">
        <v>7650</v>
      </c>
      <c r="C168" s="39">
        <v>13806</v>
      </c>
      <c r="D168" s="39">
        <v>6603</v>
      </c>
      <c r="E168" s="39">
        <v>5324</v>
      </c>
      <c r="F168" s="39">
        <v>5917</v>
      </c>
      <c r="G168" s="39">
        <v>5980</v>
      </c>
      <c r="H168" s="39">
        <v>3818</v>
      </c>
      <c r="I168" s="39">
        <v>7142</v>
      </c>
      <c r="J168" s="39">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c r="AD168" t="s">
        <v>1482</v>
      </c>
      <c r="AE168" s="28">
        <v>131</v>
      </c>
      <c r="AF168">
        <v>710</v>
      </c>
      <c r="AH168">
        <v>0</v>
      </c>
    </row>
    <row r="169" spans="1:34" hidden="1">
      <c r="A169" s="39" t="s">
        <v>968</v>
      </c>
      <c r="B169" s="39">
        <v>670</v>
      </c>
      <c r="C169" s="39">
        <v>116</v>
      </c>
      <c r="D169" s="39">
        <v>398</v>
      </c>
      <c r="E169" s="39">
        <v>445</v>
      </c>
      <c r="F169" s="39">
        <v>359</v>
      </c>
      <c r="G169" s="39">
        <v>355</v>
      </c>
      <c r="H169" s="39">
        <v>239</v>
      </c>
      <c r="I169" s="39">
        <v>322</v>
      </c>
      <c r="J169" s="39">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c r="AD169" t="s">
        <v>499</v>
      </c>
      <c r="AE169" s="29">
        <v>241</v>
      </c>
      <c r="AF169">
        <v>1588</v>
      </c>
      <c r="AG169">
        <v>264</v>
      </c>
      <c r="AH169">
        <v>1608</v>
      </c>
    </row>
    <row r="170" spans="1:34" hidden="1">
      <c r="A170" s="39" t="s">
        <v>725</v>
      </c>
      <c r="B170" s="39">
        <v>416</v>
      </c>
      <c r="C170" s="39">
        <v>1739</v>
      </c>
      <c r="D170" s="39">
        <v>1284</v>
      </c>
      <c r="E170" s="39">
        <v>1175</v>
      </c>
      <c r="F170" s="39">
        <v>1221</v>
      </c>
      <c r="G170" s="39">
        <v>1495</v>
      </c>
      <c r="H170" s="39">
        <v>657</v>
      </c>
      <c r="I170" s="39">
        <v>1287</v>
      </c>
      <c r="J170" s="39">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c r="AD170" t="s">
        <v>401</v>
      </c>
      <c r="AE170" s="28">
        <v>2823</v>
      </c>
      <c r="AF170">
        <v>12738</v>
      </c>
      <c r="AG170">
        <v>2583</v>
      </c>
      <c r="AH170">
        <v>13375</v>
      </c>
    </row>
    <row r="171" spans="1:34" hidden="1">
      <c r="A171" s="39" t="s">
        <v>1409</v>
      </c>
      <c r="B171" s="39">
        <v>0</v>
      </c>
      <c r="C171" s="39">
        <v>0</v>
      </c>
      <c r="D171" s="39">
        <v>0</v>
      </c>
      <c r="E171" s="39">
        <v>0</v>
      </c>
      <c r="F171" s="39">
        <v>0</v>
      </c>
      <c r="G171" s="39">
        <v>144</v>
      </c>
      <c r="H171" s="39">
        <v>2461</v>
      </c>
      <c r="I171" s="39">
        <v>2491</v>
      </c>
      <c r="J171" s="39">
        <v>2416</v>
      </c>
      <c r="K171">
        <v>987</v>
      </c>
      <c r="L171">
        <v>1751</v>
      </c>
      <c r="M171">
        <v>2342</v>
      </c>
      <c r="N171">
        <v>3384</v>
      </c>
      <c r="O171">
        <v>0</v>
      </c>
      <c r="P171">
        <v>0</v>
      </c>
      <c r="Q171">
        <v>0</v>
      </c>
      <c r="R171">
        <v>0</v>
      </c>
      <c r="S171">
        <v>0</v>
      </c>
      <c r="T171">
        <v>0</v>
      </c>
      <c r="U171">
        <v>882</v>
      </c>
      <c r="V171">
        <v>79</v>
      </c>
      <c r="W171">
        <v>531</v>
      </c>
      <c r="X171">
        <v>276</v>
      </c>
      <c r="Y171">
        <v>575</v>
      </c>
      <c r="Z171">
        <v>889</v>
      </c>
      <c r="AA171">
        <v>1165</v>
      </c>
      <c r="AD171" t="s">
        <v>321</v>
      </c>
      <c r="AE171" s="28">
        <v>1428</v>
      </c>
      <c r="AF171">
        <v>3763</v>
      </c>
      <c r="AG171">
        <v>1354</v>
      </c>
      <c r="AH171">
        <v>3424</v>
      </c>
    </row>
    <row r="172" spans="1:34" hidden="1">
      <c r="A172" s="39" t="s">
        <v>511</v>
      </c>
      <c r="B172" s="39">
        <v>4005</v>
      </c>
      <c r="C172" s="39">
        <v>3935</v>
      </c>
      <c r="D172" s="39">
        <v>4402</v>
      </c>
      <c r="E172" s="39">
        <v>4192</v>
      </c>
      <c r="F172" s="39">
        <v>3156</v>
      </c>
      <c r="G172" s="39">
        <v>3022</v>
      </c>
      <c r="H172" s="39">
        <v>3527</v>
      </c>
      <c r="I172" s="39">
        <v>3401</v>
      </c>
      <c r="J172" s="39">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c r="AD172" t="s">
        <v>481</v>
      </c>
      <c r="AE172" s="28">
        <v>623</v>
      </c>
      <c r="AF172">
        <v>2903</v>
      </c>
      <c r="AG172">
        <v>624</v>
      </c>
      <c r="AH172">
        <v>2785</v>
      </c>
    </row>
    <row r="173" spans="1:34" hidden="1">
      <c r="A173" s="39" t="s">
        <v>1362</v>
      </c>
      <c r="B173" s="39">
        <v>1177</v>
      </c>
      <c r="C173" s="39">
        <v>669</v>
      </c>
      <c r="D173" s="39">
        <v>478</v>
      </c>
      <c r="E173" s="39">
        <v>414</v>
      </c>
      <c r="F173" s="39">
        <v>676</v>
      </c>
      <c r="G173" s="39">
        <v>792</v>
      </c>
      <c r="H173" s="39">
        <v>567</v>
      </c>
      <c r="I173" s="39">
        <v>1795</v>
      </c>
      <c r="J173" s="39">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c r="AD173" t="s">
        <v>333</v>
      </c>
      <c r="AE173" s="28">
        <v>787</v>
      </c>
      <c r="AF173">
        <v>2041</v>
      </c>
      <c r="AG173">
        <v>864</v>
      </c>
      <c r="AH173">
        <v>2251</v>
      </c>
    </row>
    <row r="174" spans="1:34" hidden="1">
      <c r="A174" s="39" t="s">
        <v>1257</v>
      </c>
      <c r="B174" s="39">
        <v>420</v>
      </c>
      <c r="C174" s="39">
        <v>905</v>
      </c>
      <c r="D174" s="39">
        <v>0</v>
      </c>
      <c r="E174" s="39">
        <v>0</v>
      </c>
      <c r="F174" s="39">
        <v>243</v>
      </c>
      <c r="G174" s="39">
        <v>230</v>
      </c>
      <c r="H174" s="39">
        <v>245</v>
      </c>
      <c r="I174" s="39">
        <v>313</v>
      </c>
      <c r="J174" s="39">
        <v>176</v>
      </c>
      <c r="K174">
        <v>217</v>
      </c>
      <c r="L174">
        <v>419</v>
      </c>
      <c r="M174">
        <v>313</v>
      </c>
      <c r="N174">
        <v>293</v>
      </c>
      <c r="O174">
        <v>82</v>
      </c>
      <c r="P174">
        <v>168</v>
      </c>
      <c r="Q174">
        <v>3</v>
      </c>
      <c r="R174">
        <v>6</v>
      </c>
      <c r="S174">
        <v>73</v>
      </c>
      <c r="T174">
        <v>50</v>
      </c>
      <c r="U174">
        <v>78</v>
      </c>
      <c r="V174">
        <v>72</v>
      </c>
      <c r="W174">
        <v>51</v>
      </c>
      <c r="X174">
        <v>60</v>
      </c>
      <c r="Y174">
        <v>102</v>
      </c>
      <c r="Z174">
        <v>70</v>
      </c>
      <c r="AA174">
        <v>80</v>
      </c>
      <c r="AD174" t="s">
        <v>281</v>
      </c>
      <c r="AE174" s="28">
        <v>626</v>
      </c>
      <c r="AF174">
        <v>2805</v>
      </c>
      <c r="AG174">
        <v>606</v>
      </c>
      <c r="AH174">
        <v>2642</v>
      </c>
    </row>
    <row r="175" spans="1:34" hidden="1">
      <c r="A175" s="39" t="s">
        <v>252</v>
      </c>
      <c r="B175" s="39">
        <v>1339</v>
      </c>
      <c r="C175" s="39">
        <v>1142</v>
      </c>
      <c r="D175" s="39">
        <v>1084</v>
      </c>
      <c r="E175" s="39">
        <v>933</v>
      </c>
      <c r="F175" s="39">
        <v>792</v>
      </c>
      <c r="G175" s="39">
        <v>1046</v>
      </c>
      <c r="H175" s="39">
        <v>1128</v>
      </c>
      <c r="I175" s="39">
        <v>1509</v>
      </c>
      <c r="J175" s="39">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c r="AD175" t="s">
        <v>425</v>
      </c>
      <c r="AE175" s="28">
        <v>685</v>
      </c>
      <c r="AF175">
        <v>3289</v>
      </c>
      <c r="AG175">
        <v>567</v>
      </c>
      <c r="AH175">
        <v>2661</v>
      </c>
    </row>
    <row r="176" spans="1:34" hidden="1">
      <c r="A176" s="39" t="s">
        <v>825</v>
      </c>
      <c r="B176" s="39">
        <v>265</v>
      </c>
      <c r="C176" s="39">
        <v>246</v>
      </c>
      <c r="D176" s="39">
        <v>232</v>
      </c>
      <c r="E176" s="39">
        <v>236</v>
      </c>
      <c r="F176" s="39">
        <v>206</v>
      </c>
      <c r="G176" s="39">
        <v>182</v>
      </c>
      <c r="H176" s="39">
        <v>226</v>
      </c>
      <c r="I176" s="39">
        <v>213</v>
      </c>
      <c r="J176" s="39">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c r="AD176" t="s">
        <v>317</v>
      </c>
      <c r="AE176" s="28">
        <v>1328</v>
      </c>
      <c r="AF176">
        <v>4299</v>
      </c>
      <c r="AG176">
        <v>1212</v>
      </c>
      <c r="AH176">
        <v>3861</v>
      </c>
    </row>
    <row r="177" spans="1:34" hidden="1">
      <c r="A177" s="39" t="s">
        <v>854</v>
      </c>
      <c r="B177" s="39">
        <v>2923</v>
      </c>
      <c r="C177" s="39">
        <v>1362</v>
      </c>
      <c r="D177" s="39">
        <v>2460</v>
      </c>
      <c r="E177" s="39">
        <v>3056</v>
      </c>
      <c r="F177" s="39">
        <v>2721</v>
      </c>
      <c r="G177" s="39">
        <v>1512</v>
      </c>
      <c r="H177" s="39">
        <v>1170</v>
      </c>
      <c r="I177" s="39">
        <v>1378</v>
      </c>
      <c r="J177" s="39">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c r="AD177" s="37" t="s">
        <v>421</v>
      </c>
      <c r="AE177" s="28">
        <v>668</v>
      </c>
      <c r="AF177">
        <v>7767</v>
      </c>
      <c r="AG177">
        <v>1143</v>
      </c>
      <c r="AH177">
        <v>10440</v>
      </c>
    </row>
    <row r="178" spans="1:34" hidden="1">
      <c r="A178" s="39" t="s">
        <v>353</v>
      </c>
      <c r="B178" s="39">
        <v>6001</v>
      </c>
      <c r="C178" s="39">
        <v>12082</v>
      </c>
      <c r="D178" s="39">
        <v>8755</v>
      </c>
      <c r="E178" s="39">
        <v>13184</v>
      </c>
      <c r="F178" s="39">
        <v>12988</v>
      </c>
      <c r="G178" s="39">
        <v>6562</v>
      </c>
      <c r="H178" s="39">
        <v>7094</v>
      </c>
      <c r="I178" s="39">
        <v>7373</v>
      </c>
      <c r="J178" s="39">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c r="AD178" t="s">
        <v>433</v>
      </c>
      <c r="AE178" s="28">
        <v>1208</v>
      </c>
      <c r="AF178">
        <v>4295</v>
      </c>
      <c r="AG178">
        <v>1090</v>
      </c>
      <c r="AH178">
        <v>3763</v>
      </c>
    </row>
    <row r="179" spans="1:34" hidden="1">
      <c r="A179" s="39" t="s">
        <v>254</v>
      </c>
      <c r="B179" s="39">
        <v>4791</v>
      </c>
      <c r="C179" s="39">
        <v>7626</v>
      </c>
      <c r="D179" s="39">
        <v>2539</v>
      </c>
      <c r="E179" s="39">
        <v>3770</v>
      </c>
      <c r="F179" s="39">
        <v>2839</v>
      </c>
      <c r="G179" s="39">
        <v>2086</v>
      </c>
      <c r="H179" s="39">
        <v>1005</v>
      </c>
      <c r="I179" s="39">
        <v>1990</v>
      </c>
      <c r="J179" s="39">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c r="AD179" t="s">
        <v>435</v>
      </c>
      <c r="AE179" s="28">
        <v>1509</v>
      </c>
      <c r="AF179">
        <v>9133</v>
      </c>
      <c r="AG179">
        <v>1433</v>
      </c>
      <c r="AH179">
        <v>8539</v>
      </c>
    </row>
    <row r="180" spans="1:34" hidden="1">
      <c r="A180" s="39" t="s">
        <v>1306</v>
      </c>
      <c r="B180" s="39">
        <v>0</v>
      </c>
      <c r="C180" s="39">
        <v>0</v>
      </c>
      <c r="D180" s="39">
        <v>0</v>
      </c>
      <c r="E180" s="39">
        <v>0</v>
      </c>
      <c r="F180" s="39">
        <v>0</v>
      </c>
      <c r="G180" s="39">
        <v>15</v>
      </c>
      <c r="H180" s="39">
        <v>156</v>
      </c>
      <c r="I180" s="39">
        <v>386</v>
      </c>
      <c r="J180" s="39">
        <v>397</v>
      </c>
      <c r="K180">
        <v>168</v>
      </c>
      <c r="L180">
        <v>292</v>
      </c>
      <c r="M180">
        <v>335</v>
      </c>
      <c r="N180">
        <v>522</v>
      </c>
      <c r="O180">
        <v>0</v>
      </c>
      <c r="P180">
        <v>0</v>
      </c>
      <c r="Q180">
        <v>0</v>
      </c>
      <c r="R180">
        <v>0</v>
      </c>
      <c r="S180">
        <v>0</v>
      </c>
      <c r="T180">
        <v>0</v>
      </c>
      <c r="U180">
        <v>14</v>
      </c>
      <c r="V180">
        <v>3</v>
      </c>
      <c r="W180">
        <v>44</v>
      </c>
      <c r="X180">
        <v>18</v>
      </c>
      <c r="Y180">
        <v>37</v>
      </c>
      <c r="Z180">
        <v>29</v>
      </c>
      <c r="AA180">
        <v>77</v>
      </c>
      <c r="AD180" t="s">
        <v>483</v>
      </c>
      <c r="AE180" s="28">
        <v>3022</v>
      </c>
      <c r="AF180">
        <v>9157</v>
      </c>
      <c r="AG180">
        <v>3472</v>
      </c>
      <c r="AH180">
        <v>9708</v>
      </c>
    </row>
    <row r="181" spans="1:34" hidden="1">
      <c r="A181" s="39" t="s">
        <v>864</v>
      </c>
      <c r="B181" s="39">
        <v>2331</v>
      </c>
      <c r="C181" s="39">
        <v>2258</v>
      </c>
      <c r="D181" s="39">
        <v>2009</v>
      </c>
      <c r="E181" s="39">
        <v>1233</v>
      </c>
      <c r="F181" s="39">
        <v>987</v>
      </c>
      <c r="G181" s="39">
        <v>1447</v>
      </c>
      <c r="H181" s="39">
        <v>3227</v>
      </c>
      <c r="I181" s="39">
        <v>1849</v>
      </c>
      <c r="J181" s="39">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c r="AD181" t="s">
        <v>395</v>
      </c>
      <c r="AE181" s="28">
        <v>1145</v>
      </c>
      <c r="AF181">
        <v>4679</v>
      </c>
      <c r="AG181">
        <v>696</v>
      </c>
      <c r="AH181">
        <v>3009</v>
      </c>
    </row>
    <row r="182" spans="1:34" hidden="1">
      <c r="A182" s="39" t="s">
        <v>775</v>
      </c>
      <c r="B182" s="39">
        <v>6166</v>
      </c>
      <c r="C182" s="39">
        <v>18443</v>
      </c>
      <c r="D182" s="39">
        <v>18111</v>
      </c>
      <c r="E182" s="39">
        <v>43927</v>
      </c>
      <c r="F182" s="39">
        <v>45214</v>
      </c>
      <c r="G182" s="39">
        <v>42221</v>
      </c>
      <c r="H182" s="39">
        <v>32418</v>
      </c>
      <c r="I182" s="39">
        <v>43067</v>
      </c>
      <c r="J182" s="39">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c r="AD182" t="s">
        <v>305</v>
      </c>
      <c r="AE182" s="28">
        <v>1394</v>
      </c>
      <c r="AF182">
        <v>5524</v>
      </c>
      <c r="AG182">
        <v>1299</v>
      </c>
      <c r="AH182">
        <v>5554</v>
      </c>
    </row>
    <row r="183" spans="1:34" hidden="1">
      <c r="A183" s="39" t="s">
        <v>1041</v>
      </c>
      <c r="B183" s="39">
        <v>2775</v>
      </c>
      <c r="C183" s="39">
        <v>5453</v>
      </c>
      <c r="D183" s="39">
        <v>3575</v>
      </c>
      <c r="E183" s="39">
        <v>939</v>
      </c>
      <c r="F183" s="39">
        <v>1665</v>
      </c>
      <c r="G183" s="39">
        <v>1015</v>
      </c>
      <c r="H183" s="39">
        <v>1447</v>
      </c>
      <c r="I183" s="39">
        <v>1250</v>
      </c>
      <c r="J183" s="39">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c r="AD183" t="s">
        <v>795</v>
      </c>
      <c r="AE183" s="28">
        <v>33472</v>
      </c>
      <c r="AF183">
        <v>138011</v>
      </c>
      <c r="AG183">
        <v>30123</v>
      </c>
      <c r="AH183">
        <v>128160</v>
      </c>
    </row>
    <row r="184" spans="1:34" hidden="1">
      <c r="A184" s="39" t="s">
        <v>1229</v>
      </c>
      <c r="B184" s="39">
        <v>772</v>
      </c>
      <c r="C184" s="39">
        <v>752</v>
      </c>
      <c r="D184" s="39">
        <v>882</v>
      </c>
      <c r="E184" s="39">
        <v>751</v>
      </c>
      <c r="F184" s="39">
        <v>516</v>
      </c>
      <c r="G184" s="39">
        <v>729</v>
      </c>
      <c r="H184" s="39">
        <v>560</v>
      </c>
      <c r="I184" s="39">
        <v>630</v>
      </c>
      <c r="J184" s="39">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c r="AD184" t="s">
        <v>387</v>
      </c>
      <c r="AE184" s="28">
        <v>1079</v>
      </c>
      <c r="AF184">
        <v>6617</v>
      </c>
      <c r="AG184">
        <v>1129</v>
      </c>
      <c r="AH184">
        <v>6537</v>
      </c>
    </row>
    <row r="185" spans="1:34" hidden="1">
      <c r="A185" s="39" t="s">
        <v>1203</v>
      </c>
      <c r="B185" s="39">
        <v>3362</v>
      </c>
      <c r="C185" s="39">
        <v>5362</v>
      </c>
      <c r="D185" s="39">
        <v>4587</v>
      </c>
      <c r="E185" s="39">
        <v>3398</v>
      </c>
      <c r="F185" s="39">
        <v>2881</v>
      </c>
      <c r="G185" s="39">
        <v>3856</v>
      </c>
      <c r="H185" s="39">
        <v>4317</v>
      </c>
      <c r="I185" s="39">
        <v>3115</v>
      </c>
      <c r="J185" s="39">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c r="AD185" s="27" t="s">
        <v>172</v>
      </c>
      <c r="AE185" s="29">
        <v>1417</v>
      </c>
      <c r="AF185">
        <v>8552</v>
      </c>
      <c r="AG185">
        <v>1530</v>
      </c>
      <c r="AH185">
        <v>8951</v>
      </c>
    </row>
    <row r="186" spans="1:34" hidden="1">
      <c r="A186" s="39" t="s">
        <v>1235</v>
      </c>
      <c r="B186" s="39">
        <v>490</v>
      </c>
      <c r="C186" s="39">
        <v>818</v>
      </c>
      <c r="D186" s="39">
        <v>604</v>
      </c>
      <c r="E186" s="39">
        <v>782</v>
      </c>
      <c r="F186" s="39">
        <v>746</v>
      </c>
      <c r="G186" s="39">
        <v>684</v>
      </c>
      <c r="H186" s="39">
        <v>1002</v>
      </c>
      <c r="I186" s="39">
        <v>1213</v>
      </c>
      <c r="J186" s="39">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c r="AD186" t="s">
        <v>271</v>
      </c>
      <c r="AE186" s="28">
        <v>834</v>
      </c>
      <c r="AF186">
        <v>3151</v>
      </c>
      <c r="AG186">
        <v>740</v>
      </c>
      <c r="AH186">
        <v>2672</v>
      </c>
    </row>
    <row r="187" spans="1:34" hidden="1">
      <c r="A187" s="39" t="s">
        <v>1050</v>
      </c>
      <c r="B187" s="39">
        <v>0</v>
      </c>
      <c r="C187" s="39">
        <v>0</v>
      </c>
      <c r="D187" s="39">
        <v>0</v>
      </c>
      <c r="E187" s="39">
        <v>0</v>
      </c>
      <c r="F187" s="39">
        <v>0</v>
      </c>
      <c r="G187" s="39">
        <v>0</v>
      </c>
      <c r="H187" s="39">
        <v>0</v>
      </c>
      <c r="I187" s="39">
        <v>1279</v>
      </c>
      <c r="J187" s="39">
        <v>1150</v>
      </c>
      <c r="K187">
        <v>1046</v>
      </c>
      <c r="L187">
        <v>790</v>
      </c>
      <c r="M187">
        <v>838</v>
      </c>
      <c r="N187">
        <v>1196</v>
      </c>
      <c r="O187">
        <v>0</v>
      </c>
      <c r="P187">
        <v>0</v>
      </c>
      <c r="Q187">
        <v>0</v>
      </c>
      <c r="R187">
        <v>0</v>
      </c>
      <c r="S187">
        <v>0</v>
      </c>
      <c r="T187">
        <v>0</v>
      </c>
      <c r="U187">
        <v>0</v>
      </c>
      <c r="V187">
        <v>448</v>
      </c>
      <c r="W187">
        <v>368</v>
      </c>
      <c r="X187">
        <v>341</v>
      </c>
      <c r="Y187">
        <v>308</v>
      </c>
      <c r="Z187">
        <v>334</v>
      </c>
      <c r="AA187">
        <v>434</v>
      </c>
      <c r="AD187" t="s">
        <v>218</v>
      </c>
      <c r="AE187" s="28">
        <v>1625</v>
      </c>
      <c r="AF187">
        <v>5322</v>
      </c>
      <c r="AG187">
        <v>1697</v>
      </c>
      <c r="AH187">
        <v>6038</v>
      </c>
    </row>
    <row r="188" spans="1:34" hidden="1">
      <c r="A188" s="39" t="s">
        <v>1079</v>
      </c>
      <c r="B188" s="39">
        <v>803</v>
      </c>
      <c r="C188" s="39">
        <v>744</v>
      </c>
      <c r="D188" s="39">
        <v>538</v>
      </c>
      <c r="E188" s="39">
        <v>968</v>
      </c>
      <c r="F188" s="39">
        <v>1086</v>
      </c>
      <c r="G188" s="39">
        <v>1251</v>
      </c>
      <c r="H188" s="39">
        <v>1003</v>
      </c>
      <c r="I188" s="39">
        <v>1410</v>
      </c>
      <c r="J188" s="39">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c r="AD188" t="s">
        <v>57</v>
      </c>
      <c r="AE188" s="28">
        <v>1102</v>
      </c>
      <c r="AF188">
        <v>5414</v>
      </c>
      <c r="AG188">
        <v>1212</v>
      </c>
      <c r="AH188">
        <v>6482</v>
      </c>
    </row>
    <row r="189" spans="1:34" hidden="1">
      <c r="A189" s="39" t="s">
        <v>1145</v>
      </c>
      <c r="B189" s="39">
        <v>8044</v>
      </c>
      <c r="C189" s="39">
        <v>7125</v>
      </c>
      <c r="D189" s="39">
        <v>5755</v>
      </c>
      <c r="E189" s="39">
        <v>6160</v>
      </c>
      <c r="F189" s="39">
        <v>5552</v>
      </c>
      <c r="G189" s="39">
        <v>5251</v>
      </c>
      <c r="H189" s="39">
        <v>4817</v>
      </c>
      <c r="I189" s="39">
        <v>5169</v>
      </c>
      <c r="J189" s="39">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c r="AD189" t="s">
        <v>621</v>
      </c>
      <c r="AE189" s="28">
        <v>2369</v>
      </c>
      <c r="AF189">
        <v>7209</v>
      </c>
      <c r="AG189">
        <v>1913</v>
      </c>
      <c r="AH189">
        <v>5327</v>
      </c>
    </row>
    <row r="190" spans="1:34" hidden="1">
      <c r="A190" s="39" t="s">
        <v>1148</v>
      </c>
      <c r="B190" s="39">
        <v>1959</v>
      </c>
      <c r="C190" s="39">
        <v>1940</v>
      </c>
      <c r="D190" s="39">
        <v>1506</v>
      </c>
      <c r="E190" s="39">
        <v>1606</v>
      </c>
      <c r="F190" s="39">
        <v>1689</v>
      </c>
      <c r="G190" s="39">
        <v>1668</v>
      </c>
      <c r="H190" s="39">
        <v>1723</v>
      </c>
      <c r="I190" s="39">
        <v>3158</v>
      </c>
      <c r="J190" s="39">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c r="AD190" t="s">
        <v>595</v>
      </c>
      <c r="AE190" s="28">
        <v>399</v>
      </c>
      <c r="AF190">
        <v>1384</v>
      </c>
      <c r="AG190">
        <v>351</v>
      </c>
      <c r="AH190">
        <v>1247</v>
      </c>
    </row>
    <row r="191" spans="1:34" hidden="1">
      <c r="A191" s="39" t="s">
        <v>1312</v>
      </c>
      <c r="B191" s="39">
        <v>0</v>
      </c>
      <c r="C191" s="39">
        <v>0</v>
      </c>
      <c r="D191" s="39">
        <v>0</v>
      </c>
      <c r="E191" s="39">
        <v>0</v>
      </c>
      <c r="F191" s="39">
        <v>0</v>
      </c>
      <c r="G191" s="39">
        <v>0</v>
      </c>
      <c r="H191" s="39">
        <v>0</v>
      </c>
      <c r="I191" s="39">
        <v>0</v>
      </c>
      <c r="J191" s="39">
        <v>638</v>
      </c>
      <c r="K191">
        <v>1403</v>
      </c>
      <c r="L191">
        <v>422</v>
      </c>
      <c r="M191">
        <v>727</v>
      </c>
      <c r="N191">
        <v>698</v>
      </c>
      <c r="O191">
        <v>0</v>
      </c>
      <c r="P191">
        <v>0</v>
      </c>
      <c r="Q191">
        <v>0</v>
      </c>
      <c r="R191">
        <v>0</v>
      </c>
      <c r="S191">
        <v>0</v>
      </c>
      <c r="T191">
        <v>0</v>
      </c>
      <c r="U191">
        <v>0</v>
      </c>
      <c r="V191">
        <v>0</v>
      </c>
      <c r="W191">
        <v>237</v>
      </c>
      <c r="X191">
        <v>204</v>
      </c>
      <c r="Y191">
        <v>165</v>
      </c>
      <c r="Z191">
        <v>174</v>
      </c>
      <c r="AA191">
        <v>189</v>
      </c>
      <c r="AD191" s="37" t="s">
        <v>146</v>
      </c>
      <c r="AE191" s="28">
        <v>2274</v>
      </c>
      <c r="AF191">
        <v>14366</v>
      </c>
      <c r="AG191">
        <v>1868</v>
      </c>
      <c r="AH191">
        <v>10981</v>
      </c>
    </row>
    <row r="192" spans="1:34" hidden="1">
      <c r="A192" s="39" t="s">
        <v>1261</v>
      </c>
      <c r="B192" s="39">
        <v>34</v>
      </c>
      <c r="C192" s="39">
        <v>25</v>
      </c>
      <c r="D192" s="39">
        <v>24</v>
      </c>
      <c r="E192" s="39">
        <v>24</v>
      </c>
      <c r="F192" s="39">
        <v>23</v>
      </c>
      <c r="G192" s="39">
        <v>17</v>
      </c>
      <c r="H192" s="39">
        <v>19</v>
      </c>
      <c r="I192" s="39">
        <v>20</v>
      </c>
      <c r="J192" s="39">
        <v>20</v>
      </c>
      <c r="K192">
        <v>22</v>
      </c>
      <c r="L192">
        <v>24</v>
      </c>
      <c r="M192">
        <v>19</v>
      </c>
      <c r="N192">
        <v>16</v>
      </c>
      <c r="O192">
        <v>2</v>
      </c>
      <c r="P192">
        <v>1</v>
      </c>
      <c r="Q192">
        <v>8</v>
      </c>
      <c r="R192">
        <v>4</v>
      </c>
      <c r="S192">
        <v>3</v>
      </c>
      <c r="T192">
        <v>4</v>
      </c>
      <c r="U192">
        <v>6</v>
      </c>
      <c r="V192">
        <v>9</v>
      </c>
      <c r="W192">
        <v>3</v>
      </c>
      <c r="X192">
        <v>4</v>
      </c>
      <c r="Y192">
        <v>8</v>
      </c>
      <c r="Z192">
        <v>8</v>
      </c>
      <c r="AA192">
        <v>4</v>
      </c>
      <c r="AD192" t="s">
        <v>377</v>
      </c>
      <c r="AE192" s="28">
        <v>15</v>
      </c>
      <c r="AF192">
        <v>246</v>
      </c>
      <c r="AG192">
        <v>15</v>
      </c>
      <c r="AH192">
        <v>139</v>
      </c>
    </row>
    <row r="193" spans="1:34" hidden="1">
      <c r="A193" s="39" t="s">
        <v>1020</v>
      </c>
      <c r="B193" s="39">
        <v>243</v>
      </c>
      <c r="C193" s="39">
        <v>0</v>
      </c>
      <c r="D193" s="39">
        <v>379</v>
      </c>
      <c r="E193" s="39">
        <v>196</v>
      </c>
      <c r="F193" s="39">
        <v>201</v>
      </c>
      <c r="G193" s="39">
        <v>212</v>
      </c>
      <c r="H193" s="39">
        <v>110</v>
      </c>
      <c r="I193" s="39">
        <v>239</v>
      </c>
      <c r="J193" s="39">
        <v>216</v>
      </c>
      <c r="K193">
        <v>193</v>
      </c>
      <c r="L193">
        <v>232</v>
      </c>
      <c r="M193">
        <v>204</v>
      </c>
      <c r="N193">
        <v>211</v>
      </c>
      <c r="O193">
        <v>78</v>
      </c>
      <c r="P193">
        <v>0</v>
      </c>
      <c r="Q193">
        <v>88</v>
      </c>
      <c r="R193">
        <v>81</v>
      </c>
      <c r="S193">
        <v>54</v>
      </c>
      <c r="T193">
        <v>56</v>
      </c>
      <c r="U193">
        <v>26</v>
      </c>
      <c r="V193">
        <v>60</v>
      </c>
      <c r="W193">
        <v>55</v>
      </c>
      <c r="X193">
        <v>65</v>
      </c>
      <c r="Y193">
        <v>86</v>
      </c>
      <c r="Z193">
        <v>50</v>
      </c>
      <c r="AA193">
        <v>64</v>
      </c>
      <c r="AD193" t="s">
        <v>144</v>
      </c>
      <c r="AE193" s="28">
        <v>1363</v>
      </c>
      <c r="AF193">
        <v>4949</v>
      </c>
      <c r="AG193">
        <v>1260</v>
      </c>
      <c r="AH193">
        <v>4741</v>
      </c>
    </row>
    <row r="194" spans="1:34" hidden="1">
      <c r="A194" s="39" t="s">
        <v>131</v>
      </c>
      <c r="B194" s="39">
        <v>2807</v>
      </c>
      <c r="C194" s="39">
        <v>3308</v>
      </c>
      <c r="D194" s="39">
        <v>2318</v>
      </c>
      <c r="E194" s="39">
        <v>1462</v>
      </c>
      <c r="F194" s="39">
        <v>1432</v>
      </c>
      <c r="G194" s="39">
        <v>1427</v>
      </c>
      <c r="H194" s="39">
        <v>1178</v>
      </c>
      <c r="I194" s="39">
        <v>1374</v>
      </c>
      <c r="J194" s="39">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c r="AD194" t="s">
        <v>119</v>
      </c>
      <c r="AE194" s="28">
        <v>3262</v>
      </c>
      <c r="AF194">
        <v>9770</v>
      </c>
      <c r="AG194">
        <v>3190</v>
      </c>
      <c r="AH194">
        <v>9222</v>
      </c>
    </row>
    <row r="195" spans="1:34" hidden="1">
      <c r="A195" s="39" t="s">
        <v>1006</v>
      </c>
      <c r="B195" s="39">
        <v>1489</v>
      </c>
      <c r="C195" s="39">
        <v>1414</v>
      </c>
      <c r="D195" s="39">
        <v>1815</v>
      </c>
      <c r="E195" s="39">
        <v>1285</v>
      </c>
      <c r="F195" s="39">
        <v>1025</v>
      </c>
      <c r="G195" s="39">
        <v>1202</v>
      </c>
      <c r="H195" s="39">
        <v>1602</v>
      </c>
      <c r="I195" s="39">
        <v>1525</v>
      </c>
      <c r="J195" s="39">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c r="AD195" t="s">
        <v>659</v>
      </c>
      <c r="AE195" s="28">
        <v>1048</v>
      </c>
      <c r="AF195">
        <v>4779</v>
      </c>
      <c r="AG195">
        <v>1064</v>
      </c>
      <c r="AH195">
        <v>4496</v>
      </c>
    </row>
    <row r="196" spans="1:34" hidden="1">
      <c r="A196" s="39" t="s">
        <v>879</v>
      </c>
      <c r="B196" s="39">
        <v>944</v>
      </c>
      <c r="C196" s="39">
        <v>1028</v>
      </c>
      <c r="D196" s="39">
        <v>907</v>
      </c>
      <c r="E196" s="39">
        <v>912</v>
      </c>
      <c r="F196" s="39">
        <v>577</v>
      </c>
      <c r="G196" s="39">
        <v>850</v>
      </c>
      <c r="H196" s="39">
        <v>494</v>
      </c>
      <c r="I196" s="39">
        <v>552</v>
      </c>
      <c r="J196" s="39">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c r="AD196" t="s">
        <v>437</v>
      </c>
      <c r="AE196" s="28">
        <v>1647</v>
      </c>
      <c r="AF196">
        <v>5378</v>
      </c>
      <c r="AG196">
        <v>1530</v>
      </c>
      <c r="AH196">
        <v>5058</v>
      </c>
    </row>
    <row r="197" spans="1:34" hidden="1">
      <c r="A197" s="39" t="s">
        <v>931</v>
      </c>
      <c r="B197" s="39">
        <v>1615</v>
      </c>
      <c r="C197" s="39">
        <v>1381</v>
      </c>
      <c r="D197" s="39">
        <v>982</v>
      </c>
      <c r="E197" s="39">
        <v>920</v>
      </c>
      <c r="F197" s="39">
        <v>824</v>
      </c>
      <c r="G197" s="39">
        <v>771</v>
      </c>
      <c r="H197" s="39">
        <v>667</v>
      </c>
      <c r="I197" s="39">
        <v>757</v>
      </c>
      <c r="J197" s="39">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c r="AD197" t="s">
        <v>505</v>
      </c>
      <c r="AE197" s="28">
        <v>704</v>
      </c>
      <c r="AF197">
        <v>2761</v>
      </c>
      <c r="AG197">
        <v>830</v>
      </c>
      <c r="AH197">
        <v>3002</v>
      </c>
    </row>
    <row r="198" spans="1:34" hidden="1">
      <c r="A198" s="39" t="s">
        <v>1124</v>
      </c>
      <c r="B198" s="39">
        <v>2755</v>
      </c>
      <c r="C198" s="39">
        <v>2732</v>
      </c>
      <c r="D198" s="39">
        <v>3730</v>
      </c>
      <c r="E198" s="39">
        <v>2782</v>
      </c>
      <c r="F198" s="39">
        <v>2268</v>
      </c>
      <c r="G198" s="39">
        <v>2521</v>
      </c>
      <c r="H198" s="39">
        <v>2102</v>
      </c>
      <c r="I198" s="39">
        <v>2669</v>
      </c>
      <c r="J198" s="39">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c r="AD198" s="27" t="s">
        <v>363</v>
      </c>
      <c r="AE198" s="28">
        <v>1322</v>
      </c>
      <c r="AF198">
        <v>6586</v>
      </c>
      <c r="AG198">
        <v>1285</v>
      </c>
      <c r="AH198">
        <v>6266</v>
      </c>
    </row>
    <row r="199" spans="1:34" hidden="1">
      <c r="A199" s="39" t="s">
        <v>882</v>
      </c>
      <c r="B199" s="39">
        <v>1109</v>
      </c>
      <c r="C199" s="39">
        <v>944</v>
      </c>
      <c r="D199" s="39">
        <v>927</v>
      </c>
      <c r="E199" s="39">
        <v>989</v>
      </c>
      <c r="F199" s="39">
        <v>1019</v>
      </c>
      <c r="G199" s="39">
        <v>945</v>
      </c>
      <c r="H199" s="39">
        <v>963</v>
      </c>
      <c r="I199" s="39">
        <v>934</v>
      </c>
      <c r="J199" s="39">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c r="AD199" t="s">
        <v>259</v>
      </c>
      <c r="AE199" s="28">
        <v>1858</v>
      </c>
      <c r="AF199">
        <v>4998</v>
      </c>
      <c r="AG199">
        <v>1799</v>
      </c>
      <c r="AH199">
        <v>4894</v>
      </c>
    </row>
    <row r="200" spans="1:34" hidden="1">
      <c r="A200" s="39" t="s">
        <v>1055</v>
      </c>
      <c r="B200" s="39">
        <v>788</v>
      </c>
      <c r="C200" s="39">
        <v>1486</v>
      </c>
      <c r="D200" s="39">
        <v>760</v>
      </c>
      <c r="E200" s="39">
        <v>625</v>
      </c>
      <c r="F200" s="39">
        <v>615</v>
      </c>
      <c r="G200" s="39">
        <v>631</v>
      </c>
      <c r="H200" s="39">
        <v>485</v>
      </c>
      <c r="I200" s="39">
        <v>978</v>
      </c>
      <c r="J200" s="39">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c r="AD200" t="s">
        <v>714</v>
      </c>
      <c r="AE200" s="28">
        <v>1829</v>
      </c>
      <c r="AF200">
        <v>9027</v>
      </c>
      <c r="AG200">
        <v>1855</v>
      </c>
      <c r="AH200">
        <v>7726</v>
      </c>
    </row>
    <row r="201" spans="1:34" hidden="1">
      <c r="A201" s="39" t="s">
        <v>659</v>
      </c>
      <c r="B201" s="39">
        <v>1756</v>
      </c>
      <c r="C201" s="39">
        <v>2130</v>
      </c>
      <c r="D201" s="39">
        <v>4704</v>
      </c>
      <c r="E201" s="39">
        <v>2398</v>
      </c>
      <c r="F201" s="39">
        <v>2991</v>
      </c>
      <c r="G201" s="39">
        <v>1792</v>
      </c>
      <c r="H201" s="39">
        <v>1099</v>
      </c>
      <c r="I201" s="39">
        <v>4398</v>
      </c>
      <c r="J201" s="39">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c r="AD201" t="s">
        <v>745</v>
      </c>
      <c r="AE201" s="28">
        <v>1488</v>
      </c>
      <c r="AF201">
        <v>6357</v>
      </c>
      <c r="AG201">
        <v>1363</v>
      </c>
      <c r="AH201">
        <v>5727</v>
      </c>
    </row>
    <row r="202" spans="1:34" hidden="1">
      <c r="A202" s="39" t="s">
        <v>1354</v>
      </c>
      <c r="B202" s="39">
        <v>1769</v>
      </c>
      <c r="C202" s="39">
        <v>891</v>
      </c>
      <c r="D202" s="39">
        <v>46</v>
      </c>
      <c r="E202" s="39">
        <v>1060</v>
      </c>
      <c r="F202" s="39">
        <v>1496</v>
      </c>
      <c r="G202" s="39">
        <v>1484</v>
      </c>
      <c r="H202" s="39">
        <v>1170</v>
      </c>
      <c r="I202" s="39">
        <v>1548</v>
      </c>
      <c r="J202" s="39">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c r="AD202" t="s">
        <v>254</v>
      </c>
      <c r="AE202" s="28">
        <v>4708</v>
      </c>
      <c r="AF202">
        <v>13533</v>
      </c>
      <c r="AG202">
        <v>4276</v>
      </c>
      <c r="AH202">
        <v>10352</v>
      </c>
    </row>
    <row r="203" spans="1:34" hidden="1">
      <c r="A203" s="39" t="s">
        <v>1189</v>
      </c>
      <c r="B203" s="39">
        <v>1169</v>
      </c>
      <c r="C203" s="39">
        <v>1287</v>
      </c>
      <c r="D203" s="39">
        <v>1659</v>
      </c>
      <c r="E203" s="39">
        <v>1409</v>
      </c>
      <c r="F203" s="39">
        <v>1673</v>
      </c>
      <c r="G203" s="39">
        <v>1641</v>
      </c>
      <c r="H203" s="39">
        <v>1234</v>
      </c>
      <c r="I203" s="39">
        <v>1346</v>
      </c>
      <c r="J203" s="39">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c r="AD203" t="s">
        <v>323</v>
      </c>
      <c r="AE203" s="28">
        <v>1863</v>
      </c>
      <c r="AF203">
        <v>7779</v>
      </c>
      <c r="AG203">
        <v>1886</v>
      </c>
      <c r="AH203">
        <v>7731</v>
      </c>
    </row>
    <row r="204" spans="1:34" hidden="1">
      <c r="A204" s="39" t="s">
        <v>1390</v>
      </c>
      <c r="B204" s="39">
        <v>2223</v>
      </c>
      <c r="C204" s="39">
        <v>2498</v>
      </c>
      <c r="D204" s="39">
        <v>2104</v>
      </c>
      <c r="E204" s="39">
        <v>2020</v>
      </c>
      <c r="F204" s="39">
        <v>1803</v>
      </c>
      <c r="G204" s="39">
        <v>1278</v>
      </c>
      <c r="H204" s="39">
        <v>1057</v>
      </c>
      <c r="I204" s="39">
        <v>1016</v>
      </c>
      <c r="J204" s="39">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c r="AD204" t="s">
        <v>665</v>
      </c>
      <c r="AE204" s="28">
        <v>872</v>
      </c>
      <c r="AF204">
        <v>2950</v>
      </c>
      <c r="AH204">
        <v>0</v>
      </c>
    </row>
    <row r="205" spans="1:34" hidden="1">
      <c r="A205" s="39" t="s">
        <v>1373</v>
      </c>
      <c r="B205" s="39">
        <v>1237</v>
      </c>
      <c r="C205" s="39">
        <v>833</v>
      </c>
      <c r="D205" s="39">
        <v>804</v>
      </c>
      <c r="E205" s="39">
        <v>2592</v>
      </c>
      <c r="F205" s="39">
        <v>984</v>
      </c>
      <c r="G205" s="39">
        <v>1591</v>
      </c>
      <c r="H205" s="39">
        <v>966</v>
      </c>
      <c r="I205" s="39">
        <v>1220</v>
      </c>
      <c r="J205" s="39">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c r="AD205" t="s">
        <v>565</v>
      </c>
      <c r="AE205" s="28">
        <v>881</v>
      </c>
      <c r="AF205">
        <v>4215</v>
      </c>
      <c r="AG205">
        <v>883</v>
      </c>
      <c r="AH205">
        <v>4039</v>
      </c>
    </row>
    <row r="206" spans="1:34" hidden="1">
      <c r="A206" s="39" t="s">
        <v>1293</v>
      </c>
      <c r="B206" s="39">
        <v>1768</v>
      </c>
      <c r="C206" s="39">
        <v>1586</v>
      </c>
      <c r="D206" s="39">
        <v>1711</v>
      </c>
      <c r="E206" s="39">
        <v>2105</v>
      </c>
      <c r="F206" s="39">
        <v>1778</v>
      </c>
      <c r="G206" s="39">
        <v>3232</v>
      </c>
      <c r="H206" s="39">
        <v>1148</v>
      </c>
      <c r="I206" s="39">
        <v>1287</v>
      </c>
      <c r="J206" s="39">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c r="AD206" t="s">
        <v>367</v>
      </c>
      <c r="AE206" s="28">
        <v>1829</v>
      </c>
      <c r="AF206">
        <v>5765</v>
      </c>
      <c r="AG206">
        <v>1757</v>
      </c>
      <c r="AH206">
        <v>5305</v>
      </c>
    </row>
    <row r="207" spans="1:34" hidden="1">
      <c r="A207" s="39" t="s">
        <v>1399</v>
      </c>
      <c r="B207" s="39">
        <v>1118</v>
      </c>
      <c r="C207" s="39">
        <v>1244</v>
      </c>
      <c r="D207" s="39">
        <v>1200</v>
      </c>
      <c r="E207" s="39">
        <v>1279</v>
      </c>
      <c r="F207" s="39">
        <v>1042</v>
      </c>
      <c r="G207" s="39">
        <v>1108</v>
      </c>
      <c r="H207" s="39">
        <v>981</v>
      </c>
      <c r="I207" s="39">
        <v>1299</v>
      </c>
      <c r="J207" s="39">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c r="AD207" t="s">
        <v>1490</v>
      </c>
      <c r="AE207" s="28">
        <v>0</v>
      </c>
      <c r="AF207">
        <v>0</v>
      </c>
      <c r="AH207">
        <v>0</v>
      </c>
    </row>
    <row r="208" spans="1:34" hidden="1">
      <c r="A208" s="39" t="s">
        <v>1193</v>
      </c>
      <c r="B208" s="39">
        <v>1120</v>
      </c>
      <c r="C208" s="39">
        <v>1188</v>
      </c>
      <c r="D208" s="39">
        <v>573</v>
      </c>
      <c r="E208" s="39">
        <v>556</v>
      </c>
      <c r="F208" s="39">
        <v>816</v>
      </c>
      <c r="G208" s="39">
        <v>832</v>
      </c>
      <c r="H208" s="39">
        <v>1186</v>
      </c>
      <c r="I208" s="39">
        <v>1343</v>
      </c>
      <c r="J208" s="39">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c r="AD208" t="s">
        <v>772</v>
      </c>
      <c r="AE208" s="28">
        <v>3661</v>
      </c>
      <c r="AF208">
        <v>22624</v>
      </c>
      <c r="AG208">
        <v>4033</v>
      </c>
      <c r="AH208">
        <v>23512</v>
      </c>
    </row>
    <row r="209" spans="1:34" hidden="1">
      <c r="A209" s="39" t="s">
        <v>1386</v>
      </c>
      <c r="B209" s="39">
        <v>0</v>
      </c>
      <c r="C209" s="39">
        <v>0</v>
      </c>
      <c r="D209" s="39">
        <v>0</v>
      </c>
      <c r="E209" s="39">
        <v>1898</v>
      </c>
      <c r="F209" s="39">
        <v>1728</v>
      </c>
      <c r="G209" s="39">
        <v>1394</v>
      </c>
      <c r="H209" s="39">
        <v>1405</v>
      </c>
      <c r="I209" s="39">
        <v>934</v>
      </c>
      <c r="J209" s="39">
        <v>1260</v>
      </c>
      <c r="K209">
        <v>1121</v>
      </c>
      <c r="L209">
        <v>866</v>
      </c>
      <c r="M209">
        <v>974</v>
      </c>
      <c r="N209">
        <v>1352</v>
      </c>
      <c r="O209">
        <v>0</v>
      </c>
      <c r="P209">
        <v>0</v>
      </c>
      <c r="Q209">
        <v>0</v>
      </c>
      <c r="R209">
        <v>521</v>
      </c>
      <c r="S209">
        <v>453</v>
      </c>
      <c r="T209">
        <v>319</v>
      </c>
      <c r="U209">
        <v>288</v>
      </c>
      <c r="V209">
        <v>232</v>
      </c>
      <c r="W209">
        <v>305</v>
      </c>
      <c r="X209">
        <v>325</v>
      </c>
      <c r="Y209">
        <v>270</v>
      </c>
      <c r="Z209">
        <v>261</v>
      </c>
      <c r="AA209">
        <v>385</v>
      </c>
      <c r="AD209" t="s">
        <v>495</v>
      </c>
      <c r="AE209" s="28">
        <v>941</v>
      </c>
      <c r="AF209">
        <v>5236</v>
      </c>
      <c r="AG209">
        <v>989</v>
      </c>
      <c r="AH209">
        <v>5612</v>
      </c>
    </row>
    <row r="210" spans="1:34" hidden="1">
      <c r="A210" s="39" t="s">
        <v>1564</v>
      </c>
      <c r="B210" s="39">
        <v>0</v>
      </c>
      <c r="C210" s="39">
        <v>5</v>
      </c>
      <c r="D210" s="39">
        <v>0</v>
      </c>
      <c r="E210" s="39">
        <v>0</v>
      </c>
      <c r="F210" s="39">
        <v>0</v>
      </c>
      <c r="G210" s="39">
        <v>0</v>
      </c>
      <c r="H210" s="39">
        <v>0</v>
      </c>
      <c r="I210" s="39">
        <v>0</v>
      </c>
      <c r="J210" s="39">
        <v>0</v>
      </c>
      <c r="K210">
        <v>154</v>
      </c>
      <c r="L210">
        <v>0</v>
      </c>
      <c r="M210">
        <v>0</v>
      </c>
      <c r="N210">
        <v>0</v>
      </c>
      <c r="O210">
        <v>0</v>
      </c>
      <c r="P210">
        <v>2</v>
      </c>
      <c r="Q210">
        <v>0</v>
      </c>
      <c r="R210">
        <v>0</v>
      </c>
      <c r="S210">
        <v>0</v>
      </c>
      <c r="T210">
        <v>0</v>
      </c>
      <c r="U210">
        <v>0</v>
      </c>
      <c r="V210">
        <v>0</v>
      </c>
      <c r="W210">
        <v>0</v>
      </c>
      <c r="X210">
        <v>15</v>
      </c>
      <c r="Y210">
        <v>0</v>
      </c>
      <c r="Z210">
        <v>0</v>
      </c>
      <c r="AA210">
        <v>0</v>
      </c>
      <c r="AD210" t="s">
        <v>593</v>
      </c>
      <c r="AE210" s="28">
        <v>1614</v>
      </c>
      <c r="AF210">
        <v>9176</v>
      </c>
      <c r="AG210">
        <v>1395</v>
      </c>
      <c r="AH210">
        <v>8238</v>
      </c>
    </row>
    <row r="211" spans="1:34" hidden="1">
      <c r="A211" s="39" t="s">
        <v>1233</v>
      </c>
      <c r="B211" s="39">
        <v>1237</v>
      </c>
      <c r="C211" s="39">
        <v>2363</v>
      </c>
      <c r="D211" s="39">
        <v>1303</v>
      </c>
      <c r="E211" s="39">
        <v>1272</v>
      </c>
      <c r="F211" s="39">
        <v>966</v>
      </c>
      <c r="G211" s="39">
        <v>979</v>
      </c>
      <c r="H211" s="39">
        <v>1008</v>
      </c>
      <c r="I211" s="39">
        <v>952</v>
      </c>
      <c r="J211" s="39">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c r="AD211" t="s">
        <v>375</v>
      </c>
      <c r="AE211" s="28">
        <v>627</v>
      </c>
      <c r="AF211">
        <v>2213</v>
      </c>
      <c r="AG211">
        <v>57</v>
      </c>
      <c r="AH211">
        <v>143</v>
      </c>
    </row>
    <row r="212" spans="1:34" hidden="1">
      <c r="A212" s="39" t="s">
        <v>1186</v>
      </c>
      <c r="B212" s="39">
        <v>635</v>
      </c>
      <c r="C212" s="39">
        <v>544</v>
      </c>
      <c r="D212" s="39">
        <v>394</v>
      </c>
      <c r="E212" s="39">
        <v>374</v>
      </c>
      <c r="F212" s="39">
        <v>247</v>
      </c>
      <c r="G212" s="39">
        <v>361</v>
      </c>
      <c r="H212" s="39">
        <v>1056</v>
      </c>
      <c r="I212" s="39">
        <v>749</v>
      </c>
      <c r="J212" s="39">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c r="AD212" t="s">
        <v>453</v>
      </c>
      <c r="AE212" s="28">
        <v>1753</v>
      </c>
      <c r="AF212">
        <v>6030</v>
      </c>
      <c r="AG212">
        <v>1659</v>
      </c>
      <c r="AH212">
        <v>4782</v>
      </c>
    </row>
    <row r="213" spans="1:34" hidden="1">
      <c r="A213" s="39" t="s">
        <v>525</v>
      </c>
      <c r="B213" s="39">
        <v>0</v>
      </c>
      <c r="C213" s="39">
        <v>639</v>
      </c>
      <c r="D213" s="39">
        <v>547</v>
      </c>
      <c r="E213" s="39">
        <v>724</v>
      </c>
      <c r="F213" s="39">
        <v>597</v>
      </c>
      <c r="G213" s="39">
        <v>623</v>
      </c>
      <c r="H213" s="39">
        <v>573</v>
      </c>
      <c r="I213" s="39">
        <v>591</v>
      </c>
      <c r="J213" s="39">
        <v>485</v>
      </c>
      <c r="K213">
        <v>599</v>
      </c>
      <c r="L213">
        <v>782</v>
      </c>
      <c r="M213">
        <v>699</v>
      </c>
      <c r="N213">
        <v>854</v>
      </c>
      <c r="O213">
        <v>0</v>
      </c>
      <c r="P213">
        <v>28</v>
      </c>
      <c r="Q213">
        <v>223</v>
      </c>
      <c r="R213">
        <v>365</v>
      </c>
      <c r="S213">
        <v>281</v>
      </c>
      <c r="T213">
        <v>269</v>
      </c>
      <c r="U213">
        <v>299</v>
      </c>
      <c r="V213">
        <v>233</v>
      </c>
      <c r="W213">
        <v>244</v>
      </c>
      <c r="X213">
        <v>250</v>
      </c>
      <c r="Y213">
        <v>273</v>
      </c>
      <c r="Z213">
        <v>273</v>
      </c>
      <c r="AA213">
        <v>405</v>
      </c>
      <c r="AD213" t="s">
        <v>471</v>
      </c>
      <c r="AE213" s="28">
        <v>1376</v>
      </c>
      <c r="AF213">
        <v>6277</v>
      </c>
      <c r="AG213">
        <v>1364</v>
      </c>
      <c r="AH213">
        <v>5971</v>
      </c>
    </row>
    <row r="214" spans="1:34" hidden="1">
      <c r="A214" s="39" t="s">
        <v>517</v>
      </c>
      <c r="B214" s="39">
        <v>597</v>
      </c>
      <c r="C214" s="39">
        <v>557</v>
      </c>
      <c r="D214" s="39">
        <v>571</v>
      </c>
      <c r="E214" s="39">
        <v>571</v>
      </c>
      <c r="F214" s="39">
        <v>514</v>
      </c>
      <c r="G214" s="39">
        <v>590</v>
      </c>
      <c r="H214" s="39">
        <v>601</v>
      </c>
      <c r="I214" s="39">
        <v>587</v>
      </c>
      <c r="J214" s="39">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c r="AD214" t="s">
        <v>455</v>
      </c>
      <c r="AE214" s="28">
        <v>351</v>
      </c>
      <c r="AF214">
        <v>1660</v>
      </c>
      <c r="AG214">
        <v>871</v>
      </c>
      <c r="AH214">
        <v>2942</v>
      </c>
    </row>
    <row r="215" spans="1:34" hidden="1">
      <c r="A215" s="39" t="s">
        <v>656</v>
      </c>
      <c r="B215" s="39">
        <v>1712</v>
      </c>
      <c r="C215" s="39">
        <v>1625</v>
      </c>
      <c r="D215" s="39">
        <v>1508</v>
      </c>
      <c r="E215" s="39">
        <v>2088</v>
      </c>
      <c r="F215" s="39">
        <v>2519</v>
      </c>
      <c r="G215" s="39">
        <v>1783</v>
      </c>
      <c r="H215" s="39">
        <v>1946</v>
      </c>
      <c r="I215" s="39">
        <v>1727</v>
      </c>
      <c r="J215" s="39">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c r="AD215" t="s">
        <v>753</v>
      </c>
      <c r="AE215" s="28">
        <v>4617</v>
      </c>
      <c r="AF215">
        <v>30049</v>
      </c>
      <c r="AG215">
        <v>3650</v>
      </c>
      <c r="AH215">
        <v>25130</v>
      </c>
    </row>
    <row r="216" spans="1:34" hidden="1">
      <c r="A216" s="39" t="s">
        <v>307</v>
      </c>
      <c r="B216" s="39">
        <v>779</v>
      </c>
      <c r="C216" s="39">
        <v>580</v>
      </c>
      <c r="D216" s="39">
        <v>444</v>
      </c>
      <c r="E216" s="39">
        <v>479</v>
      </c>
      <c r="F216" s="39">
        <v>360</v>
      </c>
      <c r="G216" s="39">
        <v>449</v>
      </c>
      <c r="H216" s="39">
        <v>378</v>
      </c>
      <c r="I216" s="39">
        <v>741</v>
      </c>
      <c r="J216" s="39">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c r="AD216" t="s">
        <v>133</v>
      </c>
      <c r="AE216" s="28">
        <v>3350</v>
      </c>
      <c r="AF216">
        <v>13606</v>
      </c>
      <c r="AG216">
        <v>2931</v>
      </c>
      <c r="AH216">
        <v>11927</v>
      </c>
    </row>
    <row r="217" spans="1:34" hidden="1">
      <c r="A217" s="39" t="s">
        <v>694</v>
      </c>
      <c r="B217" s="39">
        <v>2633</v>
      </c>
      <c r="C217" s="39">
        <v>3011</v>
      </c>
      <c r="D217" s="39">
        <v>2255</v>
      </c>
      <c r="E217" s="39">
        <v>2706</v>
      </c>
      <c r="F217" s="39">
        <v>2629</v>
      </c>
      <c r="G217" s="39">
        <v>2994</v>
      </c>
      <c r="H217" s="39">
        <v>2355</v>
      </c>
      <c r="I217" s="39">
        <v>2124</v>
      </c>
      <c r="J217" s="39">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c r="AD217" t="s">
        <v>571</v>
      </c>
      <c r="AE217" s="28">
        <v>1866</v>
      </c>
      <c r="AF217">
        <v>6089</v>
      </c>
      <c r="AG217">
        <v>1815</v>
      </c>
      <c r="AH217">
        <v>6215</v>
      </c>
    </row>
    <row r="218" spans="1:34" hidden="1">
      <c r="A218" s="39" t="s">
        <v>30</v>
      </c>
      <c r="B218" s="39">
        <v>4738</v>
      </c>
      <c r="C218" s="39">
        <v>4476</v>
      </c>
      <c r="D218" s="39">
        <v>4408</v>
      </c>
      <c r="E218" s="39">
        <v>4991</v>
      </c>
      <c r="F218" s="39">
        <v>0</v>
      </c>
      <c r="G218" s="39">
        <v>18476</v>
      </c>
      <c r="H218" s="39">
        <v>4034</v>
      </c>
      <c r="I218" s="39">
        <v>12946</v>
      </c>
      <c r="J218" s="39">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c r="AD218" t="s">
        <v>543</v>
      </c>
      <c r="AE218" s="28">
        <v>1077</v>
      </c>
      <c r="AF218">
        <v>6667</v>
      </c>
      <c r="AG218">
        <v>881</v>
      </c>
      <c r="AH218">
        <v>8278</v>
      </c>
    </row>
    <row r="219" spans="1:34" hidden="1">
      <c r="A219" s="39" t="s">
        <v>896</v>
      </c>
      <c r="B219" s="39">
        <v>1830</v>
      </c>
      <c r="C219" s="39">
        <v>2841</v>
      </c>
      <c r="D219" s="39">
        <v>3914</v>
      </c>
      <c r="E219" s="39">
        <v>5183</v>
      </c>
      <c r="F219" s="39">
        <v>1988</v>
      </c>
      <c r="G219" s="39">
        <v>1740</v>
      </c>
      <c r="H219" s="39">
        <v>1307</v>
      </c>
      <c r="I219" s="39">
        <v>1032</v>
      </c>
      <c r="J219" s="39">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c r="AD219" t="s">
        <v>555</v>
      </c>
      <c r="AE219" s="28">
        <v>746</v>
      </c>
      <c r="AF219">
        <v>3743</v>
      </c>
      <c r="AH219">
        <v>0</v>
      </c>
    </row>
    <row r="220" spans="1:34" hidden="1">
      <c r="A220" s="39" t="s">
        <v>1383</v>
      </c>
      <c r="B220" s="39">
        <v>859</v>
      </c>
      <c r="C220" s="39">
        <v>993</v>
      </c>
      <c r="D220" s="39">
        <v>921</v>
      </c>
      <c r="E220" s="39">
        <v>1014</v>
      </c>
      <c r="F220" s="39">
        <v>985</v>
      </c>
      <c r="G220" s="39">
        <v>907</v>
      </c>
      <c r="H220" s="39">
        <v>1104</v>
      </c>
      <c r="I220" s="39">
        <v>1503</v>
      </c>
      <c r="J220" s="39">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c r="AD220" t="s">
        <v>113</v>
      </c>
      <c r="AE220" s="28">
        <v>1508</v>
      </c>
      <c r="AF220">
        <v>5344</v>
      </c>
      <c r="AG220">
        <v>1937</v>
      </c>
      <c r="AH220">
        <v>7566</v>
      </c>
    </row>
    <row r="221" spans="1:34" hidden="1">
      <c r="A221" s="39" t="s">
        <v>925</v>
      </c>
      <c r="B221" s="39">
        <v>0</v>
      </c>
      <c r="C221" s="39">
        <v>262</v>
      </c>
      <c r="D221" s="39">
        <v>1302</v>
      </c>
      <c r="E221" s="39">
        <v>1630</v>
      </c>
      <c r="F221" s="39">
        <v>1087</v>
      </c>
      <c r="G221" s="39">
        <v>967</v>
      </c>
      <c r="H221" s="39">
        <v>1199</v>
      </c>
      <c r="I221" s="39">
        <v>1971</v>
      </c>
      <c r="J221" s="39">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c r="AD221" t="s">
        <v>307</v>
      </c>
      <c r="AE221" s="28">
        <v>1031</v>
      </c>
      <c r="AF221">
        <v>2567</v>
      </c>
      <c r="AG221">
        <v>796</v>
      </c>
      <c r="AH221">
        <v>1997</v>
      </c>
    </row>
    <row r="222" spans="1:34" hidden="1">
      <c r="A222" s="39" t="s">
        <v>846</v>
      </c>
      <c r="B222" s="39">
        <v>2136</v>
      </c>
      <c r="C222" s="39">
        <v>2353</v>
      </c>
      <c r="D222" s="39">
        <v>1497</v>
      </c>
      <c r="E222" s="39">
        <v>1319</v>
      </c>
      <c r="F222" s="39">
        <v>1243</v>
      </c>
      <c r="G222" s="39">
        <v>1281</v>
      </c>
      <c r="H222" s="39">
        <v>1054</v>
      </c>
      <c r="I222" s="39">
        <v>1336</v>
      </c>
      <c r="J222" s="39">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c r="AD222" t="s">
        <v>170</v>
      </c>
      <c r="AE222" s="28">
        <v>4286</v>
      </c>
      <c r="AF222">
        <v>16357</v>
      </c>
      <c r="AG222">
        <v>4089</v>
      </c>
      <c r="AH222">
        <v>14561</v>
      </c>
    </row>
    <row r="223" spans="1:34" hidden="1">
      <c r="A223" s="39" t="s">
        <v>974</v>
      </c>
      <c r="B223" s="39">
        <v>1728</v>
      </c>
      <c r="C223" s="39">
        <v>813</v>
      </c>
      <c r="D223" s="39">
        <v>816</v>
      </c>
      <c r="E223" s="39">
        <v>1103</v>
      </c>
      <c r="F223" s="39">
        <v>891</v>
      </c>
      <c r="G223" s="39">
        <v>694</v>
      </c>
      <c r="H223" s="39">
        <v>648</v>
      </c>
      <c r="I223" s="39">
        <v>694</v>
      </c>
      <c r="J223" s="39">
        <v>582</v>
      </c>
      <c r="K223">
        <v>735</v>
      </c>
      <c r="L223">
        <v>953</v>
      </c>
      <c r="M223">
        <v>853</v>
      </c>
      <c r="N223">
        <v>974</v>
      </c>
      <c r="O223">
        <v>130</v>
      </c>
      <c r="P223">
        <v>92</v>
      </c>
      <c r="Q223">
        <v>174</v>
      </c>
      <c r="R223">
        <v>138</v>
      </c>
      <c r="S223">
        <v>242</v>
      </c>
      <c r="T223">
        <v>170</v>
      </c>
      <c r="U223">
        <v>89</v>
      </c>
      <c r="V223">
        <v>175</v>
      </c>
      <c r="W223">
        <v>83</v>
      </c>
      <c r="X223">
        <v>134</v>
      </c>
      <c r="Y223">
        <v>366</v>
      </c>
      <c r="Z223">
        <v>221</v>
      </c>
      <c r="AA223">
        <v>314</v>
      </c>
      <c r="AD223" t="s">
        <v>691</v>
      </c>
      <c r="AE223" s="28">
        <v>5987</v>
      </c>
      <c r="AF223">
        <v>17769</v>
      </c>
      <c r="AG223">
        <v>4693</v>
      </c>
      <c r="AH223">
        <v>11762</v>
      </c>
    </row>
    <row r="224" spans="1:34" hidden="1">
      <c r="A224" s="39" t="s">
        <v>1565</v>
      </c>
      <c r="B224" s="39">
        <v>0</v>
      </c>
      <c r="C224" s="39">
        <v>0</v>
      </c>
      <c r="D224" s="39">
        <v>0</v>
      </c>
      <c r="E224" s="39">
        <v>0</v>
      </c>
      <c r="F224" s="39">
        <v>0</v>
      </c>
      <c r="G224" s="39">
        <v>0</v>
      </c>
      <c r="H224" s="39">
        <v>0</v>
      </c>
      <c r="I224" s="39">
        <v>0</v>
      </c>
      <c r="J224" s="39">
        <v>320</v>
      </c>
      <c r="K224">
        <v>1016</v>
      </c>
      <c r="L224">
        <v>435</v>
      </c>
      <c r="M224">
        <v>670</v>
      </c>
      <c r="N224">
        <v>683</v>
      </c>
      <c r="O224">
        <v>0</v>
      </c>
      <c r="P224">
        <v>0</v>
      </c>
      <c r="Q224">
        <v>0</v>
      </c>
      <c r="R224">
        <v>0</v>
      </c>
      <c r="S224">
        <v>0</v>
      </c>
      <c r="T224">
        <v>0</v>
      </c>
      <c r="U224">
        <v>0</v>
      </c>
      <c r="V224">
        <v>0</v>
      </c>
      <c r="W224">
        <v>91</v>
      </c>
      <c r="X224">
        <v>283</v>
      </c>
      <c r="Y224">
        <v>119</v>
      </c>
      <c r="Z224">
        <v>141</v>
      </c>
      <c r="AA224">
        <v>167</v>
      </c>
      <c r="AD224" t="s">
        <v>67</v>
      </c>
      <c r="AE224" s="28">
        <v>2067</v>
      </c>
      <c r="AF224">
        <v>8979</v>
      </c>
      <c r="AG224">
        <v>1894</v>
      </c>
      <c r="AH224">
        <v>6815</v>
      </c>
    </row>
    <row r="225" spans="1:34" hidden="1">
      <c r="A225" s="39" t="s">
        <v>808</v>
      </c>
      <c r="B225" s="39">
        <v>6790</v>
      </c>
      <c r="C225" s="39">
        <v>6625</v>
      </c>
      <c r="D225" s="39">
        <v>4246</v>
      </c>
      <c r="E225" s="39">
        <v>3787</v>
      </c>
      <c r="F225" s="39">
        <v>4239</v>
      </c>
      <c r="G225" s="39">
        <v>3515</v>
      </c>
      <c r="H225" s="39">
        <v>3929</v>
      </c>
      <c r="I225" s="39">
        <v>3313</v>
      </c>
      <c r="J225" s="39">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c r="AD225" t="s">
        <v>767</v>
      </c>
      <c r="AE225" s="28">
        <v>3090</v>
      </c>
      <c r="AF225">
        <v>13684</v>
      </c>
      <c r="AG225">
        <v>2906</v>
      </c>
      <c r="AH225">
        <v>11295</v>
      </c>
    </row>
    <row r="226" spans="1:34" hidden="1">
      <c r="A226" s="39" t="s">
        <v>1324</v>
      </c>
      <c r="B226" s="39">
        <v>1353</v>
      </c>
      <c r="C226" s="39">
        <v>1212</v>
      </c>
      <c r="D226" s="39">
        <v>1254</v>
      </c>
      <c r="E226" s="39">
        <v>1058</v>
      </c>
      <c r="F226" s="39">
        <v>1069</v>
      </c>
      <c r="G226" s="39">
        <v>992</v>
      </c>
      <c r="H226" s="39">
        <v>1002</v>
      </c>
      <c r="I226" s="39">
        <v>1015</v>
      </c>
      <c r="J226" s="39">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c r="AD226" t="s">
        <v>431</v>
      </c>
      <c r="AE226" s="28">
        <v>1664</v>
      </c>
      <c r="AF226">
        <v>9255</v>
      </c>
      <c r="AG226">
        <v>1604</v>
      </c>
      <c r="AH226">
        <v>7391</v>
      </c>
    </row>
    <row r="227" spans="1:34" hidden="1">
      <c r="A227" s="39" t="s">
        <v>1131</v>
      </c>
      <c r="B227" s="39">
        <v>2428</v>
      </c>
      <c r="C227" s="39">
        <v>2992</v>
      </c>
      <c r="D227" s="39">
        <v>3055</v>
      </c>
      <c r="E227" s="39">
        <v>2948</v>
      </c>
      <c r="F227" s="39">
        <v>2517</v>
      </c>
      <c r="G227" s="39">
        <v>2548</v>
      </c>
      <c r="H227" s="39">
        <v>2539</v>
      </c>
      <c r="I227" s="39">
        <v>2879</v>
      </c>
      <c r="J227" s="39">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c r="AD227" t="s">
        <v>279</v>
      </c>
      <c r="AE227" s="28">
        <v>124</v>
      </c>
      <c r="AF227">
        <v>519</v>
      </c>
      <c r="AG227">
        <v>412</v>
      </c>
      <c r="AH227">
        <v>1805</v>
      </c>
    </row>
    <row r="228" spans="1:34" hidden="1">
      <c r="A228" s="39" t="s">
        <v>1566</v>
      </c>
      <c r="B228" s="39">
        <v>2330</v>
      </c>
      <c r="C228" s="39">
        <v>1555</v>
      </c>
      <c r="D228" s="39">
        <v>2367</v>
      </c>
      <c r="E228" s="39">
        <v>1074</v>
      </c>
      <c r="F228" s="39">
        <v>585</v>
      </c>
      <c r="G228" s="39">
        <v>770</v>
      </c>
      <c r="H228" s="39">
        <v>721</v>
      </c>
      <c r="I228" s="39">
        <v>685</v>
      </c>
      <c r="J228" s="39">
        <v>716</v>
      </c>
      <c r="K228">
        <v>549</v>
      </c>
      <c r="L228">
        <v>490</v>
      </c>
      <c r="M228">
        <v>0</v>
      </c>
      <c r="N228">
        <v>0</v>
      </c>
      <c r="O228">
        <v>274</v>
      </c>
      <c r="P228">
        <v>201</v>
      </c>
      <c r="Q228">
        <v>283</v>
      </c>
      <c r="R228">
        <v>185</v>
      </c>
      <c r="S228">
        <v>111</v>
      </c>
      <c r="T228">
        <v>135</v>
      </c>
      <c r="U228">
        <v>156</v>
      </c>
      <c r="V228">
        <v>127</v>
      </c>
      <c r="W228">
        <v>144</v>
      </c>
      <c r="X228">
        <v>137</v>
      </c>
      <c r="Y228">
        <v>132</v>
      </c>
      <c r="Z228">
        <v>2</v>
      </c>
      <c r="AA228">
        <v>0</v>
      </c>
      <c r="AD228" t="s">
        <v>1495</v>
      </c>
      <c r="AE228" s="28">
        <v>64</v>
      </c>
      <c r="AF228">
        <v>405</v>
      </c>
      <c r="AH228">
        <v>0</v>
      </c>
    </row>
    <row r="229" spans="1:34" hidden="1">
      <c r="A229" s="39" t="s">
        <v>1223</v>
      </c>
      <c r="B229" s="39">
        <v>641</v>
      </c>
      <c r="C229" s="39">
        <v>615</v>
      </c>
      <c r="D229" s="39">
        <v>441</v>
      </c>
      <c r="E229" s="39">
        <v>252</v>
      </c>
      <c r="F229" s="39">
        <v>319</v>
      </c>
      <c r="G229" s="39">
        <v>283</v>
      </c>
      <c r="H229" s="39">
        <v>127</v>
      </c>
      <c r="I229" s="39">
        <v>344</v>
      </c>
      <c r="J229" s="39">
        <v>331</v>
      </c>
      <c r="K229">
        <v>328</v>
      </c>
      <c r="L229">
        <v>315</v>
      </c>
      <c r="M229">
        <v>274</v>
      </c>
      <c r="N229">
        <v>334</v>
      </c>
      <c r="O229">
        <v>119</v>
      </c>
      <c r="P229">
        <v>107</v>
      </c>
      <c r="Q229">
        <v>99</v>
      </c>
      <c r="R229">
        <v>42</v>
      </c>
      <c r="S229">
        <v>79</v>
      </c>
      <c r="T229">
        <v>67</v>
      </c>
      <c r="U229">
        <v>17</v>
      </c>
      <c r="V229">
        <v>74</v>
      </c>
      <c r="W229">
        <v>59</v>
      </c>
      <c r="X229">
        <v>96</v>
      </c>
      <c r="Y229">
        <v>61</v>
      </c>
      <c r="Z229">
        <v>60</v>
      </c>
      <c r="AA229">
        <v>83</v>
      </c>
      <c r="AD229" t="s">
        <v>519</v>
      </c>
      <c r="AE229" s="28">
        <v>1664</v>
      </c>
      <c r="AF229">
        <v>6998</v>
      </c>
      <c r="AG229">
        <v>1595</v>
      </c>
      <c r="AH229">
        <v>6871</v>
      </c>
    </row>
    <row r="230" spans="1:34" hidden="1">
      <c r="A230" s="39" t="s">
        <v>1371</v>
      </c>
      <c r="B230" s="39">
        <v>1539</v>
      </c>
      <c r="C230" s="39">
        <v>925</v>
      </c>
      <c r="D230" s="39">
        <v>921</v>
      </c>
      <c r="E230" s="39">
        <v>740</v>
      </c>
      <c r="F230" s="39">
        <v>659</v>
      </c>
      <c r="G230" s="39">
        <v>582</v>
      </c>
      <c r="H230" s="39">
        <v>467</v>
      </c>
      <c r="I230" s="39">
        <v>616</v>
      </c>
      <c r="J230" s="39">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c r="AD230" t="s">
        <v>238</v>
      </c>
      <c r="AE230" s="28">
        <v>1145</v>
      </c>
      <c r="AF230">
        <v>5474</v>
      </c>
      <c r="AG230">
        <v>928</v>
      </c>
      <c r="AH230">
        <v>4468</v>
      </c>
    </row>
    <row r="231" spans="1:34" hidden="1">
      <c r="A231" s="39" t="s">
        <v>1280</v>
      </c>
      <c r="B231" s="39">
        <v>2507</v>
      </c>
      <c r="C231" s="39">
        <v>2195</v>
      </c>
      <c r="D231" s="39">
        <v>5543</v>
      </c>
      <c r="E231" s="39">
        <v>2949</v>
      </c>
      <c r="F231" s="39">
        <v>4757</v>
      </c>
      <c r="G231" s="39">
        <v>2710</v>
      </c>
      <c r="H231" s="39">
        <v>2773</v>
      </c>
      <c r="I231" s="39">
        <v>2627</v>
      </c>
      <c r="J231" s="39">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c r="AD231" t="s">
        <v>463</v>
      </c>
      <c r="AE231" s="28">
        <v>1134</v>
      </c>
      <c r="AF231">
        <v>6878</v>
      </c>
      <c r="AG231">
        <v>1112</v>
      </c>
      <c r="AH231">
        <v>6349</v>
      </c>
    </row>
    <row r="232" spans="1:34" hidden="1">
      <c r="A232" s="39" t="s">
        <v>1274</v>
      </c>
      <c r="B232" s="39">
        <v>1053</v>
      </c>
      <c r="C232" s="39">
        <v>1148</v>
      </c>
      <c r="D232" s="39">
        <v>826</v>
      </c>
      <c r="E232" s="39">
        <v>993</v>
      </c>
      <c r="F232" s="39">
        <v>685</v>
      </c>
      <c r="G232" s="39">
        <v>806</v>
      </c>
      <c r="H232" s="39">
        <v>602</v>
      </c>
      <c r="I232" s="39">
        <v>1053</v>
      </c>
      <c r="J232" s="39">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c r="AD232" t="s">
        <v>503</v>
      </c>
      <c r="AE232" s="28">
        <v>38</v>
      </c>
      <c r="AF232">
        <v>780</v>
      </c>
      <c r="AG232">
        <v>951</v>
      </c>
      <c r="AH232">
        <v>3312</v>
      </c>
    </row>
    <row r="233" spans="1:34" hidden="1">
      <c r="A233" s="39" t="s">
        <v>1284</v>
      </c>
      <c r="B233" s="39">
        <v>5762</v>
      </c>
      <c r="C233" s="39">
        <v>4959</v>
      </c>
      <c r="D233" s="39">
        <v>5692</v>
      </c>
      <c r="E233" s="39">
        <v>5409</v>
      </c>
      <c r="F233" s="39">
        <v>4892</v>
      </c>
      <c r="G233" s="39">
        <v>4067</v>
      </c>
      <c r="H233" s="39">
        <v>2818</v>
      </c>
      <c r="I233" s="39">
        <v>2952</v>
      </c>
      <c r="J233" s="39">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c r="AD233" t="s">
        <v>164</v>
      </c>
      <c r="AE233" s="28">
        <v>4242</v>
      </c>
      <c r="AF233">
        <v>16553</v>
      </c>
      <c r="AG233">
        <v>4087</v>
      </c>
      <c r="AH233">
        <v>16799</v>
      </c>
    </row>
    <row r="234" spans="1:34" hidden="1">
      <c r="A234" s="39" t="s">
        <v>1181</v>
      </c>
      <c r="B234" s="39">
        <v>651</v>
      </c>
      <c r="C234" s="39">
        <v>722</v>
      </c>
      <c r="D234" s="39">
        <v>660</v>
      </c>
      <c r="E234" s="39">
        <v>708</v>
      </c>
      <c r="F234" s="39">
        <v>570</v>
      </c>
      <c r="G234" s="39">
        <v>553</v>
      </c>
      <c r="H234" s="39">
        <v>472</v>
      </c>
      <c r="I234" s="39">
        <v>615</v>
      </c>
      <c r="J234" s="39">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c r="AD234" t="s">
        <v>761</v>
      </c>
      <c r="AE234" s="28">
        <v>6399</v>
      </c>
      <c r="AF234">
        <v>28292</v>
      </c>
      <c r="AG234">
        <v>5244</v>
      </c>
      <c r="AH234">
        <v>21070</v>
      </c>
    </row>
    <row r="235" spans="1:34" hidden="1">
      <c r="A235" s="39" t="s">
        <v>1241</v>
      </c>
      <c r="B235" s="39">
        <v>981</v>
      </c>
      <c r="C235" s="39">
        <v>927</v>
      </c>
      <c r="D235" s="39">
        <v>872</v>
      </c>
      <c r="E235" s="39">
        <v>773</v>
      </c>
      <c r="F235" s="39">
        <v>884</v>
      </c>
      <c r="G235" s="39">
        <v>1202</v>
      </c>
      <c r="H235" s="39">
        <v>852</v>
      </c>
      <c r="I235" s="39">
        <v>1061</v>
      </c>
      <c r="J235" s="39">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c r="AD235" t="s">
        <v>775</v>
      </c>
      <c r="AE235" s="28">
        <v>18410</v>
      </c>
      <c r="AF235">
        <v>95635</v>
      </c>
      <c r="AG235">
        <v>15225</v>
      </c>
      <c r="AH235">
        <v>72670</v>
      </c>
    </row>
    <row r="236" spans="1:34" hidden="1">
      <c r="A236" s="39" t="s">
        <v>1375</v>
      </c>
      <c r="B236" s="39">
        <v>1446</v>
      </c>
      <c r="C236" s="39">
        <v>1145</v>
      </c>
      <c r="D236" s="39">
        <v>785</v>
      </c>
      <c r="E236" s="39">
        <v>592</v>
      </c>
      <c r="F236" s="39">
        <v>634</v>
      </c>
      <c r="G236" s="39">
        <v>737</v>
      </c>
      <c r="H236" s="39">
        <v>690</v>
      </c>
      <c r="I236" s="39">
        <v>906</v>
      </c>
      <c r="J236" s="39">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c r="AD236" t="s">
        <v>1119</v>
      </c>
      <c r="AE236" s="19">
        <v>7632</v>
      </c>
      <c r="AF236">
        <v>7844</v>
      </c>
      <c r="AG236">
        <v>5313</v>
      </c>
      <c r="AH236">
        <v>25511</v>
      </c>
    </row>
    <row r="237" spans="1:34" hidden="1">
      <c r="A237" s="39" t="s">
        <v>1295</v>
      </c>
      <c r="B237" s="39">
        <v>408</v>
      </c>
      <c r="C237" s="39">
        <v>0</v>
      </c>
      <c r="D237" s="39">
        <v>1257</v>
      </c>
      <c r="E237" s="39">
        <v>888</v>
      </c>
      <c r="F237" s="39">
        <v>826</v>
      </c>
      <c r="G237" s="39">
        <v>882</v>
      </c>
      <c r="H237" s="39">
        <v>725</v>
      </c>
      <c r="I237" s="39">
        <v>862</v>
      </c>
      <c r="J237" s="39">
        <v>640</v>
      </c>
      <c r="K237">
        <v>714</v>
      </c>
      <c r="L237">
        <v>613</v>
      </c>
      <c r="M237">
        <v>915</v>
      </c>
      <c r="N237">
        <v>952</v>
      </c>
      <c r="O237">
        <v>97</v>
      </c>
      <c r="P237">
        <v>0</v>
      </c>
      <c r="Q237">
        <v>288</v>
      </c>
      <c r="R237">
        <v>257</v>
      </c>
      <c r="S237">
        <v>266</v>
      </c>
      <c r="T237">
        <v>260</v>
      </c>
      <c r="U237">
        <v>195</v>
      </c>
      <c r="V237">
        <v>204</v>
      </c>
      <c r="W237">
        <v>211</v>
      </c>
      <c r="X237">
        <v>220</v>
      </c>
      <c r="Y237">
        <v>210</v>
      </c>
      <c r="Z237">
        <v>230</v>
      </c>
      <c r="AA237">
        <v>291</v>
      </c>
      <c r="AD237" t="s">
        <v>808</v>
      </c>
      <c r="AE237" s="19">
        <v>3762</v>
      </c>
      <c r="AF237">
        <v>12737</v>
      </c>
      <c r="AG237">
        <v>3578</v>
      </c>
      <c r="AH237">
        <v>11786</v>
      </c>
    </row>
    <row r="238" spans="1:34" hidden="1">
      <c r="A238" s="39" t="s">
        <v>1314</v>
      </c>
      <c r="B238" s="39">
        <v>1417</v>
      </c>
      <c r="C238" s="39">
        <v>1243</v>
      </c>
      <c r="D238" s="39">
        <v>1246</v>
      </c>
      <c r="E238" s="39">
        <v>1187</v>
      </c>
      <c r="F238" s="39">
        <v>654</v>
      </c>
      <c r="G238" s="39">
        <v>666</v>
      </c>
      <c r="H238" s="39">
        <v>596</v>
      </c>
      <c r="I238" s="39">
        <v>553</v>
      </c>
      <c r="J238" s="39">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c r="AD238" t="s">
        <v>861</v>
      </c>
      <c r="AE238" s="19">
        <v>3048</v>
      </c>
      <c r="AF238">
        <v>13735</v>
      </c>
      <c r="AG238">
        <v>3102</v>
      </c>
      <c r="AH238">
        <v>13480</v>
      </c>
    </row>
    <row r="239" spans="1:34" hidden="1">
      <c r="A239" s="39" t="s">
        <v>1166</v>
      </c>
      <c r="B239" s="39">
        <v>0</v>
      </c>
      <c r="C239" s="39">
        <v>0</v>
      </c>
      <c r="D239" s="39">
        <v>0</v>
      </c>
      <c r="E239" s="39">
        <v>0</v>
      </c>
      <c r="F239" s="39">
        <v>0</v>
      </c>
      <c r="G239" s="39">
        <v>0</v>
      </c>
      <c r="H239" s="39">
        <v>0</v>
      </c>
      <c r="I239" s="39">
        <v>0</v>
      </c>
      <c r="J239" s="39">
        <v>96</v>
      </c>
      <c r="K239">
        <v>306</v>
      </c>
      <c r="L239">
        <v>290</v>
      </c>
      <c r="M239">
        <v>605</v>
      </c>
      <c r="N239">
        <v>930</v>
      </c>
      <c r="O239">
        <v>0</v>
      </c>
      <c r="P239">
        <v>0</v>
      </c>
      <c r="Q239">
        <v>0</v>
      </c>
      <c r="R239">
        <v>0</v>
      </c>
      <c r="S239">
        <v>0</v>
      </c>
      <c r="T239">
        <v>0</v>
      </c>
      <c r="U239">
        <v>0</v>
      </c>
      <c r="V239">
        <v>0</v>
      </c>
      <c r="W239">
        <v>33</v>
      </c>
      <c r="X239">
        <v>76</v>
      </c>
      <c r="Y239">
        <v>76</v>
      </c>
      <c r="Z239">
        <v>191</v>
      </c>
      <c r="AA239">
        <v>280</v>
      </c>
      <c r="AD239" t="s">
        <v>1034</v>
      </c>
      <c r="AE239" s="19">
        <v>3637</v>
      </c>
      <c r="AF239">
        <v>12674</v>
      </c>
      <c r="AG239">
        <v>3318</v>
      </c>
      <c r="AH239">
        <v>12658</v>
      </c>
    </row>
    <row r="240" spans="1:34" hidden="1">
      <c r="A240" s="39" t="s">
        <v>1308</v>
      </c>
      <c r="B240" s="39">
        <v>1361</v>
      </c>
      <c r="C240" s="39">
        <v>1065</v>
      </c>
      <c r="D240" s="39">
        <v>1044</v>
      </c>
      <c r="E240" s="39">
        <v>1095</v>
      </c>
      <c r="F240" s="39">
        <v>1296</v>
      </c>
      <c r="G240" s="39">
        <v>920</v>
      </c>
      <c r="H240" s="39">
        <v>616</v>
      </c>
      <c r="I240" s="39">
        <v>591</v>
      </c>
      <c r="J240" s="39">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c r="AD240" s="23" t="s">
        <v>1126</v>
      </c>
      <c r="AE240" s="19">
        <v>4317</v>
      </c>
      <c r="AF240">
        <v>25101</v>
      </c>
      <c r="AG240">
        <v>3155</v>
      </c>
      <c r="AH240">
        <v>15732</v>
      </c>
    </row>
    <row r="241" spans="1:34" hidden="1">
      <c r="A241" s="39" t="s">
        <v>827</v>
      </c>
      <c r="B241" s="39">
        <v>557</v>
      </c>
      <c r="C241" s="39">
        <v>580</v>
      </c>
      <c r="D241" s="39">
        <v>483</v>
      </c>
      <c r="E241" s="39">
        <v>472</v>
      </c>
      <c r="F241" s="39">
        <v>709</v>
      </c>
      <c r="G241" s="39">
        <v>656</v>
      </c>
      <c r="H241" s="39">
        <v>715</v>
      </c>
      <c r="I241" s="39">
        <v>797</v>
      </c>
      <c r="J241" s="39">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c r="AD241" t="s">
        <v>1131</v>
      </c>
      <c r="AE241" s="19">
        <v>5550</v>
      </c>
      <c r="AF241">
        <v>12512</v>
      </c>
      <c r="AG241">
        <v>5622</v>
      </c>
      <c r="AH241">
        <v>13227</v>
      </c>
    </row>
    <row r="242" spans="1:34" hidden="1">
      <c r="A242" s="39" t="s">
        <v>236</v>
      </c>
      <c r="B242" s="39">
        <v>1577</v>
      </c>
      <c r="C242" s="39">
        <v>1264</v>
      </c>
      <c r="D242" s="39">
        <v>1436</v>
      </c>
      <c r="E242" s="39">
        <v>1633</v>
      </c>
      <c r="F242" s="39">
        <v>1407</v>
      </c>
      <c r="G242" s="39">
        <v>2169</v>
      </c>
      <c r="H242" s="39">
        <v>1557</v>
      </c>
      <c r="I242" s="39">
        <v>1783</v>
      </c>
      <c r="J242" s="39">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c r="AD242" t="s">
        <v>844</v>
      </c>
      <c r="AE242" s="19">
        <v>972</v>
      </c>
      <c r="AF242">
        <v>5298</v>
      </c>
      <c r="AG242">
        <v>1185</v>
      </c>
      <c r="AH242">
        <v>5678</v>
      </c>
    </row>
    <row r="243" spans="1:34" hidden="1">
      <c r="A243" s="39" t="s">
        <v>117</v>
      </c>
      <c r="B243" s="39">
        <v>3284</v>
      </c>
      <c r="C243" s="39">
        <v>4751</v>
      </c>
      <c r="D243" s="39">
        <v>2584</v>
      </c>
      <c r="E243" s="39">
        <v>1839</v>
      </c>
      <c r="F243" s="39">
        <v>1830</v>
      </c>
      <c r="G243" s="39">
        <v>1937</v>
      </c>
      <c r="H243" s="39">
        <v>1357</v>
      </c>
      <c r="I243" s="39">
        <v>1615</v>
      </c>
      <c r="J243" s="39">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c r="AD243" t="s">
        <v>1079</v>
      </c>
      <c r="AE243" s="19">
        <v>1894</v>
      </c>
      <c r="AF243">
        <v>4996</v>
      </c>
      <c r="AG243">
        <v>1618</v>
      </c>
      <c r="AH243">
        <v>4244</v>
      </c>
    </row>
    <row r="244" spans="1:34" hidden="1">
      <c r="A244" s="39" t="s">
        <v>226</v>
      </c>
      <c r="B244" s="39">
        <v>1110</v>
      </c>
      <c r="C244" s="39">
        <v>1155</v>
      </c>
      <c r="D244" s="39">
        <v>999</v>
      </c>
      <c r="E244" s="39">
        <v>915</v>
      </c>
      <c r="F244" s="39">
        <v>1005</v>
      </c>
      <c r="G244" s="39">
        <v>1661</v>
      </c>
      <c r="H244" s="39">
        <v>989</v>
      </c>
      <c r="I244" s="39">
        <v>1000</v>
      </c>
      <c r="J244" s="39">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c r="AD244" t="s">
        <v>1509</v>
      </c>
      <c r="AE244" s="19">
        <v>2</v>
      </c>
      <c r="AF244">
        <v>13</v>
      </c>
      <c r="AG244">
        <v>1</v>
      </c>
      <c r="AH244">
        <v>14</v>
      </c>
    </row>
    <row r="245" spans="1:34" hidden="1">
      <c r="A245" s="39" t="s">
        <v>187</v>
      </c>
      <c r="B245" s="39">
        <v>1780</v>
      </c>
      <c r="C245" s="39">
        <v>1869</v>
      </c>
      <c r="D245" s="39">
        <v>1656</v>
      </c>
      <c r="E245" s="39">
        <v>1440</v>
      </c>
      <c r="F245" s="39">
        <v>1081</v>
      </c>
      <c r="G245" s="39">
        <v>1009</v>
      </c>
      <c r="H245" s="39">
        <v>981</v>
      </c>
      <c r="I245" s="39">
        <v>1397</v>
      </c>
      <c r="J245" s="39">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c r="AD245" t="s">
        <v>812</v>
      </c>
      <c r="AE245" s="19">
        <v>3398</v>
      </c>
      <c r="AF245">
        <v>8739</v>
      </c>
      <c r="AG245">
        <v>3242</v>
      </c>
      <c r="AH245">
        <v>7441</v>
      </c>
    </row>
    <row r="246" spans="1:34" hidden="1">
      <c r="A246" s="39" t="s">
        <v>740</v>
      </c>
      <c r="B246" s="39">
        <v>3612</v>
      </c>
      <c r="C246" s="39">
        <v>3948</v>
      </c>
      <c r="D246" s="39">
        <v>3511</v>
      </c>
      <c r="E246" s="39">
        <v>61</v>
      </c>
      <c r="F246" s="39">
        <v>10706</v>
      </c>
      <c r="G246" s="39">
        <v>6300</v>
      </c>
      <c r="H246" s="39">
        <v>2733</v>
      </c>
      <c r="I246" s="39">
        <v>2931</v>
      </c>
      <c r="J246" s="39">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c r="AD246" t="s">
        <v>1124</v>
      </c>
      <c r="AE246" s="19">
        <v>5137</v>
      </c>
      <c r="AF246">
        <v>8651</v>
      </c>
      <c r="AG246">
        <v>4951</v>
      </c>
      <c r="AH246">
        <v>8352</v>
      </c>
    </row>
    <row r="247" spans="1:34" hidden="1">
      <c r="A247" s="39" t="s">
        <v>621</v>
      </c>
      <c r="B247" s="39">
        <v>2451</v>
      </c>
      <c r="C247" s="39">
        <v>3313</v>
      </c>
      <c r="D247" s="39">
        <v>1362</v>
      </c>
      <c r="E247" s="39">
        <v>1958</v>
      </c>
      <c r="F247" s="39">
        <v>1726</v>
      </c>
      <c r="G247" s="39">
        <v>1144</v>
      </c>
      <c r="H247" s="39">
        <v>1378</v>
      </c>
      <c r="I247" s="39">
        <v>1174</v>
      </c>
      <c r="J247" s="39">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c r="AD247" t="s">
        <v>978</v>
      </c>
      <c r="AE247" s="19">
        <v>711</v>
      </c>
      <c r="AF247">
        <v>1902</v>
      </c>
      <c r="AG247">
        <v>742</v>
      </c>
      <c r="AH247">
        <v>1678</v>
      </c>
    </row>
    <row r="248" spans="1:34" hidden="1">
      <c r="A248" s="39" t="s">
        <v>367</v>
      </c>
      <c r="B248" s="39">
        <v>1233</v>
      </c>
      <c r="C248" s="39">
        <v>1416</v>
      </c>
      <c r="D248" s="39">
        <v>1396</v>
      </c>
      <c r="E248" s="39">
        <v>1992</v>
      </c>
      <c r="F248" s="39">
        <v>1444</v>
      </c>
      <c r="G248" s="39">
        <v>1030</v>
      </c>
      <c r="H248" s="39">
        <v>1037</v>
      </c>
      <c r="I248" s="39">
        <v>1802</v>
      </c>
      <c r="J248" s="39">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c r="AD248" t="s">
        <v>814</v>
      </c>
      <c r="AE248" s="19">
        <v>2183</v>
      </c>
      <c r="AF248">
        <v>8750</v>
      </c>
      <c r="AG248">
        <v>2311</v>
      </c>
      <c r="AH248">
        <v>8895</v>
      </c>
    </row>
    <row r="249" spans="1:34" hidden="1">
      <c r="A249" s="39" t="s">
        <v>1227</v>
      </c>
      <c r="B249" s="39">
        <v>703</v>
      </c>
      <c r="C249" s="39">
        <v>542</v>
      </c>
      <c r="D249" s="39">
        <v>644</v>
      </c>
      <c r="E249" s="39">
        <v>682</v>
      </c>
      <c r="F249" s="39">
        <v>771</v>
      </c>
      <c r="G249" s="39">
        <v>775</v>
      </c>
      <c r="H249" s="39">
        <v>879</v>
      </c>
      <c r="I249" s="39">
        <v>731</v>
      </c>
      <c r="J249" s="39">
        <v>5</v>
      </c>
      <c r="K249">
        <v>0</v>
      </c>
      <c r="L249">
        <v>1</v>
      </c>
      <c r="M249">
        <v>726</v>
      </c>
      <c r="N249">
        <v>1007</v>
      </c>
      <c r="O249">
        <v>163</v>
      </c>
      <c r="P249">
        <v>157</v>
      </c>
      <c r="Q249">
        <v>153</v>
      </c>
      <c r="R249">
        <v>215</v>
      </c>
      <c r="S249">
        <v>294</v>
      </c>
      <c r="T249">
        <v>227</v>
      </c>
      <c r="U249">
        <v>275</v>
      </c>
      <c r="V249">
        <v>226</v>
      </c>
      <c r="W249">
        <v>5</v>
      </c>
      <c r="X249">
        <v>1</v>
      </c>
      <c r="Y249">
        <v>2</v>
      </c>
      <c r="Z249">
        <v>167</v>
      </c>
      <c r="AA249">
        <v>378</v>
      </c>
      <c r="AD249" t="s">
        <v>846</v>
      </c>
      <c r="AE249" s="19">
        <v>1995</v>
      </c>
      <c r="AF249">
        <v>6914</v>
      </c>
      <c r="AG249">
        <v>1664</v>
      </c>
      <c r="AH249">
        <v>5240</v>
      </c>
    </row>
    <row r="250" spans="1:34" hidden="1">
      <c r="A250" s="39" t="s">
        <v>904</v>
      </c>
      <c r="B250" s="39">
        <v>1663</v>
      </c>
      <c r="C250" s="39">
        <v>2104</v>
      </c>
      <c r="D250" s="39">
        <v>1680</v>
      </c>
      <c r="E250" s="39">
        <v>2200</v>
      </c>
      <c r="F250" s="39">
        <v>1696</v>
      </c>
      <c r="G250" s="39">
        <v>1276</v>
      </c>
      <c r="H250" s="39">
        <v>777</v>
      </c>
      <c r="I250" s="39">
        <v>609</v>
      </c>
      <c r="J250" s="39">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c r="AD250" s="27" t="s">
        <v>1113</v>
      </c>
      <c r="AE250" s="19">
        <v>1870</v>
      </c>
      <c r="AF250">
        <v>7749</v>
      </c>
      <c r="AG250">
        <v>1643</v>
      </c>
      <c r="AH250">
        <v>7204</v>
      </c>
    </row>
    <row r="251" spans="1:34" hidden="1">
      <c r="A251" s="39" t="s">
        <v>1322</v>
      </c>
      <c r="B251" s="39">
        <v>230</v>
      </c>
      <c r="C251" s="39">
        <v>222</v>
      </c>
      <c r="D251" s="39">
        <v>763</v>
      </c>
      <c r="E251" s="39">
        <v>688</v>
      </c>
      <c r="F251" s="39">
        <v>494</v>
      </c>
      <c r="G251" s="39">
        <v>492</v>
      </c>
      <c r="H251" s="39">
        <v>526</v>
      </c>
      <c r="I251" s="39">
        <v>726</v>
      </c>
      <c r="J251" s="39">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c r="AD251" t="s">
        <v>902</v>
      </c>
      <c r="AE251" s="19">
        <v>1727</v>
      </c>
      <c r="AF251">
        <v>4094</v>
      </c>
      <c r="AG251">
        <v>1618</v>
      </c>
      <c r="AH251">
        <v>3721</v>
      </c>
    </row>
    <row r="252" spans="1:34" hidden="1">
      <c r="A252" s="39" t="s">
        <v>1567</v>
      </c>
      <c r="B252" s="39">
        <v>128</v>
      </c>
      <c r="C252" s="39">
        <v>78</v>
      </c>
      <c r="D252" s="39">
        <v>65</v>
      </c>
      <c r="E252" s="39">
        <v>130</v>
      </c>
      <c r="F252" s="39">
        <v>99</v>
      </c>
      <c r="G252" s="39">
        <v>115</v>
      </c>
      <c r="H252" s="39">
        <v>164</v>
      </c>
      <c r="I252" s="39">
        <v>153</v>
      </c>
      <c r="J252" s="39">
        <v>63</v>
      </c>
      <c r="K252">
        <v>69</v>
      </c>
      <c r="L252">
        <v>130</v>
      </c>
      <c r="M252">
        <v>60</v>
      </c>
      <c r="N252">
        <v>102</v>
      </c>
      <c r="O252">
        <v>0</v>
      </c>
      <c r="P252">
        <v>0</v>
      </c>
      <c r="Q252">
        <v>0</v>
      </c>
      <c r="R252">
        <v>0</v>
      </c>
      <c r="S252">
        <v>0</v>
      </c>
      <c r="T252">
        <v>0</v>
      </c>
      <c r="U252">
        <v>0</v>
      </c>
      <c r="V252">
        <v>0</v>
      </c>
      <c r="W252">
        <v>0</v>
      </c>
      <c r="X252">
        <v>0</v>
      </c>
      <c r="Y252">
        <v>0</v>
      </c>
      <c r="Z252">
        <v>0</v>
      </c>
      <c r="AA252">
        <v>0</v>
      </c>
      <c r="AD252" t="s">
        <v>816</v>
      </c>
      <c r="AE252" s="19">
        <v>40373</v>
      </c>
      <c r="AF252">
        <v>136848</v>
      </c>
      <c r="AG252">
        <v>34307</v>
      </c>
      <c r="AH252">
        <v>108902</v>
      </c>
    </row>
    <row r="253" spans="1:34" hidden="1">
      <c r="A253" s="39" t="s">
        <v>1568</v>
      </c>
      <c r="B253" s="39">
        <v>66</v>
      </c>
      <c r="C253" s="39">
        <v>96</v>
      </c>
      <c r="D253" s="39">
        <v>90</v>
      </c>
      <c r="E253" s="39">
        <v>104</v>
      </c>
      <c r="F253" s="39">
        <v>99</v>
      </c>
      <c r="G253" s="39">
        <v>183</v>
      </c>
      <c r="H253" s="39">
        <v>113</v>
      </c>
      <c r="I253" s="39">
        <v>91</v>
      </c>
      <c r="J253" s="39">
        <v>51</v>
      </c>
      <c r="K253">
        <v>76</v>
      </c>
      <c r="L253">
        <v>76</v>
      </c>
      <c r="M253">
        <v>60</v>
      </c>
      <c r="N253">
        <v>68</v>
      </c>
      <c r="O253">
        <v>0</v>
      </c>
      <c r="P253">
        <v>0</v>
      </c>
      <c r="Q253">
        <v>0</v>
      </c>
      <c r="R253">
        <v>0</v>
      </c>
      <c r="S253">
        <v>0</v>
      </c>
      <c r="T253">
        <v>0</v>
      </c>
      <c r="U253">
        <v>0</v>
      </c>
      <c r="V253">
        <v>0</v>
      </c>
      <c r="W253">
        <v>0</v>
      </c>
      <c r="X253">
        <v>0</v>
      </c>
      <c r="Y253">
        <v>0</v>
      </c>
      <c r="Z253">
        <v>0</v>
      </c>
      <c r="AA253">
        <v>0</v>
      </c>
      <c r="AD253" t="s">
        <v>925</v>
      </c>
      <c r="AE253" s="19">
        <v>1614</v>
      </c>
      <c r="AF253">
        <v>5004</v>
      </c>
      <c r="AG253">
        <v>1873</v>
      </c>
      <c r="AH253">
        <v>5650</v>
      </c>
    </row>
    <row r="254" spans="1:34" hidden="1">
      <c r="A254" s="39" t="s">
        <v>1569</v>
      </c>
      <c r="B254" s="39">
        <v>249</v>
      </c>
      <c r="C254" s="39">
        <v>289</v>
      </c>
      <c r="D254" s="39">
        <v>262</v>
      </c>
      <c r="E254" s="39">
        <v>251</v>
      </c>
      <c r="F254" s="39">
        <v>279</v>
      </c>
      <c r="G254" s="39">
        <v>166</v>
      </c>
      <c r="H254" s="39">
        <v>128</v>
      </c>
      <c r="I254" s="39">
        <v>144</v>
      </c>
      <c r="J254" s="39">
        <v>118</v>
      </c>
      <c r="K254">
        <v>52</v>
      </c>
      <c r="L254">
        <v>82</v>
      </c>
      <c r="M254">
        <v>55</v>
      </c>
      <c r="N254">
        <v>59</v>
      </c>
      <c r="O254">
        <v>0</v>
      </c>
      <c r="P254">
        <v>0</v>
      </c>
      <c r="Q254">
        <v>0</v>
      </c>
      <c r="R254">
        <v>0</v>
      </c>
      <c r="S254">
        <v>0</v>
      </c>
      <c r="T254">
        <v>0</v>
      </c>
      <c r="U254">
        <v>0</v>
      </c>
      <c r="V254">
        <v>0</v>
      </c>
      <c r="W254">
        <v>0</v>
      </c>
      <c r="X254">
        <v>0</v>
      </c>
      <c r="Y254">
        <v>0</v>
      </c>
      <c r="Z254">
        <v>0</v>
      </c>
      <c r="AA254">
        <v>0</v>
      </c>
      <c r="AD254" t="s">
        <v>1122</v>
      </c>
      <c r="AE254" s="19">
        <v>2721</v>
      </c>
      <c r="AF254">
        <v>7438</v>
      </c>
      <c r="AG254">
        <v>2794</v>
      </c>
      <c r="AH254">
        <v>7397</v>
      </c>
    </row>
    <row r="255" spans="1:34" hidden="1">
      <c r="A255" s="39" t="s">
        <v>1048</v>
      </c>
      <c r="B255" s="39">
        <v>757</v>
      </c>
      <c r="C255" s="39">
        <v>792</v>
      </c>
      <c r="D255" s="39">
        <v>718</v>
      </c>
      <c r="E255" s="39">
        <v>777</v>
      </c>
      <c r="F255" s="39">
        <v>818</v>
      </c>
      <c r="G255" s="39">
        <v>763</v>
      </c>
      <c r="H255" s="39">
        <v>939</v>
      </c>
      <c r="I255" s="39">
        <v>613</v>
      </c>
      <c r="J255" s="39">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c r="AD255" t="s">
        <v>1028</v>
      </c>
      <c r="AE255" s="19">
        <v>1207</v>
      </c>
      <c r="AF255">
        <v>3445</v>
      </c>
      <c r="AG255">
        <v>867</v>
      </c>
      <c r="AH255">
        <v>2558</v>
      </c>
    </row>
    <row r="256" spans="1:34" hidden="1">
      <c r="A256" s="39" t="s">
        <v>986</v>
      </c>
      <c r="B256" s="39">
        <v>0</v>
      </c>
      <c r="C256" s="39">
        <v>0</v>
      </c>
      <c r="D256" s="39">
        <v>0</v>
      </c>
      <c r="E256" s="39">
        <v>0</v>
      </c>
      <c r="F256" s="39">
        <v>0</v>
      </c>
      <c r="G256" s="39">
        <v>0</v>
      </c>
      <c r="H256" s="39">
        <v>0</v>
      </c>
      <c r="I256" s="39">
        <v>0</v>
      </c>
      <c r="J256" s="39">
        <v>18</v>
      </c>
      <c r="K256">
        <v>450</v>
      </c>
      <c r="L256">
        <v>539</v>
      </c>
      <c r="M256">
        <v>0</v>
      </c>
      <c r="N256">
        <v>630</v>
      </c>
      <c r="O256">
        <v>0</v>
      </c>
      <c r="P256">
        <v>0</v>
      </c>
      <c r="Q256">
        <v>0</v>
      </c>
      <c r="R256">
        <v>0</v>
      </c>
      <c r="S256">
        <v>0</v>
      </c>
      <c r="T256">
        <v>0</v>
      </c>
      <c r="U256">
        <v>0</v>
      </c>
      <c r="V256">
        <v>0</v>
      </c>
      <c r="W256">
        <v>0</v>
      </c>
      <c r="X256">
        <v>127</v>
      </c>
      <c r="Y256">
        <v>159</v>
      </c>
      <c r="Z256">
        <v>0</v>
      </c>
      <c r="AA256">
        <v>241</v>
      </c>
      <c r="AD256" s="37" t="s">
        <v>944</v>
      </c>
      <c r="AE256" s="19">
        <v>611</v>
      </c>
      <c r="AF256">
        <v>3692</v>
      </c>
      <c r="AG256">
        <v>699</v>
      </c>
      <c r="AH256">
        <v>3735</v>
      </c>
    </row>
    <row r="257" spans="1:34" hidden="1">
      <c r="A257" s="39" t="s">
        <v>1570</v>
      </c>
      <c r="B257" s="39">
        <v>415</v>
      </c>
      <c r="C257" s="39">
        <v>390</v>
      </c>
      <c r="D257" s="39">
        <v>389</v>
      </c>
      <c r="E257" s="39">
        <v>386</v>
      </c>
      <c r="F257" s="39">
        <v>247</v>
      </c>
      <c r="G257" s="39">
        <v>283</v>
      </c>
      <c r="H257" s="39">
        <v>275</v>
      </c>
      <c r="I257" s="39">
        <v>240</v>
      </c>
      <c r="J257" s="39">
        <v>132</v>
      </c>
      <c r="K257">
        <v>129</v>
      </c>
      <c r="L257">
        <v>130</v>
      </c>
      <c r="M257">
        <v>96</v>
      </c>
      <c r="N257">
        <v>181</v>
      </c>
      <c r="O257">
        <v>0</v>
      </c>
      <c r="P257">
        <v>0</v>
      </c>
      <c r="Q257">
        <v>0</v>
      </c>
      <c r="R257">
        <v>0</v>
      </c>
      <c r="S257">
        <v>0</v>
      </c>
      <c r="T257">
        <v>0</v>
      </c>
      <c r="U257">
        <v>0</v>
      </c>
      <c r="V257">
        <v>0</v>
      </c>
      <c r="W257">
        <v>0</v>
      </c>
      <c r="X257">
        <v>0</v>
      </c>
      <c r="Y257">
        <v>0</v>
      </c>
      <c r="Z257">
        <v>0</v>
      </c>
      <c r="AA257">
        <v>0</v>
      </c>
      <c r="AD257" t="s">
        <v>1117</v>
      </c>
      <c r="AE257" s="19">
        <v>2751</v>
      </c>
      <c r="AF257">
        <v>6496</v>
      </c>
      <c r="AG257">
        <v>2353</v>
      </c>
      <c r="AH257">
        <v>5603</v>
      </c>
    </row>
    <row r="258" spans="1:34" hidden="1">
      <c r="A258" s="39" t="s">
        <v>921</v>
      </c>
      <c r="B258" s="39">
        <v>2526</v>
      </c>
      <c r="C258" s="39">
        <v>2812</v>
      </c>
      <c r="D258" s="39">
        <v>1885</v>
      </c>
      <c r="E258" s="39">
        <v>1859</v>
      </c>
      <c r="F258" s="39">
        <v>1363</v>
      </c>
      <c r="G258" s="39">
        <v>1537</v>
      </c>
      <c r="H258" s="39">
        <v>1028</v>
      </c>
      <c r="I258" s="39">
        <v>990</v>
      </c>
      <c r="J258" s="39">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c r="AE258" s="19"/>
    </row>
    <row r="259" spans="1:34" hidden="1">
      <c r="A259" s="39" t="s">
        <v>1117</v>
      </c>
      <c r="B259" s="39">
        <v>6506</v>
      </c>
      <c r="C259" s="39">
        <v>1653</v>
      </c>
      <c r="D259" s="39">
        <v>1706</v>
      </c>
      <c r="E259" s="39">
        <v>3416</v>
      </c>
      <c r="F259" s="39">
        <v>2077</v>
      </c>
      <c r="G259" s="39">
        <v>1490</v>
      </c>
      <c r="H259" s="39">
        <v>1556</v>
      </c>
      <c r="I259" s="39">
        <v>1335</v>
      </c>
      <c r="J259" s="39">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c r="AD259" t="s">
        <v>940</v>
      </c>
      <c r="AE259" s="19">
        <v>1005</v>
      </c>
      <c r="AF259">
        <v>2708</v>
      </c>
      <c r="AG259">
        <v>899</v>
      </c>
      <c r="AH259">
        <v>2439</v>
      </c>
    </row>
    <row r="260" spans="1:34" hidden="1">
      <c r="A260" s="39" t="s">
        <v>1571</v>
      </c>
      <c r="B260" s="39">
        <v>174</v>
      </c>
      <c r="C260" s="39">
        <v>135</v>
      </c>
      <c r="D260" s="39">
        <v>92</v>
      </c>
      <c r="E260" s="39">
        <v>87</v>
      </c>
      <c r="F260" s="39">
        <v>54</v>
      </c>
      <c r="G260" s="39">
        <v>58</v>
      </c>
      <c r="H260" s="39">
        <v>62</v>
      </c>
      <c r="I260" s="39">
        <v>54</v>
      </c>
      <c r="J260" s="39">
        <v>44</v>
      </c>
      <c r="K260">
        <v>42</v>
      </c>
      <c r="L260">
        <v>58</v>
      </c>
      <c r="M260">
        <v>59</v>
      </c>
      <c r="N260">
        <v>44</v>
      </c>
      <c r="O260">
        <v>0</v>
      </c>
      <c r="P260">
        <v>0</v>
      </c>
      <c r="Q260">
        <v>0</v>
      </c>
      <c r="R260">
        <v>0</v>
      </c>
      <c r="S260">
        <v>0</v>
      </c>
      <c r="T260">
        <v>0</v>
      </c>
      <c r="U260">
        <v>0</v>
      </c>
      <c r="V260">
        <v>0</v>
      </c>
      <c r="W260">
        <v>0</v>
      </c>
      <c r="X260">
        <v>0</v>
      </c>
      <c r="Y260">
        <v>0</v>
      </c>
      <c r="Z260">
        <v>0</v>
      </c>
      <c r="AA260">
        <v>0</v>
      </c>
      <c r="AD260" t="s">
        <v>1046</v>
      </c>
      <c r="AE260" s="19">
        <v>1039</v>
      </c>
      <c r="AF260">
        <v>4619</v>
      </c>
      <c r="AG260">
        <v>1048</v>
      </c>
      <c r="AH260">
        <v>4768</v>
      </c>
    </row>
    <row r="261" spans="1:34" hidden="1">
      <c r="A261" s="39" t="s">
        <v>1519</v>
      </c>
      <c r="B261" s="39">
        <v>469</v>
      </c>
      <c r="C261" s="39">
        <v>547</v>
      </c>
      <c r="D261" s="39">
        <v>493</v>
      </c>
      <c r="E261" s="39">
        <v>532</v>
      </c>
      <c r="F261" s="39">
        <v>375</v>
      </c>
      <c r="G261" s="39">
        <v>375</v>
      </c>
      <c r="H261" s="39">
        <v>334</v>
      </c>
      <c r="I261" s="39">
        <v>408</v>
      </c>
      <c r="J261" s="39">
        <v>310</v>
      </c>
      <c r="K261">
        <v>261</v>
      </c>
      <c r="L261">
        <v>31</v>
      </c>
      <c r="M261">
        <v>0</v>
      </c>
      <c r="N261">
        <v>0</v>
      </c>
      <c r="O261">
        <v>234</v>
      </c>
      <c r="P261">
        <v>196</v>
      </c>
      <c r="Q261">
        <v>198</v>
      </c>
      <c r="R261">
        <v>207</v>
      </c>
      <c r="S261">
        <v>187</v>
      </c>
      <c r="T261">
        <v>164</v>
      </c>
      <c r="U261">
        <v>155</v>
      </c>
      <c r="V261">
        <v>182</v>
      </c>
      <c r="W261">
        <v>151</v>
      </c>
      <c r="X261">
        <v>98</v>
      </c>
      <c r="Y261">
        <v>4</v>
      </c>
      <c r="Z261">
        <v>0</v>
      </c>
      <c r="AA261">
        <v>0</v>
      </c>
      <c r="AD261" t="s">
        <v>904</v>
      </c>
      <c r="AE261" s="19">
        <v>1195</v>
      </c>
      <c r="AF261">
        <v>4657</v>
      </c>
      <c r="AG261">
        <v>1234</v>
      </c>
      <c r="AH261">
        <v>5817</v>
      </c>
    </row>
    <row r="262" spans="1:34" hidden="1">
      <c r="A262" s="39" t="s">
        <v>1044</v>
      </c>
      <c r="B262" s="39">
        <v>1174</v>
      </c>
      <c r="C262" s="39">
        <v>1444</v>
      </c>
      <c r="D262" s="39">
        <v>894</v>
      </c>
      <c r="E262" s="39">
        <v>634</v>
      </c>
      <c r="F262" s="39">
        <v>688</v>
      </c>
      <c r="G262" s="39">
        <v>950</v>
      </c>
      <c r="H262" s="39">
        <v>795</v>
      </c>
      <c r="I262" s="39">
        <v>1036</v>
      </c>
      <c r="J262" s="39">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c r="AD262" t="s">
        <v>1063</v>
      </c>
      <c r="AE262" s="19">
        <v>2263</v>
      </c>
      <c r="AF262">
        <v>9919</v>
      </c>
      <c r="AG262">
        <v>1449</v>
      </c>
      <c r="AH262">
        <v>6933</v>
      </c>
    </row>
    <row r="263" spans="1:34" hidden="1">
      <c r="A263" s="39" t="s">
        <v>1122</v>
      </c>
      <c r="B263" s="39">
        <v>2377</v>
      </c>
      <c r="C263" s="39">
        <v>2724</v>
      </c>
      <c r="D263" s="39">
        <v>2647</v>
      </c>
      <c r="E263" s="39">
        <v>2129</v>
      </c>
      <c r="F263" s="39">
        <v>1557</v>
      </c>
      <c r="G263" s="39">
        <v>2007</v>
      </c>
      <c r="H263" s="39">
        <v>1624</v>
      </c>
      <c r="I263" s="39">
        <v>1818</v>
      </c>
      <c r="J263" s="39">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c r="AD263" t="s">
        <v>1067</v>
      </c>
      <c r="AE263" s="19">
        <v>2201</v>
      </c>
      <c r="AF263">
        <v>4203</v>
      </c>
      <c r="AG263">
        <v>2213</v>
      </c>
      <c r="AH263">
        <v>4449</v>
      </c>
    </row>
    <row r="264" spans="1:34" hidden="1">
      <c r="A264" s="39" t="s">
        <v>1344</v>
      </c>
      <c r="B264" s="39">
        <v>5506</v>
      </c>
      <c r="C264" s="39">
        <v>6106</v>
      </c>
      <c r="D264" s="39">
        <v>7999</v>
      </c>
      <c r="E264" s="39">
        <v>9107</v>
      </c>
      <c r="F264" s="39">
        <v>5073</v>
      </c>
      <c r="G264" s="39">
        <v>15811</v>
      </c>
      <c r="H264" s="39">
        <v>7910</v>
      </c>
      <c r="I264" s="39">
        <v>2182</v>
      </c>
      <c r="J264" s="39">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c r="AD264" t="s">
        <v>900</v>
      </c>
      <c r="AE264" s="19">
        <v>1667</v>
      </c>
      <c r="AF264">
        <v>5879</v>
      </c>
      <c r="AG264">
        <v>1562</v>
      </c>
      <c r="AH264">
        <v>5830</v>
      </c>
    </row>
    <row r="265" spans="1:34" hidden="1">
      <c r="A265" s="39" t="s">
        <v>1254</v>
      </c>
      <c r="B265" s="39">
        <v>542</v>
      </c>
      <c r="C265" s="39">
        <v>447</v>
      </c>
      <c r="D265" s="39">
        <v>282</v>
      </c>
      <c r="E265" s="39">
        <v>395</v>
      </c>
      <c r="F265" s="39">
        <v>247</v>
      </c>
      <c r="G265" s="39">
        <v>312</v>
      </c>
      <c r="H265" s="39">
        <v>1053</v>
      </c>
      <c r="I265" s="39">
        <v>318</v>
      </c>
      <c r="J265" s="39">
        <v>1010</v>
      </c>
      <c r="K265">
        <v>638</v>
      </c>
      <c r="L265">
        <v>457</v>
      </c>
      <c r="M265">
        <v>589</v>
      </c>
      <c r="N265">
        <v>743</v>
      </c>
      <c r="O265">
        <v>108</v>
      </c>
      <c r="P265">
        <v>72</v>
      </c>
      <c r="Q265">
        <v>63</v>
      </c>
      <c r="R265">
        <v>93</v>
      </c>
      <c r="S265">
        <v>105</v>
      </c>
      <c r="T265">
        <v>110</v>
      </c>
      <c r="U265">
        <v>297</v>
      </c>
      <c r="V265">
        <v>95</v>
      </c>
      <c r="W265">
        <v>286</v>
      </c>
      <c r="X265">
        <v>249</v>
      </c>
      <c r="Y265">
        <v>198</v>
      </c>
      <c r="Z265">
        <v>187</v>
      </c>
      <c r="AA265">
        <v>192</v>
      </c>
      <c r="AD265" t="s">
        <v>1129</v>
      </c>
      <c r="AE265" s="19">
        <v>4039</v>
      </c>
      <c r="AF265">
        <v>7601</v>
      </c>
      <c r="AG265">
        <v>3609</v>
      </c>
      <c r="AH265">
        <v>6505</v>
      </c>
    </row>
    <row r="266" spans="1:34" hidden="1">
      <c r="A266" s="39" t="s">
        <v>816</v>
      </c>
      <c r="B266" s="39">
        <v>10487</v>
      </c>
      <c r="C266" s="39">
        <v>11096</v>
      </c>
      <c r="D266" s="39">
        <v>9969</v>
      </c>
      <c r="E266" s="39">
        <v>12032</v>
      </c>
      <c r="F266" s="39">
        <v>10029</v>
      </c>
      <c r="G266" s="39">
        <v>8746</v>
      </c>
      <c r="H266" s="39">
        <v>7125</v>
      </c>
      <c r="I266" s="39">
        <v>8281</v>
      </c>
      <c r="J266" s="39">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c r="AD266" t="s">
        <v>1102</v>
      </c>
      <c r="AE266" s="19">
        <v>1372</v>
      </c>
      <c r="AF266">
        <v>4022</v>
      </c>
      <c r="AG266">
        <v>1251</v>
      </c>
      <c r="AH266">
        <v>3319</v>
      </c>
    </row>
    <row r="267" spans="1:34" hidden="1">
      <c r="A267" s="39" t="s">
        <v>248</v>
      </c>
      <c r="B267" s="39">
        <v>386</v>
      </c>
      <c r="C267" s="39">
        <v>647</v>
      </c>
      <c r="D267" s="39">
        <v>473</v>
      </c>
      <c r="E267" s="39">
        <v>454</v>
      </c>
      <c r="F267" s="39">
        <v>433</v>
      </c>
      <c r="G267" s="39">
        <v>448</v>
      </c>
      <c r="H267" s="39">
        <v>460</v>
      </c>
      <c r="I267" s="39">
        <v>491</v>
      </c>
      <c r="J267" s="39">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c r="AD267" t="s">
        <v>1107</v>
      </c>
      <c r="AE267" s="19">
        <v>1220</v>
      </c>
      <c r="AF267">
        <v>3596</v>
      </c>
      <c r="AG267">
        <v>1315</v>
      </c>
      <c r="AH267">
        <v>3520</v>
      </c>
    </row>
    <row r="268" spans="1:34" hidden="1">
      <c r="A268" s="39" t="s">
        <v>1501</v>
      </c>
      <c r="B268" s="39">
        <v>445</v>
      </c>
      <c r="C268" s="39">
        <v>551</v>
      </c>
      <c r="D268" s="39">
        <v>534</v>
      </c>
      <c r="E268" s="39">
        <v>388</v>
      </c>
      <c r="F268" s="39">
        <v>262</v>
      </c>
      <c r="G268" s="39">
        <v>245</v>
      </c>
      <c r="H268" s="39">
        <v>228</v>
      </c>
      <c r="I268" s="39">
        <v>232</v>
      </c>
      <c r="J268" s="39">
        <v>134</v>
      </c>
      <c r="K268">
        <v>38</v>
      </c>
      <c r="L268">
        <v>0</v>
      </c>
      <c r="M268">
        <v>0</v>
      </c>
      <c r="N268">
        <v>0</v>
      </c>
      <c r="O268">
        <v>167</v>
      </c>
      <c r="P268">
        <v>239</v>
      </c>
      <c r="Q268">
        <v>240</v>
      </c>
      <c r="R268">
        <v>162</v>
      </c>
      <c r="S268">
        <v>123</v>
      </c>
      <c r="T268">
        <v>90</v>
      </c>
      <c r="U268">
        <v>96</v>
      </c>
      <c r="V268">
        <v>94</v>
      </c>
      <c r="W268">
        <v>50</v>
      </c>
      <c r="X268">
        <v>1</v>
      </c>
      <c r="Y268">
        <v>0</v>
      </c>
      <c r="Z268">
        <v>0</v>
      </c>
      <c r="AA268">
        <v>0</v>
      </c>
      <c r="AD268" t="s">
        <v>1511</v>
      </c>
      <c r="AE268" s="19">
        <v>3</v>
      </c>
      <c r="AF268">
        <v>17</v>
      </c>
      <c r="AH268">
        <v>0</v>
      </c>
    </row>
    <row r="269" spans="1:34" hidden="1">
      <c r="A269" s="39" t="s">
        <v>1172</v>
      </c>
      <c r="B269" s="39">
        <v>567</v>
      </c>
      <c r="C269" s="39">
        <v>717</v>
      </c>
      <c r="D269" s="39">
        <v>613</v>
      </c>
      <c r="E269" s="39">
        <v>721</v>
      </c>
      <c r="F269" s="39">
        <v>711</v>
      </c>
      <c r="G269" s="39">
        <v>650</v>
      </c>
      <c r="H269" s="39">
        <v>795</v>
      </c>
      <c r="I269" s="39">
        <v>643</v>
      </c>
      <c r="J269" s="39">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c r="AE269" s="19"/>
      <c r="AH269">
        <v>0</v>
      </c>
    </row>
    <row r="270" spans="1:34" hidden="1">
      <c r="A270" s="39" t="s">
        <v>1318</v>
      </c>
      <c r="B270" s="39">
        <v>776</v>
      </c>
      <c r="C270" s="39">
        <v>961</v>
      </c>
      <c r="D270" s="39">
        <v>1120</v>
      </c>
      <c r="E270" s="39">
        <v>2090</v>
      </c>
      <c r="F270" s="39">
        <v>1559</v>
      </c>
      <c r="G270" s="39">
        <v>1571</v>
      </c>
      <c r="H270" s="39">
        <v>1068</v>
      </c>
      <c r="I270" s="39">
        <v>1080</v>
      </c>
      <c r="J270" s="39">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c r="AD270" s="27" t="s">
        <v>1092</v>
      </c>
      <c r="AE270" s="19">
        <v>934</v>
      </c>
      <c r="AF270">
        <v>3630</v>
      </c>
      <c r="AG270">
        <v>1029</v>
      </c>
      <c r="AH270">
        <v>3531</v>
      </c>
    </row>
    <row r="271" spans="1:34" hidden="1">
      <c r="A271" s="39" t="s">
        <v>1287</v>
      </c>
      <c r="B271" s="39">
        <v>1071</v>
      </c>
      <c r="C271" s="39">
        <v>848</v>
      </c>
      <c r="D271" s="39">
        <v>759</v>
      </c>
      <c r="E271" s="39">
        <v>3829</v>
      </c>
      <c r="F271" s="39">
        <v>15</v>
      </c>
      <c r="G271" s="39">
        <v>466</v>
      </c>
      <c r="H271" s="39">
        <v>114</v>
      </c>
      <c r="I271" s="39">
        <v>1150</v>
      </c>
      <c r="J271" s="39">
        <v>613</v>
      </c>
      <c r="K271">
        <v>593</v>
      </c>
      <c r="L271">
        <v>432</v>
      </c>
      <c r="M271">
        <v>388</v>
      </c>
      <c r="N271">
        <v>425</v>
      </c>
      <c r="O271">
        <v>271</v>
      </c>
      <c r="P271">
        <v>233</v>
      </c>
      <c r="Q271">
        <v>206</v>
      </c>
      <c r="R271">
        <v>936</v>
      </c>
      <c r="S271">
        <v>5</v>
      </c>
      <c r="T271">
        <v>34</v>
      </c>
      <c r="U271">
        <v>22</v>
      </c>
      <c r="V271">
        <v>320</v>
      </c>
      <c r="W271">
        <v>135</v>
      </c>
      <c r="X271">
        <v>166</v>
      </c>
      <c r="Y271">
        <v>123</v>
      </c>
      <c r="Z271">
        <v>91</v>
      </c>
      <c r="AA271">
        <v>132</v>
      </c>
      <c r="AD271" t="s">
        <v>1016</v>
      </c>
      <c r="AE271" s="19">
        <v>1303</v>
      </c>
      <c r="AF271">
        <v>3252</v>
      </c>
      <c r="AG271">
        <v>1070</v>
      </c>
      <c r="AH271">
        <v>2853</v>
      </c>
    </row>
    <row r="272" spans="1:34" hidden="1">
      <c r="A272" s="39" t="s">
        <v>1572</v>
      </c>
      <c r="B272" s="39">
        <v>0</v>
      </c>
      <c r="C272" s="39">
        <v>0</v>
      </c>
      <c r="D272" s="39">
        <v>0</v>
      </c>
      <c r="E272" s="39">
        <v>7</v>
      </c>
      <c r="F272" s="39">
        <v>127</v>
      </c>
      <c r="G272" s="39">
        <v>250</v>
      </c>
      <c r="H272" s="39">
        <v>317</v>
      </c>
      <c r="I272" s="39">
        <v>232</v>
      </c>
      <c r="J272" s="39">
        <v>152</v>
      </c>
      <c r="K272">
        <v>247</v>
      </c>
      <c r="L272">
        <v>175</v>
      </c>
      <c r="M272">
        <v>191</v>
      </c>
      <c r="N272">
        <v>365</v>
      </c>
      <c r="O272">
        <v>0</v>
      </c>
      <c r="P272">
        <v>0</v>
      </c>
      <c r="Q272">
        <v>0</v>
      </c>
      <c r="R272">
        <v>0</v>
      </c>
      <c r="S272">
        <v>22</v>
      </c>
      <c r="T272">
        <v>60</v>
      </c>
      <c r="U272">
        <v>93</v>
      </c>
      <c r="V272">
        <v>62</v>
      </c>
      <c r="W272">
        <v>43</v>
      </c>
      <c r="X272">
        <v>86</v>
      </c>
      <c r="Y272">
        <v>81</v>
      </c>
      <c r="Z272">
        <v>36</v>
      </c>
      <c r="AA272">
        <v>127</v>
      </c>
      <c r="AE272" s="19"/>
      <c r="AH272">
        <v>0</v>
      </c>
    </row>
    <row r="273" spans="1:34" hidden="1">
      <c r="A273" s="39" t="s">
        <v>1573</v>
      </c>
      <c r="B273" s="39">
        <v>0</v>
      </c>
      <c r="C273" s="39">
        <v>0</v>
      </c>
      <c r="D273" s="39">
        <v>0</v>
      </c>
      <c r="E273" s="39">
        <v>7</v>
      </c>
      <c r="F273" s="39">
        <v>78</v>
      </c>
      <c r="G273" s="39">
        <v>758</v>
      </c>
      <c r="H273" s="39">
        <v>617</v>
      </c>
      <c r="I273" s="39">
        <v>591</v>
      </c>
      <c r="J273" s="39">
        <v>618</v>
      </c>
      <c r="K273">
        <v>457</v>
      </c>
      <c r="L273">
        <v>472</v>
      </c>
      <c r="M273">
        <v>582</v>
      </c>
      <c r="N273">
        <v>713</v>
      </c>
      <c r="O273">
        <v>0</v>
      </c>
      <c r="P273">
        <v>0</v>
      </c>
      <c r="Q273">
        <v>0</v>
      </c>
      <c r="R273">
        <v>0</v>
      </c>
      <c r="S273">
        <v>12</v>
      </c>
      <c r="T273">
        <v>212</v>
      </c>
      <c r="U273">
        <v>201</v>
      </c>
      <c r="V273">
        <v>156</v>
      </c>
      <c r="W273">
        <v>142</v>
      </c>
      <c r="X273">
        <v>107</v>
      </c>
      <c r="Y273">
        <v>138</v>
      </c>
      <c r="Z273">
        <v>142</v>
      </c>
      <c r="AA273">
        <v>168</v>
      </c>
      <c r="AD273" t="s">
        <v>1026</v>
      </c>
      <c r="AE273" s="19">
        <v>706</v>
      </c>
      <c r="AF273">
        <v>2196</v>
      </c>
      <c r="AG273">
        <v>732</v>
      </c>
      <c r="AH273">
        <v>2397</v>
      </c>
    </row>
    <row r="274" spans="1:34" hidden="1">
      <c r="A274" s="39" t="s">
        <v>1297</v>
      </c>
      <c r="B274" s="39">
        <v>1376</v>
      </c>
      <c r="C274" s="39">
        <v>1490</v>
      </c>
      <c r="D274" s="39">
        <v>1633</v>
      </c>
      <c r="E274" s="39">
        <v>2115</v>
      </c>
      <c r="F274" s="39">
        <v>2313</v>
      </c>
      <c r="G274" s="39">
        <v>2024</v>
      </c>
      <c r="H274" s="39">
        <v>1534</v>
      </c>
      <c r="I274" s="39">
        <v>1289</v>
      </c>
      <c r="J274" s="39">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c r="AD274" t="s">
        <v>1024</v>
      </c>
      <c r="AE274" s="19">
        <v>995</v>
      </c>
      <c r="AF274">
        <v>2538</v>
      </c>
      <c r="AG274">
        <v>871</v>
      </c>
      <c r="AH274">
        <v>2270</v>
      </c>
    </row>
    <row r="275" spans="1:34" hidden="1">
      <c r="A275" s="39" t="s">
        <v>1350</v>
      </c>
      <c r="B275" s="39">
        <v>1494</v>
      </c>
      <c r="C275" s="39">
        <v>1532</v>
      </c>
      <c r="D275" s="39">
        <v>901</v>
      </c>
      <c r="E275" s="39">
        <v>903</v>
      </c>
      <c r="F275" s="39">
        <v>880</v>
      </c>
      <c r="G275" s="39">
        <v>537</v>
      </c>
      <c r="H275" s="39">
        <v>563</v>
      </c>
      <c r="I275" s="39">
        <v>485</v>
      </c>
      <c r="J275" s="39">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c r="AD275" t="s">
        <v>986</v>
      </c>
      <c r="AE275" s="19">
        <v>942</v>
      </c>
      <c r="AF275">
        <v>2473</v>
      </c>
      <c r="AG275">
        <v>937</v>
      </c>
      <c r="AH275">
        <v>2832</v>
      </c>
    </row>
    <row r="276" spans="1:34" hidden="1">
      <c r="A276" s="39" t="s">
        <v>1265</v>
      </c>
      <c r="B276" s="39">
        <v>1023</v>
      </c>
      <c r="C276" s="39">
        <v>1283</v>
      </c>
      <c r="D276" s="39">
        <v>920</v>
      </c>
      <c r="E276" s="39">
        <v>1123</v>
      </c>
      <c r="F276" s="39">
        <v>615</v>
      </c>
      <c r="G276" s="39">
        <v>941</v>
      </c>
      <c r="H276" s="39">
        <v>626</v>
      </c>
      <c r="I276" s="39">
        <v>624</v>
      </c>
      <c r="J276" s="39">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c r="AD276" t="s">
        <v>892</v>
      </c>
      <c r="AE276" s="19">
        <v>697</v>
      </c>
      <c r="AF276">
        <v>1674</v>
      </c>
      <c r="AG276">
        <v>655</v>
      </c>
      <c r="AH276">
        <v>1477</v>
      </c>
    </row>
    <row r="277" spans="1:34" hidden="1">
      <c r="A277" s="39" t="s">
        <v>1574</v>
      </c>
      <c r="B277" s="39">
        <v>377</v>
      </c>
      <c r="C277" s="39">
        <v>285</v>
      </c>
      <c r="D277" s="39">
        <v>264</v>
      </c>
      <c r="E277" s="39">
        <v>244</v>
      </c>
      <c r="F277" s="39">
        <v>128</v>
      </c>
      <c r="G277" s="39">
        <v>161</v>
      </c>
      <c r="H277" s="39">
        <v>152</v>
      </c>
      <c r="I277" s="39">
        <v>126</v>
      </c>
      <c r="J277" s="39">
        <v>96</v>
      </c>
      <c r="K277">
        <v>64</v>
      </c>
      <c r="L277">
        <v>65</v>
      </c>
      <c r="M277">
        <v>50</v>
      </c>
      <c r="N277">
        <v>0</v>
      </c>
      <c r="O277">
        <v>125</v>
      </c>
      <c r="P277">
        <v>93</v>
      </c>
      <c r="Q277">
        <v>57</v>
      </c>
      <c r="R277">
        <v>87</v>
      </c>
      <c r="S277">
        <v>53</v>
      </c>
      <c r="T277">
        <v>79</v>
      </c>
      <c r="U277">
        <v>81</v>
      </c>
      <c r="V277">
        <v>52</v>
      </c>
      <c r="W277">
        <v>43</v>
      </c>
      <c r="X277">
        <v>47</v>
      </c>
      <c r="Y277">
        <v>42</v>
      </c>
      <c r="Z277">
        <v>35</v>
      </c>
      <c r="AA277">
        <v>1</v>
      </c>
      <c r="AE277" s="19"/>
      <c r="AH277">
        <v>0</v>
      </c>
    </row>
    <row r="278" spans="1:34" hidden="1">
      <c r="A278" s="39" t="s">
        <v>1199</v>
      </c>
      <c r="B278" s="39">
        <v>3171</v>
      </c>
      <c r="C278" s="39">
        <v>4127</v>
      </c>
      <c r="D278" s="39">
        <v>3524</v>
      </c>
      <c r="E278" s="39">
        <v>3184</v>
      </c>
      <c r="F278" s="39">
        <v>2090</v>
      </c>
      <c r="G278" s="39">
        <v>2207</v>
      </c>
      <c r="H278" s="39">
        <v>2204</v>
      </c>
      <c r="I278" s="39">
        <v>1840</v>
      </c>
      <c r="J278" s="39">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c r="AD278" t="s">
        <v>954</v>
      </c>
      <c r="AE278" s="19">
        <v>1841</v>
      </c>
      <c r="AF278">
        <v>5613</v>
      </c>
      <c r="AG278">
        <v>1598</v>
      </c>
      <c r="AH278">
        <v>4088</v>
      </c>
    </row>
    <row r="279" spans="1:34" hidden="1">
      <c r="A279" s="39" t="s">
        <v>1381</v>
      </c>
      <c r="B279" s="39">
        <v>2072</v>
      </c>
      <c r="C279" s="39">
        <v>1791</v>
      </c>
      <c r="D279" s="39">
        <v>1421</v>
      </c>
      <c r="E279" s="39">
        <v>1912</v>
      </c>
      <c r="F279" s="39">
        <v>1584</v>
      </c>
      <c r="G279" s="39">
        <v>1583</v>
      </c>
      <c r="H279" s="39">
        <v>1623</v>
      </c>
      <c r="I279" s="39">
        <v>1306</v>
      </c>
      <c r="J279" s="39">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c r="AE279" s="19"/>
      <c r="AH279">
        <v>0</v>
      </c>
    </row>
    <row r="280" spans="1:34" hidden="1">
      <c r="A280" s="39" t="s">
        <v>1575</v>
      </c>
      <c r="B280" s="39">
        <v>187</v>
      </c>
      <c r="C280" s="39">
        <v>195</v>
      </c>
      <c r="D280" s="39">
        <v>162</v>
      </c>
      <c r="E280" s="39">
        <v>91</v>
      </c>
      <c r="F280" s="39">
        <v>296</v>
      </c>
      <c r="G280" s="39">
        <v>376</v>
      </c>
      <c r="H280" s="39">
        <v>287</v>
      </c>
      <c r="I280" s="39">
        <v>274</v>
      </c>
      <c r="J280" s="39">
        <v>175</v>
      </c>
      <c r="K280">
        <v>139</v>
      </c>
      <c r="L280">
        <v>142</v>
      </c>
      <c r="M280">
        <v>137</v>
      </c>
      <c r="N280">
        <v>269</v>
      </c>
      <c r="O280">
        <v>0</v>
      </c>
      <c r="P280">
        <v>0</v>
      </c>
      <c r="Q280">
        <v>0</v>
      </c>
      <c r="R280">
        <v>0</v>
      </c>
      <c r="S280">
        <v>0</v>
      </c>
      <c r="T280">
        <v>0</v>
      </c>
      <c r="U280">
        <v>0</v>
      </c>
      <c r="V280">
        <v>0</v>
      </c>
      <c r="W280">
        <v>0</v>
      </c>
      <c r="X280">
        <v>0</v>
      </c>
      <c r="Y280">
        <v>0</v>
      </c>
      <c r="Z280">
        <v>0</v>
      </c>
      <c r="AA280">
        <v>0</v>
      </c>
      <c r="AD280" t="s">
        <v>974</v>
      </c>
      <c r="AE280" s="19">
        <v>337</v>
      </c>
      <c r="AF280">
        <v>1555</v>
      </c>
      <c r="AG280">
        <v>605</v>
      </c>
      <c r="AH280">
        <v>2345</v>
      </c>
    </row>
    <row r="281" spans="1:34" hidden="1">
      <c r="A281" s="39" t="s">
        <v>305</v>
      </c>
      <c r="B281" s="39">
        <v>3502</v>
      </c>
      <c r="C281" s="39">
        <v>2908</v>
      </c>
      <c r="D281" s="39">
        <v>1916</v>
      </c>
      <c r="E281" s="39">
        <v>1345</v>
      </c>
      <c r="F281" s="39">
        <v>1184</v>
      </c>
      <c r="G281" s="39">
        <v>1013</v>
      </c>
      <c r="H281" s="39">
        <v>922</v>
      </c>
      <c r="I281" s="39">
        <v>1373</v>
      </c>
      <c r="J281" s="39">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c r="AD281" t="s">
        <v>968</v>
      </c>
      <c r="AE281" s="19">
        <v>456</v>
      </c>
      <c r="AF281">
        <v>1042</v>
      </c>
      <c r="AG281">
        <v>409</v>
      </c>
      <c r="AH281">
        <v>1124</v>
      </c>
    </row>
    <row r="282" spans="1:34" hidden="1">
      <c r="A282" s="39" t="s">
        <v>321</v>
      </c>
      <c r="B282" s="39">
        <v>955</v>
      </c>
      <c r="C282" s="39">
        <v>925</v>
      </c>
      <c r="D282" s="39">
        <v>790</v>
      </c>
      <c r="E282" s="39">
        <v>789</v>
      </c>
      <c r="F282" s="39">
        <v>679</v>
      </c>
      <c r="G282" s="39">
        <v>900</v>
      </c>
      <c r="H282" s="39">
        <v>740</v>
      </c>
      <c r="I282" s="39">
        <v>672</v>
      </c>
      <c r="J282" s="39">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c r="AD282" t="s">
        <v>931</v>
      </c>
      <c r="AE282" s="19">
        <v>1330</v>
      </c>
      <c r="AF282">
        <v>3293</v>
      </c>
      <c r="AG282">
        <v>1483</v>
      </c>
      <c r="AH282">
        <v>4447</v>
      </c>
    </row>
    <row r="283" spans="1:34" hidden="1">
      <c r="A283" s="39" t="s">
        <v>503</v>
      </c>
      <c r="B283" s="39">
        <v>926</v>
      </c>
      <c r="C283" s="39">
        <v>1037</v>
      </c>
      <c r="D283" s="39">
        <v>1105</v>
      </c>
      <c r="E283" s="39">
        <v>1299</v>
      </c>
      <c r="F283" s="39">
        <v>1069</v>
      </c>
      <c r="G283" s="39">
        <v>1267</v>
      </c>
      <c r="H283" s="39">
        <v>832</v>
      </c>
      <c r="I283" s="39">
        <v>1225</v>
      </c>
      <c r="J283" s="39">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c r="AD283" t="s">
        <v>962</v>
      </c>
      <c r="AE283" s="19">
        <v>736</v>
      </c>
      <c r="AF283">
        <v>3441</v>
      </c>
      <c r="AG283">
        <v>727</v>
      </c>
      <c r="AH283">
        <v>3537</v>
      </c>
    </row>
    <row r="284" spans="1:34" hidden="1">
      <c r="A284" s="39" t="s">
        <v>571</v>
      </c>
      <c r="B284" s="39">
        <v>3641</v>
      </c>
      <c r="C284" s="39">
        <v>2735</v>
      </c>
      <c r="D284" s="39">
        <v>3567</v>
      </c>
      <c r="E284" s="39">
        <v>2779</v>
      </c>
      <c r="F284" s="39">
        <v>2881</v>
      </c>
      <c r="G284" s="39">
        <v>2559</v>
      </c>
      <c r="H284" s="39">
        <v>2501</v>
      </c>
      <c r="I284" s="39">
        <v>2075</v>
      </c>
      <c r="J284" s="39">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c r="AE284" s="19"/>
      <c r="AH284">
        <v>0</v>
      </c>
    </row>
    <row r="285" spans="1:34" hidden="1">
      <c r="A285" s="39" t="s">
        <v>381</v>
      </c>
      <c r="B285" s="39">
        <v>1513</v>
      </c>
      <c r="C285" s="39">
        <v>1383</v>
      </c>
      <c r="D285" s="39">
        <v>1814</v>
      </c>
      <c r="E285" s="39">
        <v>2238</v>
      </c>
      <c r="F285" s="39">
        <v>1732</v>
      </c>
      <c r="G285" s="39">
        <v>1325</v>
      </c>
      <c r="H285" s="39">
        <v>1186</v>
      </c>
      <c r="I285" s="39">
        <v>5017</v>
      </c>
      <c r="J285" s="39">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c r="AD285" s="37" t="s">
        <v>1012</v>
      </c>
      <c r="AE285" s="19">
        <v>1391</v>
      </c>
      <c r="AF285">
        <v>4065</v>
      </c>
      <c r="AG285">
        <v>1341</v>
      </c>
      <c r="AH285">
        <v>3689</v>
      </c>
    </row>
    <row r="286" spans="1:34" hidden="1">
      <c r="A286" s="39" t="s">
        <v>483</v>
      </c>
      <c r="B286" s="39">
        <v>3781</v>
      </c>
      <c r="C286" s="39">
        <v>2038</v>
      </c>
      <c r="D286" s="39">
        <v>5905</v>
      </c>
      <c r="E286" s="39">
        <v>1004</v>
      </c>
      <c r="F286" s="39">
        <v>817</v>
      </c>
      <c r="G286" s="39">
        <v>984</v>
      </c>
      <c r="H286" s="39">
        <v>795</v>
      </c>
      <c r="I286" s="39">
        <v>1122</v>
      </c>
      <c r="J286" s="39">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c r="AD286" t="s">
        <v>1073</v>
      </c>
      <c r="AE286" s="19">
        <v>1388</v>
      </c>
      <c r="AF286">
        <v>3467</v>
      </c>
      <c r="AG286">
        <v>1360</v>
      </c>
      <c r="AH286">
        <v>3409</v>
      </c>
    </row>
    <row r="287" spans="1:34" hidden="1">
      <c r="A287" s="39" t="s">
        <v>495</v>
      </c>
      <c r="B287" s="39">
        <v>2591</v>
      </c>
      <c r="C287" s="39">
        <v>5074</v>
      </c>
      <c r="D287" s="39">
        <v>3286</v>
      </c>
      <c r="E287" s="39">
        <v>4622</v>
      </c>
      <c r="F287" s="39">
        <v>4504</v>
      </c>
      <c r="G287" s="39">
        <v>2900</v>
      </c>
      <c r="H287" s="39">
        <v>1937</v>
      </c>
      <c r="I287" s="39">
        <v>2049</v>
      </c>
      <c r="J287" s="39">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c r="AD287" s="27" t="s">
        <v>1134</v>
      </c>
      <c r="AE287" s="19">
        <v>2475</v>
      </c>
      <c r="AF287">
        <v>7874</v>
      </c>
      <c r="AG287">
        <v>3017</v>
      </c>
      <c r="AH287">
        <v>9520</v>
      </c>
    </row>
    <row r="288" spans="1:34" hidden="1">
      <c r="A288" s="39" t="s">
        <v>256</v>
      </c>
      <c r="B288" s="39">
        <v>0</v>
      </c>
      <c r="C288" s="39">
        <v>0</v>
      </c>
      <c r="D288" s="39">
        <v>0</v>
      </c>
      <c r="E288" s="39">
        <v>0</v>
      </c>
      <c r="F288" s="39">
        <v>0</v>
      </c>
      <c r="G288" s="39">
        <v>0</v>
      </c>
      <c r="H288" s="39">
        <v>44</v>
      </c>
      <c r="I288" s="39">
        <v>357</v>
      </c>
      <c r="J288" s="39">
        <v>1127</v>
      </c>
      <c r="K288">
        <v>1177</v>
      </c>
      <c r="L288">
        <v>707</v>
      </c>
      <c r="M288">
        <v>531</v>
      </c>
      <c r="N288">
        <v>704</v>
      </c>
      <c r="O288">
        <v>0</v>
      </c>
      <c r="P288">
        <v>0</v>
      </c>
      <c r="Q288">
        <v>0</v>
      </c>
      <c r="R288">
        <v>0</v>
      </c>
      <c r="S288">
        <v>0</v>
      </c>
      <c r="T288">
        <v>0</v>
      </c>
      <c r="U288">
        <v>1</v>
      </c>
      <c r="V288">
        <v>40</v>
      </c>
      <c r="W288">
        <v>101</v>
      </c>
      <c r="X288">
        <v>130</v>
      </c>
      <c r="Y288">
        <v>104</v>
      </c>
      <c r="Z288">
        <v>63</v>
      </c>
      <c r="AA288">
        <v>101</v>
      </c>
      <c r="AE288" s="19"/>
      <c r="AH288">
        <v>0</v>
      </c>
    </row>
    <row r="289" spans="1:34" hidden="1">
      <c r="A289" s="39" t="s">
        <v>1272</v>
      </c>
      <c r="B289" s="39">
        <v>0</v>
      </c>
      <c r="C289" s="39">
        <v>0</v>
      </c>
      <c r="D289" s="39">
        <v>0</v>
      </c>
      <c r="E289" s="39">
        <v>0</v>
      </c>
      <c r="F289" s="39">
        <v>0</v>
      </c>
      <c r="G289" s="39">
        <v>0</v>
      </c>
      <c r="H289" s="39">
        <v>0</v>
      </c>
      <c r="I289" s="39">
        <v>0</v>
      </c>
      <c r="J289" s="39">
        <v>2</v>
      </c>
      <c r="K289">
        <v>203</v>
      </c>
      <c r="L289">
        <v>248</v>
      </c>
      <c r="M289">
        <v>614</v>
      </c>
      <c r="N289">
        <v>482</v>
      </c>
      <c r="O289">
        <v>0</v>
      </c>
      <c r="P289">
        <v>0</v>
      </c>
      <c r="Q289">
        <v>0</v>
      </c>
      <c r="R289">
        <v>0</v>
      </c>
      <c r="S289">
        <v>0</v>
      </c>
      <c r="T289">
        <v>0</v>
      </c>
      <c r="U289">
        <v>0</v>
      </c>
      <c r="V289">
        <v>0</v>
      </c>
      <c r="W289">
        <v>0</v>
      </c>
      <c r="X289">
        <v>89</v>
      </c>
      <c r="Y289">
        <v>52</v>
      </c>
      <c r="Z289">
        <v>106</v>
      </c>
      <c r="AA289">
        <v>93</v>
      </c>
      <c r="AD289" t="s">
        <v>1008</v>
      </c>
      <c r="AE289" s="19">
        <v>2459</v>
      </c>
      <c r="AF289">
        <v>6009</v>
      </c>
      <c r="AG289">
        <v>935</v>
      </c>
      <c r="AH289">
        <v>3880</v>
      </c>
    </row>
    <row r="290" spans="1:34" hidden="1">
      <c r="A290" s="39" t="s">
        <v>1366</v>
      </c>
      <c r="B290" s="39">
        <v>1239</v>
      </c>
      <c r="C290" s="39">
        <v>1186</v>
      </c>
      <c r="D290" s="39">
        <v>1067</v>
      </c>
      <c r="E290" s="39">
        <v>1047</v>
      </c>
      <c r="F290" s="39">
        <v>773</v>
      </c>
      <c r="G290" s="39">
        <v>930</v>
      </c>
      <c r="H290" s="39">
        <v>776</v>
      </c>
      <c r="I290" s="39">
        <v>897</v>
      </c>
      <c r="J290" s="39">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c r="AD290" t="s">
        <v>882</v>
      </c>
      <c r="AE290" s="19">
        <v>1983</v>
      </c>
      <c r="AF290">
        <v>4570</v>
      </c>
      <c r="AG290">
        <v>2077</v>
      </c>
      <c r="AH290">
        <v>5047</v>
      </c>
    </row>
    <row r="291" spans="1:34" hidden="1">
      <c r="A291" s="39" t="s">
        <v>1310</v>
      </c>
      <c r="B291" s="39">
        <v>797</v>
      </c>
      <c r="C291" s="39">
        <v>765</v>
      </c>
      <c r="D291" s="39">
        <v>729</v>
      </c>
      <c r="E291" s="39">
        <v>1009</v>
      </c>
      <c r="F291" s="39">
        <v>1347</v>
      </c>
      <c r="G291" s="39">
        <v>818</v>
      </c>
      <c r="H291" s="39">
        <v>567</v>
      </c>
      <c r="I291" s="39">
        <v>633</v>
      </c>
      <c r="J291" s="39">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c r="AD291" t="s">
        <v>933</v>
      </c>
      <c r="AE291" s="19">
        <v>957</v>
      </c>
      <c r="AF291">
        <v>2138</v>
      </c>
      <c r="AG291">
        <v>828</v>
      </c>
      <c r="AH291">
        <v>1666</v>
      </c>
    </row>
    <row r="292" spans="1:34" hidden="1">
      <c r="A292" s="39" t="s">
        <v>1332</v>
      </c>
      <c r="B292" s="39">
        <v>0</v>
      </c>
      <c r="C292" s="39">
        <v>296</v>
      </c>
      <c r="D292" s="39">
        <v>624</v>
      </c>
      <c r="E292" s="39">
        <v>1056</v>
      </c>
      <c r="F292" s="39">
        <v>1062</v>
      </c>
      <c r="G292" s="39">
        <v>1368</v>
      </c>
      <c r="H292" s="39">
        <v>1293</v>
      </c>
      <c r="I292" s="39">
        <v>2189</v>
      </c>
      <c r="J292" s="39">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c r="AE292" s="19"/>
      <c r="AH292">
        <v>0</v>
      </c>
    </row>
    <row r="293" spans="1:34" hidden="1">
      <c r="A293" s="39" t="s">
        <v>1219</v>
      </c>
      <c r="B293" s="39">
        <v>636</v>
      </c>
      <c r="C293" s="39">
        <v>662</v>
      </c>
      <c r="D293" s="39">
        <v>750</v>
      </c>
      <c r="E293" s="39">
        <v>974</v>
      </c>
      <c r="F293" s="39">
        <v>821</v>
      </c>
      <c r="G293" s="39">
        <v>70</v>
      </c>
      <c r="H293" s="39">
        <v>0</v>
      </c>
      <c r="I293" s="39">
        <v>755</v>
      </c>
      <c r="J293" s="39">
        <v>619</v>
      </c>
      <c r="K293">
        <v>607</v>
      </c>
      <c r="L293">
        <v>798</v>
      </c>
      <c r="M293">
        <v>703</v>
      </c>
      <c r="N293">
        <v>959</v>
      </c>
      <c r="O293">
        <v>117</v>
      </c>
      <c r="P293">
        <v>165</v>
      </c>
      <c r="Q293">
        <v>179</v>
      </c>
      <c r="R293">
        <v>278</v>
      </c>
      <c r="S293">
        <v>244</v>
      </c>
      <c r="T293">
        <v>7</v>
      </c>
      <c r="U293">
        <v>0</v>
      </c>
      <c r="V293">
        <v>209</v>
      </c>
      <c r="W293">
        <v>211</v>
      </c>
      <c r="X293">
        <v>165</v>
      </c>
      <c r="Y293">
        <v>267</v>
      </c>
      <c r="Z293">
        <v>243</v>
      </c>
      <c r="AA293">
        <v>299</v>
      </c>
      <c r="AE293" s="19"/>
      <c r="AH293">
        <v>0</v>
      </c>
    </row>
    <row r="294" spans="1:34" hidden="1">
      <c r="A294" s="39" t="s">
        <v>1379</v>
      </c>
      <c r="B294" s="39">
        <v>0</v>
      </c>
      <c r="C294" s="39">
        <v>905</v>
      </c>
      <c r="D294" s="39">
        <v>885</v>
      </c>
      <c r="E294" s="39">
        <v>1682</v>
      </c>
      <c r="F294" s="39">
        <v>1578</v>
      </c>
      <c r="G294" s="39">
        <v>1430</v>
      </c>
      <c r="H294" s="39">
        <v>1500</v>
      </c>
      <c r="I294" s="39">
        <v>1252</v>
      </c>
      <c r="J294" s="39">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c r="AD294" t="s">
        <v>935</v>
      </c>
      <c r="AE294" s="19">
        <v>671</v>
      </c>
      <c r="AF294">
        <v>1371</v>
      </c>
      <c r="AG294">
        <v>636</v>
      </c>
      <c r="AH294">
        <v>1517</v>
      </c>
    </row>
    <row r="295" spans="1:34" hidden="1">
      <c r="A295" s="39" t="s">
        <v>1397</v>
      </c>
      <c r="B295" s="39">
        <v>606</v>
      </c>
      <c r="C295" s="39">
        <v>1263</v>
      </c>
      <c r="D295" s="39">
        <v>721</v>
      </c>
      <c r="E295" s="39">
        <v>712</v>
      </c>
      <c r="F295" s="39">
        <v>903</v>
      </c>
      <c r="G295" s="39">
        <v>1130</v>
      </c>
      <c r="H295" s="39">
        <v>605</v>
      </c>
      <c r="I295" s="39">
        <v>2738</v>
      </c>
      <c r="J295" s="39">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c r="AE295" s="19"/>
      <c r="AH295">
        <v>0</v>
      </c>
    </row>
    <row r="296" spans="1:34" hidden="1">
      <c r="A296" s="39" t="s">
        <v>1336</v>
      </c>
      <c r="B296" s="39">
        <v>0</v>
      </c>
      <c r="C296" s="39">
        <v>181</v>
      </c>
      <c r="D296" s="39">
        <v>325</v>
      </c>
      <c r="E296" s="39">
        <v>325</v>
      </c>
      <c r="F296" s="39">
        <v>316</v>
      </c>
      <c r="G296" s="39">
        <v>407</v>
      </c>
      <c r="H296" s="39">
        <v>711</v>
      </c>
      <c r="I296" s="39">
        <v>844</v>
      </c>
      <c r="J296" s="39">
        <v>694</v>
      </c>
      <c r="K296">
        <v>542</v>
      </c>
      <c r="L296">
        <v>594</v>
      </c>
      <c r="M296">
        <v>625</v>
      </c>
      <c r="N296">
        <v>780</v>
      </c>
      <c r="O296">
        <v>0</v>
      </c>
      <c r="P296">
        <v>50</v>
      </c>
      <c r="Q296">
        <v>68</v>
      </c>
      <c r="R296">
        <v>64</v>
      </c>
      <c r="S296">
        <v>69</v>
      </c>
      <c r="T296">
        <v>77</v>
      </c>
      <c r="U296">
        <v>202</v>
      </c>
      <c r="V296">
        <v>221</v>
      </c>
      <c r="W296">
        <v>210</v>
      </c>
      <c r="X296">
        <v>163</v>
      </c>
      <c r="Y296">
        <v>164</v>
      </c>
      <c r="Z296">
        <v>161</v>
      </c>
      <c r="AA296">
        <v>219</v>
      </c>
      <c r="AD296" t="s">
        <v>1041</v>
      </c>
      <c r="AE296" s="19">
        <v>1810</v>
      </c>
      <c r="AF296">
        <v>6177</v>
      </c>
      <c r="AG296">
        <v>1031</v>
      </c>
      <c r="AH296">
        <v>5005</v>
      </c>
    </row>
    <row r="297" spans="1:34" hidden="1">
      <c r="A297" s="39" t="s">
        <v>1302</v>
      </c>
      <c r="B297" s="39">
        <v>987</v>
      </c>
      <c r="C297" s="39">
        <v>1274</v>
      </c>
      <c r="D297" s="39">
        <v>947</v>
      </c>
      <c r="E297" s="39">
        <v>936</v>
      </c>
      <c r="F297" s="39">
        <v>1075</v>
      </c>
      <c r="G297" s="39">
        <v>1129</v>
      </c>
      <c r="H297" s="39">
        <v>872</v>
      </c>
      <c r="I297" s="39">
        <v>773</v>
      </c>
      <c r="J297" s="39">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c r="AD297" t="s">
        <v>1510</v>
      </c>
      <c r="AE297" s="19">
        <v>130</v>
      </c>
      <c r="AF297">
        <v>303</v>
      </c>
      <c r="AG297">
        <v>136</v>
      </c>
      <c r="AH297">
        <v>282</v>
      </c>
    </row>
    <row r="298" spans="1:34" hidden="1">
      <c r="A298" s="39" t="s">
        <v>1338</v>
      </c>
      <c r="B298" s="39">
        <v>2112</v>
      </c>
      <c r="C298" s="39">
        <v>2248</v>
      </c>
      <c r="D298" s="39">
        <v>1592</v>
      </c>
      <c r="E298" s="39">
        <v>1693</v>
      </c>
      <c r="F298" s="39">
        <v>1282</v>
      </c>
      <c r="G298" s="39">
        <v>1242</v>
      </c>
      <c r="H298" s="39">
        <v>1323</v>
      </c>
      <c r="I298" s="39">
        <v>1508</v>
      </c>
      <c r="J298" s="39">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c r="AD298" t="s">
        <v>921</v>
      </c>
      <c r="AE298" s="19">
        <v>1461</v>
      </c>
      <c r="AF298">
        <v>4166</v>
      </c>
      <c r="AG298">
        <v>1563</v>
      </c>
      <c r="AH298">
        <v>4498</v>
      </c>
    </row>
    <row r="299" spans="1:34" hidden="1">
      <c r="A299" s="39" t="s">
        <v>1243</v>
      </c>
      <c r="B299" s="39">
        <v>182</v>
      </c>
      <c r="C299" s="39">
        <v>217</v>
      </c>
      <c r="D299" s="39">
        <v>215</v>
      </c>
      <c r="E299" s="39">
        <v>257</v>
      </c>
      <c r="F299" s="39">
        <v>519</v>
      </c>
      <c r="G299" s="39">
        <v>624</v>
      </c>
      <c r="H299" s="39">
        <v>229</v>
      </c>
      <c r="I299" s="39">
        <v>642</v>
      </c>
      <c r="J299" s="39">
        <v>738</v>
      </c>
      <c r="K299">
        <v>765</v>
      </c>
      <c r="L299">
        <v>716</v>
      </c>
      <c r="M299">
        <v>624</v>
      </c>
      <c r="N299">
        <v>1158</v>
      </c>
      <c r="O299">
        <v>41</v>
      </c>
      <c r="P299">
        <v>36</v>
      </c>
      <c r="Q299">
        <v>48</v>
      </c>
      <c r="R299">
        <v>61</v>
      </c>
      <c r="S299">
        <v>96</v>
      </c>
      <c r="T299">
        <v>120</v>
      </c>
      <c r="U299">
        <v>20</v>
      </c>
      <c r="V299">
        <v>176</v>
      </c>
      <c r="W299">
        <v>200</v>
      </c>
      <c r="X299">
        <v>200</v>
      </c>
      <c r="Y299">
        <v>177</v>
      </c>
      <c r="Z299">
        <v>154</v>
      </c>
      <c r="AA299">
        <v>294</v>
      </c>
      <c r="AE299" s="19"/>
      <c r="AH299">
        <v>0</v>
      </c>
    </row>
    <row r="300" spans="1:34" hidden="1">
      <c r="A300" s="39" t="s">
        <v>958</v>
      </c>
      <c r="B300" s="39">
        <v>0</v>
      </c>
      <c r="C300" s="39">
        <v>0</v>
      </c>
      <c r="D300" s="39">
        <v>0</v>
      </c>
      <c r="E300" s="39">
        <v>0</v>
      </c>
      <c r="F300" s="39">
        <v>0</v>
      </c>
      <c r="G300" s="39">
        <v>0</v>
      </c>
      <c r="H300" s="39">
        <v>0</v>
      </c>
      <c r="I300" s="39">
        <v>0</v>
      </c>
      <c r="J300" s="39">
        <v>41</v>
      </c>
      <c r="K300">
        <v>448</v>
      </c>
      <c r="L300">
        <v>475</v>
      </c>
      <c r="M300">
        <v>503</v>
      </c>
      <c r="N300">
        <v>596</v>
      </c>
      <c r="O300">
        <v>0</v>
      </c>
      <c r="P300">
        <v>0</v>
      </c>
      <c r="Q300">
        <v>0</v>
      </c>
      <c r="R300">
        <v>0</v>
      </c>
      <c r="S300">
        <v>0</v>
      </c>
      <c r="T300">
        <v>0</v>
      </c>
      <c r="U300">
        <v>0</v>
      </c>
      <c r="V300">
        <v>0</v>
      </c>
      <c r="W300">
        <v>12</v>
      </c>
      <c r="X300">
        <v>152</v>
      </c>
      <c r="Y300">
        <v>148</v>
      </c>
      <c r="Z300">
        <v>180</v>
      </c>
      <c r="AA300">
        <v>205</v>
      </c>
      <c r="AD300" t="s">
        <v>825</v>
      </c>
      <c r="AE300" s="19">
        <v>767</v>
      </c>
      <c r="AF300">
        <v>1139</v>
      </c>
      <c r="AG300">
        <v>636</v>
      </c>
      <c r="AH300">
        <v>987</v>
      </c>
    </row>
    <row r="301" spans="1:34" hidden="1">
      <c r="A301" s="39" t="s">
        <v>1077</v>
      </c>
      <c r="B301" s="39">
        <v>0</v>
      </c>
      <c r="C301" s="39">
        <v>0</v>
      </c>
      <c r="D301" s="39">
        <v>0</v>
      </c>
      <c r="E301" s="39">
        <v>0</v>
      </c>
      <c r="F301" s="39">
        <v>0</v>
      </c>
      <c r="G301" s="39">
        <v>0</v>
      </c>
      <c r="H301" s="39">
        <v>0</v>
      </c>
      <c r="I301" s="39">
        <v>0</v>
      </c>
      <c r="J301" s="39">
        <v>0</v>
      </c>
      <c r="K301">
        <v>136</v>
      </c>
      <c r="L301">
        <v>240</v>
      </c>
      <c r="M301">
        <v>635</v>
      </c>
      <c r="N301">
        <v>979</v>
      </c>
      <c r="O301">
        <v>0</v>
      </c>
      <c r="P301">
        <v>0</v>
      </c>
      <c r="Q301">
        <v>0</v>
      </c>
      <c r="R301">
        <v>0</v>
      </c>
      <c r="S301">
        <v>0</v>
      </c>
      <c r="T301">
        <v>0</v>
      </c>
      <c r="U301">
        <v>0</v>
      </c>
      <c r="V301">
        <v>0</v>
      </c>
      <c r="W301">
        <v>0</v>
      </c>
      <c r="X301">
        <v>39</v>
      </c>
      <c r="Y301">
        <v>90</v>
      </c>
      <c r="Z301">
        <v>230</v>
      </c>
      <c r="AA301">
        <v>343</v>
      </c>
      <c r="AD301" t="s">
        <v>886</v>
      </c>
      <c r="AE301" s="19">
        <v>1069</v>
      </c>
      <c r="AF301">
        <v>2732</v>
      </c>
      <c r="AG301">
        <v>1032</v>
      </c>
      <c r="AH301">
        <v>2212</v>
      </c>
    </row>
    <row r="302" spans="1:34" hidden="1">
      <c r="A302" s="39" t="s">
        <v>1098</v>
      </c>
      <c r="B302" s="39">
        <v>2315</v>
      </c>
      <c r="C302" s="39">
        <v>2405</v>
      </c>
      <c r="D302" s="39">
        <v>2006</v>
      </c>
      <c r="E302" s="39">
        <v>1413</v>
      </c>
      <c r="F302" s="39">
        <v>1434</v>
      </c>
      <c r="G302" s="39">
        <v>1782</v>
      </c>
      <c r="H302" s="39">
        <v>1669</v>
      </c>
      <c r="I302" s="39">
        <v>2225</v>
      </c>
      <c r="J302" s="39">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c r="AD302" t="s">
        <v>827</v>
      </c>
      <c r="AE302" s="19">
        <v>1050</v>
      </c>
      <c r="AF302">
        <v>3373</v>
      </c>
      <c r="AG302">
        <v>894</v>
      </c>
      <c r="AH302">
        <v>2989</v>
      </c>
    </row>
    <row r="303" spans="1:34" hidden="1">
      <c r="A303" s="39" t="s">
        <v>956</v>
      </c>
      <c r="B303" s="39">
        <v>980</v>
      </c>
      <c r="C303" s="39">
        <v>895</v>
      </c>
      <c r="D303" s="39">
        <v>759</v>
      </c>
      <c r="E303" s="39">
        <v>550</v>
      </c>
      <c r="F303" s="39">
        <v>545</v>
      </c>
      <c r="G303" s="39">
        <v>532</v>
      </c>
      <c r="H303" s="39">
        <v>726</v>
      </c>
      <c r="I303" s="39">
        <v>642</v>
      </c>
      <c r="J303" s="39">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c r="AD303" t="s">
        <v>1050</v>
      </c>
      <c r="AE303" s="19">
        <v>1599</v>
      </c>
      <c r="AF303">
        <v>4378</v>
      </c>
      <c r="AG303">
        <v>1603</v>
      </c>
      <c r="AH303">
        <v>4702</v>
      </c>
    </row>
    <row r="304" spans="1:34" hidden="1">
      <c r="A304" s="39" t="s">
        <v>1096</v>
      </c>
      <c r="B304" s="39">
        <v>1043</v>
      </c>
      <c r="C304" s="39">
        <v>1155</v>
      </c>
      <c r="D304" s="39">
        <v>1282</v>
      </c>
      <c r="E304" s="39">
        <v>1441</v>
      </c>
      <c r="F304" s="39">
        <v>883</v>
      </c>
      <c r="G304" s="39">
        <v>944</v>
      </c>
      <c r="H304" s="39">
        <v>800</v>
      </c>
      <c r="I304" s="39">
        <v>923</v>
      </c>
      <c r="J304" s="39">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c r="AD304" t="s">
        <v>1075</v>
      </c>
      <c r="AE304" s="19">
        <v>986</v>
      </c>
      <c r="AF304">
        <v>3049</v>
      </c>
      <c r="AG304">
        <v>1006</v>
      </c>
      <c r="AH304">
        <v>2782</v>
      </c>
    </row>
    <row r="305" spans="1:34" hidden="1">
      <c r="A305" s="39" t="s">
        <v>1102</v>
      </c>
      <c r="B305" s="39">
        <v>565</v>
      </c>
      <c r="C305" s="39">
        <v>576</v>
      </c>
      <c r="D305" s="39">
        <v>298</v>
      </c>
      <c r="E305" s="39">
        <v>435</v>
      </c>
      <c r="F305" s="39">
        <v>442</v>
      </c>
      <c r="G305" s="39">
        <v>682</v>
      </c>
      <c r="H305" s="39">
        <v>1040</v>
      </c>
      <c r="I305" s="39">
        <v>1030</v>
      </c>
      <c r="J305" s="39">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c r="AD305" t="s">
        <v>1002</v>
      </c>
      <c r="AE305" s="19">
        <v>1097</v>
      </c>
      <c r="AF305">
        <v>3777</v>
      </c>
      <c r="AG305">
        <v>1104</v>
      </c>
      <c r="AH305">
        <v>3937</v>
      </c>
    </row>
    <row r="306" spans="1:34" hidden="1">
      <c r="A306" s="39" t="s">
        <v>830</v>
      </c>
      <c r="B306" s="39">
        <v>1662</v>
      </c>
      <c r="C306" s="39">
        <v>809</v>
      </c>
      <c r="D306" s="39">
        <v>1176</v>
      </c>
      <c r="E306" s="39">
        <v>2081</v>
      </c>
      <c r="F306" s="39">
        <v>901</v>
      </c>
      <c r="G306" s="39">
        <v>640</v>
      </c>
      <c r="H306" s="39">
        <v>90</v>
      </c>
      <c r="I306" s="39">
        <v>938</v>
      </c>
      <c r="J306" s="39">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c r="AD306" t="s">
        <v>830</v>
      </c>
      <c r="AE306" s="19">
        <v>4451</v>
      </c>
      <c r="AF306">
        <v>16591</v>
      </c>
      <c r="AG306">
        <v>1697</v>
      </c>
      <c r="AH306">
        <v>7281</v>
      </c>
    </row>
    <row r="307" spans="1:34" hidden="1">
      <c r="A307" s="39" t="s">
        <v>1509</v>
      </c>
      <c r="B307" s="39">
        <v>859</v>
      </c>
      <c r="C307" s="39">
        <v>860</v>
      </c>
      <c r="D307" s="39">
        <v>1049</v>
      </c>
      <c r="E307" s="39">
        <v>459</v>
      </c>
      <c r="F307" s="39">
        <v>532</v>
      </c>
      <c r="G307" s="39">
        <v>1242</v>
      </c>
      <c r="H307" s="39">
        <v>1354</v>
      </c>
      <c r="I307" s="39">
        <v>1758</v>
      </c>
      <c r="J307" s="39">
        <v>1661</v>
      </c>
      <c r="K307">
        <v>1251</v>
      </c>
      <c r="L307">
        <v>3236</v>
      </c>
      <c r="M307">
        <v>2309</v>
      </c>
      <c r="N307">
        <v>0</v>
      </c>
      <c r="O307">
        <v>150</v>
      </c>
      <c r="P307">
        <v>99</v>
      </c>
      <c r="Q307">
        <v>75</v>
      </c>
      <c r="R307">
        <v>83</v>
      </c>
      <c r="S307">
        <v>85</v>
      </c>
      <c r="T307">
        <v>125</v>
      </c>
      <c r="U307">
        <v>163</v>
      </c>
      <c r="V307">
        <v>142</v>
      </c>
      <c r="W307">
        <v>159</v>
      </c>
      <c r="X307">
        <v>117</v>
      </c>
      <c r="Y307">
        <v>144</v>
      </c>
      <c r="Z307">
        <v>94</v>
      </c>
      <c r="AA307">
        <v>1</v>
      </c>
      <c r="AD307" t="s">
        <v>1061</v>
      </c>
      <c r="AE307" s="19">
        <v>1048</v>
      </c>
      <c r="AF307">
        <v>2416</v>
      </c>
      <c r="AG307">
        <v>1064</v>
      </c>
      <c r="AH307">
        <v>2389</v>
      </c>
    </row>
    <row r="308" spans="1:34" hidden="1">
      <c r="A308" s="39" t="s">
        <v>1465</v>
      </c>
      <c r="B308" s="39">
        <v>537</v>
      </c>
      <c r="C308" s="39">
        <v>546</v>
      </c>
      <c r="D308" s="39">
        <v>627</v>
      </c>
      <c r="E308" s="39">
        <v>794</v>
      </c>
      <c r="F308" s="39">
        <v>558</v>
      </c>
      <c r="G308" s="39">
        <v>390</v>
      </c>
      <c r="H308" s="39">
        <v>351</v>
      </c>
      <c r="I308" s="39">
        <v>339</v>
      </c>
      <c r="J308" s="39">
        <v>251</v>
      </c>
      <c r="K308">
        <v>0</v>
      </c>
      <c r="L308">
        <v>0</v>
      </c>
      <c r="M308">
        <v>0</v>
      </c>
      <c r="N308">
        <v>0</v>
      </c>
      <c r="O308">
        <v>145</v>
      </c>
      <c r="P308">
        <v>168</v>
      </c>
      <c r="Q308">
        <v>292</v>
      </c>
      <c r="R308">
        <v>397</v>
      </c>
      <c r="S308">
        <v>264</v>
      </c>
      <c r="T308">
        <v>166</v>
      </c>
      <c r="U308">
        <v>121</v>
      </c>
      <c r="V308">
        <v>130</v>
      </c>
      <c r="W308">
        <v>79</v>
      </c>
      <c r="X308">
        <v>2</v>
      </c>
      <c r="Y308">
        <v>1</v>
      </c>
      <c r="Z308">
        <v>0</v>
      </c>
      <c r="AA308">
        <v>0</v>
      </c>
      <c r="AD308" t="s">
        <v>1512</v>
      </c>
      <c r="AE308" s="19">
        <v>140</v>
      </c>
      <c r="AF308">
        <v>309</v>
      </c>
      <c r="AG308">
        <v>135</v>
      </c>
      <c r="AH308">
        <v>238</v>
      </c>
    </row>
    <row r="309" spans="1:34" hidden="1">
      <c r="A309" s="39" t="s">
        <v>704</v>
      </c>
      <c r="B309" s="39">
        <v>4641</v>
      </c>
      <c r="C309" s="39">
        <v>5402</v>
      </c>
      <c r="D309" s="39">
        <v>12968</v>
      </c>
      <c r="E309" s="39">
        <v>405</v>
      </c>
      <c r="F309" s="39">
        <v>4626</v>
      </c>
      <c r="G309" s="39">
        <v>14443</v>
      </c>
      <c r="H309" s="39">
        <v>9978</v>
      </c>
      <c r="I309" s="39">
        <v>9294</v>
      </c>
      <c r="J309" s="39">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c r="AD309" t="s">
        <v>879</v>
      </c>
      <c r="AE309" s="19">
        <v>931</v>
      </c>
      <c r="AF309">
        <v>1974</v>
      </c>
      <c r="AG309">
        <v>1129</v>
      </c>
      <c r="AH309">
        <v>1665</v>
      </c>
    </row>
    <row r="310" spans="1:34" hidden="1">
      <c r="A310" s="39" t="s">
        <v>160</v>
      </c>
      <c r="B310" s="39">
        <v>142</v>
      </c>
      <c r="C310" s="39">
        <v>784</v>
      </c>
      <c r="D310" s="39">
        <v>1453</v>
      </c>
      <c r="E310" s="39">
        <v>1497</v>
      </c>
      <c r="F310" s="39">
        <v>688</v>
      </c>
      <c r="G310" s="39">
        <v>965</v>
      </c>
      <c r="H310" s="39">
        <v>693</v>
      </c>
      <c r="I310" s="39">
        <v>706</v>
      </c>
      <c r="J310" s="39">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c r="AE310" s="19"/>
      <c r="AH310">
        <v>0</v>
      </c>
    </row>
    <row r="311" spans="1:34" hidden="1">
      <c r="A311" s="39" t="s">
        <v>772</v>
      </c>
      <c r="B311" s="39">
        <v>3132</v>
      </c>
      <c r="C311" s="39">
        <v>2039</v>
      </c>
      <c r="D311" s="39">
        <v>3023</v>
      </c>
      <c r="E311" s="39">
        <v>3663</v>
      </c>
      <c r="F311" s="39">
        <v>3838</v>
      </c>
      <c r="G311" s="39">
        <v>4391</v>
      </c>
      <c r="H311" s="39">
        <v>4888</v>
      </c>
      <c r="I311" s="39">
        <v>4759</v>
      </c>
      <c r="J311" s="39">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c r="AD311" s="37" t="s">
        <v>850</v>
      </c>
      <c r="AE311" s="19">
        <v>1493</v>
      </c>
      <c r="AF311">
        <v>3832</v>
      </c>
      <c r="AG311">
        <v>874</v>
      </c>
      <c r="AH311">
        <v>2577</v>
      </c>
    </row>
    <row r="312" spans="1:34" hidden="1">
      <c r="A312" s="39" t="s">
        <v>449</v>
      </c>
      <c r="B312" s="39">
        <v>1659</v>
      </c>
      <c r="C312" s="39">
        <v>1434</v>
      </c>
      <c r="D312" s="39">
        <v>1562</v>
      </c>
      <c r="E312" s="39">
        <v>1244</v>
      </c>
      <c r="F312" s="39">
        <v>1149</v>
      </c>
      <c r="G312" s="39">
        <v>1155</v>
      </c>
      <c r="H312" s="39">
        <v>1334</v>
      </c>
      <c r="I312" s="39">
        <v>1368</v>
      </c>
      <c r="J312" s="39">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c r="AD312" t="s">
        <v>950</v>
      </c>
      <c r="AE312" s="19">
        <v>1954</v>
      </c>
      <c r="AF312">
        <v>3897</v>
      </c>
      <c r="AG312">
        <v>2114</v>
      </c>
      <c r="AH312">
        <v>4208</v>
      </c>
    </row>
    <row r="313" spans="1:34" hidden="1">
      <c r="A313" s="39" t="s">
        <v>313</v>
      </c>
      <c r="B313" s="39">
        <v>876</v>
      </c>
      <c r="C313" s="39">
        <v>860</v>
      </c>
      <c r="D313" s="39">
        <v>1105</v>
      </c>
      <c r="E313" s="39">
        <v>1072</v>
      </c>
      <c r="F313" s="39">
        <v>983</v>
      </c>
      <c r="G313" s="39">
        <v>1089</v>
      </c>
      <c r="H313" s="39">
        <v>848</v>
      </c>
      <c r="I313" s="39">
        <v>1287</v>
      </c>
      <c r="J313" s="39">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c r="AE313" s="19"/>
      <c r="AH313">
        <v>0</v>
      </c>
    </row>
    <row r="314" spans="1:34" hidden="1">
      <c r="A314" s="39" t="s">
        <v>1107</v>
      </c>
      <c r="B314" s="39">
        <v>997</v>
      </c>
      <c r="C314" s="39">
        <v>1850</v>
      </c>
      <c r="D314" s="39">
        <v>1025</v>
      </c>
      <c r="E314" s="39">
        <v>799</v>
      </c>
      <c r="F314" s="39">
        <v>710</v>
      </c>
      <c r="G314" s="39">
        <v>691</v>
      </c>
      <c r="H314" s="39">
        <v>660</v>
      </c>
      <c r="I314" s="39">
        <v>770</v>
      </c>
      <c r="J314" s="39">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c r="AD314" t="s">
        <v>1030</v>
      </c>
      <c r="AE314" s="19">
        <v>1003</v>
      </c>
      <c r="AF314">
        <v>1589</v>
      </c>
      <c r="AG314">
        <v>890</v>
      </c>
      <c r="AH314">
        <v>1398</v>
      </c>
    </row>
    <row r="315" spans="1:34" hidden="1">
      <c r="A315" s="39" t="s">
        <v>1083</v>
      </c>
      <c r="B315" s="39">
        <v>2355</v>
      </c>
      <c r="C315" s="39">
        <v>1934</v>
      </c>
      <c r="D315" s="39">
        <v>2039</v>
      </c>
      <c r="E315" s="39">
        <v>1536</v>
      </c>
      <c r="F315" s="39">
        <v>1410</v>
      </c>
      <c r="G315" s="39">
        <v>1279</v>
      </c>
      <c r="H315" s="39">
        <v>1075</v>
      </c>
      <c r="I315" s="39">
        <v>1303</v>
      </c>
      <c r="J315" s="39">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c r="AE315" s="19"/>
      <c r="AH315">
        <v>0</v>
      </c>
    </row>
    <row r="316" spans="1:34" hidden="1">
      <c r="A316" s="39" t="s">
        <v>900</v>
      </c>
      <c r="B316" s="39">
        <v>2621</v>
      </c>
      <c r="C316" s="39">
        <v>2019</v>
      </c>
      <c r="D316" s="39">
        <v>2673</v>
      </c>
      <c r="E316" s="39">
        <v>2544</v>
      </c>
      <c r="F316" s="39">
        <v>1653</v>
      </c>
      <c r="G316" s="39">
        <v>1577</v>
      </c>
      <c r="H316" s="39">
        <v>1246</v>
      </c>
      <c r="I316" s="39">
        <v>1403</v>
      </c>
      <c r="J316" s="39">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c r="AD316" t="s">
        <v>972</v>
      </c>
      <c r="AE316" s="19">
        <v>567</v>
      </c>
      <c r="AF316">
        <v>1504</v>
      </c>
      <c r="AG316">
        <v>580</v>
      </c>
      <c r="AH316">
        <v>1328</v>
      </c>
    </row>
    <row r="317" spans="1:34" hidden="1">
      <c r="A317" s="39" t="s">
        <v>1073</v>
      </c>
      <c r="B317" s="39">
        <v>0</v>
      </c>
      <c r="C317" s="39">
        <v>0</v>
      </c>
      <c r="D317" s="39">
        <v>11</v>
      </c>
      <c r="E317" s="39">
        <v>1977</v>
      </c>
      <c r="F317" s="39">
        <v>2804</v>
      </c>
      <c r="G317" s="39">
        <v>1930</v>
      </c>
      <c r="H317" s="39">
        <v>863</v>
      </c>
      <c r="I317" s="39">
        <v>540</v>
      </c>
      <c r="J317" s="39">
        <v>582</v>
      </c>
      <c r="K317">
        <v>495</v>
      </c>
      <c r="L317">
        <v>580</v>
      </c>
      <c r="M317">
        <v>742</v>
      </c>
      <c r="N317">
        <v>940</v>
      </c>
      <c r="O317">
        <v>0</v>
      </c>
      <c r="P317">
        <v>0</v>
      </c>
      <c r="Q317">
        <v>0</v>
      </c>
      <c r="R317">
        <v>532</v>
      </c>
      <c r="S317">
        <v>956</v>
      </c>
      <c r="T317">
        <v>628</v>
      </c>
      <c r="U317">
        <v>252</v>
      </c>
      <c r="V317">
        <v>196</v>
      </c>
      <c r="W317">
        <v>219</v>
      </c>
      <c r="X317">
        <v>208</v>
      </c>
      <c r="Y317">
        <v>236</v>
      </c>
      <c r="Z317">
        <v>308</v>
      </c>
      <c r="AA317">
        <v>392</v>
      </c>
      <c r="AD317" t="s">
        <v>877</v>
      </c>
      <c r="AE317" s="19">
        <v>1221</v>
      </c>
      <c r="AF317">
        <v>4464</v>
      </c>
      <c r="AG317">
        <v>1315</v>
      </c>
      <c r="AH317">
        <v>4510</v>
      </c>
    </row>
    <row r="318" spans="1:34" hidden="1">
      <c r="A318" s="39" t="s">
        <v>1495</v>
      </c>
      <c r="B318" s="39">
        <v>0</v>
      </c>
      <c r="C318" s="39">
        <v>1336</v>
      </c>
      <c r="D318" s="39">
        <v>1505</v>
      </c>
      <c r="E318" s="39">
        <v>392</v>
      </c>
      <c r="F318" s="39">
        <v>847</v>
      </c>
      <c r="G318" s="39">
        <v>516</v>
      </c>
      <c r="H318" s="39">
        <v>980</v>
      </c>
      <c r="I318" s="39">
        <v>968</v>
      </c>
      <c r="J318" s="39">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c r="AE318" s="19"/>
      <c r="AH318">
        <v>0</v>
      </c>
    </row>
    <row r="319" spans="1:34" hidden="1">
      <c r="A319" s="39" t="s">
        <v>714</v>
      </c>
      <c r="B319" s="39">
        <v>1136</v>
      </c>
      <c r="C319" s="39">
        <v>1864</v>
      </c>
      <c r="D319" s="39">
        <v>4153</v>
      </c>
      <c r="E319" s="39">
        <v>4283</v>
      </c>
      <c r="F319" s="39">
        <v>4912</v>
      </c>
      <c r="G319" s="39">
        <v>2632</v>
      </c>
      <c r="H319" s="39">
        <v>1166</v>
      </c>
      <c r="I319" s="39">
        <v>4260</v>
      </c>
      <c r="J319" s="39">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c r="AD319" t="s">
        <v>832</v>
      </c>
      <c r="AE319" s="19">
        <v>1270</v>
      </c>
      <c r="AF319">
        <v>3786</v>
      </c>
      <c r="AG319">
        <v>1078</v>
      </c>
      <c r="AH319">
        <v>3372</v>
      </c>
    </row>
    <row r="320" spans="1:34" hidden="1">
      <c r="A320" s="39" t="s">
        <v>595</v>
      </c>
      <c r="B320" s="39">
        <v>0</v>
      </c>
      <c r="C320" s="39">
        <v>0</v>
      </c>
      <c r="D320" s="39">
        <v>0</v>
      </c>
      <c r="E320" s="39">
        <v>164</v>
      </c>
      <c r="F320" s="39">
        <v>53</v>
      </c>
      <c r="G320" s="39">
        <v>371</v>
      </c>
      <c r="H320" s="39">
        <v>517</v>
      </c>
      <c r="I320" s="39">
        <v>388</v>
      </c>
      <c r="J320" s="39">
        <v>404</v>
      </c>
      <c r="K320">
        <v>419</v>
      </c>
      <c r="L320">
        <v>367</v>
      </c>
      <c r="M320">
        <v>313</v>
      </c>
      <c r="N320">
        <v>340</v>
      </c>
      <c r="O320">
        <v>0</v>
      </c>
      <c r="P320">
        <v>0</v>
      </c>
      <c r="Q320">
        <v>0</v>
      </c>
      <c r="R320">
        <v>43</v>
      </c>
      <c r="S320">
        <v>2</v>
      </c>
      <c r="T320">
        <v>125</v>
      </c>
      <c r="U320">
        <v>225</v>
      </c>
      <c r="V320">
        <v>142</v>
      </c>
      <c r="W320">
        <v>120</v>
      </c>
      <c r="X320">
        <v>170</v>
      </c>
      <c r="Y320">
        <v>132</v>
      </c>
      <c r="Z320">
        <v>82</v>
      </c>
      <c r="AA320">
        <v>112</v>
      </c>
      <c r="AD320" t="s">
        <v>1094</v>
      </c>
      <c r="AE320" s="19">
        <v>3590</v>
      </c>
      <c r="AF320">
        <v>14550</v>
      </c>
      <c r="AG320">
        <v>3606</v>
      </c>
      <c r="AH320">
        <v>14106</v>
      </c>
    </row>
    <row r="321" spans="1:34" hidden="1">
      <c r="A321" s="39" t="s">
        <v>377</v>
      </c>
      <c r="B321" s="39">
        <v>0</v>
      </c>
      <c r="C321" s="39">
        <v>0</v>
      </c>
      <c r="D321" s="39">
        <v>0</v>
      </c>
      <c r="E321" s="39">
        <v>0</v>
      </c>
      <c r="F321" s="39">
        <v>0</v>
      </c>
      <c r="G321" s="39">
        <v>0</v>
      </c>
      <c r="H321" s="39">
        <v>1040</v>
      </c>
      <c r="I321" s="39">
        <v>0</v>
      </c>
      <c r="J321" s="39">
        <v>756</v>
      </c>
      <c r="K321">
        <v>1171</v>
      </c>
      <c r="L321">
        <v>1110</v>
      </c>
      <c r="M321">
        <v>1275</v>
      </c>
      <c r="N321">
        <v>0</v>
      </c>
      <c r="O321">
        <v>0</v>
      </c>
      <c r="P321">
        <v>0</v>
      </c>
      <c r="Q321">
        <v>0</v>
      </c>
      <c r="R321">
        <v>0</v>
      </c>
      <c r="S321">
        <v>0</v>
      </c>
      <c r="T321">
        <v>0</v>
      </c>
      <c r="U321">
        <v>374</v>
      </c>
      <c r="V321">
        <v>0</v>
      </c>
      <c r="W321">
        <v>222</v>
      </c>
      <c r="X321">
        <v>287</v>
      </c>
      <c r="Y321">
        <v>167</v>
      </c>
      <c r="Z321">
        <v>150</v>
      </c>
      <c r="AA321">
        <v>0</v>
      </c>
      <c r="AE321" s="19"/>
      <c r="AH321">
        <v>0</v>
      </c>
    </row>
    <row r="322" spans="1:34" hidden="1">
      <c r="A322" s="39" t="s">
        <v>395</v>
      </c>
      <c r="B322" s="39">
        <v>0</v>
      </c>
      <c r="C322" s="39">
        <v>435</v>
      </c>
      <c r="D322" s="39">
        <v>405</v>
      </c>
      <c r="E322" s="39">
        <v>972</v>
      </c>
      <c r="F322" s="39">
        <v>925</v>
      </c>
      <c r="G322" s="39">
        <v>761</v>
      </c>
      <c r="H322" s="39">
        <v>830</v>
      </c>
      <c r="I322" s="39">
        <v>1199</v>
      </c>
      <c r="J322" s="39">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c r="AD322" t="s">
        <v>1096</v>
      </c>
      <c r="AE322" s="19">
        <v>1934</v>
      </c>
      <c r="AF322">
        <v>3707</v>
      </c>
      <c r="AG322">
        <v>1678</v>
      </c>
      <c r="AH322">
        <v>3103</v>
      </c>
    </row>
    <row r="323" spans="1:34" hidden="1">
      <c r="A323" s="39" t="s">
        <v>279</v>
      </c>
      <c r="B323" s="39">
        <v>0</v>
      </c>
      <c r="C323" s="39">
        <v>0</v>
      </c>
      <c r="D323" s="39">
        <v>356</v>
      </c>
      <c r="E323" s="39">
        <v>1037</v>
      </c>
      <c r="F323" s="39">
        <v>959</v>
      </c>
      <c r="G323" s="39">
        <v>880</v>
      </c>
      <c r="H323" s="39">
        <v>751</v>
      </c>
      <c r="I323" s="39">
        <v>1087</v>
      </c>
      <c r="J323" s="39">
        <v>986</v>
      </c>
      <c r="K323">
        <v>930</v>
      </c>
      <c r="L323">
        <v>962</v>
      </c>
      <c r="M323">
        <v>799</v>
      </c>
      <c r="N323">
        <v>866</v>
      </c>
      <c r="O323">
        <v>0</v>
      </c>
      <c r="P323">
        <v>0</v>
      </c>
      <c r="Q323">
        <v>129</v>
      </c>
      <c r="R323">
        <v>276</v>
      </c>
      <c r="S323">
        <v>248</v>
      </c>
      <c r="T323">
        <v>167</v>
      </c>
      <c r="U323">
        <v>188</v>
      </c>
      <c r="V323">
        <v>328</v>
      </c>
      <c r="W323">
        <v>276</v>
      </c>
      <c r="X323">
        <v>263</v>
      </c>
      <c r="Y323">
        <v>246</v>
      </c>
      <c r="Z323">
        <v>201</v>
      </c>
      <c r="AA323">
        <v>215</v>
      </c>
      <c r="AD323" s="37" t="s">
        <v>1004</v>
      </c>
      <c r="AE323" s="19">
        <v>1019</v>
      </c>
      <c r="AF323">
        <v>4079</v>
      </c>
      <c r="AG323">
        <v>1135</v>
      </c>
      <c r="AH323">
        <v>4140</v>
      </c>
    </row>
    <row r="324" spans="1:34" hidden="1">
      <c r="A324" s="39" t="s">
        <v>164</v>
      </c>
      <c r="B324" s="39">
        <v>1577</v>
      </c>
      <c r="C324" s="39">
        <v>2979</v>
      </c>
      <c r="D324" s="39">
        <v>2259</v>
      </c>
      <c r="E324" s="39">
        <v>1840</v>
      </c>
      <c r="F324" s="39">
        <v>1839</v>
      </c>
      <c r="G324" s="39">
        <v>2765</v>
      </c>
      <c r="H324" s="39">
        <v>2954</v>
      </c>
      <c r="I324" s="39">
        <v>2655</v>
      </c>
      <c r="J324" s="39">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c r="AD324" t="s">
        <v>854</v>
      </c>
      <c r="AE324" s="19">
        <v>2100</v>
      </c>
      <c r="AF324">
        <v>5134</v>
      </c>
      <c r="AG324">
        <v>2163</v>
      </c>
      <c r="AH324">
        <v>4948</v>
      </c>
    </row>
    <row r="325" spans="1:34" hidden="1">
      <c r="A325" s="39" t="s">
        <v>375</v>
      </c>
      <c r="B325" s="39">
        <v>0</v>
      </c>
      <c r="C325" s="39">
        <v>0</v>
      </c>
      <c r="D325" s="39">
        <v>0</v>
      </c>
      <c r="E325" s="39">
        <v>104</v>
      </c>
      <c r="F325" s="39">
        <v>0</v>
      </c>
      <c r="G325" s="39">
        <v>815</v>
      </c>
      <c r="H325" s="39">
        <v>1012</v>
      </c>
      <c r="I325" s="39">
        <v>957</v>
      </c>
      <c r="J325" s="39">
        <v>975</v>
      </c>
      <c r="K325">
        <v>800</v>
      </c>
      <c r="L325">
        <v>911</v>
      </c>
      <c r="M325">
        <v>550</v>
      </c>
      <c r="N325">
        <v>665</v>
      </c>
      <c r="O325">
        <v>0</v>
      </c>
      <c r="P325">
        <v>0</v>
      </c>
      <c r="Q325">
        <v>0</v>
      </c>
      <c r="R325">
        <v>21</v>
      </c>
      <c r="S325">
        <v>0</v>
      </c>
      <c r="T325">
        <v>346</v>
      </c>
      <c r="U325">
        <v>337</v>
      </c>
      <c r="V325">
        <v>285</v>
      </c>
      <c r="W325">
        <v>309</v>
      </c>
      <c r="X325">
        <v>232</v>
      </c>
      <c r="Y325">
        <v>260</v>
      </c>
      <c r="Z325">
        <v>98</v>
      </c>
      <c r="AA325">
        <v>186</v>
      </c>
      <c r="AD325" t="s">
        <v>1098</v>
      </c>
      <c r="AE325" s="19">
        <v>2322</v>
      </c>
      <c r="AF325">
        <v>7537</v>
      </c>
      <c r="AG325">
        <v>2139</v>
      </c>
      <c r="AH325">
        <v>6324</v>
      </c>
    </row>
    <row r="326" spans="1:34" hidden="1">
      <c r="A326" s="39" t="s">
        <v>355</v>
      </c>
      <c r="B326" s="39">
        <v>0</v>
      </c>
      <c r="C326" s="39">
        <v>123</v>
      </c>
      <c r="D326" s="39">
        <v>330</v>
      </c>
      <c r="E326" s="39">
        <v>372</v>
      </c>
      <c r="F326" s="39">
        <v>240</v>
      </c>
      <c r="G326" s="39">
        <v>375</v>
      </c>
      <c r="H326" s="39">
        <v>438</v>
      </c>
      <c r="I326" s="39">
        <v>591</v>
      </c>
      <c r="J326" s="39">
        <v>553</v>
      </c>
      <c r="K326">
        <v>640</v>
      </c>
      <c r="L326">
        <v>248</v>
      </c>
      <c r="M326">
        <v>224</v>
      </c>
      <c r="N326">
        <v>632</v>
      </c>
      <c r="O326">
        <v>0</v>
      </c>
      <c r="P326">
        <v>32</v>
      </c>
      <c r="Q326">
        <v>71</v>
      </c>
      <c r="R326">
        <v>80</v>
      </c>
      <c r="S326">
        <v>61</v>
      </c>
      <c r="T326">
        <v>94</v>
      </c>
      <c r="U326">
        <v>125</v>
      </c>
      <c r="V326">
        <v>216</v>
      </c>
      <c r="W326">
        <v>210</v>
      </c>
      <c r="X326">
        <v>216</v>
      </c>
      <c r="Y326">
        <v>82</v>
      </c>
      <c r="Z326">
        <v>51</v>
      </c>
      <c r="AA326">
        <v>194</v>
      </c>
      <c r="AD326" t="s">
        <v>982</v>
      </c>
      <c r="AE326" s="19">
        <v>485</v>
      </c>
      <c r="AF326">
        <v>854</v>
      </c>
      <c r="AG326">
        <v>464</v>
      </c>
      <c r="AH326">
        <v>810</v>
      </c>
    </row>
    <row r="327" spans="1:34" hidden="1">
      <c r="A327" s="39" t="s">
        <v>467</v>
      </c>
      <c r="B327" s="39">
        <v>0</v>
      </c>
      <c r="C327" s="39">
        <v>0</v>
      </c>
      <c r="D327" s="39">
        <v>0</v>
      </c>
      <c r="E327" s="39">
        <v>0</v>
      </c>
      <c r="F327" s="39">
        <v>0</v>
      </c>
      <c r="G327" s="39">
        <v>0</v>
      </c>
      <c r="H327" s="39">
        <v>3</v>
      </c>
      <c r="I327" s="39">
        <v>285</v>
      </c>
      <c r="J327" s="39">
        <v>734</v>
      </c>
      <c r="K327">
        <v>788</v>
      </c>
      <c r="L327">
        <v>450</v>
      </c>
      <c r="M327">
        <v>417</v>
      </c>
      <c r="N327">
        <v>668</v>
      </c>
      <c r="O327">
        <v>0</v>
      </c>
      <c r="P327">
        <v>0</v>
      </c>
      <c r="Q327">
        <v>0</v>
      </c>
      <c r="R327">
        <v>0</v>
      </c>
      <c r="S327">
        <v>0</v>
      </c>
      <c r="T327">
        <v>0</v>
      </c>
      <c r="U327">
        <v>0</v>
      </c>
      <c r="V327">
        <v>56</v>
      </c>
      <c r="W327">
        <v>184</v>
      </c>
      <c r="X327">
        <v>193</v>
      </c>
      <c r="Y327">
        <v>82</v>
      </c>
      <c r="Z327">
        <v>146</v>
      </c>
      <c r="AA327">
        <v>155</v>
      </c>
      <c r="AD327" t="s">
        <v>864</v>
      </c>
      <c r="AE327" s="19">
        <v>1498</v>
      </c>
      <c r="AF327">
        <v>5370</v>
      </c>
      <c r="AG327">
        <v>1227</v>
      </c>
      <c r="AH327">
        <v>3936</v>
      </c>
    </row>
    <row r="328" spans="1:34" hidden="1">
      <c r="A328" s="39" t="s">
        <v>1063</v>
      </c>
      <c r="B328" s="39">
        <v>0</v>
      </c>
      <c r="C328" s="39">
        <v>0</v>
      </c>
      <c r="D328" s="39">
        <v>822</v>
      </c>
      <c r="E328" s="39">
        <v>1928</v>
      </c>
      <c r="F328" s="39">
        <v>1563</v>
      </c>
      <c r="G328" s="39">
        <v>2064</v>
      </c>
      <c r="H328" s="39">
        <v>2099</v>
      </c>
      <c r="I328" s="39">
        <v>2454</v>
      </c>
      <c r="J328" s="39">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c r="AD328" t="s">
        <v>1138</v>
      </c>
      <c r="AE328" s="19">
        <v>10278</v>
      </c>
      <c r="AF328">
        <v>19771</v>
      </c>
      <c r="AG328">
        <v>8072</v>
      </c>
      <c r="AH328">
        <v>16361</v>
      </c>
    </row>
    <row r="329" spans="1:34" hidden="1">
      <c r="A329" s="39" t="s">
        <v>1094</v>
      </c>
      <c r="B329" s="39">
        <v>1295</v>
      </c>
      <c r="C329" s="39">
        <v>3249</v>
      </c>
      <c r="D329" s="39">
        <v>2721</v>
      </c>
      <c r="E329" s="39">
        <v>2361</v>
      </c>
      <c r="F329" s="39">
        <v>2349</v>
      </c>
      <c r="G329" s="39">
        <v>1891</v>
      </c>
      <c r="H329" s="39">
        <v>2300</v>
      </c>
      <c r="I329" s="39">
        <v>1954</v>
      </c>
      <c r="J329" s="39">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c r="AD329" t="s">
        <v>1088</v>
      </c>
      <c r="AE329" s="19">
        <v>1468</v>
      </c>
      <c r="AF329">
        <v>3867</v>
      </c>
      <c r="AG329">
        <v>1315</v>
      </c>
      <c r="AH329">
        <v>3480</v>
      </c>
    </row>
    <row r="330" spans="1:34" hidden="1">
      <c r="A330" s="39" t="s">
        <v>836</v>
      </c>
      <c r="B330" s="39">
        <v>0</v>
      </c>
      <c r="C330" s="39">
        <v>0</v>
      </c>
      <c r="D330" s="39">
        <v>41</v>
      </c>
      <c r="E330" s="39">
        <v>419</v>
      </c>
      <c r="F330" s="39">
        <v>509</v>
      </c>
      <c r="G330" s="39">
        <v>582</v>
      </c>
      <c r="H330" s="39">
        <v>1850</v>
      </c>
      <c r="I330" s="39">
        <v>1334</v>
      </c>
      <c r="J330" s="39">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c r="AD330" t="s">
        <v>1044</v>
      </c>
      <c r="AE330" s="19">
        <v>1079</v>
      </c>
      <c r="AF330">
        <v>2673</v>
      </c>
      <c r="AG330">
        <v>1148</v>
      </c>
      <c r="AH330">
        <v>2673</v>
      </c>
    </row>
    <row r="331" spans="1:34" hidden="1">
      <c r="A331" s="39" t="s">
        <v>954</v>
      </c>
      <c r="B331" s="39">
        <v>0</v>
      </c>
      <c r="C331" s="39">
        <v>0</v>
      </c>
      <c r="D331" s="39">
        <v>136</v>
      </c>
      <c r="E331" s="39">
        <v>1743</v>
      </c>
      <c r="F331" s="39">
        <v>962</v>
      </c>
      <c r="G331" s="39">
        <v>672</v>
      </c>
      <c r="H331" s="39">
        <v>854</v>
      </c>
      <c r="I331" s="39">
        <v>999</v>
      </c>
      <c r="J331" s="39">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c r="AE331" s="19"/>
      <c r="AH331">
        <v>0</v>
      </c>
    </row>
    <row r="332" spans="1:34" hidden="1">
      <c r="A332" s="39" t="s">
        <v>1002</v>
      </c>
      <c r="B332" s="39">
        <v>0</v>
      </c>
      <c r="C332" s="39">
        <v>0</v>
      </c>
      <c r="D332" s="39">
        <v>1136</v>
      </c>
      <c r="E332" s="39">
        <v>1169</v>
      </c>
      <c r="F332" s="39">
        <v>907</v>
      </c>
      <c r="G332" s="39">
        <v>861</v>
      </c>
      <c r="H332" s="39">
        <v>710</v>
      </c>
      <c r="I332" s="39">
        <v>602</v>
      </c>
      <c r="J332" s="39">
        <v>529</v>
      </c>
      <c r="K332">
        <v>746</v>
      </c>
      <c r="L332">
        <v>600</v>
      </c>
      <c r="M332">
        <v>787</v>
      </c>
      <c r="N332">
        <v>1002</v>
      </c>
      <c r="O332">
        <v>0</v>
      </c>
      <c r="P332">
        <v>0</v>
      </c>
      <c r="Q332">
        <v>297</v>
      </c>
      <c r="R332">
        <v>266</v>
      </c>
      <c r="S332">
        <v>233</v>
      </c>
      <c r="T332">
        <v>247</v>
      </c>
      <c r="U332">
        <v>190</v>
      </c>
      <c r="V332">
        <v>209</v>
      </c>
      <c r="W332">
        <v>146</v>
      </c>
      <c r="X332">
        <v>253</v>
      </c>
      <c r="Y332">
        <v>196</v>
      </c>
      <c r="Z332">
        <v>274</v>
      </c>
      <c r="AA332">
        <v>347</v>
      </c>
      <c r="AD332" t="s">
        <v>919</v>
      </c>
      <c r="AE332" s="19">
        <v>1132</v>
      </c>
      <c r="AF332">
        <v>2219</v>
      </c>
      <c r="AG332">
        <v>746</v>
      </c>
      <c r="AH332">
        <v>1647</v>
      </c>
    </row>
    <row r="333" spans="1:34" hidden="1">
      <c r="A333" s="39" t="s">
        <v>1028</v>
      </c>
      <c r="B333" s="39">
        <v>2010</v>
      </c>
      <c r="C333" s="39">
        <v>3174</v>
      </c>
      <c r="D333" s="39">
        <v>823</v>
      </c>
      <c r="E333" s="39">
        <v>3749</v>
      </c>
      <c r="F333" s="39">
        <v>2541</v>
      </c>
      <c r="G333" s="39">
        <v>2523</v>
      </c>
      <c r="H333" s="39">
        <v>1288</v>
      </c>
      <c r="I333" s="39">
        <v>3176</v>
      </c>
      <c r="J333" s="39">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c r="AD333" s="27" t="s">
        <v>958</v>
      </c>
      <c r="AE333" s="19">
        <v>1142</v>
      </c>
      <c r="AF333">
        <v>2951</v>
      </c>
      <c r="AG333">
        <v>1087</v>
      </c>
      <c r="AH333">
        <v>2839</v>
      </c>
    </row>
    <row r="334" spans="1:34" hidden="1">
      <c r="A334" s="39" t="s">
        <v>263</v>
      </c>
      <c r="B334" s="39">
        <v>0</v>
      </c>
      <c r="C334" s="39">
        <v>0</v>
      </c>
      <c r="D334" s="39">
        <v>0</v>
      </c>
      <c r="E334" s="39">
        <v>0</v>
      </c>
      <c r="F334" s="39">
        <v>0</v>
      </c>
      <c r="G334" s="39">
        <v>0</v>
      </c>
      <c r="H334" s="39">
        <v>326</v>
      </c>
      <c r="I334" s="39">
        <v>736</v>
      </c>
      <c r="J334" s="39">
        <v>567</v>
      </c>
      <c r="K334">
        <v>2399</v>
      </c>
      <c r="L334">
        <v>1225</v>
      </c>
      <c r="M334">
        <v>1088</v>
      </c>
      <c r="N334">
        <v>2548</v>
      </c>
      <c r="O334">
        <v>0</v>
      </c>
      <c r="P334">
        <v>0</v>
      </c>
      <c r="Q334">
        <v>0</v>
      </c>
      <c r="R334">
        <v>0</v>
      </c>
      <c r="S334">
        <v>0</v>
      </c>
      <c r="T334">
        <v>0</v>
      </c>
      <c r="U334">
        <v>38</v>
      </c>
      <c r="V334">
        <v>110</v>
      </c>
      <c r="W334">
        <v>53</v>
      </c>
      <c r="X334">
        <v>392</v>
      </c>
      <c r="Y334">
        <v>165</v>
      </c>
      <c r="Z334">
        <v>186</v>
      </c>
      <c r="AA334">
        <v>457</v>
      </c>
      <c r="AD334" t="s">
        <v>956</v>
      </c>
      <c r="AE334" s="19">
        <v>1001</v>
      </c>
      <c r="AF334">
        <v>1621</v>
      </c>
      <c r="AG334">
        <v>860</v>
      </c>
      <c r="AH334">
        <v>1427</v>
      </c>
    </row>
    <row r="335" spans="1:34" hidden="1">
      <c r="A335" s="39" t="s">
        <v>57</v>
      </c>
      <c r="B335" s="39">
        <v>0</v>
      </c>
      <c r="C335" s="39">
        <v>0</v>
      </c>
      <c r="D335" s="39">
        <v>0</v>
      </c>
      <c r="E335" s="39">
        <v>0</v>
      </c>
      <c r="F335" s="39">
        <v>0</v>
      </c>
      <c r="G335" s="39">
        <v>495</v>
      </c>
      <c r="H335" s="39">
        <v>934</v>
      </c>
      <c r="I335" s="39">
        <v>2236</v>
      </c>
      <c r="J335" s="39">
        <v>1954</v>
      </c>
      <c r="K335">
        <v>1579</v>
      </c>
      <c r="L335">
        <v>1718</v>
      </c>
      <c r="M335">
        <v>2380</v>
      </c>
      <c r="N335">
        <v>1473</v>
      </c>
      <c r="O335">
        <v>0</v>
      </c>
      <c r="P335">
        <v>0</v>
      </c>
      <c r="Q335">
        <v>0</v>
      </c>
      <c r="R335">
        <v>0</v>
      </c>
      <c r="S335">
        <v>0</v>
      </c>
      <c r="T335">
        <v>66</v>
      </c>
      <c r="U335">
        <v>141</v>
      </c>
      <c r="V335">
        <v>309</v>
      </c>
      <c r="W335">
        <v>335</v>
      </c>
      <c r="X335">
        <v>316</v>
      </c>
      <c r="Y335">
        <v>293</v>
      </c>
      <c r="Z335">
        <v>294</v>
      </c>
      <c r="AA335">
        <v>321</v>
      </c>
      <c r="AD335" s="27" t="s">
        <v>868</v>
      </c>
      <c r="AE335" s="19">
        <v>1255</v>
      </c>
      <c r="AF335">
        <v>2585</v>
      </c>
      <c r="AG335">
        <v>994</v>
      </c>
      <c r="AH335">
        <v>2553</v>
      </c>
    </row>
    <row r="336" spans="1:34" hidden="1">
      <c r="A336" s="39" t="s">
        <v>593</v>
      </c>
      <c r="B336" s="39">
        <v>0</v>
      </c>
      <c r="C336" s="39">
        <v>0</v>
      </c>
      <c r="D336" s="39">
        <v>0</v>
      </c>
      <c r="E336" s="39">
        <v>0</v>
      </c>
      <c r="F336" s="39">
        <v>0</v>
      </c>
      <c r="G336" s="39">
        <v>145</v>
      </c>
      <c r="H336" s="39">
        <v>2954</v>
      </c>
      <c r="I336" s="39">
        <v>3011</v>
      </c>
      <c r="J336" s="39">
        <v>1938</v>
      </c>
      <c r="K336">
        <v>2398</v>
      </c>
      <c r="L336">
        <v>2000</v>
      </c>
      <c r="M336">
        <v>2125</v>
      </c>
      <c r="N336">
        <v>2735</v>
      </c>
      <c r="O336">
        <v>0</v>
      </c>
      <c r="P336">
        <v>0</v>
      </c>
      <c r="Q336">
        <v>0</v>
      </c>
      <c r="R336">
        <v>0</v>
      </c>
      <c r="S336">
        <v>0</v>
      </c>
      <c r="T336">
        <v>7</v>
      </c>
      <c r="U336">
        <v>223</v>
      </c>
      <c r="V336">
        <v>540</v>
      </c>
      <c r="W336">
        <v>309</v>
      </c>
      <c r="X336">
        <v>461</v>
      </c>
      <c r="Y336">
        <v>401</v>
      </c>
      <c r="Z336">
        <v>480</v>
      </c>
      <c r="AA336">
        <v>527</v>
      </c>
      <c r="AD336" t="s">
        <v>1022</v>
      </c>
      <c r="AE336" s="19">
        <v>442</v>
      </c>
      <c r="AF336">
        <v>907</v>
      </c>
      <c r="AG336">
        <v>361</v>
      </c>
      <c r="AH336">
        <v>768</v>
      </c>
    </row>
    <row r="337" spans="1:34" hidden="1">
      <c r="A337" s="39" t="s">
        <v>753</v>
      </c>
      <c r="B337" s="39">
        <v>0</v>
      </c>
      <c r="C337" s="39">
        <v>0</v>
      </c>
      <c r="D337" s="39">
        <v>0</v>
      </c>
      <c r="E337" s="39">
        <v>0</v>
      </c>
      <c r="F337" s="39">
        <v>8530</v>
      </c>
      <c r="G337" s="39">
        <v>9175</v>
      </c>
      <c r="H337" s="39">
        <v>7003</v>
      </c>
      <c r="I337" s="39">
        <v>6856</v>
      </c>
      <c r="J337" s="39">
        <v>4631</v>
      </c>
      <c r="K337">
        <v>4375</v>
      </c>
      <c r="L337">
        <v>5819</v>
      </c>
      <c r="M337">
        <v>4976</v>
      </c>
      <c r="N337">
        <v>5695</v>
      </c>
      <c r="O337">
        <v>0</v>
      </c>
      <c r="P337">
        <v>0</v>
      </c>
      <c r="Q337">
        <v>0</v>
      </c>
      <c r="R337">
        <v>0</v>
      </c>
      <c r="S337">
        <v>990</v>
      </c>
      <c r="T337">
        <v>925</v>
      </c>
      <c r="U337">
        <v>759</v>
      </c>
      <c r="V337">
        <v>807</v>
      </c>
      <c r="W337">
        <v>547</v>
      </c>
      <c r="X337">
        <v>684</v>
      </c>
      <c r="Y337">
        <v>677</v>
      </c>
      <c r="Z337">
        <v>660</v>
      </c>
      <c r="AA337">
        <v>887</v>
      </c>
      <c r="AD337" t="s">
        <v>917</v>
      </c>
      <c r="AE337" s="19">
        <v>352</v>
      </c>
      <c r="AF337">
        <v>894</v>
      </c>
      <c r="AG337">
        <v>317</v>
      </c>
      <c r="AH337">
        <v>856</v>
      </c>
    </row>
    <row r="338" spans="1:34" hidden="1">
      <c r="A338" s="39" t="s">
        <v>481</v>
      </c>
      <c r="B338" s="39">
        <v>0</v>
      </c>
      <c r="C338" s="39">
        <v>0</v>
      </c>
      <c r="D338" s="39">
        <v>0</v>
      </c>
      <c r="E338" s="39">
        <v>0</v>
      </c>
      <c r="F338" s="39">
        <v>0</v>
      </c>
      <c r="G338" s="39">
        <v>334</v>
      </c>
      <c r="H338" s="39">
        <v>456</v>
      </c>
      <c r="I338" s="39">
        <v>562</v>
      </c>
      <c r="J338" s="39">
        <v>607</v>
      </c>
      <c r="K338">
        <v>792</v>
      </c>
      <c r="L338">
        <v>430</v>
      </c>
      <c r="M338">
        <v>476</v>
      </c>
      <c r="N338">
        <v>784</v>
      </c>
      <c r="O338">
        <v>0</v>
      </c>
      <c r="P338">
        <v>0</v>
      </c>
      <c r="Q338">
        <v>0</v>
      </c>
      <c r="R338">
        <v>0</v>
      </c>
      <c r="S338">
        <v>0</v>
      </c>
      <c r="T338">
        <v>41</v>
      </c>
      <c r="U338">
        <v>75</v>
      </c>
      <c r="V338">
        <v>78</v>
      </c>
      <c r="W338">
        <v>88</v>
      </c>
      <c r="X338">
        <v>127</v>
      </c>
      <c r="Y338">
        <v>94</v>
      </c>
      <c r="Z338">
        <v>103</v>
      </c>
      <c r="AA338">
        <v>171</v>
      </c>
      <c r="AE338" s="19"/>
      <c r="AH338">
        <v>0</v>
      </c>
    </row>
    <row r="339" spans="1:34" hidden="1">
      <c r="A339" s="39" t="s">
        <v>603</v>
      </c>
      <c r="B339" s="39">
        <v>0</v>
      </c>
      <c r="C339" s="39">
        <v>0</v>
      </c>
      <c r="D339" s="39">
        <v>0</v>
      </c>
      <c r="E339" s="39">
        <v>0</v>
      </c>
      <c r="F339" s="39">
        <v>0</v>
      </c>
      <c r="G339" s="39">
        <v>212</v>
      </c>
      <c r="H339" s="39">
        <v>308</v>
      </c>
      <c r="I339" s="39">
        <v>326</v>
      </c>
      <c r="J339" s="39">
        <v>475</v>
      </c>
      <c r="K339">
        <v>458</v>
      </c>
      <c r="L339">
        <v>458</v>
      </c>
      <c r="M339">
        <v>545</v>
      </c>
      <c r="N339">
        <v>722</v>
      </c>
      <c r="O339">
        <v>0</v>
      </c>
      <c r="P339">
        <v>0</v>
      </c>
      <c r="Q339">
        <v>0</v>
      </c>
      <c r="R339">
        <v>0</v>
      </c>
      <c r="S339">
        <v>0</v>
      </c>
      <c r="T339">
        <v>22</v>
      </c>
      <c r="U339">
        <v>70</v>
      </c>
      <c r="V339">
        <v>87</v>
      </c>
      <c r="W339">
        <v>124</v>
      </c>
      <c r="X339">
        <v>118</v>
      </c>
      <c r="Y339">
        <v>101</v>
      </c>
      <c r="Z339">
        <v>118</v>
      </c>
      <c r="AA339">
        <v>215</v>
      </c>
      <c r="AD339" t="s">
        <v>1507</v>
      </c>
      <c r="AE339" s="19">
        <v>304</v>
      </c>
      <c r="AF339">
        <v>744</v>
      </c>
      <c r="AG339">
        <v>254</v>
      </c>
      <c r="AH339">
        <v>671</v>
      </c>
    </row>
    <row r="340" spans="1:34" hidden="1">
      <c r="A340" s="39" t="s">
        <v>1576</v>
      </c>
      <c r="B340" s="39">
        <v>0</v>
      </c>
      <c r="C340" s="39">
        <v>0</v>
      </c>
      <c r="D340" s="39">
        <v>0</v>
      </c>
      <c r="E340" s="39">
        <v>0</v>
      </c>
      <c r="F340" s="39">
        <v>0</v>
      </c>
      <c r="G340" s="39">
        <v>0</v>
      </c>
      <c r="H340" s="39">
        <v>3140</v>
      </c>
      <c r="I340" s="39">
        <v>1959</v>
      </c>
      <c r="J340" s="39">
        <v>4171</v>
      </c>
      <c r="K340">
        <v>3650</v>
      </c>
      <c r="L340">
        <v>3312</v>
      </c>
      <c r="M340">
        <v>4458</v>
      </c>
      <c r="N340">
        <v>4003</v>
      </c>
      <c r="O340">
        <v>0</v>
      </c>
      <c r="P340">
        <v>0</v>
      </c>
      <c r="Q340">
        <v>0</v>
      </c>
      <c r="R340">
        <v>0</v>
      </c>
      <c r="S340">
        <v>0</v>
      </c>
      <c r="T340">
        <v>0</v>
      </c>
      <c r="U340">
        <v>1065</v>
      </c>
      <c r="V340">
        <v>484</v>
      </c>
      <c r="W340">
        <v>1138</v>
      </c>
      <c r="X340">
        <v>1032</v>
      </c>
      <c r="Y340">
        <v>716</v>
      </c>
      <c r="Z340">
        <v>994</v>
      </c>
      <c r="AA340">
        <v>796</v>
      </c>
      <c r="AD340" t="s">
        <v>896</v>
      </c>
      <c r="AE340" s="19">
        <v>1773</v>
      </c>
      <c r="AF340">
        <v>3891</v>
      </c>
      <c r="AG340">
        <v>1766</v>
      </c>
      <c r="AH340">
        <v>4227</v>
      </c>
    </row>
    <row r="341" spans="1:34" hidden="1">
      <c r="A341" s="39" t="s">
        <v>605</v>
      </c>
      <c r="B341" s="39">
        <v>0</v>
      </c>
      <c r="C341" s="39">
        <v>0</v>
      </c>
      <c r="D341" s="39">
        <v>0</v>
      </c>
      <c r="E341" s="39">
        <v>0</v>
      </c>
      <c r="F341" s="39">
        <v>10326</v>
      </c>
      <c r="G341" s="39">
        <v>8337</v>
      </c>
      <c r="H341" s="39">
        <v>7328</v>
      </c>
      <c r="I341" s="39">
        <v>8243</v>
      </c>
      <c r="J341" s="39">
        <v>4856</v>
      </c>
      <c r="K341">
        <v>4622</v>
      </c>
      <c r="L341">
        <v>3425</v>
      </c>
      <c r="M341">
        <v>2313</v>
      </c>
      <c r="N341">
        <v>5707</v>
      </c>
      <c r="O341">
        <v>0</v>
      </c>
      <c r="P341">
        <v>0</v>
      </c>
      <c r="Q341">
        <v>0</v>
      </c>
      <c r="R341">
        <v>0</v>
      </c>
      <c r="S341">
        <v>93</v>
      </c>
      <c r="T341">
        <v>453</v>
      </c>
      <c r="U341">
        <v>411</v>
      </c>
      <c r="V341">
        <v>706</v>
      </c>
      <c r="W341">
        <v>446</v>
      </c>
      <c r="X341">
        <v>721</v>
      </c>
      <c r="Y341">
        <v>363</v>
      </c>
      <c r="Z341">
        <v>426</v>
      </c>
      <c r="AA341">
        <v>1136</v>
      </c>
      <c r="AD341" t="s">
        <v>819</v>
      </c>
      <c r="AE341" s="19">
        <v>4088</v>
      </c>
      <c r="AF341">
        <v>8958</v>
      </c>
      <c r="AG341">
        <v>4072</v>
      </c>
      <c r="AH341">
        <v>8698</v>
      </c>
    </row>
    <row r="342" spans="1:34" hidden="1">
      <c r="A342" s="39" t="s">
        <v>545</v>
      </c>
      <c r="B342" s="39">
        <v>0</v>
      </c>
      <c r="C342" s="39">
        <v>0</v>
      </c>
      <c r="D342" s="39">
        <v>0</v>
      </c>
      <c r="E342" s="39">
        <v>0</v>
      </c>
      <c r="F342" s="39">
        <v>0</v>
      </c>
      <c r="G342" s="39">
        <v>0</v>
      </c>
      <c r="H342" s="39">
        <v>172</v>
      </c>
      <c r="I342" s="39">
        <v>1743</v>
      </c>
      <c r="J342" s="39">
        <v>770</v>
      </c>
      <c r="K342">
        <v>2303</v>
      </c>
      <c r="L342">
        <v>2067</v>
      </c>
      <c r="M342">
        <v>1775</v>
      </c>
      <c r="N342">
        <v>1828</v>
      </c>
      <c r="O342">
        <v>0</v>
      </c>
      <c r="P342">
        <v>0</v>
      </c>
      <c r="Q342">
        <v>0</v>
      </c>
      <c r="R342">
        <v>0</v>
      </c>
      <c r="S342">
        <v>0</v>
      </c>
      <c r="T342">
        <v>0</v>
      </c>
      <c r="U342">
        <v>27</v>
      </c>
      <c r="V342">
        <v>424</v>
      </c>
      <c r="W342">
        <v>151</v>
      </c>
      <c r="X342">
        <v>597</v>
      </c>
      <c r="Y342">
        <v>594</v>
      </c>
      <c r="Z342">
        <v>505</v>
      </c>
      <c r="AA342">
        <v>493</v>
      </c>
      <c r="AD342" t="s">
        <v>1020</v>
      </c>
      <c r="AE342" s="19">
        <v>307</v>
      </c>
      <c r="AF342">
        <v>913</v>
      </c>
      <c r="AG342">
        <v>303</v>
      </c>
      <c r="AH342">
        <v>791</v>
      </c>
    </row>
    <row r="343" spans="1:34" hidden="1">
      <c r="A343" s="39" t="s">
        <v>543</v>
      </c>
      <c r="B343" s="39">
        <v>0</v>
      </c>
      <c r="C343" s="39">
        <v>0</v>
      </c>
      <c r="D343" s="39">
        <v>0</v>
      </c>
      <c r="E343" s="39">
        <v>0</v>
      </c>
      <c r="F343" s="39">
        <v>8752</v>
      </c>
      <c r="G343" s="39">
        <v>12087</v>
      </c>
      <c r="H343" s="39">
        <v>10201</v>
      </c>
      <c r="I343" s="39">
        <v>8685</v>
      </c>
      <c r="J343" s="39">
        <v>6433</v>
      </c>
      <c r="K343">
        <v>6174</v>
      </c>
      <c r="L343">
        <v>7717</v>
      </c>
      <c r="M343">
        <v>6267</v>
      </c>
      <c r="N343">
        <v>6149</v>
      </c>
      <c r="O343">
        <v>0</v>
      </c>
      <c r="P343">
        <v>0</v>
      </c>
      <c r="Q343">
        <v>0</v>
      </c>
      <c r="R343">
        <v>0</v>
      </c>
      <c r="S343">
        <v>398</v>
      </c>
      <c r="T343">
        <v>564</v>
      </c>
      <c r="U343">
        <v>483</v>
      </c>
      <c r="V343">
        <v>492</v>
      </c>
      <c r="W343">
        <v>332</v>
      </c>
      <c r="X343">
        <v>359</v>
      </c>
      <c r="Y343">
        <v>559</v>
      </c>
      <c r="Z343">
        <v>342</v>
      </c>
      <c r="AA343">
        <v>404</v>
      </c>
      <c r="AD343" t="s">
        <v>836</v>
      </c>
      <c r="AE343" s="19">
        <v>1359</v>
      </c>
      <c r="AF343">
        <v>3067</v>
      </c>
      <c r="AG343">
        <v>1324</v>
      </c>
      <c r="AH343">
        <v>2917</v>
      </c>
    </row>
    <row r="344" spans="1:34" hidden="1">
      <c r="A344" s="39" t="s">
        <v>473</v>
      </c>
      <c r="B344" s="39">
        <v>0</v>
      </c>
      <c r="C344" s="39">
        <v>0</v>
      </c>
      <c r="D344" s="39">
        <v>0</v>
      </c>
      <c r="E344" s="39">
        <v>0</v>
      </c>
      <c r="F344" s="39">
        <v>0</v>
      </c>
      <c r="G344" s="39">
        <v>436</v>
      </c>
      <c r="H344" s="39">
        <v>0</v>
      </c>
      <c r="I344" s="39">
        <v>0</v>
      </c>
      <c r="J344" s="39">
        <v>564</v>
      </c>
      <c r="K344">
        <v>852</v>
      </c>
      <c r="L344">
        <v>648</v>
      </c>
      <c r="M344">
        <v>473</v>
      </c>
      <c r="N344">
        <v>828</v>
      </c>
      <c r="O344">
        <v>0</v>
      </c>
      <c r="P344">
        <v>0</v>
      </c>
      <c r="Q344">
        <v>0</v>
      </c>
      <c r="R344">
        <v>0</v>
      </c>
      <c r="S344">
        <v>0</v>
      </c>
      <c r="T344">
        <v>94</v>
      </c>
      <c r="U344">
        <v>0</v>
      </c>
      <c r="V344">
        <v>0</v>
      </c>
      <c r="W344">
        <v>68</v>
      </c>
      <c r="X344">
        <v>121</v>
      </c>
      <c r="Y344">
        <v>117</v>
      </c>
      <c r="Z344">
        <v>70</v>
      </c>
      <c r="AA344">
        <v>153</v>
      </c>
      <c r="AD344" t="s">
        <v>856</v>
      </c>
      <c r="AE344" s="19">
        <v>4341</v>
      </c>
      <c r="AF344">
        <v>9371</v>
      </c>
      <c r="AG344">
        <v>4145</v>
      </c>
      <c r="AH344">
        <v>9738</v>
      </c>
    </row>
    <row r="345" spans="1:34" hidden="1">
      <c r="A345" s="39" t="s">
        <v>814</v>
      </c>
      <c r="B345" s="39">
        <v>0</v>
      </c>
      <c r="C345" s="39">
        <v>0</v>
      </c>
      <c r="D345" s="39">
        <v>0</v>
      </c>
      <c r="E345" s="39">
        <v>0</v>
      </c>
      <c r="F345" s="39">
        <v>0</v>
      </c>
      <c r="G345" s="39">
        <v>390</v>
      </c>
      <c r="H345" s="39">
        <v>691</v>
      </c>
      <c r="I345" s="39">
        <v>1148</v>
      </c>
      <c r="J345" s="39">
        <v>1255</v>
      </c>
      <c r="K345">
        <v>1022</v>
      </c>
      <c r="L345">
        <v>2574</v>
      </c>
      <c r="M345">
        <v>4585</v>
      </c>
      <c r="N345">
        <v>2321</v>
      </c>
      <c r="O345">
        <v>0</v>
      </c>
      <c r="P345">
        <v>0</v>
      </c>
      <c r="Q345">
        <v>0</v>
      </c>
      <c r="R345">
        <v>0</v>
      </c>
      <c r="S345">
        <v>0</v>
      </c>
      <c r="T345">
        <v>64</v>
      </c>
      <c r="U345">
        <v>223</v>
      </c>
      <c r="V345">
        <v>342</v>
      </c>
      <c r="W345">
        <v>354</v>
      </c>
      <c r="X345">
        <v>254</v>
      </c>
      <c r="Y345">
        <v>552</v>
      </c>
      <c r="Z345">
        <v>637</v>
      </c>
      <c r="AA345">
        <v>537</v>
      </c>
      <c r="AD345" t="s">
        <v>1083</v>
      </c>
      <c r="AE345" s="19">
        <v>1730</v>
      </c>
      <c r="AF345">
        <v>5884</v>
      </c>
      <c r="AG345">
        <v>1880</v>
      </c>
      <c r="AH345">
        <v>5451</v>
      </c>
    </row>
    <row r="346" spans="1:34" hidden="1">
      <c r="A346" s="39" t="s">
        <v>832</v>
      </c>
      <c r="B346" s="39">
        <v>0</v>
      </c>
      <c r="C346" s="39">
        <v>0</v>
      </c>
      <c r="D346" s="39">
        <v>0</v>
      </c>
      <c r="E346" s="39">
        <v>0</v>
      </c>
      <c r="F346" s="39">
        <v>0</v>
      </c>
      <c r="G346" s="39">
        <v>739</v>
      </c>
      <c r="H346" s="39">
        <v>1555</v>
      </c>
      <c r="I346" s="39">
        <v>751</v>
      </c>
      <c r="J346" s="39">
        <v>1647</v>
      </c>
      <c r="K346">
        <v>1035</v>
      </c>
      <c r="L346">
        <v>876</v>
      </c>
      <c r="M346">
        <v>862</v>
      </c>
      <c r="N346">
        <v>926</v>
      </c>
      <c r="O346">
        <v>0</v>
      </c>
      <c r="P346">
        <v>0</v>
      </c>
      <c r="Q346">
        <v>0</v>
      </c>
      <c r="R346">
        <v>0</v>
      </c>
      <c r="S346">
        <v>0</v>
      </c>
      <c r="T346">
        <v>231</v>
      </c>
      <c r="U346">
        <v>657</v>
      </c>
      <c r="V346">
        <v>116</v>
      </c>
      <c r="W346">
        <v>789</v>
      </c>
      <c r="X346">
        <v>342</v>
      </c>
      <c r="Y346">
        <v>305</v>
      </c>
      <c r="Z346">
        <v>258</v>
      </c>
      <c r="AA346">
        <v>282</v>
      </c>
      <c r="AD346" t="s">
        <v>906</v>
      </c>
      <c r="AE346" s="19">
        <v>2197</v>
      </c>
      <c r="AF346">
        <v>7621</v>
      </c>
      <c r="AG346">
        <v>2076</v>
      </c>
      <c r="AH346">
        <v>7276</v>
      </c>
    </row>
    <row r="347" spans="1:34" hidden="1">
      <c r="A347" s="39" t="s">
        <v>844</v>
      </c>
      <c r="B347" s="39">
        <v>0</v>
      </c>
      <c r="C347" s="39">
        <v>0</v>
      </c>
      <c r="D347" s="39">
        <v>0</v>
      </c>
      <c r="E347" s="39">
        <v>0</v>
      </c>
      <c r="F347" s="39">
        <v>98</v>
      </c>
      <c r="G347" s="39">
        <v>561</v>
      </c>
      <c r="H347" s="39">
        <v>584</v>
      </c>
      <c r="I347" s="39">
        <v>524</v>
      </c>
      <c r="J347" s="39">
        <v>632</v>
      </c>
      <c r="K347">
        <v>890</v>
      </c>
      <c r="L347">
        <v>2179</v>
      </c>
      <c r="M347">
        <v>4759</v>
      </c>
      <c r="N347">
        <v>1624</v>
      </c>
      <c r="O347">
        <v>0</v>
      </c>
      <c r="P347">
        <v>0</v>
      </c>
      <c r="Q347">
        <v>0</v>
      </c>
      <c r="R347">
        <v>0</v>
      </c>
      <c r="S347">
        <v>31</v>
      </c>
      <c r="T347">
        <v>125</v>
      </c>
      <c r="U347">
        <v>145</v>
      </c>
      <c r="V347">
        <v>60</v>
      </c>
      <c r="W347">
        <v>162</v>
      </c>
      <c r="X347">
        <v>205</v>
      </c>
      <c r="Y347">
        <v>326</v>
      </c>
      <c r="Z347">
        <v>428</v>
      </c>
      <c r="AA347">
        <v>305</v>
      </c>
      <c r="AD347" t="s">
        <v>870</v>
      </c>
      <c r="AE347" s="19">
        <v>680</v>
      </c>
      <c r="AF347">
        <v>1839</v>
      </c>
      <c r="AG347">
        <v>673</v>
      </c>
      <c r="AH347">
        <v>1900</v>
      </c>
    </row>
    <row r="348" spans="1:34" hidden="1">
      <c r="A348" s="39" t="s">
        <v>906</v>
      </c>
      <c r="B348" s="39">
        <v>0</v>
      </c>
      <c r="C348" s="39">
        <v>0</v>
      </c>
      <c r="D348" s="39">
        <v>0</v>
      </c>
      <c r="E348" s="39">
        <v>0</v>
      </c>
      <c r="F348" s="39">
        <v>0</v>
      </c>
      <c r="G348" s="39">
        <v>0</v>
      </c>
      <c r="H348" s="39">
        <v>393</v>
      </c>
      <c r="I348" s="39">
        <v>2532</v>
      </c>
      <c r="J348" s="39">
        <v>2864</v>
      </c>
      <c r="K348">
        <v>3379</v>
      </c>
      <c r="L348">
        <v>2157</v>
      </c>
      <c r="M348">
        <v>2349</v>
      </c>
      <c r="N348">
        <v>2197</v>
      </c>
      <c r="O348">
        <v>0</v>
      </c>
      <c r="P348">
        <v>0</v>
      </c>
      <c r="Q348">
        <v>0</v>
      </c>
      <c r="R348">
        <v>0</v>
      </c>
      <c r="S348">
        <v>0</v>
      </c>
      <c r="T348">
        <v>0</v>
      </c>
      <c r="U348">
        <v>91</v>
      </c>
      <c r="V348">
        <v>796</v>
      </c>
      <c r="W348">
        <v>917</v>
      </c>
      <c r="X348">
        <v>1053</v>
      </c>
      <c r="Y348">
        <v>674</v>
      </c>
      <c r="Z348">
        <v>744</v>
      </c>
      <c r="AA348">
        <v>607</v>
      </c>
      <c r="AD348" t="s">
        <v>913</v>
      </c>
      <c r="AE348" s="19">
        <v>556</v>
      </c>
      <c r="AF348">
        <v>3328</v>
      </c>
      <c r="AG348">
        <v>492</v>
      </c>
      <c r="AH348">
        <v>2903</v>
      </c>
    </row>
    <row r="349" spans="1:34" hidden="1">
      <c r="A349" s="39" t="s">
        <v>172</v>
      </c>
      <c r="B349" s="39">
        <v>0</v>
      </c>
      <c r="C349" s="39">
        <v>0</v>
      </c>
      <c r="D349" s="39">
        <v>0</v>
      </c>
      <c r="E349" s="39">
        <v>0</v>
      </c>
      <c r="F349" s="39">
        <v>0</v>
      </c>
      <c r="G349" s="39">
        <v>0</v>
      </c>
      <c r="H349" s="39">
        <v>0</v>
      </c>
      <c r="I349" s="39">
        <v>0</v>
      </c>
      <c r="J349" s="39">
        <v>1557</v>
      </c>
      <c r="K349">
        <v>2098</v>
      </c>
      <c r="L349">
        <v>1575</v>
      </c>
      <c r="M349">
        <v>1557</v>
      </c>
      <c r="N349">
        <v>2041</v>
      </c>
      <c r="O349">
        <v>0</v>
      </c>
      <c r="P349">
        <v>0</v>
      </c>
      <c r="Q349">
        <v>0</v>
      </c>
      <c r="R349">
        <v>0</v>
      </c>
      <c r="S349">
        <v>0</v>
      </c>
      <c r="T349">
        <v>0</v>
      </c>
      <c r="U349">
        <v>0</v>
      </c>
      <c r="V349">
        <v>0</v>
      </c>
      <c r="W349">
        <v>213</v>
      </c>
      <c r="X349">
        <v>263</v>
      </c>
      <c r="Y349">
        <v>232</v>
      </c>
      <c r="Z349">
        <v>253</v>
      </c>
      <c r="AA349">
        <v>326</v>
      </c>
      <c r="AD349" t="s">
        <v>1069</v>
      </c>
      <c r="AE349" s="19">
        <v>709</v>
      </c>
      <c r="AF349">
        <v>1617</v>
      </c>
      <c r="AG349">
        <v>780</v>
      </c>
      <c r="AH349">
        <v>1828</v>
      </c>
    </row>
    <row r="350" spans="1:34" hidden="1">
      <c r="A350" s="39" t="s">
        <v>913</v>
      </c>
      <c r="B350" s="39">
        <v>0</v>
      </c>
      <c r="C350" s="39">
        <v>0</v>
      </c>
      <c r="D350" s="39">
        <v>0</v>
      </c>
      <c r="E350" s="39">
        <v>0</v>
      </c>
      <c r="F350" s="39">
        <v>0</v>
      </c>
      <c r="G350" s="39">
        <v>12</v>
      </c>
      <c r="H350" s="39">
        <v>279</v>
      </c>
      <c r="I350" s="39">
        <v>1318</v>
      </c>
      <c r="J350" s="39">
        <v>573</v>
      </c>
      <c r="K350">
        <v>395</v>
      </c>
      <c r="L350">
        <v>1570</v>
      </c>
      <c r="M350">
        <v>3596</v>
      </c>
      <c r="N350">
        <v>744</v>
      </c>
      <c r="O350">
        <v>0</v>
      </c>
      <c r="P350">
        <v>0</v>
      </c>
      <c r="Q350">
        <v>0</v>
      </c>
      <c r="R350">
        <v>0</v>
      </c>
      <c r="S350">
        <v>0</v>
      </c>
      <c r="T350">
        <v>0</v>
      </c>
      <c r="U350">
        <v>64</v>
      </c>
      <c r="V350">
        <v>112</v>
      </c>
      <c r="W350">
        <v>138</v>
      </c>
      <c r="X350">
        <v>189</v>
      </c>
      <c r="Y350">
        <v>129</v>
      </c>
      <c r="Z350">
        <v>390</v>
      </c>
      <c r="AA350">
        <v>145</v>
      </c>
      <c r="AD350" t="s">
        <v>1006</v>
      </c>
      <c r="AE350" s="19">
        <v>1391</v>
      </c>
      <c r="AF350">
        <v>6386</v>
      </c>
      <c r="AG350">
        <v>1391</v>
      </c>
      <c r="AH350">
        <v>6380</v>
      </c>
    </row>
    <row r="351" spans="1:34" hidden="1">
      <c r="A351" s="39" t="s">
        <v>1065</v>
      </c>
      <c r="B351" s="39">
        <v>0</v>
      </c>
      <c r="C351" s="39">
        <v>0</v>
      </c>
      <c r="D351" s="39">
        <v>0</v>
      </c>
      <c r="E351" s="39">
        <v>0</v>
      </c>
      <c r="F351" s="39">
        <v>0</v>
      </c>
      <c r="G351" s="39">
        <v>0</v>
      </c>
      <c r="H351" s="39">
        <v>160</v>
      </c>
      <c r="I351" s="39">
        <v>1483</v>
      </c>
      <c r="J351" s="39">
        <v>2491</v>
      </c>
      <c r="K351">
        <v>3416</v>
      </c>
      <c r="L351">
        <v>3566</v>
      </c>
      <c r="M351">
        <v>1842</v>
      </c>
      <c r="N351">
        <v>3462</v>
      </c>
      <c r="O351">
        <v>0</v>
      </c>
      <c r="P351">
        <v>0</v>
      </c>
      <c r="Q351">
        <v>0</v>
      </c>
      <c r="R351">
        <v>0</v>
      </c>
      <c r="S351">
        <v>0</v>
      </c>
      <c r="T351">
        <v>0</v>
      </c>
      <c r="U351">
        <v>19</v>
      </c>
      <c r="V351">
        <v>248</v>
      </c>
      <c r="W351">
        <v>484</v>
      </c>
      <c r="X351">
        <v>675</v>
      </c>
      <c r="Y351">
        <v>597</v>
      </c>
      <c r="Z351">
        <v>351</v>
      </c>
      <c r="AA351">
        <v>715</v>
      </c>
      <c r="AD351" t="s">
        <v>1048</v>
      </c>
      <c r="AE351" s="19">
        <v>1104</v>
      </c>
      <c r="AF351">
        <v>3041</v>
      </c>
      <c r="AG351">
        <v>1124</v>
      </c>
      <c r="AH351">
        <v>3196</v>
      </c>
    </row>
    <row r="352" spans="1:34" hidden="1">
      <c r="A352" s="39" t="s">
        <v>952</v>
      </c>
      <c r="B352" s="39">
        <v>0</v>
      </c>
      <c r="C352" s="39">
        <v>0</v>
      </c>
      <c r="D352" s="39">
        <v>0</v>
      </c>
      <c r="E352" s="39">
        <v>0</v>
      </c>
      <c r="F352" s="39">
        <v>0</v>
      </c>
      <c r="G352" s="39">
        <v>301</v>
      </c>
      <c r="H352" s="39">
        <v>600</v>
      </c>
      <c r="I352" s="39">
        <v>576</v>
      </c>
      <c r="J352" s="39">
        <v>397</v>
      </c>
      <c r="K352">
        <v>653</v>
      </c>
      <c r="L352">
        <v>537</v>
      </c>
      <c r="M352">
        <v>517</v>
      </c>
      <c r="N352">
        <v>550</v>
      </c>
      <c r="O352">
        <v>0</v>
      </c>
      <c r="P352">
        <v>0</v>
      </c>
      <c r="Q352">
        <v>0</v>
      </c>
      <c r="R352">
        <v>0</v>
      </c>
      <c r="S352">
        <v>0</v>
      </c>
      <c r="T352">
        <v>125</v>
      </c>
      <c r="U352">
        <v>294</v>
      </c>
      <c r="V352">
        <v>269</v>
      </c>
      <c r="W352">
        <v>148</v>
      </c>
      <c r="X352">
        <v>243</v>
      </c>
      <c r="Y352">
        <v>229</v>
      </c>
      <c r="Z352">
        <v>175</v>
      </c>
      <c r="AA352">
        <v>249</v>
      </c>
      <c r="AD352" s="27" t="s">
        <v>927</v>
      </c>
      <c r="AE352" s="19">
        <v>1012</v>
      </c>
      <c r="AF352">
        <v>4711</v>
      </c>
      <c r="AG352">
        <v>900</v>
      </c>
      <c r="AH352">
        <v>3957</v>
      </c>
    </row>
    <row r="353" spans="1:34" hidden="1">
      <c r="A353" s="39" t="s">
        <v>1577</v>
      </c>
      <c r="B353" s="39">
        <v>0</v>
      </c>
      <c r="C353" s="39">
        <v>0</v>
      </c>
      <c r="D353" s="39">
        <v>0</v>
      </c>
      <c r="E353" s="39">
        <v>0</v>
      </c>
      <c r="F353" s="39">
        <v>0</v>
      </c>
      <c r="G353" s="39">
        <v>138</v>
      </c>
      <c r="H353" s="39">
        <v>416</v>
      </c>
      <c r="I353" s="39">
        <v>484</v>
      </c>
      <c r="J353" s="39">
        <v>540</v>
      </c>
      <c r="K353">
        <v>395</v>
      </c>
      <c r="L353">
        <v>268</v>
      </c>
      <c r="M353">
        <v>489</v>
      </c>
      <c r="N353">
        <v>0</v>
      </c>
      <c r="O353">
        <v>0</v>
      </c>
      <c r="P353">
        <v>0</v>
      </c>
      <c r="Q353">
        <v>0</v>
      </c>
      <c r="R353">
        <v>0</v>
      </c>
      <c r="S353">
        <v>0</v>
      </c>
      <c r="T353">
        <v>36</v>
      </c>
      <c r="U353">
        <v>138</v>
      </c>
      <c r="V353">
        <v>196</v>
      </c>
      <c r="W353">
        <v>216</v>
      </c>
      <c r="X353">
        <v>168</v>
      </c>
      <c r="Y353">
        <v>119</v>
      </c>
      <c r="Z353">
        <v>199</v>
      </c>
      <c r="AA353">
        <v>1</v>
      </c>
      <c r="AD353" t="s">
        <v>948</v>
      </c>
      <c r="AE353" s="19">
        <v>563</v>
      </c>
      <c r="AF353">
        <v>1126</v>
      </c>
      <c r="AG353">
        <v>553</v>
      </c>
      <c r="AH353">
        <v>1189</v>
      </c>
    </row>
    <row r="354" spans="1:34" hidden="1">
      <c r="A354" s="39" t="s">
        <v>1578</v>
      </c>
      <c r="B354" s="39">
        <v>0</v>
      </c>
      <c r="C354" s="39">
        <v>0</v>
      </c>
      <c r="D354" s="39">
        <v>0</v>
      </c>
      <c r="E354" s="39">
        <v>0</v>
      </c>
      <c r="F354" s="39">
        <v>0</v>
      </c>
      <c r="G354" s="39">
        <v>0</v>
      </c>
      <c r="H354" s="39">
        <v>0</v>
      </c>
      <c r="I354" s="39">
        <v>408</v>
      </c>
      <c r="J354" s="39">
        <v>599</v>
      </c>
      <c r="K354">
        <v>871</v>
      </c>
      <c r="L354">
        <v>557</v>
      </c>
      <c r="M354">
        <v>780</v>
      </c>
      <c r="N354">
        <v>550</v>
      </c>
      <c r="O354">
        <v>0</v>
      </c>
      <c r="P354">
        <v>0</v>
      </c>
      <c r="Q354">
        <v>0</v>
      </c>
      <c r="R354">
        <v>0</v>
      </c>
      <c r="S354">
        <v>0</v>
      </c>
      <c r="T354">
        <v>0</v>
      </c>
      <c r="U354">
        <v>0</v>
      </c>
      <c r="V354">
        <v>122</v>
      </c>
      <c r="W354">
        <v>234</v>
      </c>
      <c r="X354">
        <v>328</v>
      </c>
      <c r="Y354">
        <v>236</v>
      </c>
      <c r="Z354">
        <v>330</v>
      </c>
      <c r="AA354">
        <v>182</v>
      </c>
      <c r="AD354" s="37" t="s">
        <v>915</v>
      </c>
      <c r="AE354" s="19">
        <v>994</v>
      </c>
      <c r="AF354">
        <v>5341</v>
      </c>
      <c r="AG354">
        <v>781</v>
      </c>
      <c r="AH354">
        <v>4714</v>
      </c>
    </row>
    <row r="355" spans="1:34" hidden="1">
      <c r="A355" s="39" t="s">
        <v>1346</v>
      </c>
      <c r="B355" s="39">
        <v>0</v>
      </c>
      <c r="C355" s="39">
        <v>0</v>
      </c>
      <c r="D355" s="39">
        <v>0</v>
      </c>
      <c r="E355" s="39">
        <v>0</v>
      </c>
      <c r="F355" s="39">
        <v>0</v>
      </c>
      <c r="G355" s="39">
        <v>0</v>
      </c>
      <c r="H355" s="39">
        <v>6</v>
      </c>
      <c r="I355" s="39">
        <v>957</v>
      </c>
      <c r="J355" s="39">
        <v>1314</v>
      </c>
      <c r="K355">
        <v>951</v>
      </c>
      <c r="L355">
        <v>1123</v>
      </c>
      <c r="M355">
        <v>1273</v>
      </c>
      <c r="N355">
        <v>1684</v>
      </c>
      <c r="O355">
        <v>0</v>
      </c>
      <c r="P355">
        <v>0</v>
      </c>
      <c r="Q355">
        <v>0</v>
      </c>
      <c r="R355">
        <v>0</v>
      </c>
      <c r="S355">
        <v>0</v>
      </c>
      <c r="T355">
        <v>0</v>
      </c>
      <c r="U355">
        <v>0</v>
      </c>
      <c r="V355">
        <v>116</v>
      </c>
      <c r="W355">
        <v>154</v>
      </c>
      <c r="X355">
        <v>171</v>
      </c>
      <c r="Y355">
        <v>113</v>
      </c>
      <c r="Z355">
        <v>130</v>
      </c>
      <c r="AA355">
        <v>176</v>
      </c>
      <c r="AD355" t="s">
        <v>872</v>
      </c>
      <c r="AE355" s="19">
        <v>2392</v>
      </c>
      <c r="AF355">
        <v>4813</v>
      </c>
      <c r="AG355">
        <v>2708</v>
      </c>
      <c r="AH355">
        <v>4674</v>
      </c>
    </row>
    <row r="356" spans="1:34" hidden="1">
      <c r="A356" s="39" t="s">
        <v>1195</v>
      </c>
      <c r="B356" s="39">
        <v>0</v>
      </c>
      <c r="C356" s="39">
        <v>0</v>
      </c>
      <c r="D356" s="39">
        <v>0</v>
      </c>
      <c r="E356" s="39">
        <v>0</v>
      </c>
      <c r="F356" s="39">
        <v>0</v>
      </c>
      <c r="G356" s="39">
        <v>773</v>
      </c>
      <c r="H356" s="39">
        <v>647</v>
      </c>
      <c r="I356" s="39">
        <v>608</v>
      </c>
      <c r="J356" s="39">
        <v>765</v>
      </c>
      <c r="K356">
        <v>794</v>
      </c>
      <c r="L356">
        <v>654</v>
      </c>
      <c r="M356">
        <v>1075</v>
      </c>
      <c r="N356">
        <v>683</v>
      </c>
      <c r="O356">
        <v>0</v>
      </c>
      <c r="P356">
        <v>0</v>
      </c>
      <c r="Q356">
        <v>0</v>
      </c>
      <c r="R356">
        <v>0</v>
      </c>
      <c r="S356">
        <v>0</v>
      </c>
      <c r="T356">
        <v>220</v>
      </c>
      <c r="U356">
        <v>182</v>
      </c>
      <c r="V356">
        <v>221</v>
      </c>
      <c r="W356">
        <v>260</v>
      </c>
      <c r="X356">
        <v>243</v>
      </c>
      <c r="Y356">
        <v>231</v>
      </c>
      <c r="Z356">
        <v>385</v>
      </c>
      <c r="AA356">
        <v>246</v>
      </c>
      <c r="AD356" s="23" t="s">
        <v>952</v>
      </c>
      <c r="AE356" s="19">
        <v>968</v>
      </c>
      <c r="AF356">
        <v>2161</v>
      </c>
      <c r="AG356">
        <v>1003</v>
      </c>
      <c r="AH356">
        <v>2293</v>
      </c>
    </row>
    <row r="357" spans="1:34" hidden="1">
      <c r="A357" s="39" t="s">
        <v>1328</v>
      </c>
      <c r="B357" s="39">
        <v>0</v>
      </c>
      <c r="C357" s="39">
        <v>0</v>
      </c>
      <c r="D357" s="39">
        <v>0</v>
      </c>
      <c r="E357" s="39">
        <v>0</v>
      </c>
      <c r="F357" s="39">
        <v>0</v>
      </c>
      <c r="G357" s="39">
        <v>7</v>
      </c>
      <c r="H357" s="39">
        <v>2458</v>
      </c>
      <c r="I357" s="39">
        <v>1177</v>
      </c>
      <c r="J357" s="39">
        <v>1357</v>
      </c>
      <c r="K357">
        <v>1990</v>
      </c>
      <c r="L357">
        <v>2238</v>
      </c>
      <c r="M357">
        <v>2466</v>
      </c>
      <c r="N357">
        <v>2610</v>
      </c>
      <c r="O357">
        <v>0</v>
      </c>
      <c r="P357">
        <v>0</v>
      </c>
      <c r="Q357">
        <v>0</v>
      </c>
      <c r="R357">
        <v>0</v>
      </c>
      <c r="S357">
        <v>0</v>
      </c>
      <c r="T357">
        <v>0</v>
      </c>
      <c r="U357">
        <v>862</v>
      </c>
      <c r="V357">
        <v>311</v>
      </c>
      <c r="W357">
        <v>472</v>
      </c>
      <c r="X357">
        <v>633</v>
      </c>
      <c r="Y357">
        <v>793</v>
      </c>
      <c r="Z357">
        <v>642</v>
      </c>
      <c r="AA357">
        <v>749</v>
      </c>
      <c r="AD357" t="s">
        <v>1055</v>
      </c>
      <c r="AE357" s="19">
        <v>1050</v>
      </c>
      <c r="AF357">
        <v>3313</v>
      </c>
      <c r="AG357">
        <v>647</v>
      </c>
      <c r="AH357">
        <v>2596</v>
      </c>
    </row>
    <row r="358" spans="1:34" hidden="1">
      <c r="A358" s="39" t="s">
        <v>1152</v>
      </c>
      <c r="B358" s="39">
        <v>0</v>
      </c>
      <c r="C358" s="39">
        <v>0</v>
      </c>
      <c r="D358" s="39">
        <v>0</v>
      </c>
      <c r="E358" s="39">
        <v>0</v>
      </c>
      <c r="F358" s="39">
        <v>0</v>
      </c>
      <c r="G358" s="39">
        <v>1446</v>
      </c>
      <c r="H358" s="39">
        <v>2491</v>
      </c>
      <c r="I358" s="39">
        <v>3474</v>
      </c>
      <c r="J358" s="39">
        <v>3257</v>
      </c>
      <c r="K358">
        <v>5293</v>
      </c>
      <c r="L358">
        <v>4070</v>
      </c>
      <c r="M358">
        <v>3634</v>
      </c>
      <c r="N358">
        <v>4404</v>
      </c>
      <c r="O358">
        <v>0</v>
      </c>
      <c r="P358">
        <v>0</v>
      </c>
      <c r="Q358">
        <v>0</v>
      </c>
      <c r="R358">
        <v>0</v>
      </c>
      <c r="S358">
        <v>0</v>
      </c>
      <c r="T358">
        <v>399</v>
      </c>
      <c r="U358">
        <v>566</v>
      </c>
      <c r="V358">
        <v>836</v>
      </c>
      <c r="W358">
        <v>784</v>
      </c>
      <c r="X358">
        <v>1447</v>
      </c>
      <c r="Y358">
        <v>1139</v>
      </c>
      <c r="Z358">
        <v>825</v>
      </c>
      <c r="AA358">
        <v>953</v>
      </c>
      <c r="AD358" t="s">
        <v>1057</v>
      </c>
      <c r="AE358" s="19">
        <v>1164</v>
      </c>
      <c r="AF358">
        <v>2760</v>
      </c>
      <c r="AG358">
        <v>1126</v>
      </c>
      <c r="AH358">
        <v>2712</v>
      </c>
    </row>
    <row r="359" spans="1:34" hidden="1">
      <c r="A359" s="39" t="s">
        <v>1248</v>
      </c>
      <c r="B359" s="39">
        <v>0</v>
      </c>
      <c r="C359" s="39">
        <v>0</v>
      </c>
      <c r="D359" s="39">
        <v>0</v>
      </c>
      <c r="E359" s="39">
        <v>0</v>
      </c>
      <c r="F359" s="39">
        <v>0</v>
      </c>
      <c r="G359" s="39">
        <v>1785</v>
      </c>
      <c r="H359" s="39">
        <v>1444</v>
      </c>
      <c r="I359" s="39">
        <v>1189</v>
      </c>
      <c r="J359" s="39">
        <v>618</v>
      </c>
      <c r="K359">
        <v>291</v>
      </c>
      <c r="L359">
        <v>635</v>
      </c>
      <c r="M359">
        <v>501</v>
      </c>
      <c r="N359">
        <v>658</v>
      </c>
      <c r="O359">
        <v>0</v>
      </c>
      <c r="P359">
        <v>0</v>
      </c>
      <c r="Q359">
        <v>0</v>
      </c>
      <c r="R359">
        <v>0</v>
      </c>
      <c r="S359">
        <v>0</v>
      </c>
      <c r="T359">
        <v>205</v>
      </c>
      <c r="U359">
        <v>289</v>
      </c>
      <c r="V359">
        <v>263</v>
      </c>
      <c r="W359">
        <v>106</v>
      </c>
      <c r="X359">
        <v>80</v>
      </c>
      <c r="Y359">
        <v>76</v>
      </c>
      <c r="Z359">
        <v>68</v>
      </c>
      <c r="AA359">
        <v>112</v>
      </c>
      <c r="AD359" s="37" t="s">
        <v>859</v>
      </c>
      <c r="AE359" s="19">
        <v>1206</v>
      </c>
      <c r="AF359">
        <v>5369</v>
      </c>
      <c r="AG359">
        <v>679</v>
      </c>
      <c r="AH359">
        <v>3541</v>
      </c>
    </row>
    <row r="360" spans="1:34" hidden="1">
      <c r="A360" s="39" t="s">
        <v>789</v>
      </c>
      <c r="B360" s="39">
        <v>0</v>
      </c>
      <c r="C360" s="39">
        <v>0</v>
      </c>
      <c r="D360" s="39">
        <v>0</v>
      </c>
      <c r="E360" s="39">
        <v>0</v>
      </c>
      <c r="F360" s="39">
        <v>0</v>
      </c>
      <c r="G360" s="39">
        <v>0</v>
      </c>
      <c r="H360" s="39">
        <v>0</v>
      </c>
      <c r="I360" s="39">
        <v>762</v>
      </c>
      <c r="J360" s="39">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c r="AD360" s="23" t="s">
        <v>1065</v>
      </c>
      <c r="AE360" s="19">
        <v>2452</v>
      </c>
      <c r="AF360">
        <v>11987</v>
      </c>
      <c r="AG360">
        <v>2540</v>
      </c>
      <c r="AH360">
        <v>11724</v>
      </c>
    </row>
    <row r="361" spans="1:34" hidden="1">
      <c r="A361" s="39" t="s">
        <v>680</v>
      </c>
      <c r="B361" s="39">
        <v>0</v>
      </c>
      <c r="C361" s="39">
        <v>0</v>
      </c>
      <c r="D361" s="39">
        <v>0</v>
      </c>
      <c r="E361" s="39">
        <v>0</v>
      </c>
      <c r="F361" s="39">
        <v>0</v>
      </c>
      <c r="G361" s="39">
        <v>7630</v>
      </c>
      <c r="H361" s="39">
        <v>2562</v>
      </c>
      <c r="I361" s="39">
        <v>2152</v>
      </c>
      <c r="J361" s="39">
        <v>3470</v>
      </c>
      <c r="K361">
        <v>5129</v>
      </c>
      <c r="L361">
        <v>3255</v>
      </c>
      <c r="M361">
        <v>2612</v>
      </c>
      <c r="N361">
        <v>6158</v>
      </c>
      <c r="O361">
        <v>0</v>
      </c>
      <c r="P361">
        <v>0</v>
      </c>
      <c r="Q361">
        <v>0</v>
      </c>
      <c r="R361">
        <v>0</v>
      </c>
      <c r="S361">
        <v>0</v>
      </c>
      <c r="T361">
        <v>176</v>
      </c>
      <c r="U361">
        <v>639</v>
      </c>
      <c r="V361">
        <v>75</v>
      </c>
      <c r="W361">
        <v>1013</v>
      </c>
      <c r="X361">
        <v>844</v>
      </c>
      <c r="Y361">
        <v>323</v>
      </c>
      <c r="Z361">
        <v>310</v>
      </c>
      <c r="AA361">
        <v>476</v>
      </c>
      <c r="AD361" s="27" t="s">
        <v>1077</v>
      </c>
      <c r="AE361" s="19">
        <v>1081</v>
      </c>
      <c r="AF361">
        <v>2997</v>
      </c>
      <c r="AG361">
        <v>1041</v>
      </c>
      <c r="AH361">
        <v>2820</v>
      </c>
    </row>
    <row r="362" spans="1:34" hidden="1">
      <c r="A362" s="39" t="s">
        <v>1579</v>
      </c>
      <c r="B362" s="39">
        <v>0</v>
      </c>
      <c r="C362" s="39">
        <v>0</v>
      </c>
      <c r="D362" s="39">
        <v>0</v>
      </c>
      <c r="E362" s="39">
        <v>0</v>
      </c>
      <c r="F362" s="39">
        <v>0</v>
      </c>
      <c r="G362" s="39">
        <v>260</v>
      </c>
      <c r="H362" s="39">
        <v>228</v>
      </c>
      <c r="I362" s="39">
        <v>499</v>
      </c>
      <c r="J362" s="39">
        <v>895</v>
      </c>
      <c r="K362">
        <v>947</v>
      </c>
      <c r="L362">
        <v>1210</v>
      </c>
      <c r="M362">
        <v>1576</v>
      </c>
      <c r="N362">
        <v>1459</v>
      </c>
      <c r="O362">
        <v>0</v>
      </c>
      <c r="P362">
        <v>0</v>
      </c>
      <c r="Q362">
        <v>0</v>
      </c>
      <c r="R362">
        <v>0</v>
      </c>
      <c r="S362">
        <v>0</v>
      </c>
      <c r="T362">
        <v>72</v>
      </c>
      <c r="U362">
        <v>46</v>
      </c>
      <c r="V362">
        <v>84</v>
      </c>
      <c r="W362">
        <v>174</v>
      </c>
      <c r="X362">
        <v>238</v>
      </c>
      <c r="Y362">
        <v>296</v>
      </c>
      <c r="Z362">
        <v>354</v>
      </c>
      <c r="AA362">
        <v>337</v>
      </c>
      <c r="AD362" t="s">
        <v>1071</v>
      </c>
      <c r="AE362" s="19">
        <v>2435</v>
      </c>
      <c r="AF362">
        <v>9302</v>
      </c>
      <c r="AG362">
        <v>3143</v>
      </c>
      <c r="AH362">
        <v>11288</v>
      </c>
    </row>
    <row r="363" spans="1:34" hidden="1">
      <c r="A363" s="39" t="s">
        <v>1580</v>
      </c>
      <c r="B363" s="39">
        <v>0</v>
      </c>
      <c r="C363" s="39">
        <v>0</v>
      </c>
      <c r="D363" s="39">
        <v>0</v>
      </c>
      <c r="E363" s="39">
        <v>74</v>
      </c>
      <c r="F363" s="39">
        <v>732</v>
      </c>
      <c r="G363" s="39">
        <v>2355</v>
      </c>
      <c r="H363" s="39">
        <v>1554</v>
      </c>
      <c r="I363" s="39">
        <v>1083</v>
      </c>
      <c r="J363" s="39">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c r="AD363" s="27" t="s">
        <v>946</v>
      </c>
      <c r="AE363" s="19">
        <v>932</v>
      </c>
      <c r="AF363">
        <v>2798</v>
      </c>
      <c r="AG363">
        <v>849</v>
      </c>
      <c r="AH363">
        <v>3058</v>
      </c>
    </row>
    <row r="364" spans="1:34" hidden="1">
      <c r="A364" s="39" t="s">
        <v>1581</v>
      </c>
      <c r="B364" s="39">
        <v>0</v>
      </c>
      <c r="C364" s="39">
        <v>0</v>
      </c>
      <c r="D364" s="39">
        <v>0</v>
      </c>
      <c r="E364" s="39">
        <v>66</v>
      </c>
      <c r="F364" s="39">
        <v>40</v>
      </c>
      <c r="G364" s="39">
        <v>147</v>
      </c>
      <c r="H364" s="39">
        <v>138</v>
      </c>
      <c r="I364" s="39">
        <v>116</v>
      </c>
      <c r="J364" s="39">
        <v>178</v>
      </c>
      <c r="K364">
        <v>141</v>
      </c>
      <c r="L364">
        <v>183</v>
      </c>
      <c r="M364">
        <v>0</v>
      </c>
      <c r="N364">
        <v>61</v>
      </c>
      <c r="O364">
        <v>0</v>
      </c>
      <c r="P364">
        <v>0</v>
      </c>
      <c r="Q364">
        <v>0</v>
      </c>
      <c r="R364">
        <v>18</v>
      </c>
      <c r="S364">
        <v>12</v>
      </c>
      <c r="T364">
        <v>25</v>
      </c>
      <c r="U364">
        <v>31</v>
      </c>
      <c r="V364">
        <v>27</v>
      </c>
      <c r="W364">
        <v>45</v>
      </c>
      <c r="X364">
        <v>28</v>
      </c>
      <c r="Y364">
        <v>68</v>
      </c>
      <c r="Z364">
        <v>0</v>
      </c>
      <c r="AA364">
        <v>26</v>
      </c>
      <c r="AD364" s="37" t="s">
        <v>1100</v>
      </c>
      <c r="AE364" s="19">
        <v>2202</v>
      </c>
      <c r="AF364">
        <v>6672</v>
      </c>
      <c r="AG364">
        <v>1648</v>
      </c>
      <c r="AH364">
        <v>5181</v>
      </c>
    </row>
    <row r="365" spans="1:34" hidden="1">
      <c r="A365" s="39" t="s">
        <v>281</v>
      </c>
      <c r="B365" s="39">
        <v>0</v>
      </c>
      <c r="C365" s="39">
        <v>0</v>
      </c>
      <c r="D365" s="39">
        <v>0</v>
      </c>
      <c r="E365" s="39">
        <v>216</v>
      </c>
      <c r="F365" s="39">
        <v>572</v>
      </c>
      <c r="G365" s="39">
        <v>531</v>
      </c>
      <c r="H365" s="39">
        <v>442</v>
      </c>
      <c r="I365" s="39">
        <v>923</v>
      </c>
      <c r="J365" s="39">
        <v>619</v>
      </c>
      <c r="K365">
        <v>960</v>
      </c>
      <c r="L365">
        <v>135</v>
      </c>
      <c r="M365">
        <v>437</v>
      </c>
      <c r="N365">
        <v>1445</v>
      </c>
      <c r="O365">
        <v>0</v>
      </c>
      <c r="P365">
        <v>0</v>
      </c>
      <c r="Q365">
        <v>0</v>
      </c>
      <c r="R365">
        <v>9</v>
      </c>
      <c r="S365">
        <v>92</v>
      </c>
      <c r="T365">
        <v>93</v>
      </c>
      <c r="U365">
        <v>57</v>
      </c>
      <c r="V365">
        <v>145</v>
      </c>
      <c r="W365">
        <v>89</v>
      </c>
      <c r="X365">
        <v>220</v>
      </c>
      <c r="Y365">
        <v>31</v>
      </c>
      <c r="Z365">
        <v>90</v>
      </c>
      <c r="AA365">
        <v>178</v>
      </c>
      <c r="AD365" t="s">
        <v>866</v>
      </c>
      <c r="AE365" s="19">
        <v>1002</v>
      </c>
      <c r="AF365">
        <v>3000</v>
      </c>
      <c r="AG365">
        <v>1090</v>
      </c>
      <c r="AH365">
        <v>3750</v>
      </c>
    </row>
    <row r="366" spans="1:34" hidden="1">
      <c r="A366" s="39" t="s">
        <v>1582</v>
      </c>
      <c r="B366" s="39">
        <v>0</v>
      </c>
      <c r="C366" s="39">
        <v>0</v>
      </c>
      <c r="D366" s="39">
        <v>0</v>
      </c>
      <c r="E366" s="39">
        <v>0</v>
      </c>
      <c r="F366" s="39">
        <v>0</v>
      </c>
      <c r="G366" s="39">
        <v>0</v>
      </c>
      <c r="H366" s="39">
        <v>0</v>
      </c>
      <c r="I366" s="39">
        <v>0</v>
      </c>
      <c r="J366" s="39">
        <v>187</v>
      </c>
      <c r="K366">
        <v>988</v>
      </c>
      <c r="L366">
        <v>532</v>
      </c>
      <c r="M366">
        <v>680</v>
      </c>
      <c r="N366">
        <v>0</v>
      </c>
      <c r="O366">
        <v>0</v>
      </c>
      <c r="P366">
        <v>0</v>
      </c>
      <c r="Q366">
        <v>0</v>
      </c>
      <c r="R366">
        <v>0</v>
      </c>
      <c r="S366">
        <v>0</v>
      </c>
      <c r="T366">
        <v>0</v>
      </c>
      <c r="U366">
        <v>0</v>
      </c>
      <c r="V366">
        <v>0</v>
      </c>
      <c r="W366">
        <v>38</v>
      </c>
      <c r="X366">
        <v>121</v>
      </c>
      <c r="Y366">
        <v>86</v>
      </c>
      <c r="Z366">
        <v>89</v>
      </c>
      <c r="AA366">
        <v>0</v>
      </c>
      <c r="AD366" s="27" t="s">
        <v>810</v>
      </c>
      <c r="AE366" s="19">
        <v>871</v>
      </c>
      <c r="AF366">
        <v>3124</v>
      </c>
      <c r="AG366">
        <v>1337</v>
      </c>
      <c r="AH366">
        <v>4374</v>
      </c>
    </row>
    <row r="367" spans="1:34" hidden="1">
      <c r="A367" s="39" t="s">
        <v>499</v>
      </c>
      <c r="B367" s="39">
        <v>0</v>
      </c>
      <c r="C367" s="39">
        <v>0</v>
      </c>
      <c r="D367" s="39">
        <v>0</v>
      </c>
      <c r="E367" s="39">
        <v>0</v>
      </c>
      <c r="F367" s="39">
        <v>0</v>
      </c>
      <c r="G367" s="39">
        <v>0</v>
      </c>
      <c r="H367" s="39">
        <v>0</v>
      </c>
      <c r="I367" s="39">
        <v>15</v>
      </c>
      <c r="J367" s="39">
        <v>282</v>
      </c>
      <c r="K367">
        <v>279</v>
      </c>
      <c r="L367">
        <v>175</v>
      </c>
      <c r="M367">
        <v>310</v>
      </c>
      <c r="N367">
        <v>457</v>
      </c>
      <c r="O367">
        <v>0</v>
      </c>
      <c r="P367">
        <v>0</v>
      </c>
      <c r="Q367">
        <v>0</v>
      </c>
      <c r="R367">
        <v>0</v>
      </c>
      <c r="S367">
        <v>0</v>
      </c>
      <c r="T367">
        <v>0</v>
      </c>
      <c r="U367">
        <v>0</v>
      </c>
      <c r="V367">
        <v>0</v>
      </c>
      <c r="W367">
        <v>50</v>
      </c>
      <c r="X367">
        <v>47</v>
      </c>
      <c r="Y367">
        <v>22</v>
      </c>
      <c r="Z367">
        <v>38</v>
      </c>
      <c r="AA367">
        <v>72</v>
      </c>
      <c r="AE367" s="19"/>
    </row>
    <row r="368" spans="1:34" hidden="1">
      <c r="A368" s="39" t="s">
        <v>51</v>
      </c>
      <c r="B368" s="39">
        <v>0</v>
      </c>
      <c r="C368" s="39">
        <v>0</v>
      </c>
      <c r="D368" s="39">
        <v>0</v>
      </c>
      <c r="E368" s="39">
        <v>0</v>
      </c>
      <c r="F368" s="39">
        <v>0</v>
      </c>
      <c r="G368" s="39">
        <v>0</v>
      </c>
      <c r="H368" s="39">
        <v>0</v>
      </c>
      <c r="I368" s="39">
        <v>3</v>
      </c>
      <c r="J368" s="39">
        <v>1632</v>
      </c>
      <c r="K368">
        <v>1654</v>
      </c>
      <c r="L368">
        <v>1612</v>
      </c>
      <c r="M368">
        <v>1324</v>
      </c>
      <c r="N368">
        <v>2097</v>
      </c>
      <c r="O368">
        <v>0</v>
      </c>
      <c r="P368">
        <v>0</v>
      </c>
      <c r="Q368">
        <v>0</v>
      </c>
      <c r="R368">
        <v>0</v>
      </c>
      <c r="S368">
        <v>0</v>
      </c>
      <c r="T368">
        <v>0</v>
      </c>
      <c r="U368">
        <v>0</v>
      </c>
      <c r="V368">
        <v>0</v>
      </c>
      <c r="W368">
        <v>193</v>
      </c>
      <c r="X368">
        <v>226</v>
      </c>
      <c r="Y368">
        <v>213</v>
      </c>
      <c r="Z368">
        <v>212</v>
      </c>
      <c r="AA368">
        <v>353</v>
      </c>
      <c r="AE368" s="19"/>
    </row>
    <row r="369" spans="1:34" hidden="1">
      <c r="A369" s="39" t="s">
        <v>718</v>
      </c>
      <c r="B369" s="39">
        <v>0</v>
      </c>
      <c r="C369" s="39">
        <v>0</v>
      </c>
      <c r="D369" s="39">
        <v>0</v>
      </c>
      <c r="E369" s="39">
        <v>0</v>
      </c>
      <c r="F369" s="39">
        <v>0</v>
      </c>
      <c r="G369" s="39">
        <v>0</v>
      </c>
      <c r="H369" s="39">
        <v>0</v>
      </c>
      <c r="I369" s="39">
        <v>0</v>
      </c>
      <c r="J369" s="39">
        <v>0</v>
      </c>
      <c r="K369">
        <v>89</v>
      </c>
      <c r="L369">
        <v>1099</v>
      </c>
      <c r="M369">
        <v>901</v>
      </c>
      <c r="N369">
        <v>1775</v>
      </c>
      <c r="O369">
        <v>0</v>
      </c>
      <c r="P369">
        <v>0</v>
      </c>
      <c r="Q369">
        <v>0</v>
      </c>
      <c r="R369">
        <v>0</v>
      </c>
      <c r="S369">
        <v>0</v>
      </c>
      <c r="T369">
        <v>0</v>
      </c>
      <c r="U369">
        <v>0</v>
      </c>
      <c r="V369">
        <v>0</v>
      </c>
      <c r="W369">
        <v>0</v>
      </c>
      <c r="X369">
        <v>24</v>
      </c>
      <c r="Y369">
        <v>339</v>
      </c>
      <c r="Z369">
        <v>137</v>
      </c>
      <c r="AA369">
        <v>370</v>
      </c>
      <c r="AE369" s="19"/>
    </row>
    <row r="370" spans="1:34" hidden="1">
      <c r="A370" s="39" t="s">
        <v>761</v>
      </c>
      <c r="B370" s="39">
        <v>0</v>
      </c>
      <c r="C370" s="39">
        <v>0</v>
      </c>
      <c r="D370" s="39">
        <v>0</v>
      </c>
      <c r="E370" s="39">
        <v>0</v>
      </c>
      <c r="F370" s="39">
        <v>0</v>
      </c>
      <c r="G370" s="39">
        <v>0</v>
      </c>
      <c r="H370" s="39">
        <v>0</v>
      </c>
      <c r="I370" s="39">
        <v>1854</v>
      </c>
      <c r="J370" s="39">
        <v>5025</v>
      </c>
      <c r="K370">
        <v>3061</v>
      </c>
      <c r="L370">
        <v>3625</v>
      </c>
      <c r="M370">
        <v>4380</v>
      </c>
      <c r="N370">
        <v>5852</v>
      </c>
      <c r="O370">
        <v>0</v>
      </c>
      <c r="P370">
        <v>0</v>
      </c>
      <c r="Q370">
        <v>0</v>
      </c>
      <c r="R370">
        <v>0</v>
      </c>
      <c r="S370">
        <v>0</v>
      </c>
      <c r="T370">
        <v>0</v>
      </c>
      <c r="U370">
        <v>0</v>
      </c>
      <c r="V370">
        <v>331</v>
      </c>
      <c r="W370">
        <v>1087</v>
      </c>
      <c r="X370">
        <v>665</v>
      </c>
      <c r="Y370">
        <v>801</v>
      </c>
      <c r="Z370">
        <v>946</v>
      </c>
      <c r="AA370">
        <v>1305</v>
      </c>
      <c r="AE370" s="19"/>
    </row>
    <row r="371" spans="1:34" hidden="1">
      <c r="A371" s="39" t="s">
        <v>397</v>
      </c>
      <c r="B371" s="39">
        <v>0</v>
      </c>
      <c r="C371" s="39">
        <v>0</v>
      </c>
      <c r="D371" s="39">
        <v>0</v>
      </c>
      <c r="E371" s="39">
        <v>0</v>
      </c>
      <c r="F371" s="39">
        <v>0</v>
      </c>
      <c r="G371" s="39">
        <v>0</v>
      </c>
      <c r="H371" s="39">
        <v>18</v>
      </c>
      <c r="I371" s="39">
        <v>1584</v>
      </c>
      <c r="J371" s="39">
        <v>722</v>
      </c>
      <c r="K371">
        <v>2957</v>
      </c>
      <c r="L371">
        <v>3729</v>
      </c>
      <c r="M371">
        <v>1711</v>
      </c>
      <c r="N371">
        <v>4745</v>
      </c>
      <c r="O371">
        <v>0</v>
      </c>
      <c r="P371">
        <v>0</v>
      </c>
      <c r="Q371">
        <v>0</v>
      </c>
      <c r="R371">
        <v>0</v>
      </c>
      <c r="S371">
        <v>0</v>
      </c>
      <c r="T371">
        <v>0</v>
      </c>
      <c r="U371">
        <v>0</v>
      </c>
      <c r="V371">
        <v>24</v>
      </c>
      <c r="W371">
        <v>20</v>
      </c>
      <c r="X371">
        <v>87</v>
      </c>
      <c r="Y371">
        <v>66</v>
      </c>
      <c r="Z371">
        <v>67</v>
      </c>
      <c r="AA371">
        <v>201</v>
      </c>
      <c r="AE371" s="19"/>
    </row>
    <row r="372" spans="1:34" hidden="1">
      <c r="A372" s="39" t="s">
        <v>369</v>
      </c>
      <c r="B372" s="39">
        <v>0</v>
      </c>
      <c r="C372" s="39">
        <v>0</v>
      </c>
      <c r="D372" s="39">
        <v>0</v>
      </c>
      <c r="E372" s="39">
        <v>0</v>
      </c>
      <c r="F372" s="39">
        <v>0</v>
      </c>
      <c r="G372" s="39">
        <v>0</v>
      </c>
      <c r="H372" s="39">
        <v>0</v>
      </c>
      <c r="I372" s="39">
        <v>169</v>
      </c>
      <c r="J372" s="39">
        <v>1813</v>
      </c>
      <c r="K372">
        <v>5468</v>
      </c>
      <c r="L372">
        <v>2750</v>
      </c>
      <c r="M372">
        <v>2999</v>
      </c>
      <c r="N372">
        <v>5283</v>
      </c>
      <c r="O372">
        <v>0</v>
      </c>
      <c r="P372">
        <v>0</v>
      </c>
      <c r="Q372">
        <v>0</v>
      </c>
      <c r="R372">
        <v>0</v>
      </c>
      <c r="S372">
        <v>0</v>
      </c>
      <c r="T372">
        <v>0</v>
      </c>
      <c r="U372">
        <v>0</v>
      </c>
      <c r="V372">
        <v>48</v>
      </c>
      <c r="W372">
        <v>155</v>
      </c>
      <c r="X372">
        <v>502</v>
      </c>
      <c r="Y372">
        <v>389</v>
      </c>
      <c r="Z372">
        <v>415</v>
      </c>
      <c r="AA372">
        <v>810</v>
      </c>
      <c r="AE372" s="19"/>
    </row>
    <row r="373" spans="1:34" hidden="1">
      <c r="A373" s="39" t="s">
        <v>437</v>
      </c>
      <c r="B373" s="39">
        <v>0</v>
      </c>
      <c r="C373" s="39">
        <v>0</v>
      </c>
      <c r="D373" s="39">
        <v>0</v>
      </c>
      <c r="E373" s="39">
        <v>0</v>
      </c>
      <c r="F373" s="39">
        <v>0</v>
      </c>
      <c r="G373" s="39">
        <v>0</v>
      </c>
      <c r="H373" s="39">
        <v>0</v>
      </c>
      <c r="I373" s="39">
        <v>0</v>
      </c>
      <c r="J373" s="39">
        <v>0</v>
      </c>
      <c r="K373">
        <v>1</v>
      </c>
      <c r="L373">
        <v>432</v>
      </c>
      <c r="M373">
        <v>794</v>
      </c>
      <c r="N373">
        <v>1176</v>
      </c>
      <c r="O373">
        <v>0</v>
      </c>
      <c r="P373">
        <v>0</v>
      </c>
      <c r="Q373">
        <v>0</v>
      </c>
      <c r="R373">
        <v>0</v>
      </c>
      <c r="S373">
        <v>0</v>
      </c>
      <c r="T373">
        <v>0</v>
      </c>
      <c r="U373">
        <v>0</v>
      </c>
      <c r="V373">
        <v>0</v>
      </c>
      <c r="W373">
        <v>0</v>
      </c>
      <c r="X373">
        <v>0</v>
      </c>
      <c r="Y373">
        <v>153</v>
      </c>
      <c r="Z373">
        <v>202</v>
      </c>
      <c r="AA373">
        <v>338</v>
      </c>
      <c r="AE373" s="19"/>
    </row>
    <row r="374" spans="1:34" hidden="1">
      <c r="A374" s="39" t="s">
        <v>463</v>
      </c>
      <c r="B374" s="39">
        <v>0</v>
      </c>
      <c r="C374" s="39">
        <v>0</v>
      </c>
      <c r="D374" s="39">
        <v>0</v>
      </c>
      <c r="E374" s="39">
        <v>0</v>
      </c>
      <c r="F374" s="39">
        <v>0</v>
      </c>
      <c r="G374" s="39">
        <v>0</v>
      </c>
      <c r="H374" s="39">
        <v>0</v>
      </c>
      <c r="I374" s="39">
        <v>699</v>
      </c>
      <c r="J374" s="39">
        <v>1548</v>
      </c>
      <c r="K374">
        <v>1571</v>
      </c>
      <c r="L374">
        <v>1659</v>
      </c>
      <c r="M374">
        <v>3665</v>
      </c>
      <c r="N374">
        <v>1988</v>
      </c>
      <c r="O374">
        <v>0</v>
      </c>
      <c r="P374">
        <v>0</v>
      </c>
      <c r="Q374">
        <v>0</v>
      </c>
      <c r="R374">
        <v>0</v>
      </c>
      <c r="S374">
        <v>0</v>
      </c>
      <c r="T374">
        <v>0</v>
      </c>
      <c r="U374">
        <v>0</v>
      </c>
      <c r="V374">
        <v>225</v>
      </c>
      <c r="W374">
        <v>396</v>
      </c>
      <c r="X374">
        <v>370</v>
      </c>
      <c r="Y374">
        <v>381</v>
      </c>
      <c r="Z374">
        <v>872</v>
      </c>
      <c r="AA374">
        <v>391</v>
      </c>
      <c r="AE374" s="19"/>
    </row>
    <row r="375" spans="1:34" hidden="1">
      <c r="A375" s="39" t="s">
        <v>702</v>
      </c>
      <c r="B375" s="39">
        <v>0</v>
      </c>
      <c r="C375" s="39">
        <v>0</v>
      </c>
      <c r="D375" s="39">
        <v>0</v>
      </c>
      <c r="E375" s="39">
        <v>0</v>
      </c>
      <c r="F375" s="39">
        <v>0</v>
      </c>
      <c r="G375" s="39">
        <v>0</v>
      </c>
      <c r="H375" s="39">
        <v>0</v>
      </c>
      <c r="I375" s="39">
        <v>0</v>
      </c>
      <c r="J375" s="39">
        <v>1598</v>
      </c>
      <c r="K375">
        <v>2982</v>
      </c>
      <c r="L375">
        <v>1770</v>
      </c>
      <c r="M375">
        <v>1550</v>
      </c>
      <c r="N375">
        <v>2410</v>
      </c>
      <c r="O375">
        <v>0</v>
      </c>
      <c r="P375">
        <v>0</v>
      </c>
      <c r="Q375">
        <v>0</v>
      </c>
      <c r="R375">
        <v>0</v>
      </c>
      <c r="S375">
        <v>0</v>
      </c>
      <c r="T375">
        <v>0</v>
      </c>
      <c r="U375">
        <v>0</v>
      </c>
      <c r="V375">
        <v>0</v>
      </c>
      <c r="W375">
        <v>229</v>
      </c>
      <c r="X375">
        <v>547</v>
      </c>
      <c r="Y375">
        <v>284</v>
      </c>
      <c r="Z375">
        <v>264</v>
      </c>
      <c r="AA375">
        <v>322</v>
      </c>
      <c r="AD375" t="s">
        <v>988</v>
      </c>
      <c r="AE375" s="19">
        <v>0</v>
      </c>
      <c r="AF375">
        <v>204</v>
      </c>
      <c r="AG375">
        <v>0</v>
      </c>
      <c r="AH375">
        <v>319</v>
      </c>
    </row>
    <row r="376" spans="1:34" hidden="1">
      <c r="A376" s="39" t="s">
        <v>451</v>
      </c>
      <c r="B376" s="39">
        <v>0</v>
      </c>
      <c r="C376" s="39">
        <v>0</v>
      </c>
      <c r="D376" s="39">
        <v>0</v>
      </c>
      <c r="E376" s="39">
        <v>0</v>
      </c>
      <c r="F376" s="39">
        <v>0</v>
      </c>
      <c r="G376" s="39">
        <v>0</v>
      </c>
      <c r="H376" s="39">
        <v>0</v>
      </c>
      <c r="I376" s="39">
        <v>0</v>
      </c>
      <c r="J376" s="39">
        <v>0</v>
      </c>
      <c r="K376">
        <v>199</v>
      </c>
      <c r="L376">
        <v>944</v>
      </c>
      <c r="M376">
        <v>1775</v>
      </c>
      <c r="N376">
        <v>2660</v>
      </c>
      <c r="O376">
        <v>0</v>
      </c>
      <c r="P376">
        <v>0</v>
      </c>
      <c r="Q376">
        <v>0</v>
      </c>
      <c r="R376">
        <v>0</v>
      </c>
      <c r="S376">
        <v>0</v>
      </c>
      <c r="T376">
        <v>0</v>
      </c>
      <c r="U376">
        <v>0</v>
      </c>
      <c r="V376">
        <v>0</v>
      </c>
      <c r="W376">
        <v>0</v>
      </c>
      <c r="X376">
        <v>36</v>
      </c>
      <c r="Y376">
        <v>154</v>
      </c>
      <c r="Z376">
        <v>291</v>
      </c>
      <c r="AA376">
        <v>400</v>
      </c>
      <c r="AD376" t="s">
        <v>1152</v>
      </c>
      <c r="AE376" s="19">
        <v>3508</v>
      </c>
      <c r="AF376">
        <v>15392</v>
      </c>
      <c r="AG376">
        <v>3259</v>
      </c>
      <c r="AH376">
        <v>13188</v>
      </c>
    </row>
    <row r="377" spans="1:34" hidden="1">
      <c r="A377" s="39" t="s">
        <v>435</v>
      </c>
      <c r="B377" s="39">
        <v>0</v>
      </c>
      <c r="C377" s="39">
        <v>0</v>
      </c>
      <c r="D377" s="39">
        <v>0</v>
      </c>
      <c r="E377" s="39">
        <v>0</v>
      </c>
      <c r="F377" s="39">
        <v>0</v>
      </c>
      <c r="G377" s="39">
        <v>0</v>
      </c>
      <c r="H377" s="39">
        <v>0</v>
      </c>
      <c r="I377" s="39">
        <v>0</v>
      </c>
      <c r="J377" s="39">
        <v>8</v>
      </c>
      <c r="K377">
        <v>1041</v>
      </c>
      <c r="L377">
        <v>1036</v>
      </c>
      <c r="M377">
        <v>1029</v>
      </c>
      <c r="N377">
        <v>2453</v>
      </c>
      <c r="O377">
        <v>0</v>
      </c>
      <c r="P377">
        <v>0</v>
      </c>
      <c r="Q377">
        <v>0</v>
      </c>
      <c r="R377">
        <v>0</v>
      </c>
      <c r="S377">
        <v>0</v>
      </c>
      <c r="T377">
        <v>0</v>
      </c>
      <c r="U377">
        <v>0</v>
      </c>
      <c r="V377">
        <v>0</v>
      </c>
      <c r="W377">
        <v>0</v>
      </c>
      <c r="X377">
        <v>171</v>
      </c>
      <c r="Y377">
        <v>171</v>
      </c>
      <c r="Z377">
        <v>133</v>
      </c>
      <c r="AA377">
        <v>422</v>
      </c>
      <c r="AD377" t="s">
        <v>1397</v>
      </c>
      <c r="AE377" s="19">
        <v>4183</v>
      </c>
      <c r="AF377">
        <v>8194</v>
      </c>
      <c r="AG377">
        <v>4580</v>
      </c>
      <c r="AH377">
        <v>8690</v>
      </c>
    </row>
    <row r="378" spans="1:34" hidden="1">
      <c r="A378" s="39" t="s">
        <v>238</v>
      </c>
      <c r="B378" s="39">
        <v>0</v>
      </c>
      <c r="C378" s="39">
        <v>0</v>
      </c>
      <c r="D378" s="39">
        <v>0</v>
      </c>
      <c r="E378" s="39">
        <v>0</v>
      </c>
      <c r="F378" s="39">
        <v>0</v>
      </c>
      <c r="G378" s="39">
        <v>0</v>
      </c>
      <c r="H378" s="39">
        <v>0</v>
      </c>
      <c r="I378" s="39">
        <v>0</v>
      </c>
      <c r="J378" s="39">
        <v>0</v>
      </c>
      <c r="K378">
        <v>365</v>
      </c>
      <c r="L378">
        <v>961</v>
      </c>
      <c r="M378">
        <v>851</v>
      </c>
      <c r="N378">
        <v>1606</v>
      </c>
      <c r="O378">
        <v>0</v>
      </c>
      <c r="P378">
        <v>0</v>
      </c>
      <c r="Q378">
        <v>0</v>
      </c>
      <c r="R378">
        <v>0</v>
      </c>
      <c r="S378">
        <v>0</v>
      </c>
      <c r="T378">
        <v>0</v>
      </c>
      <c r="U378">
        <v>0</v>
      </c>
      <c r="V378">
        <v>0</v>
      </c>
      <c r="W378">
        <v>0</v>
      </c>
      <c r="X378">
        <v>73</v>
      </c>
      <c r="Y378">
        <v>253</v>
      </c>
      <c r="Z378">
        <v>222</v>
      </c>
      <c r="AA378">
        <v>355</v>
      </c>
      <c r="AD378" t="s">
        <v>1344</v>
      </c>
      <c r="AE378" s="19">
        <v>2357</v>
      </c>
      <c r="AF378">
        <v>9489</v>
      </c>
      <c r="AG378">
        <v>2852</v>
      </c>
      <c r="AH378">
        <v>12715</v>
      </c>
    </row>
    <row r="379" spans="1:34" hidden="1">
      <c r="A379" s="39" t="s">
        <v>1583</v>
      </c>
      <c r="B379" s="39">
        <v>0</v>
      </c>
      <c r="C379" s="39">
        <v>0</v>
      </c>
      <c r="D379" s="39">
        <v>0</v>
      </c>
      <c r="E379" s="39">
        <v>0</v>
      </c>
      <c r="F379" s="39">
        <v>0</v>
      </c>
      <c r="G379" s="39">
        <v>1321</v>
      </c>
      <c r="H379" s="39">
        <v>2615</v>
      </c>
      <c r="I379" s="39">
        <v>2472</v>
      </c>
      <c r="J379" s="39">
        <v>1956</v>
      </c>
      <c r="K379">
        <v>1699</v>
      </c>
      <c r="L379">
        <v>2976</v>
      </c>
      <c r="M379">
        <v>2260</v>
      </c>
      <c r="N379">
        <v>2133</v>
      </c>
      <c r="O379">
        <v>0</v>
      </c>
      <c r="P379">
        <v>0</v>
      </c>
      <c r="Q379">
        <v>0</v>
      </c>
      <c r="R379">
        <v>0</v>
      </c>
      <c r="S379">
        <v>0</v>
      </c>
      <c r="T379">
        <v>111</v>
      </c>
      <c r="U379">
        <v>249</v>
      </c>
      <c r="V379">
        <v>291</v>
      </c>
      <c r="W379">
        <v>336</v>
      </c>
      <c r="X379">
        <v>284</v>
      </c>
      <c r="Y379">
        <v>1193</v>
      </c>
      <c r="Z379">
        <v>335</v>
      </c>
      <c r="AA379">
        <v>341</v>
      </c>
      <c r="AD379" t="s">
        <v>1189</v>
      </c>
      <c r="AE379" s="19">
        <v>1605</v>
      </c>
      <c r="AF379">
        <v>3876</v>
      </c>
      <c r="AG379">
        <v>1204</v>
      </c>
      <c r="AH379">
        <v>3437</v>
      </c>
    </row>
    <row r="380" spans="1:34" hidden="1">
      <c r="A380" s="39" t="s">
        <v>927</v>
      </c>
      <c r="B380" s="39">
        <v>0</v>
      </c>
      <c r="C380" s="39">
        <v>0</v>
      </c>
      <c r="D380" s="39">
        <v>0</v>
      </c>
      <c r="E380" s="39">
        <v>0</v>
      </c>
      <c r="F380" s="39">
        <v>0</v>
      </c>
      <c r="G380" s="39">
        <v>0</v>
      </c>
      <c r="H380" s="39">
        <v>0</v>
      </c>
      <c r="I380" s="39">
        <v>0</v>
      </c>
      <c r="J380" s="39">
        <v>168</v>
      </c>
      <c r="K380">
        <v>609</v>
      </c>
      <c r="L380">
        <v>662</v>
      </c>
      <c r="M380">
        <v>945</v>
      </c>
      <c r="N380">
        <v>1137</v>
      </c>
      <c r="O380">
        <v>0</v>
      </c>
      <c r="P380">
        <v>0</v>
      </c>
      <c r="Q380">
        <v>0</v>
      </c>
      <c r="R380">
        <v>0</v>
      </c>
      <c r="S380">
        <v>0</v>
      </c>
      <c r="T380">
        <v>0</v>
      </c>
      <c r="U380">
        <v>0</v>
      </c>
      <c r="V380">
        <v>0</v>
      </c>
      <c r="W380">
        <v>34</v>
      </c>
      <c r="X380">
        <v>143</v>
      </c>
      <c r="Y380">
        <v>141</v>
      </c>
      <c r="Z380">
        <v>221</v>
      </c>
      <c r="AA380">
        <v>241</v>
      </c>
      <c r="AD380" t="s">
        <v>1332</v>
      </c>
      <c r="AE380" s="19">
        <v>1961</v>
      </c>
      <c r="AF380">
        <v>6052</v>
      </c>
      <c r="AG380">
        <v>1504</v>
      </c>
      <c r="AH380">
        <v>4817</v>
      </c>
    </row>
    <row r="381" spans="1:34" hidden="1">
      <c r="A381" s="39" t="s">
        <v>1126</v>
      </c>
      <c r="B381" s="39">
        <v>0</v>
      </c>
      <c r="C381" s="39">
        <v>0</v>
      </c>
      <c r="D381" s="39">
        <v>0</v>
      </c>
      <c r="E381" s="39">
        <v>0</v>
      </c>
      <c r="F381" s="39">
        <v>0</v>
      </c>
      <c r="G381" s="39">
        <v>0</v>
      </c>
      <c r="H381" s="39">
        <v>0</v>
      </c>
      <c r="I381" s="39">
        <v>0</v>
      </c>
      <c r="J381" s="39">
        <v>677</v>
      </c>
      <c r="K381">
        <v>5736</v>
      </c>
      <c r="L381">
        <v>2881</v>
      </c>
      <c r="M381">
        <v>6153</v>
      </c>
      <c r="N381">
        <v>8709</v>
      </c>
      <c r="O381">
        <v>0</v>
      </c>
      <c r="P381">
        <v>0</v>
      </c>
      <c r="Q381">
        <v>0</v>
      </c>
      <c r="R381">
        <v>0</v>
      </c>
      <c r="S381">
        <v>0</v>
      </c>
      <c r="T381">
        <v>0</v>
      </c>
      <c r="U381">
        <v>0</v>
      </c>
      <c r="V381">
        <v>0</v>
      </c>
      <c r="W381">
        <v>74</v>
      </c>
      <c r="X381">
        <v>1033</v>
      </c>
      <c r="Y381">
        <v>439</v>
      </c>
      <c r="Z381">
        <v>749</v>
      </c>
      <c r="AA381">
        <v>1717</v>
      </c>
      <c r="AD381" t="s">
        <v>1358</v>
      </c>
      <c r="AE381" s="19">
        <v>2820</v>
      </c>
      <c r="AF381">
        <v>8999</v>
      </c>
      <c r="AG381">
        <v>3060</v>
      </c>
      <c r="AH381">
        <v>10194</v>
      </c>
    </row>
    <row r="382" spans="1:34" hidden="1">
      <c r="A382" s="39" t="s">
        <v>1092</v>
      </c>
      <c r="B382" s="39">
        <v>0</v>
      </c>
      <c r="C382" s="39">
        <v>0</v>
      </c>
      <c r="D382" s="39">
        <v>0</v>
      </c>
      <c r="E382" s="39">
        <v>0</v>
      </c>
      <c r="F382" s="39">
        <v>0</v>
      </c>
      <c r="G382" s="39">
        <v>0</v>
      </c>
      <c r="H382" s="39">
        <v>0</v>
      </c>
      <c r="I382" s="39">
        <v>0</v>
      </c>
      <c r="J382" s="39">
        <v>0</v>
      </c>
      <c r="K382">
        <v>75</v>
      </c>
      <c r="L382">
        <v>647</v>
      </c>
      <c r="M382">
        <v>1370</v>
      </c>
      <c r="N382">
        <v>949</v>
      </c>
      <c r="O382">
        <v>0</v>
      </c>
      <c r="P382">
        <v>0</v>
      </c>
      <c r="Q382">
        <v>0</v>
      </c>
      <c r="R382">
        <v>0</v>
      </c>
      <c r="S382">
        <v>0</v>
      </c>
      <c r="T382">
        <v>0</v>
      </c>
      <c r="U382">
        <v>0</v>
      </c>
      <c r="V382">
        <v>0</v>
      </c>
      <c r="W382">
        <v>0</v>
      </c>
      <c r="X382">
        <v>21</v>
      </c>
      <c r="Y382">
        <v>197</v>
      </c>
      <c r="Z382">
        <v>381</v>
      </c>
      <c r="AA382">
        <v>235</v>
      </c>
      <c r="AD382" t="s">
        <v>1203</v>
      </c>
      <c r="AE382" s="19">
        <v>4202</v>
      </c>
      <c r="AF382">
        <v>11724</v>
      </c>
      <c r="AG382">
        <v>3828</v>
      </c>
      <c r="AH382">
        <v>10399</v>
      </c>
    </row>
    <row r="383" spans="1:34" hidden="1">
      <c r="A383" s="39" t="s">
        <v>1008</v>
      </c>
      <c r="B383" s="39">
        <v>0</v>
      </c>
      <c r="C383" s="39">
        <v>0</v>
      </c>
      <c r="D383" s="39">
        <v>0</v>
      </c>
      <c r="E383" s="39">
        <v>0</v>
      </c>
      <c r="F383" s="39">
        <v>0</v>
      </c>
      <c r="G383" s="39">
        <v>0</v>
      </c>
      <c r="H383" s="39">
        <v>0</v>
      </c>
      <c r="I383" s="39">
        <v>0</v>
      </c>
      <c r="J383" s="39">
        <v>19</v>
      </c>
      <c r="K383">
        <v>317</v>
      </c>
      <c r="L383">
        <v>353</v>
      </c>
      <c r="M383">
        <v>423</v>
      </c>
      <c r="N383">
        <v>836</v>
      </c>
      <c r="O383">
        <v>0</v>
      </c>
      <c r="P383">
        <v>0</v>
      </c>
      <c r="Q383">
        <v>0</v>
      </c>
      <c r="R383">
        <v>0</v>
      </c>
      <c r="S383">
        <v>0</v>
      </c>
      <c r="T383">
        <v>0</v>
      </c>
      <c r="U383">
        <v>0</v>
      </c>
      <c r="V383">
        <v>0</v>
      </c>
      <c r="W383">
        <v>4</v>
      </c>
      <c r="X383">
        <v>83</v>
      </c>
      <c r="Y383">
        <v>89</v>
      </c>
      <c r="Z383">
        <v>101</v>
      </c>
      <c r="AA383">
        <v>231</v>
      </c>
      <c r="AD383" t="s">
        <v>1210</v>
      </c>
      <c r="AE383" s="19">
        <v>706</v>
      </c>
      <c r="AF383">
        <v>2687</v>
      </c>
      <c r="AG383">
        <v>665</v>
      </c>
      <c r="AH383">
        <v>2636</v>
      </c>
    </row>
    <row r="384" spans="1:34" hidden="1">
      <c r="A384" s="39" t="s">
        <v>1584</v>
      </c>
      <c r="B384" s="39">
        <v>0</v>
      </c>
      <c r="C384" s="39">
        <v>0</v>
      </c>
      <c r="D384" s="39">
        <v>0</v>
      </c>
      <c r="E384" s="39">
        <v>0</v>
      </c>
      <c r="F384" s="39">
        <v>0</v>
      </c>
      <c r="G384" s="39">
        <v>0</v>
      </c>
      <c r="H384" s="39">
        <v>0</v>
      </c>
      <c r="I384" s="39">
        <v>729</v>
      </c>
      <c r="J384" s="39">
        <v>77</v>
      </c>
      <c r="K384">
        <v>36</v>
      </c>
      <c r="L384">
        <v>48</v>
      </c>
      <c r="M384">
        <v>9</v>
      </c>
      <c r="N384">
        <v>13</v>
      </c>
      <c r="O384">
        <v>0</v>
      </c>
      <c r="P384">
        <v>0</v>
      </c>
      <c r="Q384">
        <v>0</v>
      </c>
      <c r="R384">
        <v>0</v>
      </c>
      <c r="S384">
        <v>0</v>
      </c>
      <c r="T384">
        <v>0</v>
      </c>
      <c r="U384">
        <v>0</v>
      </c>
      <c r="V384">
        <v>0</v>
      </c>
      <c r="W384">
        <v>0</v>
      </c>
      <c r="X384">
        <v>0</v>
      </c>
      <c r="Y384">
        <v>0</v>
      </c>
      <c r="Z384">
        <v>0</v>
      </c>
      <c r="AA384">
        <v>0</v>
      </c>
      <c r="AD384" t="s">
        <v>1354</v>
      </c>
      <c r="AE384" s="19">
        <v>1460</v>
      </c>
      <c r="AF384">
        <v>5677</v>
      </c>
      <c r="AG384">
        <v>1391</v>
      </c>
      <c r="AH384">
        <v>5239</v>
      </c>
    </row>
    <row r="385" spans="1:34" hidden="1">
      <c r="A385" s="39" t="s">
        <v>1585</v>
      </c>
      <c r="B385" s="39">
        <v>0</v>
      </c>
      <c r="C385" s="39">
        <v>0</v>
      </c>
      <c r="D385" s="39">
        <v>0</v>
      </c>
      <c r="E385" s="39">
        <v>0</v>
      </c>
      <c r="F385" s="39">
        <v>0</v>
      </c>
      <c r="G385" s="39">
        <v>0</v>
      </c>
      <c r="H385" s="39">
        <v>0</v>
      </c>
      <c r="I385" s="39">
        <v>1351</v>
      </c>
      <c r="J385" s="39">
        <v>465</v>
      </c>
      <c r="K385">
        <v>306</v>
      </c>
      <c r="L385">
        <v>240</v>
      </c>
      <c r="M385">
        <v>151</v>
      </c>
      <c r="N385">
        <v>102</v>
      </c>
      <c r="O385">
        <v>0</v>
      </c>
      <c r="P385">
        <v>0</v>
      </c>
      <c r="Q385">
        <v>0</v>
      </c>
      <c r="R385">
        <v>0</v>
      </c>
      <c r="S385">
        <v>0</v>
      </c>
      <c r="T385">
        <v>0</v>
      </c>
      <c r="U385">
        <v>0</v>
      </c>
      <c r="V385">
        <v>0</v>
      </c>
      <c r="W385">
        <v>0</v>
      </c>
      <c r="X385">
        <v>0</v>
      </c>
      <c r="Y385">
        <v>0</v>
      </c>
      <c r="Z385">
        <v>0</v>
      </c>
      <c r="AA385">
        <v>0</v>
      </c>
      <c r="AD385" t="s">
        <v>1308</v>
      </c>
      <c r="AE385" s="19">
        <v>871</v>
      </c>
      <c r="AF385">
        <v>2362</v>
      </c>
      <c r="AG385">
        <v>856</v>
      </c>
      <c r="AH385">
        <v>2160</v>
      </c>
    </row>
    <row r="386" spans="1:34" hidden="1">
      <c r="A386" s="39" t="s">
        <v>1356</v>
      </c>
      <c r="B386" s="39">
        <v>0</v>
      </c>
      <c r="C386" s="39">
        <v>0</v>
      </c>
      <c r="D386" s="39">
        <v>0</v>
      </c>
      <c r="E386" s="39">
        <v>0</v>
      </c>
      <c r="F386" s="39">
        <v>0</v>
      </c>
      <c r="G386" s="39">
        <v>0</v>
      </c>
      <c r="H386" s="39">
        <v>0</v>
      </c>
      <c r="I386" s="39">
        <v>0</v>
      </c>
      <c r="J386" s="39">
        <v>0</v>
      </c>
      <c r="K386">
        <v>574</v>
      </c>
      <c r="L386">
        <v>1481</v>
      </c>
      <c r="M386">
        <v>1922</v>
      </c>
      <c r="N386">
        <v>2377</v>
      </c>
      <c r="O386">
        <v>0</v>
      </c>
      <c r="P386">
        <v>0</v>
      </c>
      <c r="Q386">
        <v>0</v>
      </c>
      <c r="R386">
        <v>0</v>
      </c>
      <c r="S386">
        <v>0</v>
      </c>
      <c r="T386">
        <v>0</v>
      </c>
      <c r="U386">
        <v>0</v>
      </c>
      <c r="V386">
        <v>0</v>
      </c>
      <c r="W386">
        <v>0</v>
      </c>
      <c r="X386">
        <v>4</v>
      </c>
      <c r="Y386">
        <v>102</v>
      </c>
      <c r="Z386">
        <v>153</v>
      </c>
      <c r="AA386">
        <v>215</v>
      </c>
      <c r="AD386" t="s">
        <v>1284</v>
      </c>
      <c r="AE386" s="19">
        <v>4871</v>
      </c>
      <c r="AF386">
        <v>10959</v>
      </c>
      <c r="AG386">
        <v>5077</v>
      </c>
      <c r="AH386">
        <v>10868</v>
      </c>
    </row>
    <row r="387" spans="1:34" hidden="1">
      <c r="A387" s="39" t="s">
        <v>1320</v>
      </c>
      <c r="B387" s="39">
        <v>0</v>
      </c>
      <c r="C387" s="39">
        <v>0</v>
      </c>
      <c r="D387" s="39">
        <v>0</v>
      </c>
      <c r="E387" s="39">
        <v>0</v>
      </c>
      <c r="F387" s="39">
        <v>0</v>
      </c>
      <c r="G387" s="39">
        <v>0</v>
      </c>
      <c r="H387" s="39">
        <v>0</v>
      </c>
      <c r="I387" s="39">
        <v>0</v>
      </c>
      <c r="J387" s="39">
        <v>0</v>
      </c>
      <c r="K387">
        <v>8</v>
      </c>
      <c r="L387">
        <v>98</v>
      </c>
      <c r="M387">
        <v>578</v>
      </c>
      <c r="N387">
        <v>559</v>
      </c>
      <c r="O387">
        <v>0</v>
      </c>
      <c r="P387">
        <v>0</v>
      </c>
      <c r="Q387">
        <v>0</v>
      </c>
      <c r="R387">
        <v>0</v>
      </c>
      <c r="S387">
        <v>0</v>
      </c>
      <c r="T387">
        <v>0</v>
      </c>
      <c r="U387">
        <v>0</v>
      </c>
      <c r="V387">
        <v>0</v>
      </c>
      <c r="W387">
        <v>0</v>
      </c>
      <c r="X387">
        <v>0</v>
      </c>
      <c r="Y387">
        <v>15</v>
      </c>
      <c r="Z387">
        <v>78</v>
      </c>
      <c r="AA387">
        <v>75</v>
      </c>
      <c r="AD387" t="s">
        <v>1145</v>
      </c>
      <c r="AE387" s="19">
        <v>10863</v>
      </c>
      <c r="AF387">
        <v>29065</v>
      </c>
      <c r="AG387">
        <v>10681</v>
      </c>
      <c r="AH387">
        <v>28479</v>
      </c>
    </row>
    <row r="388" spans="1:34" hidden="1">
      <c r="A388" s="39" t="s">
        <v>1250</v>
      </c>
      <c r="B388" s="39">
        <v>0</v>
      </c>
      <c r="C388" s="39">
        <v>0</v>
      </c>
      <c r="D388" s="39">
        <v>0</v>
      </c>
      <c r="E388" s="39">
        <v>0</v>
      </c>
      <c r="F388" s="39">
        <v>0</v>
      </c>
      <c r="G388" s="39">
        <v>0</v>
      </c>
      <c r="H388" s="39">
        <v>0</v>
      </c>
      <c r="I388" s="39">
        <v>0</v>
      </c>
      <c r="J388" s="39">
        <v>0</v>
      </c>
      <c r="K388">
        <v>30</v>
      </c>
      <c r="L388">
        <v>119</v>
      </c>
      <c r="M388">
        <v>327</v>
      </c>
      <c r="N388">
        <v>295</v>
      </c>
      <c r="O388">
        <v>0</v>
      </c>
      <c r="P388">
        <v>0</v>
      </c>
      <c r="Q388">
        <v>0</v>
      </c>
      <c r="R388">
        <v>0</v>
      </c>
      <c r="S388">
        <v>0</v>
      </c>
      <c r="T388">
        <v>0</v>
      </c>
      <c r="U388">
        <v>0</v>
      </c>
      <c r="V388">
        <v>0</v>
      </c>
      <c r="W388">
        <v>0</v>
      </c>
      <c r="X388">
        <v>0</v>
      </c>
      <c r="Y388">
        <v>15</v>
      </c>
      <c r="Z388">
        <v>43</v>
      </c>
      <c r="AA388">
        <v>53</v>
      </c>
      <c r="AD388" t="s">
        <v>1373</v>
      </c>
      <c r="AE388" s="19">
        <v>2105</v>
      </c>
      <c r="AF388">
        <v>8662</v>
      </c>
      <c r="AG388">
        <v>1579</v>
      </c>
      <c r="AH388">
        <v>7006</v>
      </c>
    </row>
    <row r="389" spans="1:34" hidden="1">
      <c r="A389" s="39" t="s">
        <v>1586</v>
      </c>
      <c r="B389" s="39">
        <v>0</v>
      </c>
      <c r="C389" s="39">
        <v>0</v>
      </c>
      <c r="D389" s="39">
        <v>0</v>
      </c>
      <c r="E389" s="39">
        <v>0</v>
      </c>
      <c r="F389" s="39">
        <v>0</v>
      </c>
      <c r="G389" s="39">
        <v>0</v>
      </c>
      <c r="H389" s="39">
        <v>0</v>
      </c>
      <c r="I389" s="39">
        <v>1661</v>
      </c>
      <c r="J389" s="39">
        <v>427</v>
      </c>
      <c r="K389">
        <v>205</v>
      </c>
      <c r="L389">
        <v>301</v>
      </c>
      <c r="M389">
        <v>64</v>
      </c>
      <c r="N389">
        <v>36</v>
      </c>
      <c r="O389">
        <v>0</v>
      </c>
      <c r="P389">
        <v>0</v>
      </c>
      <c r="Q389">
        <v>0</v>
      </c>
      <c r="R389">
        <v>0</v>
      </c>
      <c r="S389">
        <v>0</v>
      </c>
      <c r="T389">
        <v>0</v>
      </c>
      <c r="U389">
        <v>0</v>
      </c>
      <c r="V389">
        <v>0</v>
      </c>
      <c r="W389">
        <v>0</v>
      </c>
      <c r="X389">
        <v>0</v>
      </c>
      <c r="Y389">
        <v>0</v>
      </c>
      <c r="Z389">
        <v>0</v>
      </c>
      <c r="AA389">
        <v>0</v>
      </c>
      <c r="AD389" t="s">
        <v>1219</v>
      </c>
      <c r="AE389" s="19">
        <v>1161</v>
      </c>
      <c r="AF389">
        <v>2977</v>
      </c>
      <c r="AG389">
        <v>1190</v>
      </c>
      <c r="AH389">
        <v>3629</v>
      </c>
    </row>
    <row r="390" spans="1:34" hidden="1">
      <c r="A390" s="39" t="s">
        <v>1587</v>
      </c>
      <c r="B390" s="39">
        <v>0</v>
      </c>
      <c r="C390" s="39">
        <v>0</v>
      </c>
      <c r="D390" s="39">
        <v>0</v>
      </c>
      <c r="E390" s="39">
        <v>0</v>
      </c>
      <c r="F390" s="39">
        <v>0</v>
      </c>
      <c r="G390" s="39">
        <v>0</v>
      </c>
      <c r="H390" s="39">
        <v>0</v>
      </c>
      <c r="I390" s="39">
        <v>1163</v>
      </c>
      <c r="J390" s="39">
        <v>215</v>
      </c>
      <c r="K390">
        <v>165</v>
      </c>
      <c r="L390">
        <v>57</v>
      </c>
      <c r="M390">
        <v>28</v>
      </c>
      <c r="N390">
        <v>50</v>
      </c>
      <c r="O390">
        <v>0</v>
      </c>
      <c r="P390">
        <v>0</v>
      </c>
      <c r="Q390">
        <v>0</v>
      </c>
      <c r="R390">
        <v>0</v>
      </c>
      <c r="S390">
        <v>0</v>
      </c>
      <c r="T390">
        <v>0</v>
      </c>
      <c r="U390">
        <v>0</v>
      </c>
      <c r="V390">
        <v>0</v>
      </c>
      <c r="W390">
        <v>0</v>
      </c>
      <c r="X390">
        <v>0</v>
      </c>
      <c r="Y390">
        <v>0</v>
      </c>
      <c r="Z390">
        <v>0</v>
      </c>
      <c r="AA390">
        <v>0</v>
      </c>
      <c r="AD390" t="s">
        <v>1199</v>
      </c>
      <c r="AE390" s="19">
        <v>2704</v>
      </c>
      <c r="AF390">
        <v>8137</v>
      </c>
      <c r="AG390">
        <v>2967</v>
      </c>
      <c r="AH390">
        <v>8267</v>
      </c>
    </row>
    <row r="391" spans="1:34" hidden="1">
      <c r="A391" s="39" t="s">
        <v>1012</v>
      </c>
      <c r="B391" s="39">
        <v>0</v>
      </c>
      <c r="C391" s="39">
        <v>0</v>
      </c>
      <c r="D391" s="39">
        <v>0</v>
      </c>
      <c r="E391" s="39">
        <v>0</v>
      </c>
      <c r="F391" s="39">
        <v>0</v>
      </c>
      <c r="G391" s="39">
        <v>0</v>
      </c>
      <c r="H391" s="39">
        <v>0</v>
      </c>
      <c r="I391" s="39">
        <v>0</v>
      </c>
      <c r="J391" s="39">
        <v>0</v>
      </c>
      <c r="K391">
        <v>866</v>
      </c>
      <c r="L391">
        <v>1026</v>
      </c>
      <c r="M391">
        <v>1378</v>
      </c>
      <c r="N391">
        <v>1195</v>
      </c>
      <c r="O391">
        <v>0</v>
      </c>
      <c r="P391">
        <v>0</v>
      </c>
      <c r="Q391">
        <v>0</v>
      </c>
      <c r="R391">
        <v>0</v>
      </c>
      <c r="S391">
        <v>0</v>
      </c>
      <c r="T391">
        <v>0</v>
      </c>
      <c r="U391">
        <v>0</v>
      </c>
      <c r="V391">
        <v>0</v>
      </c>
      <c r="W391">
        <v>0</v>
      </c>
      <c r="X391">
        <v>306</v>
      </c>
      <c r="Y391">
        <v>420</v>
      </c>
      <c r="Z391">
        <v>412</v>
      </c>
      <c r="AA391">
        <v>377</v>
      </c>
      <c r="AD391" t="s">
        <v>1334</v>
      </c>
      <c r="AE391" s="19">
        <v>1464</v>
      </c>
      <c r="AF391">
        <v>2994</v>
      </c>
      <c r="AG391">
        <v>1261</v>
      </c>
      <c r="AH391">
        <v>2301</v>
      </c>
    </row>
    <row r="392" spans="1:34" hidden="1">
      <c r="A392" s="39" t="s">
        <v>1588</v>
      </c>
      <c r="B392" s="39">
        <v>0</v>
      </c>
      <c r="C392" s="39">
        <v>0</v>
      </c>
      <c r="D392" s="39">
        <v>0</v>
      </c>
      <c r="E392" s="39">
        <v>0</v>
      </c>
      <c r="F392" s="39">
        <v>0</v>
      </c>
      <c r="G392" s="39">
        <v>0</v>
      </c>
      <c r="H392" s="39">
        <v>0</v>
      </c>
      <c r="I392" s="39">
        <v>327</v>
      </c>
      <c r="J392" s="39">
        <v>298</v>
      </c>
      <c r="K392">
        <v>313</v>
      </c>
      <c r="L392">
        <v>379</v>
      </c>
      <c r="M392">
        <v>113</v>
      </c>
      <c r="N392">
        <v>209</v>
      </c>
      <c r="O392">
        <v>0</v>
      </c>
      <c r="P392">
        <v>0</v>
      </c>
      <c r="Q392">
        <v>0</v>
      </c>
      <c r="R392">
        <v>0</v>
      </c>
      <c r="S392">
        <v>0</v>
      </c>
      <c r="T392">
        <v>0</v>
      </c>
      <c r="U392">
        <v>0</v>
      </c>
      <c r="V392">
        <v>0</v>
      </c>
      <c r="W392">
        <v>0</v>
      </c>
      <c r="X392">
        <v>0</v>
      </c>
      <c r="Y392">
        <v>0</v>
      </c>
      <c r="Z392">
        <v>0</v>
      </c>
      <c r="AA392">
        <v>0</v>
      </c>
      <c r="AD392" t="s">
        <v>1186</v>
      </c>
      <c r="AE392" s="19">
        <v>432</v>
      </c>
      <c r="AF392">
        <v>1316</v>
      </c>
      <c r="AG392">
        <v>298</v>
      </c>
      <c r="AH392">
        <v>986</v>
      </c>
    </row>
    <row r="393" spans="1:34" hidden="1">
      <c r="A393" s="39" t="s">
        <v>1589</v>
      </c>
      <c r="B393" s="39">
        <v>0</v>
      </c>
      <c r="C393" s="39">
        <v>0</v>
      </c>
      <c r="D393" s="39">
        <v>0</v>
      </c>
      <c r="E393" s="39">
        <v>0</v>
      </c>
      <c r="F393" s="39">
        <v>0</v>
      </c>
      <c r="G393" s="39">
        <v>0</v>
      </c>
      <c r="H393" s="39">
        <v>0</v>
      </c>
      <c r="I393" s="39">
        <v>184</v>
      </c>
      <c r="J393" s="39">
        <v>103</v>
      </c>
      <c r="K393">
        <v>76</v>
      </c>
      <c r="L393">
        <v>90</v>
      </c>
      <c r="M393">
        <v>44</v>
      </c>
      <c r="N393">
        <v>69</v>
      </c>
      <c r="O393">
        <v>0</v>
      </c>
      <c r="P393">
        <v>0</v>
      </c>
      <c r="Q393">
        <v>0</v>
      </c>
      <c r="R393">
        <v>0</v>
      </c>
      <c r="S393">
        <v>0</v>
      </c>
      <c r="T393">
        <v>0</v>
      </c>
      <c r="U393">
        <v>0</v>
      </c>
      <c r="V393">
        <v>0</v>
      </c>
      <c r="W393">
        <v>0</v>
      </c>
      <c r="X393">
        <v>0</v>
      </c>
      <c r="Y393">
        <v>0</v>
      </c>
      <c r="Z393">
        <v>0</v>
      </c>
      <c r="AA393">
        <v>0</v>
      </c>
      <c r="AD393" t="s">
        <v>1366</v>
      </c>
      <c r="AE393" s="19">
        <v>1424</v>
      </c>
      <c r="AF393">
        <v>4497</v>
      </c>
      <c r="AG393">
        <v>1548</v>
      </c>
      <c r="AH393">
        <v>4885</v>
      </c>
    </row>
    <row r="394" spans="1:34" hidden="1">
      <c r="A394" s="39" t="s">
        <v>1113</v>
      </c>
      <c r="B394" s="39">
        <v>0</v>
      </c>
      <c r="C394" s="39">
        <v>0</v>
      </c>
      <c r="D394" s="39">
        <v>0</v>
      </c>
      <c r="E394" s="39">
        <v>0</v>
      </c>
      <c r="F394" s="39">
        <v>0</v>
      </c>
      <c r="G394" s="39">
        <v>0</v>
      </c>
      <c r="H394" s="39">
        <v>0</v>
      </c>
      <c r="I394" s="39">
        <v>0</v>
      </c>
      <c r="J394" s="39">
        <v>0</v>
      </c>
      <c r="K394">
        <v>1005</v>
      </c>
      <c r="L394">
        <v>1751</v>
      </c>
      <c r="M394">
        <v>1776</v>
      </c>
      <c r="N394">
        <v>1642</v>
      </c>
      <c r="O394">
        <v>0</v>
      </c>
      <c r="P394">
        <v>0</v>
      </c>
      <c r="Q394">
        <v>0</v>
      </c>
      <c r="R394">
        <v>0</v>
      </c>
      <c r="S394">
        <v>0</v>
      </c>
      <c r="T394">
        <v>0</v>
      </c>
      <c r="U394">
        <v>0</v>
      </c>
      <c r="V394">
        <v>0</v>
      </c>
      <c r="W394">
        <v>0</v>
      </c>
      <c r="X394">
        <v>236</v>
      </c>
      <c r="Y394">
        <v>420</v>
      </c>
      <c r="Z394">
        <v>487</v>
      </c>
      <c r="AA394">
        <v>418</v>
      </c>
      <c r="AD394" t="s">
        <v>1297</v>
      </c>
      <c r="AE394" s="19">
        <v>1014</v>
      </c>
      <c r="AF394">
        <v>3217</v>
      </c>
      <c r="AG394">
        <v>988</v>
      </c>
      <c r="AH394">
        <v>3110</v>
      </c>
    </row>
    <row r="395" spans="1:34" hidden="1">
      <c r="A395" s="39" t="s">
        <v>207</v>
      </c>
      <c r="B395" s="39">
        <v>0</v>
      </c>
      <c r="C395" s="39">
        <v>0</v>
      </c>
      <c r="D395" s="39">
        <v>0</v>
      </c>
      <c r="E395" s="39">
        <v>0</v>
      </c>
      <c r="F395" s="39">
        <v>0</v>
      </c>
      <c r="G395" s="39">
        <v>0</v>
      </c>
      <c r="H395" s="39">
        <v>0</v>
      </c>
      <c r="I395" s="39">
        <v>0</v>
      </c>
      <c r="J395" s="39">
        <v>0</v>
      </c>
      <c r="K395">
        <v>2</v>
      </c>
      <c r="L395">
        <v>1208</v>
      </c>
      <c r="M395">
        <v>2572</v>
      </c>
      <c r="N395">
        <v>2779</v>
      </c>
      <c r="O395">
        <v>0</v>
      </c>
      <c r="P395">
        <v>0</v>
      </c>
      <c r="Q395">
        <v>0</v>
      </c>
      <c r="R395">
        <v>0</v>
      </c>
      <c r="S395">
        <v>0</v>
      </c>
      <c r="T395">
        <v>0</v>
      </c>
      <c r="U395">
        <v>0</v>
      </c>
      <c r="V395">
        <v>0</v>
      </c>
      <c r="W395">
        <v>0</v>
      </c>
      <c r="X395">
        <v>0</v>
      </c>
      <c r="Y395">
        <v>488</v>
      </c>
      <c r="Z395">
        <v>684</v>
      </c>
      <c r="AA395">
        <v>463</v>
      </c>
      <c r="AD395" t="s">
        <v>1352</v>
      </c>
      <c r="AE395" s="19">
        <v>1525</v>
      </c>
      <c r="AF395">
        <v>6316</v>
      </c>
      <c r="AG395">
        <v>1476</v>
      </c>
      <c r="AH395">
        <v>5853</v>
      </c>
    </row>
    <row r="396" spans="1:34" hidden="1">
      <c r="A396" s="39" t="s">
        <v>1590</v>
      </c>
      <c r="B396" s="39">
        <v>0</v>
      </c>
      <c r="C396" s="39">
        <v>0</v>
      </c>
      <c r="D396" s="39">
        <v>0</v>
      </c>
      <c r="E396" s="39">
        <v>0</v>
      </c>
      <c r="F396" s="39">
        <v>0</v>
      </c>
      <c r="G396" s="39">
        <v>0</v>
      </c>
      <c r="H396" s="39">
        <v>0</v>
      </c>
      <c r="I396" s="39">
        <v>864</v>
      </c>
      <c r="J396" s="39">
        <v>253</v>
      </c>
      <c r="K396">
        <v>224</v>
      </c>
      <c r="L396">
        <v>389</v>
      </c>
      <c r="M396">
        <v>517</v>
      </c>
      <c r="N396">
        <v>415</v>
      </c>
      <c r="O396">
        <v>0</v>
      </c>
      <c r="P396">
        <v>0</v>
      </c>
      <c r="Q396">
        <v>0</v>
      </c>
      <c r="R396">
        <v>0</v>
      </c>
      <c r="S396">
        <v>0</v>
      </c>
      <c r="T396">
        <v>0</v>
      </c>
      <c r="U396">
        <v>0</v>
      </c>
      <c r="V396">
        <v>0</v>
      </c>
      <c r="W396">
        <v>0</v>
      </c>
      <c r="X396">
        <v>0</v>
      </c>
      <c r="Y396">
        <v>0</v>
      </c>
      <c r="Z396">
        <v>0</v>
      </c>
      <c r="AA396">
        <v>0</v>
      </c>
      <c r="AD396" t="s">
        <v>1310</v>
      </c>
      <c r="AE396" s="19">
        <v>816</v>
      </c>
      <c r="AF396">
        <v>2696</v>
      </c>
      <c r="AG396">
        <v>946</v>
      </c>
      <c r="AH396">
        <v>2666</v>
      </c>
    </row>
    <row r="397" spans="1:34" hidden="1">
      <c r="A397" s="39" t="s">
        <v>1591</v>
      </c>
      <c r="B397" s="39">
        <v>0</v>
      </c>
      <c r="C397" s="39">
        <v>0</v>
      </c>
      <c r="D397" s="39">
        <v>0</v>
      </c>
      <c r="E397" s="39">
        <v>0</v>
      </c>
      <c r="F397" s="39">
        <v>0</v>
      </c>
      <c r="G397" s="39">
        <v>0</v>
      </c>
      <c r="H397" s="39">
        <v>0</v>
      </c>
      <c r="I397" s="39">
        <v>1066</v>
      </c>
      <c r="J397" s="39">
        <v>373</v>
      </c>
      <c r="K397">
        <v>349</v>
      </c>
      <c r="L397">
        <v>534</v>
      </c>
      <c r="M397">
        <v>303</v>
      </c>
      <c r="N397">
        <v>554</v>
      </c>
      <c r="O397">
        <v>0</v>
      </c>
      <c r="P397">
        <v>0</v>
      </c>
      <c r="Q397">
        <v>0</v>
      </c>
      <c r="R397">
        <v>0</v>
      </c>
      <c r="S397">
        <v>0</v>
      </c>
      <c r="T397">
        <v>0</v>
      </c>
      <c r="U397">
        <v>0</v>
      </c>
      <c r="V397">
        <v>0</v>
      </c>
      <c r="W397">
        <v>0</v>
      </c>
      <c r="X397">
        <v>0</v>
      </c>
      <c r="Y397">
        <v>0</v>
      </c>
      <c r="Z397">
        <v>0</v>
      </c>
      <c r="AA397">
        <v>0</v>
      </c>
      <c r="AD397" t="s">
        <v>1342</v>
      </c>
      <c r="AE397" s="19">
        <v>1682</v>
      </c>
      <c r="AF397">
        <v>4809</v>
      </c>
      <c r="AG397">
        <v>1416</v>
      </c>
      <c r="AH397">
        <v>3743</v>
      </c>
    </row>
    <row r="398" spans="1:34" hidden="1">
      <c r="A398" s="39" t="s">
        <v>1592</v>
      </c>
      <c r="B398" s="39">
        <v>0</v>
      </c>
      <c r="C398" s="39">
        <v>0</v>
      </c>
      <c r="D398" s="39">
        <v>0</v>
      </c>
      <c r="E398" s="39">
        <v>0</v>
      </c>
      <c r="F398" s="39">
        <v>0</v>
      </c>
      <c r="G398" s="39">
        <v>0</v>
      </c>
      <c r="H398" s="39">
        <v>0</v>
      </c>
      <c r="I398" s="39">
        <v>113</v>
      </c>
      <c r="J398" s="39">
        <v>126</v>
      </c>
      <c r="K398">
        <v>150</v>
      </c>
      <c r="L398">
        <v>242</v>
      </c>
      <c r="M398">
        <v>129</v>
      </c>
      <c r="N398">
        <v>109</v>
      </c>
      <c r="O398">
        <v>0</v>
      </c>
      <c r="P398">
        <v>0</v>
      </c>
      <c r="Q398">
        <v>0</v>
      </c>
      <c r="R398">
        <v>0</v>
      </c>
      <c r="S398">
        <v>0</v>
      </c>
      <c r="T398">
        <v>0</v>
      </c>
      <c r="U398">
        <v>0</v>
      </c>
      <c r="V398">
        <v>0</v>
      </c>
      <c r="W398">
        <v>0</v>
      </c>
      <c r="X398">
        <v>0</v>
      </c>
      <c r="Y398">
        <v>0</v>
      </c>
      <c r="Z398">
        <v>0</v>
      </c>
      <c r="AA398">
        <v>0</v>
      </c>
      <c r="AD398" s="37" t="s">
        <v>1217</v>
      </c>
      <c r="AE398" s="126">
        <v>261</v>
      </c>
      <c r="AF398">
        <v>1911</v>
      </c>
      <c r="AG398">
        <v>298</v>
      </c>
      <c r="AH398">
        <v>2394</v>
      </c>
    </row>
    <row r="399" spans="1:34" hidden="1">
      <c r="A399" s="39" t="s">
        <v>1593</v>
      </c>
      <c r="B399" s="39">
        <v>0</v>
      </c>
      <c r="C399" s="39">
        <v>0</v>
      </c>
      <c r="D399" s="39">
        <v>0</v>
      </c>
      <c r="E399" s="39">
        <v>0</v>
      </c>
      <c r="F399" s="39">
        <v>0</v>
      </c>
      <c r="G399" s="39">
        <v>0</v>
      </c>
      <c r="H399" s="39">
        <v>0</v>
      </c>
      <c r="I399" s="39">
        <v>132</v>
      </c>
      <c r="J399" s="39">
        <v>167</v>
      </c>
      <c r="K399">
        <v>161</v>
      </c>
      <c r="L399">
        <v>147</v>
      </c>
      <c r="M399">
        <v>86</v>
      </c>
      <c r="N399">
        <v>80</v>
      </c>
      <c r="O399">
        <v>0</v>
      </c>
      <c r="P399">
        <v>0</v>
      </c>
      <c r="Q399">
        <v>0</v>
      </c>
      <c r="R399">
        <v>0</v>
      </c>
      <c r="S399">
        <v>0</v>
      </c>
      <c r="T399">
        <v>0</v>
      </c>
      <c r="U399">
        <v>0</v>
      </c>
      <c r="V399">
        <v>0</v>
      </c>
      <c r="W399">
        <v>0</v>
      </c>
      <c r="X399">
        <v>0</v>
      </c>
      <c r="Y399">
        <v>0</v>
      </c>
      <c r="Z399">
        <v>0</v>
      </c>
      <c r="AA399">
        <v>0</v>
      </c>
      <c r="AD399" t="s">
        <v>1241</v>
      </c>
      <c r="AE399" s="19">
        <v>1366</v>
      </c>
      <c r="AF399">
        <v>3989</v>
      </c>
      <c r="AG399">
        <v>1278</v>
      </c>
      <c r="AH399">
        <v>4055</v>
      </c>
    </row>
    <row r="400" spans="1:34" hidden="1">
      <c r="A400" s="39" t="s">
        <v>1594</v>
      </c>
      <c r="B400" s="39">
        <v>0</v>
      </c>
      <c r="C400" s="39">
        <v>0</v>
      </c>
      <c r="D400" s="39">
        <v>0</v>
      </c>
      <c r="E400" s="39">
        <v>0</v>
      </c>
      <c r="F400" s="39">
        <v>0</v>
      </c>
      <c r="G400" s="39">
        <v>0</v>
      </c>
      <c r="H400" s="39">
        <v>0</v>
      </c>
      <c r="I400" s="39">
        <v>23</v>
      </c>
      <c r="J400" s="39">
        <v>36</v>
      </c>
      <c r="K400">
        <v>45</v>
      </c>
      <c r="L400">
        <v>61</v>
      </c>
      <c r="M400">
        <v>8</v>
      </c>
      <c r="N400">
        <v>13</v>
      </c>
      <c r="O400">
        <v>0</v>
      </c>
      <c r="P400">
        <v>0</v>
      </c>
      <c r="Q400">
        <v>0</v>
      </c>
      <c r="R400">
        <v>0</v>
      </c>
      <c r="S400">
        <v>0</v>
      </c>
      <c r="T400">
        <v>0</v>
      </c>
      <c r="U400">
        <v>0</v>
      </c>
      <c r="V400">
        <v>0</v>
      </c>
      <c r="W400">
        <v>0</v>
      </c>
      <c r="X400">
        <v>0</v>
      </c>
      <c r="Y400">
        <v>0</v>
      </c>
      <c r="Z400">
        <v>0</v>
      </c>
      <c r="AA400">
        <v>0</v>
      </c>
      <c r="AD400" s="37" t="s">
        <v>1326</v>
      </c>
      <c r="AE400" s="126">
        <v>1601</v>
      </c>
      <c r="AF400">
        <v>6395</v>
      </c>
      <c r="AG400">
        <v>1173</v>
      </c>
      <c r="AH400">
        <v>10534</v>
      </c>
    </row>
    <row r="401" spans="1:34" hidden="1">
      <c r="A401" s="39" t="s">
        <v>1595</v>
      </c>
      <c r="B401" s="39">
        <v>0</v>
      </c>
      <c r="C401" s="39">
        <v>0</v>
      </c>
      <c r="D401" s="39">
        <v>0</v>
      </c>
      <c r="E401" s="39">
        <v>0</v>
      </c>
      <c r="F401" s="39">
        <v>0</v>
      </c>
      <c r="G401" s="39">
        <v>0</v>
      </c>
      <c r="H401" s="39">
        <v>0</v>
      </c>
      <c r="I401" s="39">
        <v>355</v>
      </c>
      <c r="J401" s="39">
        <v>161</v>
      </c>
      <c r="K401">
        <v>106</v>
      </c>
      <c r="L401">
        <v>130</v>
      </c>
      <c r="M401">
        <v>46</v>
      </c>
      <c r="N401">
        <v>19</v>
      </c>
      <c r="O401">
        <v>0</v>
      </c>
      <c r="P401">
        <v>0</v>
      </c>
      <c r="Q401">
        <v>0</v>
      </c>
      <c r="R401">
        <v>0</v>
      </c>
      <c r="S401">
        <v>0</v>
      </c>
      <c r="T401">
        <v>0</v>
      </c>
      <c r="U401">
        <v>0</v>
      </c>
      <c r="V401">
        <v>0</v>
      </c>
      <c r="W401">
        <v>0</v>
      </c>
      <c r="X401">
        <v>0</v>
      </c>
      <c r="Y401">
        <v>0</v>
      </c>
      <c r="Z401">
        <v>0</v>
      </c>
      <c r="AA401">
        <v>0</v>
      </c>
      <c r="AD401" t="s">
        <v>1183</v>
      </c>
      <c r="AE401" s="19">
        <v>7185</v>
      </c>
      <c r="AF401">
        <v>28733</v>
      </c>
      <c r="AG401">
        <v>7189</v>
      </c>
      <c r="AH401">
        <v>27435</v>
      </c>
    </row>
    <row r="402" spans="1:34" hidden="1">
      <c r="A402" s="39" t="s">
        <v>1596</v>
      </c>
      <c r="B402" s="39">
        <v>0</v>
      </c>
      <c r="C402" s="39">
        <v>0</v>
      </c>
      <c r="D402" s="39">
        <v>0</v>
      </c>
      <c r="E402" s="39">
        <v>0</v>
      </c>
      <c r="F402" s="39">
        <v>0</v>
      </c>
      <c r="G402" s="39">
        <v>0</v>
      </c>
      <c r="H402" s="39">
        <v>0</v>
      </c>
      <c r="I402" s="39">
        <v>23</v>
      </c>
      <c r="J402" s="39">
        <v>26</v>
      </c>
      <c r="K402">
        <v>35</v>
      </c>
      <c r="L402">
        <v>13</v>
      </c>
      <c r="M402">
        <v>19</v>
      </c>
      <c r="N402">
        <v>18</v>
      </c>
      <c r="O402">
        <v>0</v>
      </c>
      <c r="P402">
        <v>0</v>
      </c>
      <c r="Q402">
        <v>0</v>
      </c>
      <c r="R402">
        <v>0</v>
      </c>
      <c r="S402">
        <v>0</v>
      </c>
      <c r="T402">
        <v>0</v>
      </c>
      <c r="U402">
        <v>0</v>
      </c>
      <c r="V402">
        <v>0</v>
      </c>
      <c r="W402">
        <v>0</v>
      </c>
      <c r="X402">
        <v>0</v>
      </c>
      <c r="Y402">
        <v>0</v>
      </c>
      <c r="Z402">
        <v>0</v>
      </c>
      <c r="AA402">
        <v>0</v>
      </c>
      <c r="AD402" t="s">
        <v>1295</v>
      </c>
      <c r="AE402" s="19">
        <v>1016</v>
      </c>
      <c r="AF402">
        <v>3413</v>
      </c>
      <c r="AG402">
        <v>1066</v>
      </c>
      <c r="AH402">
        <v>3236</v>
      </c>
    </row>
    <row r="403" spans="1:34" hidden="1">
      <c r="A403" s="39" t="s">
        <v>1597</v>
      </c>
      <c r="B403" s="39">
        <v>0</v>
      </c>
      <c r="C403" s="39">
        <v>0</v>
      </c>
      <c r="D403" s="39">
        <v>0</v>
      </c>
      <c r="E403" s="39">
        <v>0</v>
      </c>
      <c r="F403" s="39">
        <v>0</v>
      </c>
      <c r="G403" s="39">
        <v>0</v>
      </c>
      <c r="H403" s="39">
        <v>0</v>
      </c>
      <c r="I403" s="39">
        <v>211</v>
      </c>
      <c r="J403" s="39">
        <v>98</v>
      </c>
      <c r="K403">
        <v>82</v>
      </c>
      <c r="L403">
        <v>85</v>
      </c>
      <c r="M403">
        <v>7</v>
      </c>
      <c r="N403">
        <v>10</v>
      </c>
      <c r="O403">
        <v>0</v>
      </c>
      <c r="P403">
        <v>0</v>
      </c>
      <c r="Q403">
        <v>0</v>
      </c>
      <c r="R403">
        <v>0</v>
      </c>
      <c r="S403">
        <v>0</v>
      </c>
      <c r="T403">
        <v>0</v>
      </c>
      <c r="U403">
        <v>0</v>
      </c>
      <c r="V403">
        <v>0</v>
      </c>
      <c r="W403">
        <v>0</v>
      </c>
      <c r="X403">
        <v>0</v>
      </c>
      <c r="Y403">
        <v>0</v>
      </c>
      <c r="Z403">
        <v>0</v>
      </c>
      <c r="AA403">
        <v>0</v>
      </c>
      <c r="AD403" t="s">
        <v>1208</v>
      </c>
      <c r="AE403" s="19">
        <v>1074</v>
      </c>
      <c r="AF403">
        <v>3459</v>
      </c>
      <c r="AG403">
        <v>952</v>
      </c>
      <c r="AH403">
        <v>3082</v>
      </c>
    </row>
    <row r="404" spans="1:34" hidden="1">
      <c r="A404" s="39" t="s">
        <v>1598</v>
      </c>
      <c r="B404" s="39">
        <v>0</v>
      </c>
      <c r="C404" s="39">
        <v>0</v>
      </c>
      <c r="D404" s="39">
        <v>0</v>
      </c>
      <c r="E404" s="39">
        <v>0</v>
      </c>
      <c r="F404" s="39">
        <v>0</v>
      </c>
      <c r="G404" s="39">
        <v>0</v>
      </c>
      <c r="H404" s="39">
        <v>0</v>
      </c>
      <c r="I404" s="39">
        <v>367</v>
      </c>
      <c r="J404" s="39">
        <v>469</v>
      </c>
      <c r="K404">
        <v>215</v>
      </c>
      <c r="L404">
        <v>252</v>
      </c>
      <c r="M404">
        <v>135</v>
      </c>
      <c r="N404">
        <v>360</v>
      </c>
      <c r="O404">
        <v>0</v>
      </c>
      <c r="P404">
        <v>0</v>
      </c>
      <c r="Q404">
        <v>0</v>
      </c>
      <c r="R404">
        <v>0</v>
      </c>
      <c r="S404">
        <v>0</v>
      </c>
      <c r="T404">
        <v>0</v>
      </c>
      <c r="U404">
        <v>0</v>
      </c>
      <c r="V404">
        <v>0</v>
      </c>
      <c r="W404">
        <v>0</v>
      </c>
      <c r="X404">
        <v>0</v>
      </c>
      <c r="Y404">
        <v>0</v>
      </c>
      <c r="Z404">
        <v>0</v>
      </c>
      <c r="AA404">
        <v>0</v>
      </c>
      <c r="AE404" s="19"/>
    </row>
    <row r="405" spans="1:34" hidden="1">
      <c r="A405" s="39" t="s">
        <v>1599</v>
      </c>
      <c r="B405" s="39">
        <v>0</v>
      </c>
      <c r="C405" s="39">
        <v>0</v>
      </c>
      <c r="D405" s="39">
        <v>0</v>
      </c>
      <c r="E405" s="39">
        <v>0</v>
      </c>
      <c r="F405" s="39">
        <v>0</v>
      </c>
      <c r="G405" s="39">
        <v>0</v>
      </c>
      <c r="H405" s="39">
        <v>0</v>
      </c>
      <c r="I405" s="39">
        <v>68</v>
      </c>
      <c r="J405" s="39">
        <v>90</v>
      </c>
      <c r="K405">
        <v>50</v>
      </c>
      <c r="L405">
        <v>68</v>
      </c>
      <c r="M405">
        <v>13</v>
      </c>
      <c r="N405">
        <v>14</v>
      </c>
      <c r="O405">
        <v>0</v>
      </c>
      <c r="P405">
        <v>0</v>
      </c>
      <c r="Q405">
        <v>0</v>
      </c>
      <c r="R405">
        <v>0</v>
      </c>
      <c r="S405">
        <v>0</v>
      </c>
      <c r="T405">
        <v>0</v>
      </c>
      <c r="U405">
        <v>0</v>
      </c>
      <c r="V405">
        <v>0</v>
      </c>
      <c r="W405">
        <v>0</v>
      </c>
      <c r="X405">
        <v>0</v>
      </c>
      <c r="Y405">
        <v>0</v>
      </c>
      <c r="Z405">
        <v>0</v>
      </c>
      <c r="AA405">
        <v>0</v>
      </c>
      <c r="AD405" t="s">
        <v>1312</v>
      </c>
      <c r="AE405" s="19">
        <v>539</v>
      </c>
      <c r="AF405">
        <v>1920</v>
      </c>
      <c r="AG405">
        <v>460</v>
      </c>
      <c r="AH405">
        <v>1426</v>
      </c>
    </row>
    <row r="406" spans="1:34" hidden="1">
      <c r="A406" s="39" t="s">
        <v>1600</v>
      </c>
      <c r="B406" s="39">
        <v>0</v>
      </c>
      <c r="C406" s="39">
        <v>0</v>
      </c>
      <c r="D406" s="39">
        <v>0</v>
      </c>
      <c r="E406" s="39">
        <v>0</v>
      </c>
      <c r="F406" s="39">
        <v>0</v>
      </c>
      <c r="G406" s="39">
        <v>0</v>
      </c>
      <c r="H406" s="39">
        <v>0</v>
      </c>
      <c r="I406" s="39">
        <v>0</v>
      </c>
      <c r="J406" s="39">
        <v>156</v>
      </c>
      <c r="K406">
        <v>354</v>
      </c>
      <c r="L406">
        <v>834</v>
      </c>
      <c r="M406">
        <v>732</v>
      </c>
      <c r="N406">
        <v>654</v>
      </c>
      <c r="O406">
        <v>0</v>
      </c>
      <c r="P406">
        <v>0</v>
      </c>
      <c r="Q406">
        <v>0</v>
      </c>
      <c r="R406">
        <v>0</v>
      </c>
      <c r="S406">
        <v>0</v>
      </c>
      <c r="T406">
        <v>0</v>
      </c>
      <c r="U406">
        <v>0</v>
      </c>
      <c r="V406">
        <v>0</v>
      </c>
      <c r="W406">
        <v>34</v>
      </c>
      <c r="X406">
        <v>126</v>
      </c>
      <c r="Y406">
        <v>251</v>
      </c>
      <c r="Z406">
        <v>239</v>
      </c>
      <c r="AA406">
        <v>237</v>
      </c>
      <c r="AD406" t="s">
        <v>1235</v>
      </c>
      <c r="AE406" s="19">
        <v>1075</v>
      </c>
      <c r="AF406">
        <v>2871</v>
      </c>
      <c r="AG406">
        <v>1086</v>
      </c>
      <c r="AH406">
        <v>3252</v>
      </c>
    </row>
    <row r="407" spans="1:34" hidden="1">
      <c r="A407" s="39" t="s">
        <v>1601</v>
      </c>
      <c r="B407" s="39">
        <v>0</v>
      </c>
      <c r="C407" s="39">
        <v>0</v>
      </c>
      <c r="D407" s="39">
        <v>0</v>
      </c>
      <c r="E407" s="39">
        <v>0</v>
      </c>
      <c r="F407" s="39">
        <v>0</v>
      </c>
      <c r="G407" s="39">
        <v>0</v>
      </c>
      <c r="H407" s="39">
        <v>0</v>
      </c>
      <c r="I407" s="39">
        <v>0</v>
      </c>
      <c r="J407" s="39">
        <v>112</v>
      </c>
      <c r="K407">
        <v>104</v>
      </c>
      <c r="L407">
        <v>156</v>
      </c>
      <c r="M407">
        <v>112</v>
      </c>
      <c r="N407">
        <v>151</v>
      </c>
      <c r="O407">
        <v>0</v>
      </c>
      <c r="P407">
        <v>0</v>
      </c>
      <c r="Q407">
        <v>0</v>
      </c>
      <c r="R407">
        <v>0</v>
      </c>
      <c r="S407">
        <v>0</v>
      </c>
      <c r="T407">
        <v>0</v>
      </c>
      <c r="U407">
        <v>0</v>
      </c>
      <c r="V407">
        <v>0</v>
      </c>
      <c r="W407">
        <v>0</v>
      </c>
      <c r="X407">
        <v>0</v>
      </c>
      <c r="Y407">
        <v>0</v>
      </c>
      <c r="Z407">
        <v>0</v>
      </c>
      <c r="AA407">
        <v>0</v>
      </c>
      <c r="AD407" t="s">
        <v>1324</v>
      </c>
      <c r="AE407" s="19">
        <v>1470</v>
      </c>
      <c r="AF407">
        <v>2142</v>
      </c>
      <c r="AG407">
        <v>1327</v>
      </c>
      <c r="AH407">
        <v>1702</v>
      </c>
    </row>
    <row r="408" spans="1:34" hidden="1">
      <c r="A408" s="39" t="s">
        <v>1602</v>
      </c>
      <c r="B408" s="39">
        <v>0</v>
      </c>
      <c r="C408" s="39">
        <v>0</v>
      </c>
      <c r="D408" s="39">
        <v>0</v>
      </c>
      <c r="E408" s="39">
        <v>0</v>
      </c>
      <c r="F408" s="39">
        <v>0</v>
      </c>
      <c r="G408" s="39">
        <v>0</v>
      </c>
      <c r="H408" s="39">
        <v>0</v>
      </c>
      <c r="I408" s="39">
        <v>0</v>
      </c>
      <c r="J408" s="39">
        <v>104</v>
      </c>
      <c r="K408">
        <v>59</v>
      </c>
      <c r="L408">
        <v>26</v>
      </c>
      <c r="M408">
        <v>27</v>
      </c>
      <c r="N408">
        <v>23</v>
      </c>
      <c r="O408">
        <v>0</v>
      </c>
      <c r="P408">
        <v>0</v>
      </c>
      <c r="Q408">
        <v>0</v>
      </c>
      <c r="R408">
        <v>0</v>
      </c>
      <c r="S408">
        <v>0</v>
      </c>
      <c r="T408">
        <v>0</v>
      </c>
      <c r="U408">
        <v>0</v>
      </c>
      <c r="V408">
        <v>0</v>
      </c>
      <c r="W408">
        <v>0</v>
      </c>
      <c r="X408">
        <v>0</v>
      </c>
      <c r="Y408">
        <v>0</v>
      </c>
      <c r="Z408">
        <v>0</v>
      </c>
      <c r="AA408">
        <v>0</v>
      </c>
      <c r="AD408" t="s">
        <v>1338</v>
      </c>
      <c r="AE408" s="19">
        <v>1676</v>
      </c>
      <c r="AF408">
        <v>4615</v>
      </c>
      <c r="AG408">
        <v>1635</v>
      </c>
      <c r="AH408">
        <v>4368</v>
      </c>
    </row>
    <row r="409" spans="1:34" hidden="1">
      <c r="A409" s="39" t="s">
        <v>1603</v>
      </c>
      <c r="B409" s="39">
        <v>0</v>
      </c>
      <c r="C409" s="39">
        <v>0</v>
      </c>
      <c r="D409" s="39">
        <v>0</v>
      </c>
      <c r="E409" s="39">
        <v>0</v>
      </c>
      <c r="F409" s="39">
        <v>0</v>
      </c>
      <c r="G409" s="39">
        <v>0</v>
      </c>
      <c r="H409" s="39">
        <v>0</v>
      </c>
      <c r="I409" s="39">
        <v>0</v>
      </c>
      <c r="J409" s="39">
        <v>59</v>
      </c>
      <c r="K409">
        <v>43</v>
      </c>
      <c r="L409">
        <v>94</v>
      </c>
      <c r="M409">
        <v>142</v>
      </c>
      <c r="N409">
        <v>122</v>
      </c>
      <c r="O409">
        <v>0</v>
      </c>
      <c r="P409">
        <v>0</v>
      </c>
      <c r="Q409">
        <v>0</v>
      </c>
      <c r="R409">
        <v>0</v>
      </c>
      <c r="S409">
        <v>0</v>
      </c>
      <c r="T409">
        <v>0</v>
      </c>
      <c r="U409">
        <v>0</v>
      </c>
      <c r="V409">
        <v>0</v>
      </c>
      <c r="W409">
        <v>0</v>
      </c>
      <c r="X409">
        <v>0</v>
      </c>
      <c r="Y409">
        <v>0</v>
      </c>
      <c r="Z409">
        <v>0</v>
      </c>
      <c r="AA409">
        <v>0</v>
      </c>
      <c r="AD409" t="s">
        <v>1254</v>
      </c>
      <c r="AE409" s="19">
        <v>556</v>
      </c>
      <c r="AF409">
        <v>1914</v>
      </c>
      <c r="AG409">
        <v>86</v>
      </c>
      <c r="AH409">
        <v>233</v>
      </c>
    </row>
    <row r="410" spans="1:34" hidden="1">
      <c r="A410" s="39" t="s">
        <v>1604</v>
      </c>
      <c r="B410" s="39">
        <v>0</v>
      </c>
      <c r="C410" s="39">
        <v>0</v>
      </c>
      <c r="D410" s="39">
        <v>0</v>
      </c>
      <c r="E410" s="39">
        <v>0</v>
      </c>
      <c r="F410" s="39">
        <v>0</v>
      </c>
      <c r="G410" s="39">
        <v>0</v>
      </c>
      <c r="H410" s="39">
        <v>0</v>
      </c>
      <c r="I410" s="39">
        <v>0</v>
      </c>
      <c r="J410" s="39">
        <v>99</v>
      </c>
      <c r="K410">
        <v>45</v>
      </c>
      <c r="L410">
        <v>20</v>
      </c>
      <c r="M410">
        <v>5</v>
      </c>
      <c r="N410">
        <v>7</v>
      </c>
      <c r="O410">
        <v>0</v>
      </c>
      <c r="P410">
        <v>0</v>
      </c>
      <c r="Q410">
        <v>0</v>
      </c>
      <c r="R410">
        <v>0</v>
      </c>
      <c r="S410">
        <v>0</v>
      </c>
      <c r="T410">
        <v>0</v>
      </c>
      <c r="U410">
        <v>0</v>
      </c>
      <c r="V410">
        <v>0</v>
      </c>
      <c r="W410">
        <v>0</v>
      </c>
      <c r="X410">
        <v>0</v>
      </c>
      <c r="Y410">
        <v>0</v>
      </c>
      <c r="Z410">
        <v>0</v>
      </c>
      <c r="AA410">
        <v>0</v>
      </c>
      <c r="AD410" t="s">
        <v>1172</v>
      </c>
      <c r="AE410" s="19">
        <v>1179</v>
      </c>
      <c r="AF410">
        <v>3377</v>
      </c>
      <c r="AG410">
        <v>1063</v>
      </c>
      <c r="AH410">
        <v>3009</v>
      </c>
    </row>
    <row r="411" spans="1:34" hidden="1">
      <c r="A411" s="39" t="s">
        <v>1605</v>
      </c>
      <c r="B411" s="39">
        <v>0</v>
      </c>
      <c r="C411" s="39">
        <v>0</v>
      </c>
      <c r="D411" s="39">
        <v>0</v>
      </c>
      <c r="E411" s="39">
        <v>0</v>
      </c>
      <c r="F411" s="39">
        <v>0</v>
      </c>
      <c r="G411" s="39">
        <v>0</v>
      </c>
      <c r="H411" s="39">
        <v>0</v>
      </c>
      <c r="I411" s="39">
        <v>0</v>
      </c>
      <c r="J411" s="39">
        <v>41</v>
      </c>
      <c r="K411">
        <v>37</v>
      </c>
      <c r="L411">
        <v>50</v>
      </c>
      <c r="M411">
        <v>32</v>
      </c>
      <c r="N411">
        <v>15</v>
      </c>
      <c r="O411">
        <v>0</v>
      </c>
      <c r="P411">
        <v>0</v>
      </c>
      <c r="Q411">
        <v>0</v>
      </c>
      <c r="R411">
        <v>0</v>
      </c>
      <c r="S411">
        <v>0</v>
      </c>
      <c r="T411">
        <v>0</v>
      </c>
      <c r="U411">
        <v>0</v>
      </c>
      <c r="V411">
        <v>0</v>
      </c>
      <c r="W411">
        <v>0</v>
      </c>
      <c r="X411">
        <v>0</v>
      </c>
      <c r="Y411">
        <v>0</v>
      </c>
      <c r="Z411">
        <v>0</v>
      </c>
      <c r="AA411">
        <v>0</v>
      </c>
      <c r="AD411" t="s">
        <v>1388</v>
      </c>
      <c r="AE411" s="19">
        <v>1553</v>
      </c>
      <c r="AF411">
        <v>1555</v>
      </c>
      <c r="AG411">
        <v>60</v>
      </c>
      <c r="AH411">
        <v>2978</v>
      </c>
    </row>
    <row r="412" spans="1:34" hidden="1">
      <c r="A412" s="39" t="s">
        <v>1606</v>
      </c>
      <c r="B412" s="39">
        <v>0</v>
      </c>
      <c r="C412" s="39">
        <v>0</v>
      </c>
      <c r="D412" s="39">
        <v>0</v>
      </c>
      <c r="E412" s="39">
        <v>0</v>
      </c>
      <c r="F412" s="39">
        <v>0</v>
      </c>
      <c r="G412" s="39">
        <v>0</v>
      </c>
      <c r="H412" s="39">
        <v>0</v>
      </c>
      <c r="I412" s="39">
        <v>0</v>
      </c>
      <c r="J412" s="39">
        <v>20</v>
      </c>
      <c r="K412">
        <v>30</v>
      </c>
      <c r="L412">
        <v>17</v>
      </c>
      <c r="M412">
        <v>14</v>
      </c>
      <c r="N412">
        <v>13</v>
      </c>
      <c r="O412">
        <v>0</v>
      </c>
      <c r="P412">
        <v>0</v>
      </c>
      <c r="Q412">
        <v>0</v>
      </c>
      <c r="R412">
        <v>0</v>
      </c>
      <c r="S412">
        <v>0</v>
      </c>
      <c r="T412">
        <v>0</v>
      </c>
      <c r="U412">
        <v>0</v>
      </c>
      <c r="V412">
        <v>0</v>
      </c>
      <c r="W412">
        <v>0</v>
      </c>
      <c r="X412">
        <v>0</v>
      </c>
      <c r="Y412">
        <v>0</v>
      </c>
      <c r="Z412">
        <v>0</v>
      </c>
      <c r="AA412">
        <v>0</v>
      </c>
      <c r="AD412" t="s">
        <v>1304</v>
      </c>
      <c r="AE412" s="19">
        <v>1400</v>
      </c>
      <c r="AF412">
        <v>2776</v>
      </c>
      <c r="AG412">
        <v>1368</v>
      </c>
      <c r="AH412">
        <v>2916</v>
      </c>
    </row>
    <row r="413" spans="1:34" hidden="1">
      <c r="A413" s="39" t="s">
        <v>1607</v>
      </c>
      <c r="B413" s="39">
        <v>0</v>
      </c>
      <c r="C413" s="39">
        <v>0</v>
      </c>
      <c r="D413" s="39">
        <v>0</v>
      </c>
      <c r="E413" s="39">
        <v>0</v>
      </c>
      <c r="F413" s="39">
        <v>0</v>
      </c>
      <c r="G413" s="39">
        <v>0</v>
      </c>
      <c r="H413" s="39">
        <v>0</v>
      </c>
      <c r="I413" s="39">
        <v>0</v>
      </c>
      <c r="J413" s="39">
        <v>109</v>
      </c>
      <c r="K413">
        <v>153</v>
      </c>
      <c r="L413">
        <v>130</v>
      </c>
      <c r="M413">
        <v>43</v>
      </c>
      <c r="N413">
        <v>42</v>
      </c>
      <c r="O413">
        <v>0</v>
      </c>
      <c r="P413">
        <v>0</v>
      </c>
      <c r="Q413">
        <v>0</v>
      </c>
      <c r="R413">
        <v>0</v>
      </c>
      <c r="S413">
        <v>0</v>
      </c>
      <c r="T413">
        <v>0</v>
      </c>
      <c r="U413">
        <v>0</v>
      </c>
      <c r="V413">
        <v>0</v>
      </c>
      <c r="W413">
        <v>0</v>
      </c>
      <c r="X413">
        <v>0</v>
      </c>
      <c r="Y413">
        <v>0</v>
      </c>
      <c r="Z413">
        <v>0</v>
      </c>
      <c r="AA413">
        <v>0</v>
      </c>
      <c r="AD413" t="s">
        <v>1269</v>
      </c>
      <c r="AE413" s="19">
        <v>1462</v>
      </c>
      <c r="AF413">
        <v>2606</v>
      </c>
      <c r="AG413">
        <v>1404</v>
      </c>
      <c r="AH413">
        <v>2549</v>
      </c>
    </row>
    <row r="414" spans="1:34" hidden="1">
      <c r="A414" s="39" t="s">
        <v>1608</v>
      </c>
      <c r="B414" s="39">
        <v>0</v>
      </c>
      <c r="C414" s="39">
        <v>0</v>
      </c>
      <c r="D414" s="39">
        <v>0</v>
      </c>
      <c r="E414" s="39">
        <v>0</v>
      </c>
      <c r="F414" s="39">
        <v>0</v>
      </c>
      <c r="G414" s="39">
        <v>0</v>
      </c>
      <c r="H414" s="39">
        <v>0</v>
      </c>
      <c r="I414" s="39">
        <v>0</v>
      </c>
      <c r="J414" s="39">
        <v>0</v>
      </c>
      <c r="K414">
        <v>18</v>
      </c>
      <c r="L414">
        <v>54</v>
      </c>
      <c r="M414">
        <v>9</v>
      </c>
      <c r="N414">
        <v>9</v>
      </c>
      <c r="O414">
        <v>0</v>
      </c>
      <c r="P414">
        <v>0</v>
      </c>
      <c r="Q414">
        <v>0</v>
      </c>
      <c r="R414">
        <v>0</v>
      </c>
      <c r="S414">
        <v>0</v>
      </c>
      <c r="T414">
        <v>0</v>
      </c>
      <c r="U414">
        <v>0</v>
      </c>
      <c r="V414">
        <v>0</v>
      </c>
      <c r="W414">
        <v>0</v>
      </c>
      <c r="X414">
        <v>0</v>
      </c>
      <c r="Y414">
        <v>0</v>
      </c>
      <c r="Z414">
        <v>0</v>
      </c>
      <c r="AA414">
        <v>0</v>
      </c>
      <c r="AD414" t="s">
        <v>1364</v>
      </c>
      <c r="AE414" s="19">
        <v>7031</v>
      </c>
      <c r="AF414">
        <v>26136</v>
      </c>
      <c r="AG414">
        <v>6489</v>
      </c>
      <c r="AH414">
        <v>24125</v>
      </c>
    </row>
    <row r="415" spans="1:34" hidden="1">
      <c r="A415" s="39" t="s">
        <v>1609</v>
      </c>
      <c r="B415" s="39">
        <v>0</v>
      </c>
      <c r="C415" s="39">
        <v>0</v>
      </c>
      <c r="D415" s="39">
        <v>0</v>
      </c>
      <c r="E415" s="39">
        <v>0</v>
      </c>
      <c r="F415" s="39">
        <v>0</v>
      </c>
      <c r="G415" s="39">
        <v>0</v>
      </c>
      <c r="H415" s="39">
        <v>0</v>
      </c>
      <c r="I415" s="39">
        <v>0</v>
      </c>
      <c r="J415" s="39">
        <v>0</v>
      </c>
      <c r="K415">
        <v>7</v>
      </c>
      <c r="L415">
        <v>23</v>
      </c>
      <c r="M415">
        <v>12</v>
      </c>
      <c r="N415">
        <v>22</v>
      </c>
      <c r="O415">
        <v>0</v>
      </c>
      <c r="P415">
        <v>0</v>
      </c>
      <c r="Q415">
        <v>0</v>
      </c>
      <c r="R415">
        <v>0</v>
      </c>
      <c r="S415">
        <v>0</v>
      </c>
      <c r="T415">
        <v>0</v>
      </c>
      <c r="U415">
        <v>0</v>
      </c>
      <c r="V415">
        <v>0</v>
      </c>
      <c r="W415">
        <v>0</v>
      </c>
      <c r="X415">
        <v>0</v>
      </c>
      <c r="Y415">
        <v>0</v>
      </c>
      <c r="Z415">
        <v>0</v>
      </c>
      <c r="AA415">
        <v>0</v>
      </c>
      <c r="AD415" t="s">
        <v>1386</v>
      </c>
      <c r="AE415" s="19">
        <v>1743</v>
      </c>
      <c r="AF415">
        <v>6270</v>
      </c>
      <c r="AG415">
        <v>1658</v>
      </c>
      <c r="AH415">
        <v>5768</v>
      </c>
    </row>
    <row r="416" spans="1:34" hidden="1">
      <c r="A416" s="39" t="s">
        <v>1610</v>
      </c>
      <c r="B416" s="39">
        <v>0</v>
      </c>
      <c r="C416" s="39">
        <v>0</v>
      </c>
      <c r="D416" s="39">
        <v>0</v>
      </c>
      <c r="E416" s="39">
        <v>0</v>
      </c>
      <c r="F416" s="39">
        <v>0</v>
      </c>
      <c r="G416" s="39">
        <v>0</v>
      </c>
      <c r="H416" s="39">
        <v>0</v>
      </c>
      <c r="I416" s="39">
        <v>0</v>
      </c>
      <c r="J416" s="39">
        <v>83</v>
      </c>
      <c r="K416">
        <v>80</v>
      </c>
      <c r="L416">
        <v>111</v>
      </c>
      <c r="M416">
        <v>53</v>
      </c>
      <c r="N416">
        <v>51</v>
      </c>
      <c r="O416">
        <v>0</v>
      </c>
      <c r="P416">
        <v>0</v>
      </c>
      <c r="Q416">
        <v>0</v>
      </c>
      <c r="R416">
        <v>0</v>
      </c>
      <c r="S416">
        <v>0</v>
      </c>
      <c r="T416">
        <v>0</v>
      </c>
      <c r="U416">
        <v>0</v>
      </c>
      <c r="V416">
        <v>0</v>
      </c>
      <c r="W416">
        <v>0</v>
      </c>
      <c r="X416">
        <v>0</v>
      </c>
      <c r="Y416">
        <v>0</v>
      </c>
      <c r="Z416">
        <v>0</v>
      </c>
      <c r="AA416">
        <v>0</v>
      </c>
      <c r="AD416" t="s">
        <v>1193</v>
      </c>
      <c r="AE416" s="19">
        <v>1235</v>
      </c>
      <c r="AF416">
        <v>3687</v>
      </c>
      <c r="AG416">
        <v>1056</v>
      </c>
      <c r="AH416">
        <v>3284</v>
      </c>
    </row>
    <row r="417" spans="1:34" hidden="1">
      <c r="A417" s="39" t="s">
        <v>1611</v>
      </c>
      <c r="B417" s="39">
        <v>0</v>
      </c>
      <c r="C417" s="39">
        <v>0</v>
      </c>
      <c r="D417" s="39">
        <v>0</v>
      </c>
      <c r="E417" s="39">
        <v>0</v>
      </c>
      <c r="F417" s="39">
        <v>0</v>
      </c>
      <c r="G417" s="39">
        <v>0</v>
      </c>
      <c r="H417" s="39">
        <v>0</v>
      </c>
      <c r="I417" s="39">
        <v>0</v>
      </c>
      <c r="J417" s="39">
        <v>226</v>
      </c>
      <c r="K417">
        <v>171</v>
      </c>
      <c r="L417">
        <v>164</v>
      </c>
      <c r="M417">
        <v>93</v>
      </c>
      <c r="N417">
        <v>79</v>
      </c>
      <c r="O417">
        <v>0</v>
      </c>
      <c r="P417">
        <v>0</v>
      </c>
      <c r="Q417">
        <v>0</v>
      </c>
      <c r="R417">
        <v>0</v>
      </c>
      <c r="S417">
        <v>0</v>
      </c>
      <c r="T417">
        <v>0</v>
      </c>
      <c r="U417">
        <v>0</v>
      </c>
      <c r="V417">
        <v>0</v>
      </c>
      <c r="W417">
        <v>0</v>
      </c>
      <c r="X417">
        <v>0</v>
      </c>
      <c r="Y417">
        <v>0</v>
      </c>
      <c r="Z417">
        <v>0</v>
      </c>
      <c r="AA417">
        <v>0</v>
      </c>
      <c r="AD417" t="s">
        <v>1574</v>
      </c>
      <c r="AE417" s="19">
        <v>1</v>
      </c>
      <c r="AF417">
        <v>0</v>
      </c>
    </row>
    <row r="418" spans="1:34" hidden="1">
      <c r="A418" s="39" t="s">
        <v>1612</v>
      </c>
      <c r="B418" s="39">
        <v>0</v>
      </c>
      <c r="C418" s="39">
        <v>0</v>
      </c>
      <c r="D418" s="39">
        <v>0</v>
      </c>
      <c r="E418" s="39">
        <v>0</v>
      </c>
      <c r="F418" s="39">
        <v>0</v>
      </c>
      <c r="G418" s="39">
        <v>0</v>
      </c>
      <c r="H418" s="39">
        <v>0</v>
      </c>
      <c r="I418" s="39">
        <v>0</v>
      </c>
      <c r="J418" s="39">
        <v>196</v>
      </c>
      <c r="K418">
        <v>206</v>
      </c>
      <c r="L418">
        <v>200</v>
      </c>
      <c r="M418">
        <v>150</v>
      </c>
      <c r="N418">
        <v>93</v>
      </c>
      <c r="O418">
        <v>0</v>
      </c>
      <c r="P418">
        <v>0</v>
      </c>
      <c r="Q418">
        <v>0</v>
      </c>
      <c r="R418">
        <v>0</v>
      </c>
      <c r="S418">
        <v>0</v>
      </c>
      <c r="T418">
        <v>0</v>
      </c>
      <c r="U418">
        <v>0</v>
      </c>
      <c r="V418">
        <v>0</v>
      </c>
      <c r="W418">
        <v>0</v>
      </c>
      <c r="X418">
        <v>0</v>
      </c>
      <c r="Y418">
        <v>0</v>
      </c>
      <c r="Z418">
        <v>0</v>
      </c>
      <c r="AA418">
        <v>0</v>
      </c>
      <c r="AD418" t="s">
        <v>1371</v>
      </c>
      <c r="AE418" s="19">
        <v>1060</v>
      </c>
      <c r="AF418">
        <v>2714</v>
      </c>
      <c r="AG418">
        <v>1016</v>
      </c>
      <c r="AH418">
        <v>2615</v>
      </c>
    </row>
    <row r="419" spans="1:34" hidden="1">
      <c r="A419" s="39" t="s">
        <v>1613</v>
      </c>
      <c r="B419" s="39">
        <v>0</v>
      </c>
      <c r="C419" s="39">
        <v>0</v>
      </c>
      <c r="D419" s="39">
        <v>0</v>
      </c>
      <c r="E419" s="39">
        <v>0</v>
      </c>
      <c r="F419" s="39">
        <v>0</v>
      </c>
      <c r="G419" s="39">
        <v>0</v>
      </c>
      <c r="H419" s="39">
        <v>0</v>
      </c>
      <c r="I419" s="39">
        <v>0</v>
      </c>
      <c r="J419" s="39">
        <v>160</v>
      </c>
      <c r="K419">
        <v>212</v>
      </c>
      <c r="L419">
        <v>442</v>
      </c>
      <c r="M419">
        <v>140</v>
      </c>
      <c r="N419">
        <v>289</v>
      </c>
      <c r="O419">
        <v>0</v>
      </c>
      <c r="P419">
        <v>0</v>
      </c>
      <c r="Q419">
        <v>0</v>
      </c>
      <c r="R419">
        <v>0</v>
      </c>
      <c r="S419">
        <v>0</v>
      </c>
      <c r="T419">
        <v>0</v>
      </c>
      <c r="U419">
        <v>0</v>
      </c>
      <c r="V419">
        <v>0</v>
      </c>
      <c r="W419">
        <v>0</v>
      </c>
      <c r="X419">
        <v>0</v>
      </c>
      <c r="Y419">
        <v>0</v>
      </c>
      <c r="Z419">
        <v>0</v>
      </c>
      <c r="AA419">
        <v>0</v>
      </c>
      <c r="AD419" t="s">
        <v>1348</v>
      </c>
      <c r="AE419" s="19">
        <v>810</v>
      </c>
      <c r="AF419">
        <v>2057</v>
      </c>
      <c r="AG419">
        <v>781</v>
      </c>
      <c r="AH419">
        <v>2165</v>
      </c>
    </row>
    <row r="420" spans="1:34" hidden="1">
      <c r="A420" s="39" t="s">
        <v>1614</v>
      </c>
      <c r="B420" s="39">
        <v>0</v>
      </c>
      <c r="C420" s="39">
        <v>0</v>
      </c>
      <c r="D420" s="39">
        <v>0</v>
      </c>
      <c r="E420" s="39">
        <v>0</v>
      </c>
      <c r="F420" s="39">
        <v>0</v>
      </c>
      <c r="G420" s="39">
        <v>0</v>
      </c>
      <c r="H420" s="39">
        <v>0</v>
      </c>
      <c r="I420" s="39">
        <v>0</v>
      </c>
      <c r="J420" s="39">
        <v>56</v>
      </c>
      <c r="K420">
        <v>116</v>
      </c>
      <c r="L420">
        <v>143</v>
      </c>
      <c r="M420">
        <v>79</v>
      </c>
      <c r="N420">
        <v>74</v>
      </c>
      <c r="O420">
        <v>0</v>
      </c>
      <c r="P420">
        <v>0</v>
      </c>
      <c r="Q420">
        <v>0</v>
      </c>
      <c r="R420">
        <v>0</v>
      </c>
      <c r="S420">
        <v>0</v>
      </c>
      <c r="T420">
        <v>0</v>
      </c>
      <c r="U420">
        <v>0</v>
      </c>
      <c r="V420">
        <v>0</v>
      </c>
      <c r="W420">
        <v>0</v>
      </c>
      <c r="X420">
        <v>0</v>
      </c>
      <c r="Y420">
        <v>0</v>
      </c>
      <c r="Z420">
        <v>0</v>
      </c>
      <c r="AA420">
        <v>0</v>
      </c>
      <c r="AD420" t="s">
        <v>1368</v>
      </c>
      <c r="AE420" s="19">
        <v>1161</v>
      </c>
      <c r="AF420">
        <v>3943</v>
      </c>
      <c r="AG420">
        <v>1200</v>
      </c>
      <c r="AH420">
        <v>4438</v>
      </c>
    </row>
    <row r="421" spans="1:34" hidden="1">
      <c r="A421" s="39" t="s">
        <v>1615</v>
      </c>
      <c r="B421" s="39">
        <v>0</v>
      </c>
      <c r="C421" s="39">
        <v>0</v>
      </c>
      <c r="D421" s="39">
        <v>0</v>
      </c>
      <c r="E421" s="39">
        <v>0</v>
      </c>
      <c r="F421" s="39">
        <v>0</v>
      </c>
      <c r="G421" s="39">
        <v>0</v>
      </c>
      <c r="H421" s="39">
        <v>0</v>
      </c>
      <c r="I421" s="39">
        <v>0</v>
      </c>
      <c r="J421" s="39">
        <v>0</v>
      </c>
      <c r="K421">
        <v>126</v>
      </c>
      <c r="L421">
        <v>181</v>
      </c>
      <c r="M421">
        <v>145</v>
      </c>
      <c r="N421">
        <v>91</v>
      </c>
      <c r="O421">
        <v>0</v>
      </c>
      <c r="P421">
        <v>0</v>
      </c>
      <c r="Q421">
        <v>0</v>
      </c>
      <c r="R421">
        <v>0</v>
      </c>
      <c r="S421">
        <v>0</v>
      </c>
      <c r="T421">
        <v>0</v>
      </c>
      <c r="U421">
        <v>0</v>
      </c>
      <c r="V421">
        <v>0</v>
      </c>
      <c r="W421">
        <v>0</v>
      </c>
      <c r="X421">
        <v>0</v>
      </c>
      <c r="Y421">
        <v>0</v>
      </c>
      <c r="Z421">
        <v>0</v>
      </c>
      <c r="AA421">
        <v>0</v>
      </c>
      <c r="AD421" t="s">
        <v>1154</v>
      </c>
      <c r="AE421" s="19">
        <v>1609</v>
      </c>
      <c r="AF421">
        <v>2968</v>
      </c>
      <c r="AG421">
        <v>1599</v>
      </c>
      <c r="AH421">
        <v>2916</v>
      </c>
    </row>
    <row r="422" spans="1:34" hidden="1">
      <c r="A422" s="39" t="s">
        <v>1616</v>
      </c>
      <c r="B422" s="39">
        <v>0</v>
      </c>
      <c r="C422" s="39">
        <v>0</v>
      </c>
      <c r="D422" s="39">
        <v>0</v>
      </c>
      <c r="E422" s="39">
        <v>0</v>
      </c>
      <c r="F422" s="39">
        <v>0</v>
      </c>
      <c r="G422" s="39">
        <v>0</v>
      </c>
      <c r="H422" s="39">
        <v>0</v>
      </c>
      <c r="I422" s="39">
        <v>0</v>
      </c>
      <c r="J422" s="39">
        <v>0</v>
      </c>
      <c r="K422">
        <v>890</v>
      </c>
      <c r="L422">
        <v>860</v>
      </c>
      <c r="M422">
        <v>532</v>
      </c>
      <c r="N422">
        <v>667</v>
      </c>
      <c r="O422">
        <v>0</v>
      </c>
      <c r="P422">
        <v>0</v>
      </c>
      <c r="Q422">
        <v>0</v>
      </c>
      <c r="R422">
        <v>0</v>
      </c>
      <c r="S422">
        <v>0</v>
      </c>
      <c r="T422">
        <v>0</v>
      </c>
      <c r="U422">
        <v>0</v>
      </c>
      <c r="V422">
        <v>0</v>
      </c>
      <c r="W422">
        <v>0</v>
      </c>
      <c r="X422">
        <v>0</v>
      </c>
      <c r="Y422">
        <v>0</v>
      </c>
      <c r="Z422">
        <v>0</v>
      </c>
      <c r="AA422">
        <v>0</v>
      </c>
      <c r="AD422" t="s">
        <v>1390</v>
      </c>
      <c r="AE422" s="19">
        <v>1107</v>
      </c>
      <c r="AF422">
        <v>3665</v>
      </c>
      <c r="AG422">
        <v>969</v>
      </c>
      <c r="AH422">
        <v>3460</v>
      </c>
    </row>
    <row r="423" spans="1:34" hidden="1">
      <c r="A423" s="39" t="s">
        <v>1617</v>
      </c>
      <c r="B423" s="39">
        <v>0</v>
      </c>
      <c r="C423" s="39">
        <v>0</v>
      </c>
      <c r="D423" s="39">
        <v>0</v>
      </c>
      <c r="E423" s="39">
        <v>0</v>
      </c>
      <c r="F423" s="39">
        <v>0</v>
      </c>
      <c r="G423" s="39">
        <v>0</v>
      </c>
      <c r="H423" s="39">
        <v>0</v>
      </c>
      <c r="I423" s="39">
        <v>0</v>
      </c>
      <c r="J423" s="39">
        <v>0</v>
      </c>
      <c r="K423">
        <v>260</v>
      </c>
      <c r="L423">
        <v>409</v>
      </c>
      <c r="M423">
        <v>186</v>
      </c>
      <c r="N423">
        <v>459</v>
      </c>
      <c r="O423">
        <v>0</v>
      </c>
      <c r="P423">
        <v>0</v>
      </c>
      <c r="Q423">
        <v>0</v>
      </c>
      <c r="R423">
        <v>0</v>
      </c>
      <c r="S423">
        <v>0</v>
      </c>
      <c r="T423">
        <v>0</v>
      </c>
      <c r="U423">
        <v>0</v>
      </c>
      <c r="V423">
        <v>0</v>
      </c>
      <c r="W423">
        <v>0</v>
      </c>
      <c r="X423">
        <v>0</v>
      </c>
      <c r="Y423">
        <v>0</v>
      </c>
      <c r="Z423">
        <v>0</v>
      </c>
      <c r="AA423">
        <v>0</v>
      </c>
      <c r="AD423" t="s">
        <v>1263</v>
      </c>
      <c r="AE423" s="19">
        <v>550</v>
      </c>
      <c r="AF423">
        <v>1773</v>
      </c>
      <c r="AG423">
        <v>494</v>
      </c>
      <c r="AH423">
        <v>1693</v>
      </c>
    </row>
    <row r="424" spans="1:34" hidden="1">
      <c r="B424" s="39"/>
      <c r="C424" s="39"/>
      <c r="D424" s="39"/>
      <c r="E424" s="39"/>
      <c r="F424" s="39"/>
      <c r="G424" s="39"/>
      <c r="H424" s="39"/>
      <c r="I424" s="39"/>
      <c r="AD424" t="s">
        <v>1346</v>
      </c>
      <c r="AE424" s="19">
        <v>925</v>
      </c>
      <c r="AF424">
        <v>8876</v>
      </c>
      <c r="AG424">
        <v>891</v>
      </c>
      <c r="AH424">
        <v>8887</v>
      </c>
    </row>
    <row r="425" spans="1:34"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c r="AD425" t="s">
        <v>1375</v>
      </c>
      <c r="AE425" s="19">
        <v>1375</v>
      </c>
      <c r="AF425">
        <v>3541</v>
      </c>
      <c r="AG425">
        <v>1348</v>
      </c>
      <c r="AH425">
        <v>3357</v>
      </c>
    </row>
    <row r="426" spans="1:34" hidden="1">
      <c r="B426" s="39"/>
      <c r="C426" s="39"/>
      <c r="D426" s="39"/>
      <c r="E426" s="39"/>
      <c r="F426" s="39"/>
      <c r="G426" s="39"/>
      <c r="H426" s="39"/>
      <c r="I426" s="39"/>
      <c r="AD426" t="s">
        <v>1245</v>
      </c>
      <c r="AE426" s="19">
        <v>770</v>
      </c>
      <c r="AF426">
        <v>2206</v>
      </c>
      <c r="AG426">
        <v>708</v>
      </c>
      <c r="AH426">
        <v>2045</v>
      </c>
    </row>
    <row r="427" spans="1:34" hidden="1">
      <c r="B427" s="39"/>
      <c r="C427" s="39"/>
      <c r="D427" s="39"/>
      <c r="E427" s="39"/>
      <c r="F427" s="39"/>
      <c r="G427" s="39"/>
      <c r="H427" s="39"/>
      <c r="I427" s="39"/>
      <c r="AD427" t="s">
        <v>1302</v>
      </c>
      <c r="AE427" s="19">
        <v>1104</v>
      </c>
      <c r="AF427">
        <v>3593</v>
      </c>
      <c r="AG427">
        <v>1145</v>
      </c>
      <c r="AH427">
        <v>3700</v>
      </c>
    </row>
    <row r="428" spans="1:34" hidden="1">
      <c r="B428" s="39"/>
      <c r="C428" s="39"/>
      <c r="D428" s="39"/>
      <c r="E428" s="39"/>
      <c r="F428" s="39"/>
      <c r="G428" s="39"/>
      <c r="H428" s="39"/>
      <c r="J428" s="39"/>
      <c r="AD428" t="s">
        <v>1181</v>
      </c>
      <c r="AE428" s="19">
        <v>1299</v>
      </c>
      <c r="AF428">
        <v>2917</v>
      </c>
      <c r="AG428">
        <v>1294</v>
      </c>
      <c r="AH428">
        <v>2694</v>
      </c>
    </row>
    <row r="429" spans="1:34" ht="18.75" hidden="1" customHeight="1">
      <c r="B429" s="39"/>
      <c r="C429" s="39"/>
      <c r="D429" s="39"/>
      <c r="E429" s="39"/>
      <c r="F429" s="39"/>
      <c r="G429" s="39"/>
      <c r="H429" s="39"/>
      <c r="I429" s="39"/>
      <c r="AD429" t="s">
        <v>1336</v>
      </c>
      <c r="AE429" s="19">
        <v>930</v>
      </c>
      <c r="AF429">
        <v>3702</v>
      </c>
      <c r="AG429">
        <v>856</v>
      </c>
      <c r="AH429">
        <v>3015</v>
      </c>
    </row>
    <row r="430" spans="1:34">
      <c r="B430" s="39"/>
      <c r="C430" s="39"/>
      <c r="D430" s="39"/>
      <c r="E430" s="39"/>
      <c r="F430" s="39"/>
      <c r="G430" s="39"/>
      <c r="H430" s="39"/>
      <c r="I430" s="39"/>
      <c r="AD430" t="s">
        <v>1287</v>
      </c>
      <c r="AE430" s="19">
        <v>531</v>
      </c>
      <c r="AF430">
        <v>1889</v>
      </c>
      <c r="AG430">
        <v>382</v>
      </c>
      <c r="AH430">
        <v>1239</v>
      </c>
    </row>
    <row r="431" spans="1:34" ht="12.75" customHeight="1">
      <c r="AD431" s="37" t="s">
        <v>1197</v>
      </c>
      <c r="AE431" s="126">
        <v>1122</v>
      </c>
      <c r="AF431">
        <v>4381</v>
      </c>
      <c r="AG431">
        <v>741</v>
      </c>
      <c r="AH431">
        <v>3467</v>
      </c>
    </row>
    <row r="432" spans="1:34">
      <c r="A432" s="40" t="s">
        <v>1618</v>
      </c>
      <c r="B432" s="41" t="s">
        <v>1619</v>
      </c>
      <c r="C432" s="42" t="s">
        <v>1620</v>
      </c>
      <c r="D432" s="40" t="s">
        <v>1621</v>
      </c>
      <c r="E432" s="41" t="s">
        <v>1622</v>
      </c>
      <c r="F432" s="42" t="s">
        <v>1623</v>
      </c>
      <c r="G432" s="43" t="s">
        <v>1624</v>
      </c>
      <c r="H432" s="44" t="s">
        <v>1625</v>
      </c>
      <c r="I432" s="45" t="s">
        <v>1626</v>
      </c>
      <c r="J432" s="42" t="s">
        <v>1627</v>
      </c>
      <c r="K432" s="52" t="s">
        <v>11</v>
      </c>
      <c r="L432" s="45" t="s">
        <v>1628</v>
      </c>
      <c r="M432" s="52" t="s">
        <v>1629</v>
      </c>
      <c r="N432" s="42" t="s">
        <v>1630</v>
      </c>
      <c r="O432" s="132" t="s">
        <v>1631</v>
      </c>
      <c r="P432" s="42" t="s">
        <v>1632</v>
      </c>
      <c r="Q432" s="45" t="s">
        <v>1633</v>
      </c>
      <c r="R432" s="132" t="s">
        <v>1634</v>
      </c>
      <c r="S432" s="42" t="s">
        <v>1635</v>
      </c>
      <c r="T432" s="45" t="s">
        <v>1636</v>
      </c>
      <c r="U432" s="132" t="s">
        <v>1637</v>
      </c>
      <c r="V432" s="52" t="s">
        <v>1638</v>
      </c>
      <c r="W432" s="45" t="s">
        <v>804</v>
      </c>
      <c r="AD432" s="27" t="s">
        <v>1320</v>
      </c>
      <c r="AE432" s="19">
        <v>325</v>
      </c>
      <c r="AF432">
        <v>3278</v>
      </c>
      <c r="AG432">
        <v>355</v>
      </c>
      <c r="AH432">
        <v>2834</v>
      </c>
    </row>
    <row r="433" spans="1:34">
      <c r="A433" s="46">
        <f t="shared" ref="A433:L433" si="1">O425/B425</f>
        <v>0.23766867074810491</v>
      </c>
      <c r="B433" s="47">
        <f t="shared" si="1"/>
        <v>0.23512254466103483</v>
      </c>
      <c r="C433" s="48">
        <f t="shared" si="1"/>
        <v>0.22321587377192004</v>
      </c>
      <c r="D433" s="46">
        <f t="shared" si="1"/>
        <v>0.22286411108917126</v>
      </c>
      <c r="E433" s="47">
        <f t="shared" si="1"/>
        <v>0.23518985959503899</v>
      </c>
      <c r="F433" s="48">
        <f t="shared" si="1"/>
        <v>0.2284846065729291</v>
      </c>
      <c r="G433" s="49">
        <f t="shared" si="1"/>
        <v>0.25431799544130079</v>
      </c>
      <c r="H433" s="50">
        <f t="shared" si="1"/>
        <v>0.25263021906879796</v>
      </c>
      <c r="I433" s="51">
        <f t="shared" si="1"/>
        <v>0.27559785699320583</v>
      </c>
      <c r="J433" s="48">
        <f t="shared" si="1"/>
        <v>0.28248952000158589</v>
      </c>
      <c r="K433" s="53">
        <f t="shared" si="1"/>
        <v>0.28460757844528012</v>
      </c>
      <c r="L433" s="51">
        <f t="shared" si="1"/>
        <v>0.26761354721576774</v>
      </c>
      <c r="M433" s="53">
        <f>AA425/N425</f>
        <v>0.25655326446267845</v>
      </c>
      <c r="N433" s="48">
        <f>AE488/AF488</f>
        <v>0.26586442556975021</v>
      </c>
      <c r="O433" s="133">
        <f>AG488/AH488</f>
        <v>0.2691583864802044</v>
      </c>
      <c r="P433" s="48">
        <f>AI488/AJ488</f>
        <v>0.2696972893725334</v>
      </c>
      <c r="Q433" s="51">
        <f>AL488/AK488</f>
        <v>0.26180803845821882</v>
      </c>
      <c r="R433" s="133">
        <v>0.27239999999999998</v>
      </c>
      <c r="S433" s="48">
        <v>0.28406653769105228</v>
      </c>
      <c r="T433" s="51">
        <v>0.26958061467591166</v>
      </c>
      <c r="U433" s="133">
        <v>0.2873</v>
      </c>
      <c r="V433" s="53">
        <v>0.30430000000000001</v>
      </c>
      <c r="W433" s="51">
        <v>0.30509589003028526</v>
      </c>
      <c r="AD433" s="27" t="s">
        <v>1356</v>
      </c>
      <c r="AE433" s="19">
        <v>1173</v>
      </c>
      <c r="AF433">
        <v>13082</v>
      </c>
      <c r="AG433">
        <v>1294</v>
      </c>
      <c r="AH433">
        <v>13075</v>
      </c>
    </row>
    <row r="434" spans="1:34">
      <c r="A434" s="46"/>
      <c r="B434" s="47"/>
      <c r="C434" s="48"/>
      <c r="D434" s="46"/>
      <c r="E434" s="47"/>
      <c r="F434" s="48"/>
      <c r="G434" s="49"/>
      <c r="H434" s="50"/>
      <c r="I434" s="51"/>
      <c r="J434" s="48"/>
      <c r="K434" s="53"/>
      <c r="L434" s="51"/>
      <c r="M434" s="53"/>
      <c r="N434" s="48"/>
      <c r="O434" s="132"/>
      <c r="P434" s="48"/>
      <c r="Q434" s="51"/>
      <c r="R434" s="132"/>
      <c r="S434" s="48"/>
      <c r="T434" s="51"/>
      <c r="U434" s="132"/>
      <c r="V434" s="53"/>
      <c r="W434" s="51"/>
      <c r="AD434" t="s">
        <v>1639</v>
      </c>
      <c r="AE434" s="19">
        <v>0</v>
      </c>
    </row>
    <row r="435" spans="1:34">
      <c r="AE435" s="19">
        <v>0</v>
      </c>
    </row>
    <row r="436" spans="1:34">
      <c r="AE436" s="19">
        <v>0</v>
      </c>
    </row>
    <row r="437" spans="1:34">
      <c r="AD437" t="s">
        <v>1233</v>
      </c>
      <c r="AE437" s="19">
        <v>1253</v>
      </c>
      <c r="AF437">
        <v>3107</v>
      </c>
      <c r="AG437">
        <v>1273</v>
      </c>
      <c r="AH437">
        <v>3054</v>
      </c>
    </row>
    <row r="438" spans="1:34">
      <c r="AE438" s="19"/>
    </row>
    <row r="439" spans="1:34">
      <c r="AD439" t="s">
        <v>1265</v>
      </c>
      <c r="AE439" s="19">
        <v>566</v>
      </c>
      <c r="AF439">
        <v>2475</v>
      </c>
      <c r="AG439">
        <v>531</v>
      </c>
      <c r="AH439">
        <v>2223</v>
      </c>
    </row>
    <row r="440" spans="1:34">
      <c r="AD440" t="s">
        <v>1166</v>
      </c>
      <c r="AE440" s="19">
        <v>601</v>
      </c>
      <c r="AF440">
        <v>2371</v>
      </c>
      <c r="AG440">
        <v>444</v>
      </c>
      <c r="AH440">
        <v>1884</v>
      </c>
    </row>
    <row r="441" spans="1:34">
      <c r="AD441" t="s">
        <v>1248</v>
      </c>
      <c r="AE441" s="19">
        <v>375</v>
      </c>
      <c r="AF441">
        <v>2654</v>
      </c>
      <c r="AG441">
        <v>317</v>
      </c>
      <c r="AH441">
        <v>2644</v>
      </c>
    </row>
    <row r="442" spans="1:34">
      <c r="AD442" t="s">
        <v>1261</v>
      </c>
      <c r="AE442" s="19">
        <v>17</v>
      </c>
      <c r="AF442">
        <v>75</v>
      </c>
      <c r="AG442">
        <v>31</v>
      </c>
      <c r="AH442">
        <v>81</v>
      </c>
    </row>
    <row r="443" spans="1:34">
      <c r="AD443" t="s">
        <v>1215</v>
      </c>
      <c r="AE443" s="19">
        <v>0</v>
      </c>
      <c r="AF443">
        <v>656</v>
      </c>
      <c r="AG443">
        <v>162</v>
      </c>
      <c r="AH443">
        <v>702</v>
      </c>
    </row>
    <row r="444" spans="1:34">
      <c r="AD444" t="s">
        <v>1179</v>
      </c>
      <c r="AE444" s="19">
        <v>966</v>
      </c>
      <c r="AF444">
        <v>1681</v>
      </c>
      <c r="AG444">
        <v>903</v>
      </c>
      <c r="AH444">
        <v>1681</v>
      </c>
    </row>
    <row r="445" spans="1:34">
      <c r="AD445" t="s">
        <v>1267</v>
      </c>
      <c r="AE445" s="19">
        <v>22</v>
      </c>
      <c r="AF445">
        <v>170</v>
      </c>
      <c r="AG445">
        <v>8</v>
      </c>
      <c r="AH445">
        <v>146</v>
      </c>
    </row>
    <row r="446" spans="1:34">
      <c r="AD446" t="s">
        <v>1314</v>
      </c>
      <c r="AE446" s="19">
        <v>1292</v>
      </c>
      <c r="AF446">
        <v>3882</v>
      </c>
      <c r="AG446">
        <v>1188</v>
      </c>
      <c r="AH446">
        <v>3764</v>
      </c>
    </row>
    <row r="447" spans="1:34">
      <c r="AD447" t="s">
        <v>1322</v>
      </c>
      <c r="AE447" s="19">
        <v>840</v>
      </c>
      <c r="AF447">
        <v>4795</v>
      </c>
      <c r="AG447">
        <v>954</v>
      </c>
      <c r="AH447">
        <v>4619</v>
      </c>
    </row>
    <row r="448" spans="1:34">
      <c r="AD448" t="s">
        <v>1259</v>
      </c>
      <c r="AE448" s="19">
        <v>142</v>
      </c>
      <c r="AF448">
        <v>864</v>
      </c>
      <c r="AG448">
        <v>168</v>
      </c>
      <c r="AH448">
        <v>824</v>
      </c>
    </row>
    <row r="449" spans="30:34">
      <c r="AD449" s="37" t="s">
        <v>1250</v>
      </c>
      <c r="AE449" s="126">
        <v>131</v>
      </c>
      <c r="AF449">
        <v>712</v>
      </c>
      <c r="AG449">
        <v>112</v>
      </c>
      <c r="AH449">
        <v>685</v>
      </c>
    </row>
    <row r="450" spans="30:34">
      <c r="AD450" t="s">
        <v>1206</v>
      </c>
      <c r="AE450" s="19">
        <v>0</v>
      </c>
      <c r="AF450">
        <v>97</v>
      </c>
      <c r="AG450">
        <v>2</v>
      </c>
      <c r="AH450">
        <v>1506</v>
      </c>
    </row>
    <row r="451" spans="30:34">
      <c r="AD451" t="s">
        <v>1201</v>
      </c>
      <c r="AE451" s="19">
        <v>683</v>
      </c>
      <c r="AF451">
        <v>1859</v>
      </c>
      <c r="AG451">
        <v>789</v>
      </c>
      <c r="AH451">
        <v>2046</v>
      </c>
    </row>
    <row r="452" spans="30:34">
      <c r="AD452" t="s">
        <v>1223</v>
      </c>
      <c r="AE452" s="19">
        <v>276</v>
      </c>
      <c r="AF452">
        <v>1244</v>
      </c>
      <c r="AG452">
        <v>293</v>
      </c>
      <c r="AH452">
        <v>1147</v>
      </c>
    </row>
    <row r="453" spans="30:34">
      <c r="AD453" t="s">
        <v>1231</v>
      </c>
      <c r="AE453" s="19">
        <v>295</v>
      </c>
      <c r="AF453">
        <v>1136</v>
      </c>
      <c r="AG453">
        <v>343</v>
      </c>
      <c r="AH453">
        <v>1641</v>
      </c>
    </row>
    <row r="454" spans="30:34">
      <c r="AD454" t="s">
        <v>1559</v>
      </c>
      <c r="AE454" s="19">
        <v>279</v>
      </c>
      <c r="AF454">
        <v>441</v>
      </c>
      <c r="AG454">
        <v>203</v>
      </c>
      <c r="AH454">
        <v>400</v>
      </c>
    </row>
    <row r="455" spans="30:34">
      <c r="AD455" t="s">
        <v>1280</v>
      </c>
      <c r="AE455" s="19">
        <v>1946</v>
      </c>
      <c r="AF455">
        <v>7171</v>
      </c>
      <c r="AG455">
        <v>1777</v>
      </c>
      <c r="AH455">
        <v>5772</v>
      </c>
    </row>
    <row r="456" spans="30:34">
      <c r="AD456" t="s">
        <v>1381</v>
      </c>
      <c r="AE456" s="19">
        <v>1462</v>
      </c>
      <c r="AF456">
        <v>5018</v>
      </c>
      <c r="AG456">
        <v>1152</v>
      </c>
      <c r="AH456">
        <v>4407</v>
      </c>
    </row>
    <row r="457" spans="30:34">
      <c r="AD457" t="s">
        <v>1362</v>
      </c>
      <c r="AE457" s="19">
        <v>2083</v>
      </c>
      <c r="AF457">
        <v>5548</v>
      </c>
      <c r="AG457">
        <v>2042</v>
      </c>
      <c r="AH457">
        <v>5663</v>
      </c>
    </row>
    <row r="458" spans="30:34">
      <c r="AD458" s="27" t="s">
        <v>1272</v>
      </c>
      <c r="AE458" s="19">
        <v>336</v>
      </c>
      <c r="AF458">
        <v>1519</v>
      </c>
      <c r="AG458">
        <v>352</v>
      </c>
      <c r="AH458">
        <v>1583</v>
      </c>
    </row>
    <row r="459" spans="30:34">
      <c r="AD459" t="s">
        <v>1350</v>
      </c>
      <c r="AE459" s="19">
        <v>1332</v>
      </c>
      <c r="AF459">
        <v>3144</v>
      </c>
      <c r="AG459">
        <v>1166</v>
      </c>
      <c r="AH459">
        <v>2653</v>
      </c>
    </row>
    <row r="460" spans="30:34">
      <c r="AD460" t="s">
        <v>1229</v>
      </c>
      <c r="AE460" s="19">
        <v>796</v>
      </c>
      <c r="AF460">
        <v>2372</v>
      </c>
      <c r="AG460">
        <v>656</v>
      </c>
      <c r="AH460">
        <v>2225</v>
      </c>
    </row>
    <row r="461" spans="30:34">
      <c r="AD461" t="s">
        <v>1412</v>
      </c>
      <c r="AE461" s="19">
        <v>3891</v>
      </c>
      <c r="AF461">
        <v>11080</v>
      </c>
      <c r="AG461">
        <v>3754</v>
      </c>
      <c r="AH461">
        <v>10592</v>
      </c>
    </row>
    <row r="462" spans="30:34">
      <c r="AD462" t="s">
        <v>1274</v>
      </c>
      <c r="AE462" s="19">
        <v>1452</v>
      </c>
      <c r="AF462">
        <v>4180</v>
      </c>
      <c r="AG462">
        <v>1291</v>
      </c>
      <c r="AH462">
        <v>3452</v>
      </c>
    </row>
    <row r="463" spans="30:34">
      <c r="AD463" t="s">
        <v>1318</v>
      </c>
      <c r="AE463" s="19">
        <v>1547</v>
      </c>
      <c r="AF463">
        <v>8203</v>
      </c>
      <c r="AG463">
        <v>1368</v>
      </c>
      <c r="AH463">
        <v>9377</v>
      </c>
    </row>
    <row r="464" spans="30:34">
      <c r="AD464" t="s">
        <v>1306</v>
      </c>
      <c r="AE464" s="19">
        <v>303</v>
      </c>
      <c r="AF464">
        <v>2468</v>
      </c>
      <c r="AG464">
        <v>327</v>
      </c>
      <c r="AH464">
        <v>2674</v>
      </c>
    </row>
    <row r="465" spans="30:34">
      <c r="AD465" t="s">
        <v>1160</v>
      </c>
      <c r="AE465" s="19">
        <v>1797</v>
      </c>
      <c r="AF465">
        <v>3968</v>
      </c>
      <c r="AG465">
        <v>1837</v>
      </c>
      <c r="AH465">
        <v>3753</v>
      </c>
    </row>
    <row r="466" spans="30:34">
      <c r="AD466" t="s">
        <v>1257</v>
      </c>
      <c r="AE466" s="19">
        <v>313</v>
      </c>
      <c r="AF466">
        <v>1233</v>
      </c>
      <c r="AG466">
        <v>123</v>
      </c>
      <c r="AH466">
        <v>505</v>
      </c>
    </row>
    <row r="467" spans="30:34">
      <c r="AD467" t="s">
        <v>1221</v>
      </c>
      <c r="AE467" s="19">
        <v>742</v>
      </c>
      <c r="AF467">
        <v>2328</v>
      </c>
      <c r="AG467">
        <v>760</v>
      </c>
      <c r="AH467">
        <v>2605</v>
      </c>
    </row>
    <row r="468" spans="30:34">
      <c r="AD468" t="s">
        <v>1291</v>
      </c>
      <c r="AE468" s="19">
        <v>356</v>
      </c>
      <c r="AF468">
        <v>678</v>
      </c>
      <c r="AG468">
        <v>312</v>
      </c>
      <c r="AH468">
        <v>640</v>
      </c>
    </row>
    <row r="469" spans="30:34">
      <c r="AD469" t="s">
        <v>1293</v>
      </c>
      <c r="AE469" s="19">
        <v>1874</v>
      </c>
      <c r="AF469">
        <v>7170</v>
      </c>
      <c r="AG469">
        <v>1651</v>
      </c>
      <c r="AH469">
        <v>6647</v>
      </c>
    </row>
    <row r="470" spans="30:34">
      <c r="AD470" t="s">
        <v>1252</v>
      </c>
      <c r="AE470" s="19">
        <v>434</v>
      </c>
      <c r="AF470">
        <v>1699</v>
      </c>
      <c r="AG470">
        <v>16</v>
      </c>
      <c r="AH470">
        <v>15</v>
      </c>
    </row>
    <row r="471" spans="30:34">
      <c r="AD471" t="s">
        <v>1175</v>
      </c>
      <c r="AE471" s="19">
        <v>922</v>
      </c>
      <c r="AF471">
        <v>2223</v>
      </c>
      <c r="AG471">
        <v>818</v>
      </c>
      <c r="AH471">
        <v>2568</v>
      </c>
    </row>
    <row r="472" spans="30:34">
      <c r="AD472" t="s">
        <v>1379</v>
      </c>
      <c r="AE472" s="19">
        <v>1303</v>
      </c>
      <c r="AF472">
        <v>8739</v>
      </c>
      <c r="AG472">
        <v>1458</v>
      </c>
      <c r="AH472">
        <v>8971</v>
      </c>
    </row>
    <row r="473" spans="30:34">
      <c r="AD473" t="s">
        <v>1328</v>
      </c>
      <c r="AE473" s="19">
        <v>1967</v>
      </c>
      <c r="AF473">
        <v>6950</v>
      </c>
      <c r="AG473">
        <v>2394</v>
      </c>
      <c r="AH473">
        <v>8538</v>
      </c>
    </row>
    <row r="474" spans="30:34">
      <c r="AD474" t="s">
        <v>1191</v>
      </c>
      <c r="AE474" s="19">
        <v>2648</v>
      </c>
      <c r="AF474">
        <v>5829</v>
      </c>
      <c r="AG474">
        <v>2540</v>
      </c>
      <c r="AH474">
        <v>5875</v>
      </c>
    </row>
    <row r="475" spans="30:34">
      <c r="AD475" t="s">
        <v>1243</v>
      </c>
      <c r="AE475" s="19">
        <v>1099</v>
      </c>
      <c r="AF475">
        <v>3946</v>
      </c>
      <c r="AG475">
        <v>805</v>
      </c>
      <c r="AH475">
        <v>3422</v>
      </c>
    </row>
    <row r="476" spans="30:34">
      <c r="AD476" t="s">
        <v>1383</v>
      </c>
      <c r="AE476" s="19">
        <v>3298</v>
      </c>
      <c r="AF476">
        <v>9439</v>
      </c>
      <c r="AG476">
        <v>3094</v>
      </c>
      <c r="AH476">
        <v>8484</v>
      </c>
    </row>
    <row r="477" spans="30:34">
      <c r="AD477" t="s">
        <v>1282</v>
      </c>
      <c r="AE477" s="19">
        <v>355</v>
      </c>
      <c r="AF477">
        <v>1594</v>
      </c>
      <c r="AG477">
        <v>332</v>
      </c>
      <c r="AH477">
        <v>1652</v>
      </c>
    </row>
    <row r="478" spans="30:34">
      <c r="AD478" t="s">
        <v>1405</v>
      </c>
      <c r="AE478" s="19">
        <v>4192</v>
      </c>
      <c r="AF478">
        <v>14541</v>
      </c>
      <c r="AG478">
        <v>4135</v>
      </c>
      <c r="AH478">
        <v>13649</v>
      </c>
    </row>
    <row r="479" spans="30:34">
      <c r="AD479" t="s">
        <v>1409</v>
      </c>
      <c r="AE479" s="19">
        <v>5893</v>
      </c>
      <c r="AF479">
        <v>16635</v>
      </c>
      <c r="AG479">
        <v>6172</v>
      </c>
      <c r="AH479">
        <v>17200</v>
      </c>
    </row>
    <row r="480" spans="30:34">
      <c r="AD480" t="s">
        <v>1237</v>
      </c>
      <c r="AE480" s="19">
        <v>1168</v>
      </c>
      <c r="AF480">
        <v>6111</v>
      </c>
      <c r="AG480">
        <v>1334</v>
      </c>
      <c r="AH480">
        <v>6479</v>
      </c>
    </row>
    <row r="481" spans="30:38">
      <c r="AD481" t="s">
        <v>1377</v>
      </c>
      <c r="AE481" s="19">
        <v>660</v>
      </c>
      <c r="AF481">
        <v>2399</v>
      </c>
      <c r="AG481">
        <v>577</v>
      </c>
      <c r="AH481">
        <v>2079</v>
      </c>
    </row>
    <row r="482" spans="30:38">
      <c r="AD482" t="s">
        <v>1227</v>
      </c>
      <c r="AE482" s="19">
        <v>1341</v>
      </c>
      <c r="AF482">
        <v>4218</v>
      </c>
      <c r="AG482">
        <v>1501</v>
      </c>
      <c r="AH482">
        <v>4158</v>
      </c>
    </row>
    <row r="483" spans="30:38">
      <c r="AD483" t="s">
        <v>1289</v>
      </c>
      <c r="AE483" s="19">
        <v>3129</v>
      </c>
      <c r="AF483">
        <v>9988</v>
      </c>
      <c r="AG483">
        <v>3119</v>
      </c>
      <c r="AH483">
        <v>10232</v>
      </c>
    </row>
    <row r="484" spans="30:38">
      <c r="AD484" t="s">
        <v>1399</v>
      </c>
      <c r="AE484" s="19">
        <v>3780</v>
      </c>
      <c r="AF484">
        <v>9966</v>
      </c>
      <c r="AG484">
        <v>4347</v>
      </c>
      <c r="AH484">
        <v>11844</v>
      </c>
    </row>
    <row r="485" spans="30:38">
      <c r="AD485" t="s">
        <v>1148</v>
      </c>
      <c r="AE485" s="19">
        <v>4424</v>
      </c>
      <c r="AF485">
        <v>19236</v>
      </c>
      <c r="AG485">
        <v>3796</v>
      </c>
      <c r="AH485">
        <v>15646</v>
      </c>
    </row>
    <row r="486" spans="30:38">
      <c r="AD486" t="s">
        <v>1195</v>
      </c>
      <c r="AE486" s="19">
        <v>910</v>
      </c>
      <c r="AF486">
        <v>2546</v>
      </c>
      <c r="AG486">
        <v>640</v>
      </c>
      <c r="AH486">
        <v>1546</v>
      </c>
    </row>
    <row r="488" spans="30:38">
      <c r="AE488" s="25">
        <f>SUM(AE2:AE486)</f>
        <v>998117</v>
      </c>
      <c r="AF488" s="25">
        <f>SUM(AF2:AF486)</f>
        <v>3754233</v>
      </c>
      <c r="AG488" s="25">
        <f t="shared" ref="AG488:AH488" si="2">SUM(AG2:AG486)</f>
        <v>896741</v>
      </c>
      <c r="AH488" s="25">
        <f t="shared" si="2"/>
        <v>3331648</v>
      </c>
      <c r="AI488">
        <v>997052</v>
      </c>
      <c r="AJ488">
        <v>3696930</v>
      </c>
      <c r="AK488">
        <v>3823370</v>
      </c>
      <c r="AL488">
        <v>1000989</v>
      </c>
    </row>
  </sheetData>
  <autoFilter ref="AG1:AG488" xr:uid="{D1C2AC53-AB10-45FA-8884-38249F8AB2BF}"/>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R641"/>
  <sheetViews>
    <sheetView workbookViewId="0">
      <pane xSplit="3" topLeftCell="K219" activePane="topRight" state="frozen"/>
      <selection pane="topRight" activeCell="M255" sqref="M255"/>
    </sheetView>
  </sheetViews>
  <sheetFormatPr defaultRowHeight="15"/>
  <cols>
    <col min="1" max="1" width="21.140625" customWidth="1"/>
    <col min="2" max="2" width="97.85546875" customWidth="1"/>
    <col min="3" max="3" width="14" customWidth="1"/>
    <col min="4" max="4" width="21" customWidth="1"/>
    <col min="5" max="5" width="14.85546875" style="19" customWidth="1"/>
    <col min="6" max="6" width="20.7109375" style="131" customWidth="1"/>
    <col min="7" max="8" width="1.7109375" customWidth="1"/>
    <col min="9" max="9" width="19" style="121" customWidth="1"/>
    <col min="10" max="10" width="9.7109375" customWidth="1"/>
    <col min="11" max="11" width="10.85546875" customWidth="1"/>
    <col min="12" max="13" width="13.85546875" customWidth="1"/>
    <col min="14" max="14" width="13.85546875" style="122" customWidth="1"/>
    <col min="16" max="18" width="0" hidden="1" customWidth="1"/>
  </cols>
  <sheetData>
    <row r="1" spans="1:18" s="2" customFormat="1" ht="10.5" customHeight="1">
      <c r="A1" s="21" t="s">
        <v>1462</v>
      </c>
      <c r="B1" s="21" t="s">
        <v>1640</v>
      </c>
      <c r="C1" s="21" t="s">
        <v>1461</v>
      </c>
      <c r="D1" s="21" t="s">
        <v>1641</v>
      </c>
      <c r="E1" s="22" t="s">
        <v>1642</v>
      </c>
      <c r="F1" s="135" t="s">
        <v>1643</v>
      </c>
      <c r="G1" s="21"/>
      <c r="H1" s="21"/>
      <c r="I1" s="120" t="s">
        <v>1644</v>
      </c>
      <c r="J1" s="21" t="s">
        <v>1645</v>
      </c>
      <c r="K1" s="21"/>
      <c r="L1" s="21" t="s">
        <v>1646</v>
      </c>
      <c r="M1" s="21" t="s">
        <v>1647</v>
      </c>
      <c r="N1" s="123" t="s">
        <v>1648</v>
      </c>
      <c r="P1" s="2" t="s">
        <v>30</v>
      </c>
      <c r="Q1" s="2">
        <v>67399</v>
      </c>
      <c r="R1" s="2">
        <v>74374.570000000007</v>
      </c>
    </row>
    <row r="2" spans="1:18" hidden="1">
      <c r="A2" t="s">
        <v>1649</v>
      </c>
      <c r="B2" s="54" t="s">
        <v>53</v>
      </c>
      <c r="C2" s="37" t="s">
        <v>54</v>
      </c>
      <c r="D2" s="28">
        <v>13831</v>
      </c>
      <c r="E2" s="19">
        <f>D2/30</f>
        <v>461.03333333333336</v>
      </c>
      <c r="F2" s="5">
        <v>17965.689999999999</v>
      </c>
      <c r="I2" s="19">
        <f>IF((D2/30)&gt;100,D2*2,D2*2)</f>
        <v>27662</v>
      </c>
      <c r="J2" t="b">
        <f>IF(F2&gt;1.2*I2,FALSE,TRUE)</f>
        <v>1</v>
      </c>
      <c r="K2" s="4">
        <f t="shared" ref="K2:K64" si="0">F2/I2-1</f>
        <v>-0.3505281613766178</v>
      </c>
      <c r="N2"/>
      <c r="P2" t="s">
        <v>507</v>
      </c>
      <c r="Q2">
        <v>4822</v>
      </c>
      <c r="R2">
        <v>9600.5</v>
      </c>
    </row>
    <row r="3" spans="1:18" hidden="1">
      <c r="A3" t="s">
        <v>1649</v>
      </c>
      <c r="B3" t="s">
        <v>1650</v>
      </c>
      <c r="C3" t="s">
        <v>795</v>
      </c>
      <c r="D3" s="28">
        <v>30502</v>
      </c>
      <c r="E3" s="19">
        <f t="shared" ref="E3:E66" si="1">D3/30</f>
        <v>1016.7333333333333</v>
      </c>
      <c r="F3" s="5">
        <v>49158.46</v>
      </c>
      <c r="I3" s="19">
        <f>IF((D3/30)&gt;100,D3*2,D3*2)</f>
        <v>61004</v>
      </c>
      <c r="J3" t="b">
        <f>IF(F3&gt;1.2*I3,FALSE,TRUE)</f>
        <v>1</v>
      </c>
      <c r="K3" s="4">
        <f t="shared" si="0"/>
        <v>-0.1941764474460691</v>
      </c>
      <c r="N3"/>
      <c r="P3" t="s">
        <v>475</v>
      </c>
      <c r="Q3">
        <v>10249</v>
      </c>
      <c r="R3">
        <v>16634</v>
      </c>
    </row>
    <row r="4" spans="1:18" hidden="1">
      <c r="A4" t="s">
        <v>1649</v>
      </c>
      <c r="B4" t="s">
        <v>20</v>
      </c>
      <c r="C4" t="s">
        <v>21</v>
      </c>
      <c r="D4" s="28">
        <v>17138</v>
      </c>
      <c r="E4" s="19">
        <f t="shared" si="1"/>
        <v>571.26666666666665</v>
      </c>
      <c r="F4" s="5">
        <v>18976.759999999998</v>
      </c>
      <c r="I4" s="19">
        <f t="shared" ref="I4:I66" si="2">IF((D4/30)&gt;100,D4*2,D4*2)</f>
        <v>34276</v>
      </c>
      <c r="J4" t="b">
        <f t="shared" ref="J4:J64" si="3">IF(F4&gt;1.2*I4,FALSE,TRUE)</f>
        <v>1</v>
      </c>
      <c r="K4" s="4">
        <f t="shared" si="0"/>
        <v>-0.44635430038510915</v>
      </c>
      <c r="N4"/>
      <c r="P4" t="s">
        <v>789</v>
      </c>
      <c r="Q4">
        <v>26241</v>
      </c>
      <c r="R4">
        <v>30072.34</v>
      </c>
    </row>
    <row r="5" spans="1:18" hidden="1">
      <c r="A5" t="s">
        <v>1651</v>
      </c>
      <c r="B5" t="s">
        <v>791</v>
      </c>
      <c r="C5" t="s">
        <v>792</v>
      </c>
      <c r="D5" s="28">
        <v>20656</v>
      </c>
      <c r="E5" s="19">
        <f t="shared" si="1"/>
        <v>688.5333333333333</v>
      </c>
      <c r="F5" s="5">
        <v>37188.15</v>
      </c>
      <c r="I5" s="19">
        <f t="shared" si="2"/>
        <v>41312</v>
      </c>
      <c r="J5" t="b">
        <f t="shared" si="3"/>
        <v>1</v>
      </c>
      <c r="K5" s="4">
        <f t="shared" si="0"/>
        <v>-9.9822085592563892E-2</v>
      </c>
      <c r="N5"/>
      <c r="P5" t="s">
        <v>792</v>
      </c>
      <c r="Q5">
        <v>20605</v>
      </c>
      <c r="R5">
        <v>19405.060000000001</v>
      </c>
    </row>
    <row r="6" spans="1:18" hidden="1">
      <c r="A6" t="s">
        <v>1649</v>
      </c>
      <c r="B6" t="s">
        <v>784</v>
      </c>
      <c r="C6" t="s">
        <v>785</v>
      </c>
      <c r="D6" s="28">
        <v>7838</v>
      </c>
      <c r="E6" s="19">
        <f t="shared" si="1"/>
        <v>261.26666666666665</v>
      </c>
      <c r="F6" s="5">
        <v>11824.06</v>
      </c>
      <c r="I6" s="19">
        <f t="shared" si="2"/>
        <v>15676</v>
      </c>
      <c r="J6" t="b">
        <f t="shared" si="3"/>
        <v>1</v>
      </c>
      <c r="K6" s="4">
        <f t="shared" si="0"/>
        <v>-0.24572212299055884</v>
      </c>
      <c r="N6"/>
      <c r="P6" t="s">
        <v>694</v>
      </c>
      <c r="Q6">
        <v>6929</v>
      </c>
      <c r="R6">
        <v>10453.85</v>
      </c>
    </row>
    <row r="7" spans="1:18" hidden="1">
      <c r="A7" t="s">
        <v>1652</v>
      </c>
      <c r="B7" t="s">
        <v>677</v>
      </c>
      <c r="C7" t="s">
        <v>678</v>
      </c>
      <c r="D7" s="28">
        <v>5314</v>
      </c>
      <c r="E7" s="19">
        <f t="shared" si="1"/>
        <v>177.13333333333333</v>
      </c>
      <c r="F7" s="5">
        <v>3440.8</v>
      </c>
      <c r="I7" s="19">
        <f t="shared" si="2"/>
        <v>10628</v>
      </c>
      <c r="J7" t="b">
        <f t="shared" si="3"/>
        <v>1</v>
      </c>
      <c r="K7" s="4">
        <f t="shared" si="0"/>
        <v>-0.67625141136620248</v>
      </c>
      <c r="N7"/>
      <c r="P7" t="s">
        <v>718</v>
      </c>
      <c r="Q7">
        <v>2129</v>
      </c>
      <c r="R7">
        <v>3078.97</v>
      </c>
    </row>
    <row r="8" spans="1:18" hidden="1">
      <c r="A8" t="s">
        <v>1651</v>
      </c>
      <c r="B8" t="s">
        <v>666</v>
      </c>
      <c r="C8" t="s">
        <v>667</v>
      </c>
      <c r="D8" s="28">
        <v>27178</v>
      </c>
      <c r="E8" s="19">
        <f t="shared" si="1"/>
        <v>905.93333333333328</v>
      </c>
      <c r="F8" s="5">
        <v>27560.63</v>
      </c>
      <c r="I8" s="19">
        <f t="shared" si="2"/>
        <v>54356</v>
      </c>
      <c r="J8" t="b">
        <f t="shared" si="3"/>
        <v>1</v>
      </c>
      <c r="K8" s="4">
        <f t="shared" si="0"/>
        <v>-0.49296066671572591</v>
      </c>
      <c r="N8"/>
      <c r="P8" t="s">
        <v>90</v>
      </c>
      <c r="Q8">
        <v>11862</v>
      </c>
      <c r="R8">
        <v>7272.85</v>
      </c>
    </row>
    <row r="9" spans="1:18" hidden="1">
      <c r="A9" t="s">
        <v>1652</v>
      </c>
      <c r="B9" t="s">
        <v>598</v>
      </c>
      <c r="C9" t="s">
        <v>599</v>
      </c>
      <c r="D9" s="28">
        <v>943</v>
      </c>
      <c r="E9" s="19">
        <f t="shared" si="1"/>
        <v>31.433333333333334</v>
      </c>
      <c r="F9" s="5">
        <v>1572.36</v>
      </c>
      <c r="I9" s="19">
        <f t="shared" si="2"/>
        <v>1886</v>
      </c>
      <c r="J9" t="b">
        <f t="shared" si="3"/>
        <v>1</v>
      </c>
      <c r="K9" s="4">
        <f t="shared" si="0"/>
        <v>-0.16629904559915165</v>
      </c>
      <c r="N9"/>
      <c r="P9" t="s">
        <v>168</v>
      </c>
      <c r="Q9">
        <v>4129</v>
      </c>
      <c r="R9">
        <v>7431.5</v>
      </c>
    </row>
    <row r="10" spans="1:18" hidden="1">
      <c r="A10" t="s">
        <v>1649</v>
      </c>
      <c r="B10" t="s">
        <v>766</v>
      </c>
      <c r="C10" t="s">
        <v>767</v>
      </c>
      <c r="D10" s="28">
        <v>3158</v>
      </c>
      <c r="E10" s="19">
        <f t="shared" si="1"/>
        <v>105.26666666666667</v>
      </c>
      <c r="F10" s="5">
        <v>4475.8599999999997</v>
      </c>
      <c r="I10" s="19">
        <f t="shared" si="2"/>
        <v>6316</v>
      </c>
      <c r="J10" t="b">
        <f t="shared" si="3"/>
        <v>1</v>
      </c>
      <c r="K10" s="4">
        <f t="shared" si="0"/>
        <v>-0.29134578847371762</v>
      </c>
      <c r="N10"/>
      <c r="P10" t="s">
        <v>667</v>
      </c>
      <c r="Q10">
        <v>25786</v>
      </c>
      <c r="R10">
        <v>18542.5</v>
      </c>
    </row>
    <row r="11" spans="1:18" hidden="1">
      <c r="A11" t="s">
        <v>1649</v>
      </c>
      <c r="B11" t="s">
        <v>368</v>
      </c>
      <c r="C11" t="s">
        <v>369</v>
      </c>
      <c r="D11" s="28">
        <v>2779</v>
      </c>
      <c r="E11" s="19">
        <f t="shared" si="1"/>
        <v>92.63333333333334</v>
      </c>
      <c r="F11" s="5">
        <v>1906.26</v>
      </c>
      <c r="I11" s="19">
        <f t="shared" si="2"/>
        <v>5558</v>
      </c>
      <c r="J11" t="b">
        <f t="shared" si="3"/>
        <v>1</v>
      </c>
      <c r="K11" s="4">
        <f t="shared" si="0"/>
        <v>-0.65702410939186762</v>
      </c>
      <c r="N11"/>
      <c r="P11" t="s">
        <v>656</v>
      </c>
      <c r="Q11">
        <v>4818</v>
      </c>
      <c r="R11">
        <v>8527.9500000000007</v>
      </c>
    </row>
    <row r="12" spans="1:18" hidden="1">
      <c r="A12" t="s">
        <v>1652</v>
      </c>
      <c r="B12" t="s">
        <v>558</v>
      </c>
      <c r="C12" t="s">
        <v>559</v>
      </c>
      <c r="D12" s="28">
        <v>2283</v>
      </c>
      <c r="E12" s="19">
        <f t="shared" si="1"/>
        <v>76.099999999999994</v>
      </c>
      <c r="F12" s="5">
        <v>2211.6799999999998</v>
      </c>
      <c r="I12" s="19">
        <f t="shared" si="2"/>
        <v>4566</v>
      </c>
      <c r="J12" t="b">
        <f t="shared" si="3"/>
        <v>1</v>
      </c>
      <c r="K12" s="4">
        <f t="shared" si="0"/>
        <v>-0.51561979851073159</v>
      </c>
      <c r="N12"/>
      <c r="P12" t="s">
        <v>403</v>
      </c>
      <c r="Q12">
        <v>3732</v>
      </c>
      <c r="R12">
        <v>7397.98</v>
      </c>
    </row>
    <row r="13" spans="1:18" hidden="1">
      <c r="A13" t="s">
        <v>1649</v>
      </c>
      <c r="B13" t="s">
        <v>116</v>
      </c>
      <c r="C13" t="s">
        <v>117</v>
      </c>
      <c r="D13" s="28">
        <v>3828</v>
      </c>
      <c r="E13" s="19">
        <f t="shared" si="1"/>
        <v>127.6</v>
      </c>
      <c r="F13" s="5">
        <v>2936.94</v>
      </c>
      <c r="I13" s="19">
        <f t="shared" si="2"/>
        <v>7656</v>
      </c>
      <c r="J13" t="b">
        <f t="shared" si="3"/>
        <v>1</v>
      </c>
      <c r="K13" s="4">
        <f t="shared" si="0"/>
        <v>-0.61638714733542321</v>
      </c>
      <c r="N13"/>
      <c r="P13" t="s">
        <v>785</v>
      </c>
      <c r="Q13">
        <v>11641</v>
      </c>
      <c r="R13">
        <v>10505.25</v>
      </c>
    </row>
    <row r="14" spans="1:18" hidden="1">
      <c r="A14" t="s">
        <v>1649</v>
      </c>
      <c r="B14" t="s">
        <v>380</v>
      </c>
      <c r="C14" t="s">
        <v>381</v>
      </c>
      <c r="D14" s="28">
        <v>1039</v>
      </c>
      <c r="E14" s="19">
        <f t="shared" si="1"/>
        <v>34.633333333333333</v>
      </c>
      <c r="F14" s="5">
        <v>2132.15</v>
      </c>
      <c r="I14" s="19">
        <f t="shared" si="2"/>
        <v>2078</v>
      </c>
      <c r="J14" t="b">
        <f t="shared" si="3"/>
        <v>1</v>
      </c>
      <c r="K14" s="4">
        <f t="shared" si="0"/>
        <v>2.6058710298363819E-2</v>
      </c>
      <c r="N14"/>
      <c r="P14" t="s">
        <v>21</v>
      </c>
      <c r="Q14">
        <v>7271</v>
      </c>
      <c r="R14">
        <v>8084.91</v>
      </c>
    </row>
    <row r="15" spans="1:18" hidden="1">
      <c r="A15" t="s">
        <v>1652</v>
      </c>
      <c r="B15" t="s">
        <v>717</v>
      </c>
      <c r="C15" t="s">
        <v>718</v>
      </c>
      <c r="D15" s="28">
        <v>1826</v>
      </c>
      <c r="E15" s="19">
        <f t="shared" si="1"/>
        <v>60.866666666666667</v>
      </c>
      <c r="F15" s="5">
        <v>2718.81</v>
      </c>
      <c r="I15" s="19">
        <f t="shared" si="2"/>
        <v>3652</v>
      </c>
      <c r="J15" t="b">
        <f t="shared" si="3"/>
        <v>1</v>
      </c>
      <c r="K15" s="4">
        <f t="shared" si="0"/>
        <v>-0.25552847754654984</v>
      </c>
      <c r="N15"/>
      <c r="P15" t="s">
        <v>40</v>
      </c>
      <c r="Q15">
        <v>4069</v>
      </c>
      <c r="R15">
        <v>7312.03</v>
      </c>
    </row>
    <row r="16" spans="1:18" hidden="1">
      <c r="A16" t="s">
        <v>1649</v>
      </c>
      <c r="B16" t="s">
        <v>724</v>
      </c>
      <c r="C16" t="s">
        <v>725</v>
      </c>
      <c r="D16" s="28">
        <v>2751</v>
      </c>
      <c r="E16" s="19">
        <f t="shared" si="1"/>
        <v>91.7</v>
      </c>
      <c r="F16" s="5">
        <v>5183.92</v>
      </c>
      <c r="I16" s="19">
        <f t="shared" si="2"/>
        <v>5502</v>
      </c>
      <c r="J16" t="b">
        <f t="shared" si="3"/>
        <v>1</v>
      </c>
      <c r="K16" s="4">
        <f t="shared" si="0"/>
        <v>-5.7811704834605626E-2</v>
      </c>
      <c r="N16"/>
      <c r="P16" t="s">
        <v>559</v>
      </c>
      <c r="Q16">
        <v>3689</v>
      </c>
      <c r="R16">
        <v>5998.01</v>
      </c>
    </row>
    <row r="17" spans="1:18" hidden="1">
      <c r="A17" t="s">
        <v>1651</v>
      </c>
      <c r="B17" t="s">
        <v>169</v>
      </c>
      <c r="C17" t="s">
        <v>170</v>
      </c>
      <c r="D17" s="28">
        <v>4930</v>
      </c>
      <c r="E17" s="19">
        <f t="shared" si="1"/>
        <v>164.33333333333334</v>
      </c>
      <c r="F17" s="5">
        <v>8443.7900000000009</v>
      </c>
      <c r="I17" s="19">
        <f t="shared" si="2"/>
        <v>9860</v>
      </c>
      <c r="J17" t="b">
        <f t="shared" si="3"/>
        <v>1</v>
      </c>
      <c r="K17" s="4">
        <f t="shared" si="0"/>
        <v>-0.1436318458417849</v>
      </c>
      <c r="N17"/>
      <c r="P17" t="s">
        <v>663</v>
      </c>
      <c r="Q17">
        <v>1500</v>
      </c>
      <c r="R17">
        <v>3242.85</v>
      </c>
    </row>
    <row r="18" spans="1:18" hidden="1">
      <c r="A18" t="s">
        <v>1651</v>
      </c>
      <c r="B18" t="s">
        <v>703</v>
      </c>
      <c r="C18" t="s">
        <v>704</v>
      </c>
      <c r="D18" s="28">
        <v>3698</v>
      </c>
      <c r="E18" s="19">
        <f t="shared" si="1"/>
        <v>123.26666666666667</v>
      </c>
      <c r="F18" s="5">
        <v>2351.31</v>
      </c>
      <c r="I18" s="19">
        <f t="shared" si="2"/>
        <v>7396</v>
      </c>
      <c r="J18" t="b">
        <f t="shared" si="3"/>
        <v>1</v>
      </c>
      <c r="K18" s="4">
        <f t="shared" si="0"/>
        <v>-0.68208355868036774</v>
      </c>
      <c r="N18"/>
      <c r="P18" t="s">
        <v>365</v>
      </c>
      <c r="Q18">
        <v>2196</v>
      </c>
      <c r="R18">
        <v>4307.3100000000004</v>
      </c>
    </row>
    <row r="19" spans="1:18" hidden="1">
      <c r="A19" t="s">
        <v>1649</v>
      </c>
      <c r="B19" t="s">
        <v>506</v>
      </c>
      <c r="C19" t="s">
        <v>507</v>
      </c>
      <c r="D19" s="28">
        <v>2297</v>
      </c>
      <c r="E19" s="19">
        <f t="shared" si="1"/>
        <v>76.566666666666663</v>
      </c>
      <c r="F19" s="5">
        <v>1996.26</v>
      </c>
      <c r="I19" s="19">
        <f t="shared" si="2"/>
        <v>4594</v>
      </c>
      <c r="J19" t="b">
        <f t="shared" si="3"/>
        <v>1</v>
      </c>
      <c r="K19" s="4">
        <f t="shared" si="0"/>
        <v>-0.56546364823683071</v>
      </c>
      <c r="N19"/>
      <c r="P19" t="s">
        <v>685</v>
      </c>
      <c r="Q19">
        <v>1326</v>
      </c>
      <c r="R19">
        <v>2816.7</v>
      </c>
    </row>
    <row r="20" spans="1:18" hidden="1">
      <c r="A20" t="s">
        <v>1652</v>
      </c>
      <c r="B20" t="s">
        <v>235</v>
      </c>
      <c r="C20" t="s">
        <v>236</v>
      </c>
      <c r="D20" s="28">
        <v>2596</v>
      </c>
      <c r="E20" s="19">
        <f t="shared" si="1"/>
        <v>86.533333333333331</v>
      </c>
      <c r="F20" s="5">
        <v>5237.88</v>
      </c>
      <c r="I20" s="19">
        <f t="shared" si="2"/>
        <v>5192</v>
      </c>
      <c r="J20" t="b">
        <f t="shared" si="3"/>
        <v>1</v>
      </c>
      <c r="K20" s="4">
        <f t="shared" si="0"/>
        <v>8.836671802773477E-3</v>
      </c>
      <c r="N20"/>
      <c r="P20" t="s">
        <v>160</v>
      </c>
      <c r="Q20">
        <v>1109</v>
      </c>
      <c r="R20">
        <v>2476.85</v>
      </c>
    </row>
    <row r="21" spans="1:18" hidden="1">
      <c r="A21" t="s">
        <v>1649</v>
      </c>
      <c r="B21" t="s">
        <v>482</v>
      </c>
      <c r="C21" t="s">
        <v>483</v>
      </c>
      <c r="D21" s="28">
        <v>2100</v>
      </c>
      <c r="E21" s="19">
        <f t="shared" si="1"/>
        <v>70</v>
      </c>
      <c r="F21" s="5">
        <v>1541.27</v>
      </c>
      <c r="I21" s="19">
        <f t="shared" si="2"/>
        <v>4200</v>
      </c>
      <c r="J21" t="b">
        <f t="shared" si="3"/>
        <v>1</v>
      </c>
      <c r="K21" s="4">
        <f t="shared" si="0"/>
        <v>-0.63303095238095231</v>
      </c>
      <c r="N21"/>
      <c r="P21" t="s">
        <v>369</v>
      </c>
      <c r="Q21">
        <v>4052</v>
      </c>
      <c r="R21">
        <v>6748.08</v>
      </c>
    </row>
    <row r="22" spans="1:18" hidden="1">
      <c r="A22" t="s">
        <v>1649</v>
      </c>
      <c r="B22" t="s">
        <v>89</v>
      </c>
      <c r="C22" t="s">
        <v>90</v>
      </c>
      <c r="D22" s="28">
        <v>12369</v>
      </c>
      <c r="E22" s="19">
        <f t="shared" si="1"/>
        <v>412.3</v>
      </c>
      <c r="F22" s="5">
        <v>9806.2000000000007</v>
      </c>
      <c r="I22" s="19">
        <f t="shared" si="2"/>
        <v>24738</v>
      </c>
      <c r="J22" t="b">
        <f t="shared" si="3"/>
        <v>1</v>
      </c>
      <c r="K22" s="4">
        <f t="shared" si="0"/>
        <v>-0.60359770393726242</v>
      </c>
      <c r="N22"/>
      <c r="P22" t="s">
        <v>721</v>
      </c>
      <c r="Q22">
        <v>1476</v>
      </c>
      <c r="R22">
        <v>2358.27</v>
      </c>
    </row>
    <row r="23" spans="1:18" hidden="1">
      <c r="A23" t="s">
        <v>1652</v>
      </c>
      <c r="B23" t="s">
        <v>143</v>
      </c>
      <c r="C23" t="s">
        <v>144</v>
      </c>
      <c r="D23" s="28">
        <v>2156</v>
      </c>
      <c r="E23" s="19">
        <f t="shared" si="1"/>
        <v>71.86666666666666</v>
      </c>
      <c r="F23" s="5">
        <v>4882.87</v>
      </c>
      <c r="I23" s="19">
        <f t="shared" si="2"/>
        <v>4312</v>
      </c>
      <c r="J23" t="b">
        <f t="shared" si="3"/>
        <v>1</v>
      </c>
      <c r="K23" s="4">
        <f t="shared" si="0"/>
        <v>0.13239100185528763</v>
      </c>
      <c r="P23" t="s">
        <v>781</v>
      </c>
      <c r="Q23">
        <v>14987</v>
      </c>
      <c r="R23">
        <v>5594.85</v>
      </c>
    </row>
    <row r="24" spans="1:18" hidden="1">
      <c r="A24" t="s">
        <v>1651</v>
      </c>
      <c r="B24" t="s">
        <v>669</v>
      </c>
      <c r="C24" t="s">
        <v>670</v>
      </c>
      <c r="D24" s="28">
        <v>4740</v>
      </c>
      <c r="E24" s="19">
        <f t="shared" si="1"/>
        <v>158</v>
      </c>
      <c r="F24" s="5">
        <v>3492.28</v>
      </c>
      <c r="I24" s="19">
        <f t="shared" si="2"/>
        <v>9480</v>
      </c>
      <c r="J24" t="b">
        <f t="shared" si="3"/>
        <v>1</v>
      </c>
      <c r="K24" s="4">
        <f t="shared" si="0"/>
        <v>-0.63161603375527431</v>
      </c>
      <c r="N24"/>
      <c r="P24" t="s">
        <v>708</v>
      </c>
      <c r="Q24">
        <v>652</v>
      </c>
      <c r="R24">
        <v>1070.94</v>
      </c>
    </row>
    <row r="25" spans="1:18" hidden="1">
      <c r="A25" t="s">
        <v>1649</v>
      </c>
      <c r="B25" s="37" t="s">
        <v>490</v>
      </c>
      <c r="C25" s="37" t="s">
        <v>491</v>
      </c>
      <c r="D25" s="28">
        <v>712</v>
      </c>
      <c r="E25" s="19">
        <f t="shared" si="1"/>
        <v>23.733333333333334</v>
      </c>
      <c r="F25" s="5">
        <v>1382.94</v>
      </c>
      <c r="I25" s="19">
        <f t="shared" si="2"/>
        <v>1424</v>
      </c>
      <c r="J25" t="b">
        <f t="shared" si="3"/>
        <v>1</v>
      </c>
      <c r="K25" s="4">
        <f t="shared" si="0"/>
        <v>-2.8834269662921352E-2</v>
      </c>
      <c r="N25"/>
      <c r="P25" t="s">
        <v>625</v>
      </c>
      <c r="Q25">
        <v>1671</v>
      </c>
      <c r="R25">
        <v>2325.75</v>
      </c>
    </row>
    <row r="26" spans="1:18" hidden="1">
      <c r="A26" t="s">
        <v>1649</v>
      </c>
      <c r="B26" t="s">
        <v>274</v>
      </c>
      <c r="C26" t="s">
        <v>275</v>
      </c>
      <c r="D26" s="28">
        <v>2973</v>
      </c>
      <c r="E26" s="19">
        <f t="shared" si="1"/>
        <v>99.1</v>
      </c>
      <c r="F26" s="5">
        <v>2823.11</v>
      </c>
      <c r="I26" s="19">
        <f t="shared" si="2"/>
        <v>5946</v>
      </c>
      <c r="J26" t="b">
        <f t="shared" si="3"/>
        <v>1</v>
      </c>
      <c r="K26" s="4">
        <f t="shared" si="0"/>
        <v>-0.52520854355869484</v>
      </c>
      <c r="N26"/>
      <c r="P26" t="s">
        <v>207</v>
      </c>
      <c r="Q26">
        <v>2656</v>
      </c>
      <c r="R26">
        <v>5003.68</v>
      </c>
    </row>
    <row r="27" spans="1:18" hidden="1">
      <c r="A27" t="s">
        <v>1649</v>
      </c>
      <c r="B27" t="s">
        <v>752</v>
      </c>
      <c r="C27" t="s">
        <v>753</v>
      </c>
      <c r="D27" s="28">
        <v>3777</v>
      </c>
      <c r="E27" s="19">
        <f t="shared" si="1"/>
        <v>125.9</v>
      </c>
      <c r="F27" s="5">
        <v>3744.41</v>
      </c>
      <c r="I27" s="19">
        <f t="shared" si="2"/>
        <v>7554</v>
      </c>
      <c r="J27" t="b">
        <f t="shared" si="3"/>
        <v>1</v>
      </c>
      <c r="K27" s="4">
        <f t="shared" si="0"/>
        <v>-0.50431427058512046</v>
      </c>
      <c r="N27"/>
      <c r="P27" t="s">
        <v>523</v>
      </c>
      <c r="Q27">
        <v>596</v>
      </c>
      <c r="R27">
        <v>1267.94</v>
      </c>
    </row>
    <row r="28" spans="1:18" hidden="1">
      <c r="A28" t="s">
        <v>1651</v>
      </c>
      <c r="B28" t="s">
        <v>206</v>
      </c>
      <c r="C28" t="s">
        <v>207</v>
      </c>
      <c r="D28" s="28">
        <v>1941</v>
      </c>
      <c r="E28" s="19">
        <f t="shared" si="1"/>
        <v>64.7</v>
      </c>
      <c r="F28" s="5">
        <v>3329.0099999999998</v>
      </c>
      <c r="I28" s="19">
        <f t="shared" si="2"/>
        <v>3882</v>
      </c>
      <c r="J28" t="b">
        <f t="shared" si="3"/>
        <v>1</v>
      </c>
      <c r="K28" s="4">
        <f t="shared" si="0"/>
        <v>-0.14244976816074195</v>
      </c>
      <c r="N28"/>
      <c r="P28" t="s">
        <v>131</v>
      </c>
      <c r="Q28">
        <v>1681</v>
      </c>
      <c r="R28">
        <v>3245.25</v>
      </c>
    </row>
    <row r="29" spans="1:18" hidden="1">
      <c r="A29" t="s">
        <v>1651</v>
      </c>
      <c r="B29" t="s">
        <v>690</v>
      </c>
      <c r="C29" t="s">
        <v>691</v>
      </c>
      <c r="D29" s="28">
        <v>3542</v>
      </c>
      <c r="E29" s="19">
        <f t="shared" si="1"/>
        <v>118.06666666666666</v>
      </c>
      <c r="F29" s="5">
        <v>3267.99</v>
      </c>
      <c r="I29" s="19">
        <f t="shared" si="2"/>
        <v>7084</v>
      </c>
      <c r="J29" t="b">
        <f t="shared" si="3"/>
        <v>1</v>
      </c>
      <c r="K29" s="4">
        <f t="shared" si="0"/>
        <v>-0.53868012422360256</v>
      </c>
      <c r="N29"/>
      <c r="P29" t="s">
        <v>491</v>
      </c>
      <c r="Q29">
        <v>1969</v>
      </c>
      <c r="R29">
        <v>2178.64</v>
      </c>
    </row>
    <row r="30" spans="1:18" hidden="1">
      <c r="A30" t="s">
        <v>1651</v>
      </c>
      <c r="B30" s="54" t="s">
        <v>294</v>
      </c>
      <c r="C30" s="37" t="s">
        <v>295</v>
      </c>
      <c r="D30" s="19">
        <v>840</v>
      </c>
      <c r="E30" s="19">
        <f t="shared" si="1"/>
        <v>28</v>
      </c>
      <c r="F30" s="5">
        <v>1874.89</v>
      </c>
      <c r="I30" s="19">
        <f t="shared" si="2"/>
        <v>1680</v>
      </c>
      <c r="J30" t="b">
        <f t="shared" si="3"/>
        <v>1</v>
      </c>
      <c r="K30" s="4">
        <f t="shared" si="0"/>
        <v>0.11600595238095246</v>
      </c>
      <c r="N30"/>
      <c r="P30" t="s">
        <v>283</v>
      </c>
      <c r="Q30">
        <v>1923</v>
      </c>
      <c r="R30">
        <v>3253.75</v>
      </c>
    </row>
    <row r="31" spans="1:18" hidden="1">
      <c r="A31" t="s">
        <v>1649</v>
      </c>
      <c r="B31" t="s">
        <v>402</v>
      </c>
      <c r="C31" t="s">
        <v>403</v>
      </c>
      <c r="D31" s="28">
        <v>3124</v>
      </c>
      <c r="E31" s="19">
        <f t="shared" si="1"/>
        <v>104.13333333333334</v>
      </c>
      <c r="F31" s="5">
        <v>3637.81</v>
      </c>
      <c r="I31" s="19">
        <f t="shared" si="2"/>
        <v>6248</v>
      </c>
      <c r="J31" t="b">
        <f t="shared" si="3"/>
        <v>1</v>
      </c>
      <c r="K31" s="4">
        <f t="shared" si="0"/>
        <v>-0.41776408450704228</v>
      </c>
      <c r="N31"/>
      <c r="P31" t="s">
        <v>187</v>
      </c>
      <c r="Q31">
        <v>1541</v>
      </c>
      <c r="R31">
        <v>3749.62</v>
      </c>
    </row>
    <row r="32" spans="1:18" hidden="1">
      <c r="A32" t="s">
        <v>1649</v>
      </c>
      <c r="B32" t="s">
        <v>175</v>
      </c>
      <c r="C32" t="s">
        <v>176</v>
      </c>
      <c r="D32" s="28">
        <v>3124</v>
      </c>
      <c r="E32" s="19">
        <f t="shared" si="1"/>
        <v>104.13333333333334</v>
      </c>
      <c r="F32" s="5">
        <v>4521.25</v>
      </c>
      <c r="I32" s="19">
        <f t="shared" si="2"/>
        <v>6248</v>
      </c>
      <c r="J32" t="b">
        <f t="shared" si="3"/>
        <v>1</v>
      </c>
      <c r="K32" s="4">
        <f t="shared" si="0"/>
        <v>-0.27636843790012799</v>
      </c>
      <c r="N32"/>
      <c r="P32" t="s">
        <v>176</v>
      </c>
      <c r="Q32">
        <v>2159</v>
      </c>
      <c r="R32">
        <v>4083.97</v>
      </c>
    </row>
    <row r="33" spans="1:18" hidden="1">
      <c r="A33" t="s">
        <v>1649</v>
      </c>
      <c r="B33" t="s">
        <v>760</v>
      </c>
      <c r="C33" t="s">
        <v>761</v>
      </c>
      <c r="D33" s="28">
        <v>2677</v>
      </c>
      <c r="E33" s="19">
        <f t="shared" si="1"/>
        <v>89.233333333333334</v>
      </c>
      <c r="F33" s="5">
        <v>3265.84</v>
      </c>
      <c r="I33" s="19">
        <f t="shared" si="2"/>
        <v>5354</v>
      </c>
      <c r="J33" t="b">
        <f t="shared" si="3"/>
        <v>1</v>
      </c>
      <c r="K33" s="4">
        <f t="shared" si="0"/>
        <v>-0.39001867762420617</v>
      </c>
      <c r="N33" s="124"/>
      <c r="P33" t="s">
        <v>313</v>
      </c>
      <c r="Q33">
        <v>1658</v>
      </c>
      <c r="R33">
        <v>4124.5</v>
      </c>
    </row>
    <row r="34" spans="1:18" hidden="1">
      <c r="A34" t="s">
        <v>1651</v>
      </c>
      <c r="B34" s="54" t="s">
        <v>484</v>
      </c>
      <c r="C34" s="37" t="s">
        <v>485</v>
      </c>
      <c r="D34" s="19">
        <v>1310</v>
      </c>
      <c r="E34" s="19">
        <f t="shared" si="1"/>
        <v>43.666666666666664</v>
      </c>
      <c r="F34" s="5">
        <v>2563.4899999999998</v>
      </c>
      <c r="I34" s="19">
        <f t="shared" si="2"/>
        <v>2620</v>
      </c>
      <c r="J34" t="b">
        <f t="shared" si="3"/>
        <v>1</v>
      </c>
      <c r="K34" s="4">
        <f t="shared" si="0"/>
        <v>-2.1568702290076458E-2</v>
      </c>
      <c r="N34"/>
      <c r="P34" t="s">
        <v>535</v>
      </c>
      <c r="Q34">
        <v>1546</v>
      </c>
      <c r="R34">
        <v>1959.09</v>
      </c>
    </row>
    <row r="35" spans="1:18" hidden="1">
      <c r="A35" t="s">
        <v>1651</v>
      </c>
      <c r="B35" t="s">
        <v>510</v>
      </c>
      <c r="C35" t="s">
        <v>511</v>
      </c>
      <c r="D35" s="28">
        <v>1605</v>
      </c>
      <c r="E35" s="19">
        <f t="shared" si="1"/>
        <v>53.5</v>
      </c>
      <c r="F35" s="5">
        <v>1822.65</v>
      </c>
      <c r="I35" s="19">
        <f t="shared" si="2"/>
        <v>3210</v>
      </c>
      <c r="J35" t="b">
        <f t="shared" si="3"/>
        <v>1</v>
      </c>
      <c r="K35" s="4">
        <f t="shared" si="0"/>
        <v>-0.43219626168224301</v>
      </c>
      <c r="N35"/>
      <c r="P35" t="s">
        <v>275</v>
      </c>
      <c r="Q35">
        <v>2684</v>
      </c>
      <c r="R35">
        <v>4208.54</v>
      </c>
    </row>
    <row r="36" spans="1:18" hidden="1">
      <c r="A36" t="s">
        <v>1649</v>
      </c>
      <c r="B36" t="s">
        <v>400</v>
      </c>
      <c r="C36" t="s">
        <v>401</v>
      </c>
      <c r="D36" s="28">
        <v>2407</v>
      </c>
      <c r="E36" s="19">
        <f t="shared" si="1"/>
        <v>80.233333333333334</v>
      </c>
      <c r="F36" s="5">
        <v>2770.04</v>
      </c>
      <c r="I36" s="19">
        <f t="shared" si="2"/>
        <v>4814</v>
      </c>
      <c r="J36" t="b">
        <f t="shared" si="3"/>
        <v>1</v>
      </c>
      <c r="K36" s="4">
        <f t="shared" si="0"/>
        <v>-0.42458662235147482</v>
      </c>
      <c r="N36"/>
      <c r="P36" t="s">
        <v>152</v>
      </c>
      <c r="Q36">
        <v>4901</v>
      </c>
      <c r="R36">
        <v>9133.83</v>
      </c>
    </row>
    <row r="37" spans="1:18" hidden="1">
      <c r="A37" t="s">
        <v>1649</v>
      </c>
      <c r="B37" t="s">
        <v>434</v>
      </c>
      <c r="C37" t="s">
        <v>435</v>
      </c>
      <c r="D37" s="28">
        <v>4</v>
      </c>
      <c r="E37" s="19">
        <f t="shared" si="1"/>
        <v>0.13333333333333333</v>
      </c>
      <c r="F37" s="5">
        <v>0</v>
      </c>
      <c r="I37" s="19">
        <f t="shared" si="2"/>
        <v>8</v>
      </c>
      <c r="J37" t="b">
        <f t="shared" si="3"/>
        <v>1</v>
      </c>
      <c r="K37" s="4">
        <f t="shared" si="0"/>
        <v>-1</v>
      </c>
      <c r="N37"/>
      <c r="P37" t="s">
        <v>716</v>
      </c>
      <c r="Q37">
        <v>1150</v>
      </c>
      <c r="R37">
        <v>1379.51</v>
      </c>
    </row>
    <row r="38" spans="1:18" hidden="1">
      <c r="A38" t="s">
        <v>1649</v>
      </c>
      <c r="B38" t="s">
        <v>655</v>
      </c>
      <c r="C38" t="s">
        <v>656</v>
      </c>
      <c r="D38" s="28">
        <v>2445</v>
      </c>
      <c r="E38" s="19">
        <f t="shared" si="1"/>
        <v>81.5</v>
      </c>
      <c r="F38" s="5">
        <v>3395.79</v>
      </c>
      <c r="I38" s="19">
        <f t="shared" si="2"/>
        <v>4890</v>
      </c>
      <c r="J38" t="b">
        <f t="shared" si="3"/>
        <v>1</v>
      </c>
      <c r="K38" s="4">
        <f t="shared" si="0"/>
        <v>-0.30556441717791416</v>
      </c>
      <c r="N38"/>
      <c r="P38" t="s">
        <v>511</v>
      </c>
      <c r="Q38">
        <v>3490</v>
      </c>
      <c r="R38">
        <v>6233.8</v>
      </c>
    </row>
    <row r="39" spans="1:18" hidden="1">
      <c r="A39" t="s">
        <v>1652</v>
      </c>
      <c r="B39" t="s">
        <v>66</v>
      </c>
      <c r="C39" t="s">
        <v>67</v>
      </c>
      <c r="D39" s="28">
        <v>2985</v>
      </c>
      <c r="E39" s="19">
        <f t="shared" si="1"/>
        <v>99.5</v>
      </c>
      <c r="F39" s="5">
        <v>2111.7800000000002</v>
      </c>
      <c r="I39" s="19">
        <f t="shared" si="2"/>
        <v>5970</v>
      </c>
      <c r="J39" t="b">
        <f t="shared" si="3"/>
        <v>1</v>
      </c>
      <c r="K39" s="4">
        <f t="shared" si="0"/>
        <v>-0.64626800670016749</v>
      </c>
      <c r="N39"/>
      <c r="P39" t="s">
        <v>636</v>
      </c>
      <c r="Q39">
        <v>973</v>
      </c>
      <c r="R39">
        <v>1765</v>
      </c>
    </row>
    <row r="40" spans="1:18" hidden="1">
      <c r="A40" t="s">
        <v>1649</v>
      </c>
      <c r="B40" t="s">
        <v>87</v>
      </c>
      <c r="C40" t="s">
        <v>88</v>
      </c>
      <c r="D40" s="28">
        <v>2775</v>
      </c>
      <c r="E40" s="19">
        <f t="shared" si="1"/>
        <v>92.5</v>
      </c>
      <c r="F40" s="5">
        <v>689.02</v>
      </c>
      <c r="I40" s="19">
        <f t="shared" si="2"/>
        <v>5550</v>
      </c>
      <c r="J40" t="b">
        <f t="shared" si="3"/>
        <v>1</v>
      </c>
      <c r="K40" s="4">
        <f t="shared" si="0"/>
        <v>-0.87585225225225227</v>
      </c>
      <c r="N40"/>
      <c r="P40" t="s">
        <v>345</v>
      </c>
      <c r="Q40">
        <v>1611</v>
      </c>
      <c r="R40">
        <v>2692.2</v>
      </c>
    </row>
    <row r="41" spans="1:18" hidden="1">
      <c r="A41" t="s">
        <v>1652</v>
      </c>
      <c r="B41" t="s">
        <v>578</v>
      </c>
      <c r="C41" t="s">
        <v>579</v>
      </c>
      <c r="D41" s="28">
        <v>246</v>
      </c>
      <c r="E41" s="19">
        <f t="shared" si="1"/>
        <v>8.1999999999999993</v>
      </c>
      <c r="F41" s="5">
        <v>192.53</v>
      </c>
      <c r="I41" s="19">
        <f t="shared" si="2"/>
        <v>492</v>
      </c>
      <c r="J41" t="b">
        <f t="shared" si="3"/>
        <v>1</v>
      </c>
      <c r="K41" s="4">
        <f t="shared" si="0"/>
        <v>-0.60867886178861785</v>
      </c>
      <c r="N41"/>
      <c r="P41" t="s">
        <v>670</v>
      </c>
      <c r="Q41">
        <v>2321</v>
      </c>
      <c r="R41">
        <v>4250.3999999999996</v>
      </c>
    </row>
    <row r="42" spans="1:18" hidden="1">
      <c r="A42" t="s">
        <v>1652</v>
      </c>
      <c r="B42" t="s">
        <v>253</v>
      </c>
      <c r="C42" t="s">
        <v>254</v>
      </c>
      <c r="D42" s="28">
        <v>4847</v>
      </c>
      <c r="E42" s="19">
        <f t="shared" si="1"/>
        <v>161.56666666666666</v>
      </c>
      <c r="F42" s="5">
        <v>9075.77</v>
      </c>
      <c r="I42" s="19">
        <f t="shared" si="2"/>
        <v>9694</v>
      </c>
      <c r="J42" t="b">
        <f t="shared" si="3"/>
        <v>1</v>
      </c>
      <c r="K42" s="4">
        <f t="shared" si="0"/>
        <v>-6.3774499690530173E-2</v>
      </c>
      <c r="N42"/>
      <c r="P42" t="s">
        <v>393</v>
      </c>
      <c r="Q42">
        <v>2223</v>
      </c>
      <c r="R42">
        <v>4480.07</v>
      </c>
    </row>
    <row r="43" spans="1:18" hidden="1">
      <c r="A43" t="s">
        <v>1652</v>
      </c>
      <c r="B43" t="s">
        <v>171</v>
      </c>
      <c r="C43" s="27" t="s">
        <v>172</v>
      </c>
      <c r="D43" s="28">
        <v>2822</v>
      </c>
      <c r="E43" s="19">
        <f t="shared" si="1"/>
        <v>94.066666666666663</v>
      </c>
      <c r="F43" s="5">
        <v>3372.02</v>
      </c>
      <c r="I43" s="19">
        <f t="shared" si="2"/>
        <v>5644</v>
      </c>
      <c r="J43" t="b">
        <f t="shared" si="3"/>
        <v>1</v>
      </c>
      <c r="K43" s="4">
        <f t="shared" si="0"/>
        <v>-0.40254783841247344</v>
      </c>
      <c r="N43"/>
      <c r="P43" t="s">
        <v>355</v>
      </c>
      <c r="Q43">
        <v>741</v>
      </c>
      <c r="R43">
        <v>1596.79</v>
      </c>
    </row>
    <row r="44" spans="1:18" hidden="1">
      <c r="A44" t="s">
        <v>1649</v>
      </c>
      <c r="B44" s="54" t="s">
        <v>286</v>
      </c>
      <c r="C44" s="37" t="s">
        <v>287</v>
      </c>
      <c r="D44" s="28">
        <v>880</v>
      </c>
      <c r="E44" s="19">
        <f t="shared" si="1"/>
        <v>29.333333333333332</v>
      </c>
      <c r="F44" s="5">
        <v>1204.53</v>
      </c>
      <c r="I44" s="19">
        <f t="shared" si="2"/>
        <v>1760</v>
      </c>
      <c r="J44" t="b">
        <f t="shared" si="3"/>
        <v>1</v>
      </c>
      <c r="K44" s="4">
        <f t="shared" si="0"/>
        <v>-0.31560795454545454</v>
      </c>
      <c r="N44"/>
      <c r="P44" t="s">
        <v>725</v>
      </c>
      <c r="Q44">
        <v>1931</v>
      </c>
      <c r="R44">
        <v>4461.28</v>
      </c>
    </row>
    <row r="45" spans="1:18" hidden="1">
      <c r="A45" t="s">
        <v>1651</v>
      </c>
      <c r="B45" t="s">
        <v>404</v>
      </c>
      <c r="C45" t="s">
        <v>405</v>
      </c>
      <c r="D45" s="28">
        <v>709</v>
      </c>
      <c r="E45" s="19">
        <f t="shared" si="1"/>
        <v>23.633333333333333</v>
      </c>
      <c r="F45" s="5">
        <v>393.99</v>
      </c>
      <c r="I45" s="19">
        <f t="shared" si="2"/>
        <v>1418</v>
      </c>
      <c r="J45" t="b">
        <f t="shared" si="3"/>
        <v>1</v>
      </c>
      <c r="K45" s="4">
        <f t="shared" si="0"/>
        <v>-0.72215091678420307</v>
      </c>
      <c r="N45"/>
      <c r="P45" t="s">
        <v>599</v>
      </c>
      <c r="Q45">
        <v>1390</v>
      </c>
      <c r="R45">
        <v>1789.01</v>
      </c>
    </row>
    <row r="46" spans="1:18" hidden="1">
      <c r="A46" t="s">
        <v>1651</v>
      </c>
      <c r="B46" t="s">
        <v>118</v>
      </c>
      <c r="C46" t="s">
        <v>119</v>
      </c>
      <c r="D46" s="28">
        <v>3602</v>
      </c>
      <c r="E46" s="19">
        <f t="shared" si="1"/>
        <v>120.06666666666666</v>
      </c>
      <c r="F46" s="5">
        <v>5954.87</v>
      </c>
      <c r="I46" s="19">
        <f t="shared" si="2"/>
        <v>7204</v>
      </c>
      <c r="J46" t="b">
        <f t="shared" si="3"/>
        <v>1</v>
      </c>
      <c r="K46" s="4">
        <f t="shared" si="0"/>
        <v>-0.17339394780677408</v>
      </c>
      <c r="N46"/>
      <c r="P46" t="s">
        <v>497</v>
      </c>
      <c r="Q46">
        <v>940</v>
      </c>
      <c r="R46">
        <v>1618.45</v>
      </c>
    </row>
    <row r="47" spans="1:18" hidden="1">
      <c r="A47" t="s">
        <v>1649</v>
      </c>
      <c r="B47" t="s">
        <v>251</v>
      </c>
      <c r="C47" t="s">
        <v>252</v>
      </c>
      <c r="D47" s="28">
        <v>1746</v>
      </c>
      <c r="E47" s="19">
        <f t="shared" si="1"/>
        <v>58.2</v>
      </c>
      <c r="F47" s="5">
        <v>2246.92</v>
      </c>
      <c r="I47" s="19">
        <f t="shared" si="2"/>
        <v>3492</v>
      </c>
      <c r="J47" t="b">
        <f t="shared" si="3"/>
        <v>1</v>
      </c>
      <c r="K47" s="4">
        <f t="shared" si="0"/>
        <v>-0.35655211912943874</v>
      </c>
      <c r="N47"/>
      <c r="P47" t="s">
        <v>728</v>
      </c>
      <c r="Q47">
        <v>3488</v>
      </c>
      <c r="R47">
        <v>6528.03</v>
      </c>
    </row>
    <row r="48" spans="1:18" hidden="1">
      <c r="A48" t="s">
        <v>1649</v>
      </c>
      <c r="B48" t="s">
        <v>219</v>
      </c>
      <c r="C48" t="s">
        <v>220</v>
      </c>
      <c r="D48" s="28">
        <v>2522</v>
      </c>
      <c r="E48" s="19">
        <f t="shared" si="1"/>
        <v>84.066666666666663</v>
      </c>
      <c r="F48" s="5">
        <v>2515.4699999999998</v>
      </c>
      <c r="I48" s="19">
        <f t="shared" si="2"/>
        <v>5044</v>
      </c>
      <c r="J48" t="b">
        <f t="shared" si="3"/>
        <v>1</v>
      </c>
      <c r="K48" s="4">
        <f t="shared" si="0"/>
        <v>-0.50129460745440135</v>
      </c>
      <c r="N48"/>
      <c r="P48" t="s">
        <v>353</v>
      </c>
      <c r="Q48">
        <v>5377</v>
      </c>
      <c r="R48">
        <v>8788.83</v>
      </c>
    </row>
    <row r="49" spans="1:18" hidden="1">
      <c r="A49" t="s">
        <v>1649</v>
      </c>
      <c r="B49" t="s">
        <v>132</v>
      </c>
      <c r="C49" t="s">
        <v>133</v>
      </c>
      <c r="D49" s="28">
        <v>2598</v>
      </c>
      <c r="E49" s="19">
        <f t="shared" si="1"/>
        <v>86.6</v>
      </c>
      <c r="F49" s="5">
        <v>3061.01</v>
      </c>
      <c r="I49" s="19">
        <f t="shared" si="2"/>
        <v>5196</v>
      </c>
      <c r="J49" t="b">
        <f t="shared" si="3"/>
        <v>1</v>
      </c>
      <c r="K49" s="4">
        <f t="shared" si="0"/>
        <v>-0.41089107005388759</v>
      </c>
      <c r="N49"/>
      <c r="P49" t="s">
        <v>706</v>
      </c>
      <c r="Q49">
        <v>633</v>
      </c>
      <c r="R49">
        <v>1173.22</v>
      </c>
    </row>
    <row r="50" spans="1:18" hidden="1">
      <c r="A50" t="s">
        <v>1649</v>
      </c>
      <c r="B50" t="s">
        <v>322</v>
      </c>
      <c r="C50" t="s">
        <v>323</v>
      </c>
      <c r="D50" s="28">
        <v>2520</v>
      </c>
      <c r="E50" s="19">
        <f t="shared" si="1"/>
        <v>84</v>
      </c>
      <c r="F50" s="5">
        <v>1996.77</v>
      </c>
      <c r="I50" s="19">
        <f t="shared" si="2"/>
        <v>5040</v>
      </c>
      <c r="J50" t="b">
        <f t="shared" si="3"/>
        <v>1</v>
      </c>
      <c r="K50" s="4">
        <f t="shared" si="0"/>
        <v>-0.60381547619047615</v>
      </c>
      <c r="N50"/>
      <c r="P50" t="s">
        <v>341</v>
      </c>
      <c r="Q50">
        <v>1412</v>
      </c>
      <c r="R50">
        <v>2519.35</v>
      </c>
    </row>
    <row r="51" spans="1:18" hidden="1">
      <c r="A51" t="s">
        <v>1651</v>
      </c>
      <c r="B51" s="27" t="s">
        <v>392</v>
      </c>
      <c r="C51" t="s">
        <v>393</v>
      </c>
      <c r="D51" s="28">
        <v>1979</v>
      </c>
      <c r="E51" s="19">
        <f t="shared" si="1"/>
        <v>65.966666666666669</v>
      </c>
      <c r="F51" s="5">
        <v>2432.17</v>
      </c>
      <c r="I51" s="19">
        <f t="shared" si="2"/>
        <v>3958</v>
      </c>
      <c r="J51" t="b">
        <f t="shared" si="3"/>
        <v>1</v>
      </c>
      <c r="K51" s="4">
        <f t="shared" si="0"/>
        <v>-0.38550530570995445</v>
      </c>
      <c r="N51"/>
      <c r="P51" t="s">
        <v>597</v>
      </c>
      <c r="Q51">
        <v>829</v>
      </c>
      <c r="R51">
        <v>1139.6600000000001</v>
      </c>
    </row>
    <row r="52" spans="1:18" hidden="1">
      <c r="A52" t="s">
        <v>1651</v>
      </c>
      <c r="B52" t="s">
        <v>418</v>
      </c>
      <c r="C52" t="s">
        <v>419</v>
      </c>
      <c r="D52" s="28">
        <v>2055</v>
      </c>
      <c r="E52" s="19">
        <f t="shared" si="1"/>
        <v>68.5</v>
      </c>
      <c r="F52" s="5">
        <v>3116.44</v>
      </c>
      <c r="I52" s="19">
        <f t="shared" si="2"/>
        <v>4110</v>
      </c>
      <c r="J52" t="b">
        <f t="shared" si="3"/>
        <v>1</v>
      </c>
      <c r="K52" s="4">
        <f t="shared" si="0"/>
        <v>-0.24174209245742095</v>
      </c>
      <c r="N52"/>
      <c r="P52" t="s">
        <v>605</v>
      </c>
      <c r="Q52">
        <v>3176</v>
      </c>
      <c r="R52">
        <v>4296.8900000000003</v>
      </c>
    </row>
    <row r="53" spans="1:18" hidden="1">
      <c r="A53" t="s">
        <v>1651</v>
      </c>
      <c r="B53" t="s">
        <v>774</v>
      </c>
      <c r="C53" t="s">
        <v>775</v>
      </c>
      <c r="D53" s="28">
        <v>12784</v>
      </c>
      <c r="E53" s="19">
        <f t="shared" si="1"/>
        <v>426.13333333333333</v>
      </c>
      <c r="F53" s="5">
        <v>13262.56</v>
      </c>
      <c r="I53" s="19">
        <f t="shared" si="2"/>
        <v>25568</v>
      </c>
      <c r="J53" t="b">
        <f t="shared" si="3"/>
        <v>1</v>
      </c>
      <c r="K53" s="4">
        <f t="shared" si="0"/>
        <v>-0.48128285356695877</v>
      </c>
      <c r="P53" t="s">
        <v>489</v>
      </c>
      <c r="Q53">
        <v>775</v>
      </c>
      <c r="R53">
        <v>1364.36</v>
      </c>
    </row>
    <row r="54" spans="1:18" hidden="1">
      <c r="A54" t="s">
        <v>1649</v>
      </c>
      <c r="B54" t="s">
        <v>340</v>
      </c>
      <c r="C54" t="s">
        <v>341</v>
      </c>
      <c r="D54" s="28">
        <v>1549</v>
      </c>
      <c r="E54" s="19">
        <f t="shared" si="1"/>
        <v>51.633333333333333</v>
      </c>
      <c r="F54" s="5">
        <v>1807.8</v>
      </c>
      <c r="I54" s="19">
        <f t="shared" si="2"/>
        <v>3098</v>
      </c>
      <c r="J54" t="b">
        <f t="shared" si="3"/>
        <v>1</v>
      </c>
      <c r="K54" s="4">
        <f t="shared" si="0"/>
        <v>-0.4164622336991608</v>
      </c>
      <c r="N54"/>
      <c r="P54" t="s">
        <v>473</v>
      </c>
      <c r="Q54">
        <v>652</v>
      </c>
      <c r="R54">
        <v>1543.21</v>
      </c>
    </row>
    <row r="55" spans="1:18" hidden="1">
      <c r="A55" t="s">
        <v>1651</v>
      </c>
      <c r="B55" t="s">
        <v>664</v>
      </c>
      <c r="C55" t="s">
        <v>665</v>
      </c>
      <c r="D55" s="28">
        <v>327</v>
      </c>
      <c r="E55" s="19">
        <f t="shared" si="1"/>
        <v>10.9</v>
      </c>
      <c r="F55" s="5">
        <v>265.25</v>
      </c>
      <c r="I55" s="19">
        <f t="shared" si="2"/>
        <v>654</v>
      </c>
      <c r="J55" t="b">
        <f t="shared" si="3"/>
        <v>1</v>
      </c>
      <c r="K55" s="4">
        <f t="shared" si="0"/>
        <v>-0.59441896024464835</v>
      </c>
      <c r="N55"/>
      <c r="P55" t="s">
        <v>770</v>
      </c>
      <c r="Q55">
        <v>7423</v>
      </c>
      <c r="R55">
        <v>11232.22</v>
      </c>
    </row>
    <row r="56" spans="1:18" hidden="1">
      <c r="A56" t="s">
        <v>1649</v>
      </c>
      <c r="B56" t="s">
        <v>438</v>
      </c>
      <c r="C56" t="s">
        <v>439</v>
      </c>
      <c r="D56" s="28">
        <v>809</v>
      </c>
      <c r="E56" s="19">
        <f t="shared" si="1"/>
        <v>26.966666666666665</v>
      </c>
      <c r="F56" s="5">
        <v>576.04999999999995</v>
      </c>
      <c r="I56" s="19">
        <f t="shared" si="2"/>
        <v>1618</v>
      </c>
      <c r="J56" t="b">
        <f t="shared" si="3"/>
        <v>1</v>
      </c>
      <c r="K56" s="4">
        <f t="shared" si="0"/>
        <v>-0.6439740420271941</v>
      </c>
      <c r="N56"/>
      <c r="P56" t="s">
        <v>451</v>
      </c>
      <c r="Q56">
        <v>1327</v>
      </c>
      <c r="R56">
        <v>3076.45</v>
      </c>
    </row>
    <row r="57" spans="1:18" hidden="1">
      <c r="A57" t="s">
        <v>1651</v>
      </c>
      <c r="B57" t="s">
        <v>440</v>
      </c>
      <c r="C57" t="s">
        <v>441</v>
      </c>
      <c r="D57" s="28">
        <v>0</v>
      </c>
      <c r="E57" s="19">
        <f t="shared" si="1"/>
        <v>0</v>
      </c>
      <c r="F57" s="5">
        <v>0</v>
      </c>
      <c r="I57" s="19">
        <f t="shared" si="2"/>
        <v>0</v>
      </c>
      <c r="J57" t="b">
        <f t="shared" si="3"/>
        <v>1</v>
      </c>
      <c r="K57" s="4" t="e">
        <f t="shared" si="0"/>
        <v>#DIV/0!</v>
      </c>
      <c r="N57"/>
      <c r="P57" t="s">
        <v>567</v>
      </c>
      <c r="Q57">
        <v>932</v>
      </c>
      <c r="R57">
        <v>1032.94</v>
      </c>
    </row>
    <row r="58" spans="1:18" hidden="1">
      <c r="A58" t="s">
        <v>1649</v>
      </c>
      <c r="B58" t="s">
        <v>470</v>
      </c>
      <c r="C58" t="s">
        <v>471</v>
      </c>
      <c r="D58" s="28">
        <v>1115</v>
      </c>
      <c r="E58" s="19">
        <f t="shared" si="1"/>
        <v>37.166666666666664</v>
      </c>
      <c r="F58" s="5">
        <v>1020.03</v>
      </c>
      <c r="I58" s="19">
        <f t="shared" si="2"/>
        <v>2230</v>
      </c>
      <c r="J58" t="b">
        <f t="shared" si="3"/>
        <v>1</v>
      </c>
      <c r="K58" s="4">
        <f t="shared" si="0"/>
        <v>-0.54258744394618841</v>
      </c>
      <c r="N58"/>
      <c r="P58" t="s">
        <v>698</v>
      </c>
      <c r="Q58">
        <v>1214</v>
      </c>
      <c r="R58">
        <v>1000.47</v>
      </c>
    </row>
    <row r="59" spans="1:18" hidden="1">
      <c r="A59" t="s">
        <v>1649</v>
      </c>
      <c r="B59" t="s">
        <v>452</v>
      </c>
      <c r="C59" t="s">
        <v>453</v>
      </c>
      <c r="D59" s="28">
        <v>1436</v>
      </c>
      <c r="E59" s="19">
        <f t="shared" si="1"/>
        <v>47.866666666666667</v>
      </c>
      <c r="F59" s="5">
        <v>1001.15</v>
      </c>
      <c r="I59" s="19">
        <f t="shared" si="2"/>
        <v>2872</v>
      </c>
      <c r="J59" t="b">
        <f t="shared" si="3"/>
        <v>1</v>
      </c>
      <c r="K59" s="4">
        <f t="shared" si="0"/>
        <v>-0.65141016713091915</v>
      </c>
      <c r="N59"/>
      <c r="P59" t="s">
        <v>162</v>
      </c>
      <c r="Q59">
        <v>1982</v>
      </c>
      <c r="R59">
        <v>1597.03</v>
      </c>
    </row>
    <row r="60" spans="1:18" hidden="1">
      <c r="A60" t="s">
        <v>1649</v>
      </c>
      <c r="B60" t="s">
        <v>524</v>
      </c>
      <c r="C60" t="s">
        <v>525</v>
      </c>
      <c r="D60" s="28">
        <v>1288</v>
      </c>
      <c r="E60" s="19">
        <f t="shared" si="1"/>
        <v>42.93333333333333</v>
      </c>
      <c r="F60" s="5">
        <v>1427.72</v>
      </c>
      <c r="I60" s="19">
        <f t="shared" si="2"/>
        <v>2576</v>
      </c>
      <c r="J60" t="b">
        <f t="shared" si="3"/>
        <v>1</v>
      </c>
      <c r="K60" s="4">
        <f t="shared" si="0"/>
        <v>-0.44576086956521743</v>
      </c>
      <c r="N60"/>
      <c r="P60" t="s">
        <v>702</v>
      </c>
      <c r="Q60">
        <v>1254</v>
      </c>
      <c r="R60">
        <v>3319.52</v>
      </c>
    </row>
    <row r="61" spans="1:18" hidden="1">
      <c r="A61" t="s">
        <v>1649</v>
      </c>
      <c r="B61" t="s">
        <v>258</v>
      </c>
      <c r="C61" t="s">
        <v>259</v>
      </c>
      <c r="D61" s="28">
        <v>2113</v>
      </c>
      <c r="E61" s="19">
        <f t="shared" si="1"/>
        <v>70.433333333333337</v>
      </c>
      <c r="F61" s="5">
        <v>1794.94</v>
      </c>
      <c r="I61" s="19">
        <f t="shared" si="2"/>
        <v>4226</v>
      </c>
      <c r="J61" t="b">
        <f t="shared" si="3"/>
        <v>1</v>
      </c>
      <c r="K61" s="4">
        <f t="shared" si="0"/>
        <v>-0.57526265972550872</v>
      </c>
      <c r="N61"/>
      <c r="P61" t="s">
        <v>315</v>
      </c>
      <c r="Q61">
        <v>971</v>
      </c>
      <c r="R61">
        <v>1914.05</v>
      </c>
    </row>
    <row r="62" spans="1:18" hidden="1">
      <c r="A62" t="s">
        <v>1649</v>
      </c>
      <c r="B62" t="s">
        <v>280</v>
      </c>
      <c r="C62" t="s">
        <v>281</v>
      </c>
      <c r="D62" s="28">
        <v>981</v>
      </c>
      <c r="E62" s="19">
        <f t="shared" si="1"/>
        <v>32.700000000000003</v>
      </c>
      <c r="F62" s="5">
        <v>634.49</v>
      </c>
      <c r="I62" s="19">
        <f t="shared" si="2"/>
        <v>1962</v>
      </c>
      <c r="J62" t="b">
        <f t="shared" si="3"/>
        <v>1</v>
      </c>
      <c r="K62" s="4">
        <f t="shared" si="0"/>
        <v>-0.67661060142711515</v>
      </c>
      <c r="N62"/>
      <c r="P62" t="s">
        <v>48</v>
      </c>
      <c r="Q62">
        <v>3925</v>
      </c>
      <c r="R62">
        <v>5623.45</v>
      </c>
    </row>
    <row r="63" spans="1:18" hidden="1">
      <c r="A63" t="s">
        <v>1649</v>
      </c>
      <c r="B63" t="s">
        <v>454</v>
      </c>
      <c r="C63" t="s">
        <v>455</v>
      </c>
      <c r="D63" s="28">
        <v>688</v>
      </c>
      <c r="E63" s="19">
        <f t="shared" si="1"/>
        <v>22.933333333333334</v>
      </c>
      <c r="F63" s="5">
        <v>619.89</v>
      </c>
      <c r="I63" s="19">
        <f t="shared" si="2"/>
        <v>1376</v>
      </c>
      <c r="J63" t="b">
        <f t="shared" si="3"/>
        <v>1</v>
      </c>
      <c r="K63" s="4">
        <f t="shared" si="0"/>
        <v>-0.54949854651162799</v>
      </c>
      <c r="N63"/>
      <c r="P63" t="s">
        <v>646</v>
      </c>
      <c r="Q63">
        <v>470</v>
      </c>
      <c r="R63">
        <v>1363.19</v>
      </c>
    </row>
    <row r="64" spans="1:18" hidden="1">
      <c r="A64" t="s">
        <v>1649</v>
      </c>
      <c r="B64" t="s">
        <v>204</v>
      </c>
      <c r="C64" t="s">
        <v>205</v>
      </c>
      <c r="D64" s="28">
        <v>1965</v>
      </c>
      <c r="E64" s="19">
        <f t="shared" si="1"/>
        <v>65.5</v>
      </c>
      <c r="F64" s="5">
        <v>803.5</v>
      </c>
      <c r="I64" s="19">
        <f t="shared" si="2"/>
        <v>3930</v>
      </c>
      <c r="J64" t="b">
        <f t="shared" si="3"/>
        <v>1</v>
      </c>
      <c r="K64" s="4">
        <f t="shared" si="0"/>
        <v>-0.79554707379134859</v>
      </c>
      <c r="N64"/>
      <c r="P64" t="s">
        <v>493</v>
      </c>
      <c r="Q64">
        <v>2026</v>
      </c>
      <c r="R64">
        <v>2164.4299999999998</v>
      </c>
    </row>
    <row r="65" spans="1:18" hidden="1">
      <c r="A65" t="s">
        <v>1651</v>
      </c>
      <c r="B65" t="s">
        <v>432</v>
      </c>
      <c r="C65" t="s">
        <v>433</v>
      </c>
      <c r="D65" s="28">
        <v>1128</v>
      </c>
      <c r="E65" s="19">
        <f t="shared" si="1"/>
        <v>37.6</v>
      </c>
      <c r="F65" s="5">
        <v>1344.7</v>
      </c>
      <c r="I65" s="19">
        <f t="shared" si="2"/>
        <v>2256</v>
      </c>
      <c r="J65" t="b">
        <f t="shared" ref="J65:J128" si="4">IF(F65&gt;1.2*I65,FALSE,TRUE)</f>
        <v>1</v>
      </c>
      <c r="K65" s="4">
        <f t="shared" ref="K65:K128" si="5">F65/I65-1</f>
        <v>-0.40394503546099292</v>
      </c>
      <c r="N65"/>
      <c r="P65" t="s">
        <v>220</v>
      </c>
      <c r="Q65">
        <v>2247</v>
      </c>
      <c r="R65">
        <v>4321.58</v>
      </c>
    </row>
    <row r="66" spans="1:18" hidden="1">
      <c r="A66" t="s">
        <v>1652</v>
      </c>
      <c r="B66" t="s">
        <v>217</v>
      </c>
      <c r="C66" t="s">
        <v>218</v>
      </c>
      <c r="D66" s="28">
        <v>2445</v>
      </c>
      <c r="E66" s="19">
        <f t="shared" si="1"/>
        <v>81.5</v>
      </c>
      <c r="F66" s="5">
        <v>4156.45</v>
      </c>
      <c r="I66" s="19">
        <f t="shared" si="2"/>
        <v>4890</v>
      </c>
      <c r="J66" t="b">
        <f t="shared" si="4"/>
        <v>1</v>
      </c>
      <c r="K66" s="4">
        <f t="shared" si="5"/>
        <v>-0.15001022494887528</v>
      </c>
      <c r="N66"/>
      <c r="P66" t="s">
        <v>545</v>
      </c>
      <c r="Q66">
        <v>2514</v>
      </c>
      <c r="R66">
        <v>2598.67</v>
      </c>
    </row>
    <row r="67" spans="1:18" hidden="1">
      <c r="A67" t="s">
        <v>1651</v>
      </c>
      <c r="B67" s="54" t="s">
        <v>108</v>
      </c>
      <c r="C67" s="37" t="s">
        <v>109</v>
      </c>
      <c r="D67" s="19">
        <v>1245</v>
      </c>
      <c r="E67" s="19">
        <f t="shared" ref="E67:E130" si="6">D67/30</f>
        <v>41.5</v>
      </c>
      <c r="F67" s="5">
        <v>1265.8599999999999</v>
      </c>
      <c r="I67" s="19">
        <f t="shared" ref="I67:I130" si="7">IF((D67/30)&gt;100,D67*2,D67*2)</f>
        <v>2490</v>
      </c>
      <c r="J67" t="b">
        <f t="shared" si="4"/>
        <v>1</v>
      </c>
      <c r="K67" s="4">
        <f t="shared" si="5"/>
        <v>-0.49162248995983937</v>
      </c>
      <c r="N67"/>
      <c r="P67" t="s">
        <v>619</v>
      </c>
      <c r="Q67">
        <v>666</v>
      </c>
      <c r="R67">
        <v>974.04</v>
      </c>
    </row>
    <row r="68" spans="1:18" hidden="1">
      <c r="A68" t="s">
        <v>1651</v>
      </c>
      <c r="B68" t="s">
        <v>426</v>
      </c>
      <c r="C68" t="s">
        <v>427</v>
      </c>
      <c r="D68" s="28">
        <v>2353</v>
      </c>
      <c r="E68" s="19">
        <f t="shared" si="6"/>
        <v>78.433333333333337</v>
      </c>
      <c r="F68" s="5">
        <v>2223.17</v>
      </c>
      <c r="I68" s="19">
        <f t="shared" si="7"/>
        <v>4706</v>
      </c>
      <c r="J68" t="b">
        <f t="shared" si="4"/>
        <v>1</v>
      </c>
      <c r="K68" s="4">
        <f t="shared" si="5"/>
        <v>-0.52758818529536766</v>
      </c>
      <c r="N68"/>
      <c r="P68" t="s">
        <v>117</v>
      </c>
      <c r="Q68">
        <v>2677</v>
      </c>
      <c r="R68">
        <v>4678.3900000000003</v>
      </c>
    </row>
    <row r="69" spans="1:18" hidden="1">
      <c r="A69" t="s">
        <v>1649</v>
      </c>
      <c r="B69" s="54" t="s">
        <v>223</v>
      </c>
      <c r="C69" s="37" t="s">
        <v>224</v>
      </c>
      <c r="D69" s="28">
        <v>1504</v>
      </c>
      <c r="E69" s="19">
        <f t="shared" si="6"/>
        <v>50.133333333333333</v>
      </c>
      <c r="F69" s="5">
        <v>2405.37</v>
      </c>
      <c r="I69" s="19">
        <f t="shared" si="7"/>
        <v>3008</v>
      </c>
      <c r="J69" t="b">
        <f t="shared" si="4"/>
        <v>1</v>
      </c>
      <c r="K69" s="4">
        <f t="shared" si="5"/>
        <v>-0.20034242021276605</v>
      </c>
      <c r="N69"/>
      <c r="P69" t="s">
        <v>252</v>
      </c>
      <c r="Q69">
        <v>1267</v>
      </c>
      <c r="R69">
        <v>2666.4</v>
      </c>
    </row>
    <row r="70" spans="1:18" hidden="1">
      <c r="A70" t="s">
        <v>1649</v>
      </c>
      <c r="B70" s="27" t="s">
        <v>50</v>
      </c>
      <c r="C70" s="27" t="s">
        <v>51</v>
      </c>
      <c r="D70" s="28">
        <v>3013</v>
      </c>
      <c r="E70" s="19">
        <f t="shared" si="6"/>
        <v>100.43333333333334</v>
      </c>
      <c r="F70" s="5">
        <v>3040.19</v>
      </c>
      <c r="I70" s="19">
        <f t="shared" si="7"/>
        <v>6026</v>
      </c>
      <c r="J70" t="b">
        <f t="shared" si="4"/>
        <v>1</v>
      </c>
      <c r="K70" s="4">
        <f t="shared" si="5"/>
        <v>-0.49548788582807834</v>
      </c>
      <c r="N70"/>
      <c r="P70" t="s">
        <v>199</v>
      </c>
      <c r="Q70">
        <v>1937</v>
      </c>
      <c r="R70">
        <v>3822.55</v>
      </c>
    </row>
    <row r="71" spans="1:18" hidden="1">
      <c r="A71" t="s">
        <v>1652</v>
      </c>
      <c r="B71" s="54" t="s">
        <v>733</v>
      </c>
      <c r="C71" s="37" t="s">
        <v>734</v>
      </c>
      <c r="D71" s="19">
        <v>323</v>
      </c>
      <c r="E71" s="19">
        <f t="shared" si="6"/>
        <v>10.766666666666667</v>
      </c>
      <c r="F71" s="5">
        <v>764.14</v>
      </c>
      <c r="I71" s="19">
        <f t="shared" si="7"/>
        <v>646</v>
      </c>
      <c r="J71" t="b">
        <f t="shared" si="4"/>
        <v>1</v>
      </c>
      <c r="K71" s="4">
        <f t="shared" si="5"/>
        <v>0.18287925696594431</v>
      </c>
      <c r="N71"/>
      <c r="P71" t="s">
        <v>638</v>
      </c>
      <c r="Q71">
        <v>898</v>
      </c>
      <c r="R71">
        <v>1192.75</v>
      </c>
    </row>
    <row r="72" spans="1:18" hidden="1">
      <c r="A72" t="s">
        <v>1649</v>
      </c>
      <c r="B72" t="s">
        <v>542</v>
      </c>
      <c r="C72" t="s">
        <v>543</v>
      </c>
      <c r="D72" s="28">
        <v>1194</v>
      </c>
      <c r="E72" s="19">
        <f t="shared" si="6"/>
        <v>39.799999999999997</v>
      </c>
      <c r="F72" s="5">
        <v>2045.75</v>
      </c>
      <c r="I72" s="19">
        <f t="shared" si="7"/>
        <v>2388</v>
      </c>
      <c r="J72" t="b">
        <f t="shared" si="4"/>
        <v>1</v>
      </c>
      <c r="K72" s="4">
        <f t="shared" si="5"/>
        <v>-0.14332077051926295</v>
      </c>
      <c r="N72"/>
      <c r="P72" t="s">
        <v>642</v>
      </c>
      <c r="Q72">
        <v>866</v>
      </c>
      <c r="R72">
        <v>951.69</v>
      </c>
    </row>
    <row r="73" spans="1:18">
      <c r="A73" t="s">
        <v>1649</v>
      </c>
      <c r="B73" t="s">
        <v>442</v>
      </c>
      <c r="C73" t="s">
        <v>443</v>
      </c>
      <c r="D73" s="28">
        <v>1064</v>
      </c>
      <c r="E73" s="19">
        <f t="shared" si="6"/>
        <v>35.466666666666669</v>
      </c>
      <c r="F73" s="5">
        <v>2808.01</v>
      </c>
      <c r="I73" s="19">
        <f t="shared" si="7"/>
        <v>2128</v>
      </c>
      <c r="J73" t="b">
        <f t="shared" si="4"/>
        <v>0</v>
      </c>
      <c r="K73" s="4">
        <f t="shared" si="5"/>
        <v>0.31955357142857155</v>
      </c>
      <c r="L73" t="s">
        <v>16</v>
      </c>
      <c r="M73" t="s">
        <v>1653</v>
      </c>
      <c r="N73"/>
      <c r="P73" t="s">
        <v>51</v>
      </c>
      <c r="Q73">
        <v>1675</v>
      </c>
      <c r="R73">
        <v>3354.17</v>
      </c>
    </row>
    <row r="74" spans="1:18" hidden="1">
      <c r="A74" t="s">
        <v>1652</v>
      </c>
      <c r="B74" t="s">
        <v>436</v>
      </c>
      <c r="C74" t="s">
        <v>437</v>
      </c>
      <c r="D74" s="28">
        <v>343</v>
      </c>
      <c r="E74" s="19">
        <f t="shared" si="6"/>
        <v>11.433333333333334</v>
      </c>
      <c r="F74" s="5">
        <v>807.62</v>
      </c>
      <c r="I74" s="19">
        <f t="shared" si="7"/>
        <v>686</v>
      </c>
      <c r="J74" t="b">
        <f t="shared" si="4"/>
        <v>1</v>
      </c>
      <c r="K74" s="4">
        <f t="shared" si="5"/>
        <v>0.17728862973760928</v>
      </c>
      <c r="N74"/>
      <c r="P74" t="s">
        <v>617</v>
      </c>
      <c r="Q74">
        <v>821</v>
      </c>
      <c r="R74">
        <v>1269.99</v>
      </c>
    </row>
    <row r="75" spans="1:18" hidden="1">
      <c r="A75" t="s">
        <v>1649</v>
      </c>
      <c r="B75" t="s">
        <v>364</v>
      </c>
      <c r="C75" t="s">
        <v>365</v>
      </c>
      <c r="D75" s="28">
        <v>2108</v>
      </c>
      <c r="E75" s="19">
        <f t="shared" si="6"/>
        <v>70.266666666666666</v>
      </c>
      <c r="F75" s="5">
        <v>1818.78</v>
      </c>
      <c r="I75" s="19">
        <f t="shared" si="7"/>
        <v>4216</v>
      </c>
      <c r="J75" t="b">
        <f t="shared" si="4"/>
        <v>1</v>
      </c>
      <c r="K75" s="4">
        <f t="shared" si="5"/>
        <v>-0.56860056925996205</v>
      </c>
      <c r="N75"/>
      <c r="P75" t="s">
        <v>585</v>
      </c>
      <c r="Q75">
        <v>472</v>
      </c>
      <c r="R75">
        <v>962.02</v>
      </c>
    </row>
    <row r="76" spans="1:18" hidden="1">
      <c r="A76" t="s">
        <v>1651</v>
      </c>
      <c r="B76" s="54" t="s">
        <v>757</v>
      </c>
      <c r="C76" s="37" t="s">
        <v>758</v>
      </c>
      <c r="D76" s="28">
        <v>14</v>
      </c>
      <c r="E76" s="19">
        <f t="shared" si="6"/>
        <v>0.46666666666666667</v>
      </c>
      <c r="F76" s="5">
        <v>0</v>
      </c>
      <c r="I76" s="19">
        <f t="shared" si="7"/>
        <v>28</v>
      </c>
      <c r="J76" t="b">
        <f t="shared" si="4"/>
        <v>1</v>
      </c>
      <c r="K76" s="4">
        <f t="shared" si="5"/>
        <v>-1</v>
      </c>
      <c r="N76"/>
      <c r="P76" t="s">
        <v>561</v>
      </c>
      <c r="Q76">
        <v>525</v>
      </c>
      <c r="R76">
        <v>774.67</v>
      </c>
    </row>
    <row r="77" spans="1:18" hidden="1">
      <c r="A77" t="s">
        <v>1651</v>
      </c>
      <c r="B77" t="s">
        <v>744</v>
      </c>
      <c r="C77" t="s">
        <v>745</v>
      </c>
      <c r="D77" s="28">
        <v>324</v>
      </c>
      <c r="E77" s="19">
        <f t="shared" si="6"/>
        <v>10.8</v>
      </c>
      <c r="F77" s="5">
        <v>287.69</v>
      </c>
      <c r="I77" s="19">
        <f t="shared" si="7"/>
        <v>648</v>
      </c>
      <c r="J77" t="b">
        <f t="shared" si="4"/>
        <v>1</v>
      </c>
      <c r="K77" s="4">
        <f t="shared" si="5"/>
        <v>-0.556033950617284</v>
      </c>
      <c r="N77"/>
      <c r="P77" t="s">
        <v>609</v>
      </c>
      <c r="Q77">
        <v>901</v>
      </c>
      <c r="R77">
        <v>1451.22</v>
      </c>
    </row>
    <row r="78" spans="1:18" hidden="1">
      <c r="A78" t="s">
        <v>1652</v>
      </c>
      <c r="B78" t="s">
        <v>47</v>
      </c>
      <c r="C78" t="s">
        <v>48</v>
      </c>
      <c r="D78" s="28">
        <v>5243</v>
      </c>
      <c r="E78" s="19">
        <f t="shared" si="6"/>
        <v>174.76666666666668</v>
      </c>
      <c r="F78" s="5">
        <v>6121.85</v>
      </c>
      <c r="I78" s="19">
        <f t="shared" si="7"/>
        <v>10486</v>
      </c>
      <c r="J78" t="b">
        <f t="shared" si="4"/>
        <v>1</v>
      </c>
      <c r="K78" s="4">
        <f t="shared" si="5"/>
        <v>-0.41618825100133505</v>
      </c>
      <c r="N78"/>
      <c r="P78" t="s">
        <v>427</v>
      </c>
      <c r="Q78">
        <v>2428</v>
      </c>
      <c r="R78">
        <v>2821.81</v>
      </c>
    </row>
    <row r="79" spans="1:18" hidden="1">
      <c r="A79" t="s">
        <v>1651</v>
      </c>
      <c r="B79" s="54" t="s">
        <v>181</v>
      </c>
      <c r="C79" s="37" t="s">
        <v>182</v>
      </c>
      <c r="D79" s="28">
        <v>1563</v>
      </c>
      <c r="E79" s="19">
        <f t="shared" si="6"/>
        <v>52.1</v>
      </c>
      <c r="F79" s="5">
        <v>3100.93</v>
      </c>
      <c r="I79" s="19">
        <f t="shared" si="7"/>
        <v>3126</v>
      </c>
      <c r="J79" t="b">
        <f t="shared" si="4"/>
        <v>1</v>
      </c>
      <c r="K79" s="4">
        <f t="shared" si="5"/>
        <v>-8.0198336532310011E-3</v>
      </c>
      <c r="N79"/>
      <c r="P79" t="s">
        <v>683</v>
      </c>
      <c r="Q79">
        <v>1476</v>
      </c>
      <c r="R79">
        <v>1165.81</v>
      </c>
    </row>
    <row r="80" spans="1:18" hidden="1">
      <c r="A80" t="s">
        <v>1649</v>
      </c>
      <c r="B80" s="54" t="s">
        <v>292</v>
      </c>
      <c r="C80" s="37" t="s">
        <v>293</v>
      </c>
      <c r="D80" s="28">
        <v>925</v>
      </c>
      <c r="E80" s="19">
        <f t="shared" si="6"/>
        <v>30.833333333333332</v>
      </c>
      <c r="F80" s="5">
        <v>2125.02</v>
      </c>
      <c r="I80" s="19">
        <f t="shared" si="7"/>
        <v>1850</v>
      </c>
      <c r="J80" t="b">
        <f t="shared" si="4"/>
        <v>1</v>
      </c>
      <c r="K80" s="4">
        <f>F80/I80-1</f>
        <v>0.14865945945945946</v>
      </c>
      <c r="P80" t="s">
        <v>601</v>
      </c>
      <c r="Q80">
        <v>978</v>
      </c>
      <c r="R80">
        <v>871.95</v>
      </c>
    </row>
    <row r="81" spans="1:18" hidden="1">
      <c r="A81" t="s">
        <v>1649</v>
      </c>
      <c r="B81" s="54" t="s">
        <v>458</v>
      </c>
      <c r="C81" s="37" t="s">
        <v>459</v>
      </c>
      <c r="D81" s="19">
        <v>733</v>
      </c>
      <c r="E81" s="19">
        <f t="shared" si="6"/>
        <v>24.433333333333334</v>
      </c>
      <c r="F81" s="5">
        <v>523.13</v>
      </c>
      <c r="I81" s="19">
        <f t="shared" si="7"/>
        <v>1466</v>
      </c>
      <c r="J81" t="b">
        <f t="shared" si="4"/>
        <v>1</v>
      </c>
      <c r="K81" s="4">
        <f t="shared" si="5"/>
        <v>-0.64315825375170532</v>
      </c>
      <c r="N81"/>
      <c r="P81" t="s">
        <v>413</v>
      </c>
      <c r="Q81">
        <v>952</v>
      </c>
      <c r="R81">
        <v>1464.03</v>
      </c>
    </row>
    <row r="82" spans="1:18" hidden="1">
      <c r="A82" t="s">
        <v>1649</v>
      </c>
      <c r="B82" s="55" t="s">
        <v>120</v>
      </c>
      <c r="C82" s="37" t="s">
        <v>121</v>
      </c>
      <c r="D82" s="28">
        <v>2298</v>
      </c>
      <c r="E82" s="19">
        <f t="shared" si="6"/>
        <v>76.599999999999994</v>
      </c>
      <c r="F82" s="5">
        <v>3619.5</v>
      </c>
      <c r="I82" s="19">
        <f t="shared" si="7"/>
        <v>4596</v>
      </c>
      <c r="J82" t="b">
        <f t="shared" si="4"/>
        <v>1</v>
      </c>
      <c r="K82" s="4">
        <f t="shared" si="5"/>
        <v>-0.21246736292428203</v>
      </c>
      <c r="N82"/>
      <c r="P82" t="s">
        <v>205</v>
      </c>
      <c r="Q82">
        <v>1631</v>
      </c>
      <c r="R82">
        <v>994.98</v>
      </c>
    </row>
    <row r="83" spans="1:18" hidden="1">
      <c r="A83" t="s">
        <v>1651</v>
      </c>
      <c r="B83" t="s">
        <v>494</v>
      </c>
      <c r="C83" t="s">
        <v>495</v>
      </c>
      <c r="D83" s="28">
        <v>772</v>
      </c>
      <c r="E83" s="19">
        <f t="shared" si="6"/>
        <v>25.733333333333334</v>
      </c>
      <c r="F83" s="5">
        <v>1298.68</v>
      </c>
      <c r="I83" s="19">
        <f t="shared" si="7"/>
        <v>1544</v>
      </c>
      <c r="J83" t="b">
        <f t="shared" si="4"/>
        <v>1</v>
      </c>
      <c r="K83" s="4">
        <f t="shared" si="5"/>
        <v>-0.15888601036269423</v>
      </c>
      <c r="N83"/>
      <c r="P83" t="s">
        <v>553</v>
      </c>
      <c r="Q83">
        <v>602</v>
      </c>
      <c r="R83">
        <v>654.19000000000005</v>
      </c>
    </row>
    <row r="84" spans="1:18" hidden="1">
      <c r="A84" t="s">
        <v>1651</v>
      </c>
      <c r="B84" t="s">
        <v>564</v>
      </c>
      <c r="C84" t="s">
        <v>565</v>
      </c>
      <c r="D84" s="28">
        <v>688</v>
      </c>
      <c r="E84" s="19">
        <f t="shared" si="6"/>
        <v>22.933333333333334</v>
      </c>
      <c r="F84" s="5">
        <v>1576.88</v>
      </c>
      <c r="I84" s="19">
        <f t="shared" si="7"/>
        <v>1376</v>
      </c>
      <c r="J84" t="b">
        <f t="shared" si="4"/>
        <v>1</v>
      </c>
      <c r="K84" s="4">
        <f t="shared" si="5"/>
        <v>0.14598837209302329</v>
      </c>
      <c r="N84"/>
      <c r="P84" t="s">
        <v>449</v>
      </c>
      <c r="Q84">
        <v>1231</v>
      </c>
      <c r="R84">
        <v>2064.81</v>
      </c>
    </row>
    <row r="85" spans="1:18" hidden="1">
      <c r="A85" t="s">
        <v>1649</v>
      </c>
      <c r="B85" t="s">
        <v>296</v>
      </c>
      <c r="C85" t="s">
        <v>297</v>
      </c>
      <c r="D85" s="28">
        <v>1272</v>
      </c>
      <c r="E85" s="19">
        <f t="shared" si="6"/>
        <v>42.4</v>
      </c>
      <c r="F85" s="5">
        <v>572.97</v>
      </c>
      <c r="I85" s="19">
        <f t="shared" si="7"/>
        <v>2544</v>
      </c>
      <c r="J85" t="b">
        <f t="shared" si="4"/>
        <v>1</v>
      </c>
      <c r="K85" s="4">
        <f t="shared" si="5"/>
        <v>-0.77477594339622646</v>
      </c>
      <c r="N85"/>
      <c r="P85" t="s">
        <v>263</v>
      </c>
      <c r="Q85">
        <v>1672</v>
      </c>
      <c r="R85">
        <v>3182.12</v>
      </c>
    </row>
    <row r="86" spans="1:18" hidden="1">
      <c r="A86" t="s">
        <v>1649</v>
      </c>
      <c r="B86" t="s">
        <v>705</v>
      </c>
      <c r="C86" t="s">
        <v>706</v>
      </c>
      <c r="D86" s="28">
        <v>33</v>
      </c>
      <c r="E86" s="19">
        <f t="shared" si="6"/>
        <v>1.1000000000000001</v>
      </c>
      <c r="F86" s="5">
        <v>43.55</v>
      </c>
      <c r="I86" s="19">
        <f t="shared" si="7"/>
        <v>66</v>
      </c>
      <c r="J86" t="b">
        <f t="shared" si="4"/>
        <v>1</v>
      </c>
      <c r="K86" s="4">
        <f t="shared" si="5"/>
        <v>-0.3401515151515152</v>
      </c>
      <c r="N86"/>
      <c r="P86" t="s">
        <v>311</v>
      </c>
      <c r="Q86">
        <v>662</v>
      </c>
      <c r="R86">
        <v>310.57</v>
      </c>
    </row>
    <row r="87" spans="1:18" hidden="1">
      <c r="A87" t="s">
        <v>1651</v>
      </c>
      <c r="B87" t="s">
        <v>225</v>
      </c>
      <c r="C87" t="s">
        <v>226</v>
      </c>
      <c r="D87" s="28">
        <v>1167</v>
      </c>
      <c r="E87" s="19">
        <f t="shared" si="6"/>
        <v>38.9</v>
      </c>
      <c r="F87" s="5">
        <v>1915.31</v>
      </c>
      <c r="I87" s="19">
        <f t="shared" si="7"/>
        <v>2334</v>
      </c>
      <c r="J87" t="b">
        <f t="shared" si="4"/>
        <v>1</v>
      </c>
      <c r="K87" s="4">
        <f t="shared" si="5"/>
        <v>-0.17938731790916884</v>
      </c>
      <c r="N87"/>
      <c r="P87" t="s">
        <v>256</v>
      </c>
      <c r="Q87">
        <v>423</v>
      </c>
      <c r="R87">
        <v>765.94</v>
      </c>
    </row>
    <row r="88" spans="1:18" hidden="1">
      <c r="A88" t="s">
        <v>1652</v>
      </c>
      <c r="B88" s="54" t="s">
        <v>622</v>
      </c>
      <c r="C88" s="37" t="s">
        <v>623</v>
      </c>
      <c r="D88" s="28">
        <v>1491</v>
      </c>
      <c r="E88" s="19">
        <f t="shared" si="6"/>
        <v>49.7</v>
      </c>
      <c r="F88" s="5">
        <v>2419.9899999999998</v>
      </c>
      <c r="I88" s="19">
        <f t="shared" si="7"/>
        <v>2982</v>
      </c>
      <c r="J88" t="b">
        <f t="shared" si="4"/>
        <v>1</v>
      </c>
      <c r="K88" s="4">
        <f t="shared" si="5"/>
        <v>-0.18846747149564058</v>
      </c>
      <c r="N88"/>
      <c r="P88" t="s">
        <v>583</v>
      </c>
      <c r="Q88">
        <v>431</v>
      </c>
      <c r="R88">
        <v>742.51</v>
      </c>
    </row>
    <row r="89" spans="1:18" hidden="1">
      <c r="A89" t="s">
        <v>1649</v>
      </c>
      <c r="B89" s="37" t="s">
        <v>496</v>
      </c>
      <c r="C89" s="37" t="s">
        <v>497</v>
      </c>
      <c r="D89" s="28">
        <v>1649</v>
      </c>
      <c r="E89" s="19">
        <f t="shared" si="6"/>
        <v>54.966666666666669</v>
      </c>
      <c r="F89" s="5">
        <v>2533.1799999999998</v>
      </c>
      <c r="I89" s="19">
        <f t="shared" si="7"/>
        <v>3298</v>
      </c>
      <c r="J89" t="b">
        <f t="shared" si="4"/>
        <v>1</v>
      </c>
      <c r="K89" s="4">
        <f t="shared" si="5"/>
        <v>-0.23190418435415405</v>
      </c>
      <c r="N89"/>
      <c r="P89" t="s">
        <v>1484</v>
      </c>
      <c r="Q89">
        <v>208</v>
      </c>
      <c r="R89">
        <v>461.06</v>
      </c>
    </row>
    <row r="90" spans="1:18" hidden="1">
      <c r="A90" t="s">
        <v>1649</v>
      </c>
      <c r="B90" s="37" t="s">
        <v>496</v>
      </c>
      <c r="C90" s="37" t="s">
        <v>497</v>
      </c>
      <c r="D90" s="28">
        <v>1649</v>
      </c>
      <c r="E90" s="19">
        <f t="shared" si="6"/>
        <v>54.966666666666669</v>
      </c>
      <c r="F90" s="5">
        <v>2533.1799999999998</v>
      </c>
      <c r="I90" s="19">
        <f t="shared" si="7"/>
        <v>3298</v>
      </c>
      <c r="J90" t="b">
        <f t="shared" si="4"/>
        <v>1</v>
      </c>
      <c r="K90" s="4">
        <f t="shared" si="5"/>
        <v>-0.23190418435415405</v>
      </c>
      <c r="N90"/>
      <c r="P90" t="s">
        <v>563</v>
      </c>
      <c r="Q90">
        <v>427</v>
      </c>
      <c r="R90">
        <v>594.62</v>
      </c>
    </row>
    <row r="91" spans="1:18" hidden="1">
      <c r="A91" t="s">
        <v>1649</v>
      </c>
      <c r="B91" t="s">
        <v>520</v>
      </c>
      <c r="C91" t="s">
        <v>521</v>
      </c>
      <c r="D91" s="28">
        <v>2450</v>
      </c>
      <c r="E91" s="19">
        <f t="shared" si="6"/>
        <v>81.666666666666671</v>
      </c>
      <c r="F91" s="5">
        <v>3738</v>
      </c>
      <c r="I91" s="19">
        <f t="shared" si="7"/>
        <v>4900</v>
      </c>
      <c r="J91" t="b">
        <f t="shared" si="4"/>
        <v>1</v>
      </c>
      <c r="K91" s="4">
        <f t="shared" si="5"/>
        <v>-0.2371428571428571</v>
      </c>
      <c r="N91"/>
      <c r="P91" t="s">
        <v>678</v>
      </c>
      <c r="Q91">
        <v>6857</v>
      </c>
      <c r="R91">
        <v>7319.16</v>
      </c>
    </row>
    <row r="92" spans="1:18" hidden="1">
      <c r="A92" t="s">
        <v>1651</v>
      </c>
      <c r="B92" t="s">
        <v>386</v>
      </c>
      <c r="C92" t="s">
        <v>387</v>
      </c>
      <c r="D92" s="28">
        <v>925</v>
      </c>
      <c r="E92" s="19">
        <f t="shared" si="6"/>
        <v>30.833333333333332</v>
      </c>
      <c r="F92" s="5">
        <v>913.15</v>
      </c>
      <c r="I92" s="19">
        <f t="shared" si="7"/>
        <v>1850</v>
      </c>
      <c r="J92" t="b">
        <f t="shared" si="4"/>
        <v>1</v>
      </c>
      <c r="K92" s="4">
        <f t="shared" si="5"/>
        <v>-0.50640540540540546</v>
      </c>
      <c r="N92"/>
      <c r="P92" t="s">
        <v>674</v>
      </c>
      <c r="Q92">
        <v>1277</v>
      </c>
      <c r="R92">
        <v>2567.0300000000002</v>
      </c>
    </row>
    <row r="93" spans="1:18" hidden="1">
      <c r="A93" t="s">
        <v>1649</v>
      </c>
      <c r="B93" t="s">
        <v>406</v>
      </c>
      <c r="C93" t="s">
        <v>407</v>
      </c>
      <c r="D93" s="28">
        <v>964</v>
      </c>
      <c r="E93" s="19">
        <f t="shared" si="6"/>
        <v>32.133333333333333</v>
      </c>
      <c r="F93" s="5">
        <v>1327.03</v>
      </c>
      <c r="I93" s="19">
        <f t="shared" si="7"/>
        <v>1928</v>
      </c>
      <c r="J93" t="b">
        <f t="shared" si="4"/>
        <v>1</v>
      </c>
      <c r="K93" s="4">
        <f t="shared" si="5"/>
        <v>-0.31170643153526978</v>
      </c>
      <c r="N93"/>
      <c r="P93" t="s">
        <v>513</v>
      </c>
      <c r="Q93">
        <v>1046</v>
      </c>
      <c r="R93">
        <v>905.93</v>
      </c>
    </row>
    <row r="94" spans="1:18">
      <c r="A94" t="s">
        <v>1649</v>
      </c>
      <c r="B94" s="54" t="s">
        <v>741</v>
      </c>
      <c r="C94" s="37" t="s">
        <v>742</v>
      </c>
      <c r="D94" s="28">
        <v>1422</v>
      </c>
      <c r="E94" s="19">
        <f t="shared" si="6"/>
        <v>47.4</v>
      </c>
      <c r="F94" s="5">
        <v>4194.75</v>
      </c>
      <c r="I94" s="19">
        <f t="shared" si="7"/>
        <v>2844</v>
      </c>
      <c r="J94" t="b">
        <f t="shared" si="4"/>
        <v>0</v>
      </c>
      <c r="K94" s="4">
        <f t="shared" si="5"/>
        <v>0.47494725738396615</v>
      </c>
      <c r="L94" t="s">
        <v>19</v>
      </c>
      <c r="M94" t="s">
        <v>1654</v>
      </c>
      <c r="N94"/>
      <c r="P94" t="s">
        <v>423</v>
      </c>
      <c r="Q94">
        <v>577</v>
      </c>
      <c r="R94">
        <v>720.77</v>
      </c>
    </row>
    <row r="95" spans="1:18" hidden="1">
      <c r="A95" t="s">
        <v>1649</v>
      </c>
      <c r="B95" t="s">
        <v>512</v>
      </c>
      <c r="C95" t="s">
        <v>513</v>
      </c>
      <c r="D95" s="28">
        <v>857</v>
      </c>
      <c r="E95" s="19">
        <f t="shared" si="6"/>
        <v>28.566666666666666</v>
      </c>
      <c r="F95" s="5">
        <v>870.45</v>
      </c>
      <c r="I95" s="19">
        <f t="shared" si="7"/>
        <v>1714</v>
      </c>
      <c r="J95" t="b">
        <f t="shared" si="4"/>
        <v>1</v>
      </c>
      <c r="K95" s="4">
        <f t="shared" si="5"/>
        <v>-0.49215285880980164</v>
      </c>
      <c r="N95"/>
      <c r="P95" t="s">
        <v>634</v>
      </c>
      <c r="Q95">
        <v>576</v>
      </c>
      <c r="R95">
        <v>686.87</v>
      </c>
    </row>
    <row r="96" spans="1:18" hidden="1">
      <c r="A96" t="s">
        <v>1652</v>
      </c>
      <c r="B96" s="54" t="s">
        <v>202</v>
      </c>
      <c r="C96" s="37" t="s">
        <v>203</v>
      </c>
      <c r="D96" s="28">
        <v>1103</v>
      </c>
      <c r="E96" s="19">
        <f t="shared" si="6"/>
        <v>36.766666666666666</v>
      </c>
      <c r="F96" s="5">
        <v>1743.49</v>
      </c>
      <c r="I96" s="19">
        <f t="shared" si="7"/>
        <v>2206</v>
      </c>
      <c r="J96" t="b">
        <f t="shared" si="4"/>
        <v>1</v>
      </c>
      <c r="K96" s="4">
        <f t="shared" si="5"/>
        <v>-0.20966001813236623</v>
      </c>
      <c r="N96"/>
      <c r="P96" t="s">
        <v>579</v>
      </c>
      <c r="Q96">
        <v>752</v>
      </c>
      <c r="R96">
        <v>616.62</v>
      </c>
    </row>
    <row r="97" spans="1:18" hidden="1">
      <c r="A97" t="s">
        <v>1649</v>
      </c>
      <c r="B97" s="54" t="s">
        <v>229</v>
      </c>
      <c r="C97" s="37" t="s">
        <v>230</v>
      </c>
      <c r="D97" s="28">
        <v>770</v>
      </c>
      <c r="E97" s="19">
        <f t="shared" si="6"/>
        <v>25.666666666666668</v>
      </c>
      <c r="F97" s="5">
        <v>1384.15</v>
      </c>
      <c r="I97" s="19">
        <f t="shared" si="7"/>
        <v>1540</v>
      </c>
      <c r="J97" t="b">
        <f t="shared" si="4"/>
        <v>1</v>
      </c>
      <c r="K97" s="4">
        <f t="shared" si="5"/>
        <v>-0.10120129870129868</v>
      </c>
      <c r="N97"/>
      <c r="P97" t="s">
        <v>397</v>
      </c>
      <c r="Q97">
        <v>613</v>
      </c>
      <c r="R97">
        <v>1513.71</v>
      </c>
    </row>
    <row r="98" spans="1:18" hidden="1">
      <c r="A98" t="s">
        <v>1649</v>
      </c>
      <c r="B98" t="s">
        <v>466</v>
      </c>
      <c r="C98" t="s">
        <v>467</v>
      </c>
      <c r="D98" s="28">
        <v>795</v>
      </c>
      <c r="E98" s="19">
        <f t="shared" si="6"/>
        <v>26.5</v>
      </c>
      <c r="F98" s="5">
        <v>1620.41</v>
      </c>
      <c r="I98" s="19">
        <f t="shared" si="7"/>
        <v>1590</v>
      </c>
      <c r="J98" t="b">
        <f t="shared" si="4"/>
        <v>1</v>
      </c>
      <c r="K98" s="4">
        <f t="shared" si="5"/>
        <v>1.9125786163522118E-2</v>
      </c>
      <c r="N98"/>
      <c r="P98" t="s">
        <v>680</v>
      </c>
      <c r="Q98">
        <v>1880</v>
      </c>
      <c r="R98">
        <v>3516.22</v>
      </c>
    </row>
    <row r="99" spans="1:18" hidden="1">
      <c r="A99" t="s">
        <v>1649</v>
      </c>
      <c r="B99" t="s">
        <v>194</v>
      </c>
      <c r="C99" t="s">
        <v>195</v>
      </c>
      <c r="D99" s="28">
        <v>1819</v>
      </c>
      <c r="E99" s="19">
        <f t="shared" si="6"/>
        <v>60.633333333333333</v>
      </c>
      <c r="F99" s="5">
        <v>1473.39</v>
      </c>
      <c r="I99" s="19">
        <f t="shared" si="7"/>
        <v>3638</v>
      </c>
      <c r="J99" t="b">
        <f t="shared" si="4"/>
        <v>1</v>
      </c>
      <c r="K99" s="4">
        <f t="shared" si="5"/>
        <v>-0.59499999999999997</v>
      </c>
      <c r="N99"/>
      <c r="P99" t="s">
        <v>650</v>
      </c>
      <c r="Q99">
        <v>513</v>
      </c>
      <c r="R99">
        <v>883.21</v>
      </c>
    </row>
    <row r="100" spans="1:18" hidden="1">
      <c r="A100" t="s">
        <v>1651</v>
      </c>
      <c r="B100" t="s">
        <v>548</v>
      </c>
      <c r="C100" t="s">
        <v>549</v>
      </c>
      <c r="D100" s="28">
        <v>285</v>
      </c>
      <c r="E100" s="19">
        <f t="shared" si="6"/>
        <v>9.5</v>
      </c>
      <c r="F100" s="5">
        <v>0</v>
      </c>
      <c r="I100" s="19">
        <f t="shared" si="7"/>
        <v>570</v>
      </c>
      <c r="J100" t="b">
        <f t="shared" si="4"/>
        <v>1</v>
      </c>
      <c r="K100" s="4">
        <f t="shared" si="5"/>
        <v>-1</v>
      </c>
      <c r="N100"/>
      <c r="P100" t="s">
        <v>447</v>
      </c>
      <c r="Q100">
        <v>196</v>
      </c>
      <c r="R100">
        <v>537.36</v>
      </c>
    </row>
    <row r="101" spans="1:18" hidden="1">
      <c r="A101" t="s">
        <v>1649</v>
      </c>
      <c r="B101" s="37" t="s">
        <v>627</v>
      </c>
      <c r="C101" s="37" t="s">
        <v>628</v>
      </c>
      <c r="D101" s="28">
        <v>2648</v>
      </c>
      <c r="E101" s="19">
        <f t="shared" si="6"/>
        <v>88.266666666666666</v>
      </c>
      <c r="F101" s="5">
        <v>4819.6499999999996</v>
      </c>
      <c r="I101" s="19">
        <f t="shared" si="7"/>
        <v>5296</v>
      </c>
      <c r="J101" t="b">
        <f t="shared" si="4"/>
        <v>1</v>
      </c>
      <c r="K101" s="4">
        <f t="shared" si="5"/>
        <v>-8.9945241691842925E-2</v>
      </c>
      <c r="N101"/>
      <c r="P101" t="s">
        <v>591</v>
      </c>
      <c r="Q101">
        <v>707</v>
      </c>
      <c r="R101">
        <v>1007.87</v>
      </c>
    </row>
    <row r="102" spans="1:18" hidden="1">
      <c r="A102" t="s">
        <v>1652</v>
      </c>
      <c r="B102" s="54" t="s">
        <v>134</v>
      </c>
      <c r="C102" s="37" t="s">
        <v>135</v>
      </c>
      <c r="D102" s="28">
        <v>1271</v>
      </c>
      <c r="E102" s="19">
        <f t="shared" si="6"/>
        <v>42.366666666666667</v>
      </c>
      <c r="F102" s="5">
        <v>1878.89</v>
      </c>
      <c r="I102" s="19">
        <f t="shared" si="7"/>
        <v>2542</v>
      </c>
      <c r="J102" t="b">
        <f t="shared" si="4"/>
        <v>1</v>
      </c>
      <c r="K102" s="4">
        <f t="shared" si="5"/>
        <v>-0.26086152635719906</v>
      </c>
      <c r="N102"/>
      <c r="P102" t="s">
        <v>88</v>
      </c>
      <c r="Q102">
        <v>1594</v>
      </c>
      <c r="R102">
        <v>209.91</v>
      </c>
    </row>
    <row r="103" spans="1:18" hidden="1">
      <c r="A103" t="s">
        <v>1652</v>
      </c>
      <c r="B103" t="s">
        <v>653</v>
      </c>
      <c r="C103" t="s">
        <v>654</v>
      </c>
      <c r="D103" s="28">
        <v>429</v>
      </c>
      <c r="E103" s="19">
        <f t="shared" si="6"/>
        <v>14.3</v>
      </c>
      <c r="F103" s="5">
        <v>547.14</v>
      </c>
      <c r="I103" s="19">
        <f t="shared" si="7"/>
        <v>858</v>
      </c>
      <c r="J103" t="b">
        <f t="shared" si="4"/>
        <v>1</v>
      </c>
      <c r="K103" s="4">
        <f t="shared" si="5"/>
        <v>-0.36230769230769233</v>
      </c>
      <c r="N103"/>
      <c r="P103" t="s">
        <v>740</v>
      </c>
      <c r="Q103">
        <v>2511</v>
      </c>
      <c r="R103">
        <v>2473.92</v>
      </c>
    </row>
    <row r="104" spans="1:18" hidden="1">
      <c r="A104" t="s">
        <v>1651</v>
      </c>
      <c r="B104" t="s">
        <v>159</v>
      </c>
      <c r="C104" t="s">
        <v>160</v>
      </c>
      <c r="D104" s="28">
        <v>1591</v>
      </c>
      <c r="E104" s="19">
        <f t="shared" si="6"/>
        <v>53.033333333333331</v>
      </c>
      <c r="F104" s="5">
        <v>2600.31</v>
      </c>
      <c r="I104" s="19">
        <f t="shared" si="7"/>
        <v>3182</v>
      </c>
      <c r="J104" t="b">
        <f t="shared" si="4"/>
        <v>1</v>
      </c>
      <c r="K104" s="4">
        <f t="shared" si="5"/>
        <v>-0.18280641106222506</v>
      </c>
      <c r="N104"/>
      <c r="P104" t="s">
        <v>439</v>
      </c>
      <c r="Q104">
        <v>1114</v>
      </c>
      <c r="R104">
        <v>1550.98</v>
      </c>
    </row>
    <row r="105" spans="1:18" hidden="1">
      <c r="A105" t="s">
        <v>1649</v>
      </c>
      <c r="B105" t="s">
        <v>266</v>
      </c>
      <c r="C105" t="s">
        <v>267</v>
      </c>
      <c r="D105" s="28">
        <v>2638</v>
      </c>
      <c r="E105" s="19">
        <f t="shared" si="6"/>
        <v>87.933333333333337</v>
      </c>
      <c r="F105" s="5">
        <v>4268.57</v>
      </c>
      <c r="I105" s="19">
        <f t="shared" si="7"/>
        <v>5276</v>
      </c>
      <c r="J105" t="b">
        <f t="shared" si="4"/>
        <v>1</v>
      </c>
      <c r="K105" s="4">
        <f t="shared" si="5"/>
        <v>-0.19094579226686892</v>
      </c>
      <c r="N105"/>
      <c r="P105" t="s">
        <v>689</v>
      </c>
      <c r="Q105">
        <v>950</v>
      </c>
      <c r="R105">
        <v>648.47</v>
      </c>
    </row>
    <row r="106" spans="1:18" hidden="1">
      <c r="A106" t="s">
        <v>1649</v>
      </c>
      <c r="B106" t="s">
        <v>707</v>
      </c>
      <c r="C106" t="s">
        <v>708</v>
      </c>
      <c r="D106" s="28">
        <v>230</v>
      </c>
      <c r="E106" s="19">
        <f t="shared" si="6"/>
        <v>7.666666666666667</v>
      </c>
      <c r="F106" s="5">
        <v>19.420000000000002</v>
      </c>
      <c r="I106" s="19">
        <f t="shared" si="7"/>
        <v>460</v>
      </c>
      <c r="J106" t="b">
        <f t="shared" si="4"/>
        <v>1</v>
      </c>
      <c r="K106" s="4">
        <f t="shared" si="5"/>
        <v>-0.95778260869565213</v>
      </c>
      <c r="N106"/>
      <c r="P106" t="s">
        <v>531</v>
      </c>
      <c r="Q106">
        <v>756</v>
      </c>
      <c r="R106">
        <v>555.17999999999995</v>
      </c>
    </row>
    <row r="107" spans="1:18" hidden="1">
      <c r="A107" t="s">
        <v>1649</v>
      </c>
      <c r="B107" t="s">
        <v>316</v>
      </c>
      <c r="C107" t="s">
        <v>317</v>
      </c>
      <c r="D107" s="28">
        <v>991</v>
      </c>
      <c r="E107" s="19">
        <f t="shared" si="6"/>
        <v>33.033333333333331</v>
      </c>
      <c r="F107" s="5">
        <v>898.34</v>
      </c>
      <c r="I107" s="19">
        <f t="shared" si="7"/>
        <v>1982</v>
      </c>
      <c r="J107" t="b">
        <f t="shared" si="4"/>
        <v>1</v>
      </c>
      <c r="K107" s="4">
        <f t="shared" si="5"/>
        <v>-0.5467507568113017</v>
      </c>
      <c r="N107"/>
      <c r="P107" t="s">
        <v>539</v>
      </c>
      <c r="Q107">
        <v>535</v>
      </c>
      <c r="R107">
        <v>654.45000000000005</v>
      </c>
    </row>
    <row r="108" spans="1:18" hidden="1">
      <c r="A108" t="s">
        <v>1649</v>
      </c>
      <c r="B108" t="s">
        <v>302</v>
      </c>
      <c r="C108" t="s">
        <v>303</v>
      </c>
      <c r="D108" s="28">
        <v>2008</v>
      </c>
      <c r="E108" s="19">
        <f t="shared" si="6"/>
        <v>66.933333333333337</v>
      </c>
      <c r="F108" s="5">
        <v>1502.87</v>
      </c>
      <c r="I108" s="19">
        <f t="shared" si="7"/>
        <v>4016</v>
      </c>
      <c r="J108" t="b">
        <f t="shared" si="4"/>
        <v>1</v>
      </c>
      <c r="K108" s="4">
        <f t="shared" si="5"/>
        <v>-0.62577938247011955</v>
      </c>
      <c r="N108"/>
      <c r="P108" t="s">
        <v>723</v>
      </c>
      <c r="Q108">
        <v>1992</v>
      </c>
      <c r="R108">
        <v>2894.27</v>
      </c>
    </row>
    <row r="109" spans="1:18" hidden="1">
      <c r="A109" t="s">
        <v>1649</v>
      </c>
      <c r="B109" s="54" t="s">
        <v>98</v>
      </c>
      <c r="C109" s="37" t="s">
        <v>99</v>
      </c>
      <c r="D109" s="19">
        <v>1857</v>
      </c>
      <c r="E109" s="19">
        <f t="shared" si="6"/>
        <v>61.9</v>
      </c>
      <c r="F109" s="5">
        <v>3582.61</v>
      </c>
      <c r="I109" s="19">
        <f t="shared" si="7"/>
        <v>3714</v>
      </c>
      <c r="J109" t="b">
        <f t="shared" si="4"/>
        <v>1</v>
      </c>
      <c r="K109" s="4">
        <f t="shared" si="5"/>
        <v>-3.5376952073236323E-2</v>
      </c>
      <c r="P109" t="s">
        <v>652</v>
      </c>
      <c r="Q109">
        <v>910</v>
      </c>
      <c r="R109">
        <v>725.37</v>
      </c>
    </row>
    <row r="110" spans="1:18" hidden="1">
      <c r="A110" t="s">
        <v>1649</v>
      </c>
      <c r="B110" t="s">
        <v>590</v>
      </c>
      <c r="C110" t="s">
        <v>591</v>
      </c>
      <c r="D110" s="28">
        <v>234</v>
      </c>
      <c r="E110" s="19">
        <f t="shared" si="6"/>
        <v>7.8</v>
      </c>
      <c r="F110" s="5">
        <v>319.17</v>
      </c>
      <c r="I110" s="19">
        <f t="shared" si="7"/>
        <v>468</v>
      </c>
      <c r="J110" t="b">
        <f t="shared" si="4"/>
        <v>1</v>
      </c>
      <c r="K110" s="4">
        <f t="shared" si="5"/>
        <v>-0.31801282051282043</v>
      </c>
      <c r="N110"/>
      <c r="P110" t="s">
        <v>630</v>
      </c>
      <c r="Q110">
        <v>991</v>
      </c>
      <c r="R110">
        <v>1487.32</v>
      </c>
    </row>
    <row r="111" spans="1:18" hidden="1">
      <c r="A111" t="s">
        <v>1649</v>
      </c>
      <c r="B111" t="s">
        <v>255</v>
      </c>
      <c r="C111" t="s">
        <v>256</v>
      </c>
      <c r="D111" s="28">
        <v>1105</v>
      </c>
      <c r="E111" s="19">
        <f t="shared" si="6"/>
        <v>36.833333333333336</v>
      </c>
      <c r="F111" s="5">
        <v>1509.26</v>
      </c>
      <c r="I111" s="19">
        <f t="shared" si="7"/>
        <v>2210</v>
      </c>
      <c r="J111" t="b">
        <f t="shared" si="4"/>
        <v>1</v>
      </c>
      <c r="K111" s="4">
        <f t="shared" si="5"/>
        <v>-0.31707692307692303</v>
      </c>
      <c r="N111"/>
      <c r="P111" t="s">
        <v>469</v>
      </c>
      <c r="Q111">
        <v>1070</v>
      </c>
      <c r="R111">
        <v>1533.49</v>
      </c>
    </row>
    <row r="112" spans="1:18" hidden="1">
      <c r="A112" t="s">
        <v>1652</v>
      </c>
      <c r="B112" t="s">
        <v>428</v>
      </c>
      <c r="C112" t="s">
        <v>429</v>
      </c>
      <c r="D112" s="28">
        <v>201</v>
      </c>
      <c r="E112" s="19">
        <f t="shared" si="6"/>
        <v>6.7</v>
      </c>
      <c r="F112" s="5">
        <v>0</v>
      </c>
      <c r="I112" s="19">
        <f t="shared" si="7"/>
        <v>402</v>
      </c>
      <c r="J112" t="b">
        <f t="shared" si="4"/>
        <v>1</v>
      </c>
      <c r="K112" s="4">
        <f t="shared" si="5"/>
        <v>-1</v>
      </c>
      <c r="N112"/>
      <c r="P112" t="s">
        <v>509</v>
      </c>
      <c r="Q112">
        <v>269</v>
      </c>
      <c r="R112">
        <v>387.38</v>
      </c>
    </row>
    <row r="113" spans="1:18" hidden="1">
      <c r="A113" t="s">
        <v>1651</v>
      </c>
      <c r="B113" t="s">
        <v>570</v>
      </c>
      <c r="C113" t="s">
        <v>571</v>
      </c>
      <c r="D113" s="28">
        <v>1226</v>
      </c>
      <c r="E113" s="19">
        <f t="shared" si="6"/>
        <v>40.866666666666667</v>
      </c>
      <c r="F113" s="5">
        <v>1690.91</v>
      </c>
      <c r="I113" s="19">
        <f t="shared" si="7"/>
        <v>2452</v>
      </c>
      <c r="J113" t="b">
        <f t="shared" si="4"/>
        <v>1</v>
      </c>
      <c r="K113" s="4">
        <f t="shared" si="5"/>
        <v>-0.31039559543230011</v>
      </c>
      <c r="N113"/>
      <c r="P113" t="s">
        <v>587</v>
      </c>
      <c r="Q113">
        <v>366</v>
      </c>
      <c r="R113">
        <v>652.61</v>
      </c>
    </row>
    <row r="114" spans="1:18" hidden="1">
      <c r="A114" t="s">
        <v>1649</v>
      </c>
      <c r="B114" s="55" t="s">
        <v>414</v>
      </c>
      <c r="C114" s="37" t="s">
        <v>415</v>
      </c>
      <c r="D114" s="28">
        <v>1018</v>
      </c>
      <c r="E114" s="19">
        <f t="shared" si="6"/>
        <v>33.93333333333333</v>
      </c>
      <c r="F114" s="5">
        <v>2108.19</v>
      </c>
      <c r="I114" s="19">
        <f t="shared" si="7"/>
        <v>2036</v>
      </c>
      <c r="J114" t="b">
        <f t="shared" si="4"/>
        <v>1</v>
      </c>
      <c r="K114" s="4">
        <f t="shared" si="5"/>
        <v>3.5456777996070832E-2</v>
      </c>
      <c r="N114"/>
      <c r="P114" t="s">
        <v>303</v>
      </c>
      <c r="Q114">
        <v>2113</v>
      </c>
      <c r="R114">
        <v>2307.63</v>
      </c>
    </row>
    <row r="115" spans="1:18" hidden="1">
      <c r="A115" t="s">
        <v>1649</v>
      </c>
      <c r="B115" t="s">
        <v>388</v>
      </c>
      <c r="C115" t="s">
        <v>389</v>
      </c>
      <c r="D115" s="28">
        <v>664</v>
      </c>
      <c r="E115" s="19">
        <f t="shared" si="6"/>
        <v>22.133333333333333</v>
      </c>
      <c r="F115" s="5">
        <v>1075.8900000000001</v>
      </c>
      <c r="I115" s="19">
        <f t="shared" si="7"/>
        <v>1328</v>
      </c>
      <c r="J115" t="b">
        <f t="shared" si="4"/>
        <v>1</v>
      </c>
      <c r="K115" s="4">
        <f t="shared" si="5"/>
        <v>-0.18984186746987941</v>
      </c>
      <c r="N115"/>
      <c r="P115" t="s">
        <v>195</v>
      </c>
      <c r="Q115">
        <v>1161</v>
      </c>
      <c r="R115">
        <v>883.15</v>
      </c>
    </row>
    <row r="116" spans="1:18" hidden="1">
      <c r="A116" t="s">
        <v>1651</v>
      </c>
      <c r="B116" t="s">
        <v>314</v>
      </c>
      <c r="C116" t="s">
        <v>315</v>
      </c>
      <c r="D116" s="28">
        <v>852</v>
      </c>
      <c r="E116" s="19">
        <f t="shared" si="6"/>
        <v>28.4</v>
      </c>
      <c r="F116" s="5">
        <v>1415.26</v>
      </c>
      <c r="I116" s="19">
        <f t="shared" si="7"/>
        <v>1704</v>
      </c>
      <c r="J116" t="b">
        <f t="shared" si="4"/>
        <v>1</v>
      </c>
      <c r="K116" s="4">
        <f t="shared" si="5"/>
        <v>-0.16944835680751169</v>
      </c>
      <c r="N116"/>
      <c r="P116" t="s">
        <v>676</v>
      </c>
      <c r="Q116">
        <v>690</v>
      </c>
      <c r="R116">
        <v>545.20000000000005</v>
      </c>
    </row>
    <row r="117" spans="1:18" hidden="1">
      <c r="A117" t="s">
        <v>1652</v>
      </c>
      <c r="B117" s="54" t="s">
        <v>324</v>
      </c>
      <c r="C117" s="37" t="s">
        <v>325</v>
      </c>
      <c r="D117" s="28">
        <v>889</v>
      </c>
      <c r="E117" s="19">
        <f t="shared" si="6"/>
        <v>29.633333333333333</v>
      </c>
      <c r="F117" s="5">
        <v>1241.4100000000001</v>
      </c>
      <c r="I117" s="19">
        <f t="shared" si="7"/>
        <v>1778</v>
      </c>
      <c r="J117" t="b">
        <f t="shared" si="4"/>
        <v>1</v>
      </c>
      <c r="K117" s="4">
        <f t="shared" si="5"/>
        <v>-0.30179415073115856</v>
      </c>
      <c r="N117"/>
      <c r="P117" t="s">
        <v>226</v>
      </c>
      <c r="Q117">
        <v>1115</v>
      </c>
      <c r="R117">
        <v>2200.4899999999998</v>
      </c>
    </row>
    <row r="118" spans="1:18" hidden="1">
      <c r="A118" t="s">
        <v>1649</v>
      </c>
      <c r="B118" t="s">
        <v>430</v>
      </c>
      <c r="C118" t="s">
        <v>431</v>
      </c>
      <c r="D118" s="28">
        <v>2245</v>
      </c>
      <c r="E118" s="19">
        <f t="shared" si="6"/>
        <v>74.833333333333329</v>
      </c>
      <c r="F118" s="5">
        <v>3517.63</v>
      </c>
      <c r="I118" s="19">
        <f t="shared" si="7"/>
        <v>4490</v>
      </c>
      <c r="J118" t="b">
        <f t="shared" si="4"/>
        <v>1</v>
      </c>
      <c r="K118" s="4">
        <f t="shared" si="5"/>
        <v>-0.21656347438752777</v>
      </c>
      <c r="N118"/>
      <c r="P118" t="s">
        <v>515</v>
      </c>
      <c r="Q118">
        <v>1273</v>
      </c>
      <c r="R118">
        <v>1409.27</v>
      </c>
    </row>
    <row r="119" spans="1:18" hidden="1">
      <c r="A119" t="s">
        <v>1651</v>
      </c>
      <c r="B119" s="37" t="s">
        <v>416</v>
      </c>
      <c r="C119" s="37" t="s">
        <v>417</v>
      </c>
      <c r="D119" s="28">
        <v>537</v>
      </c>
      <c r="E119" s="19">
        <f t="shared" si="6"/>
        <v>17.899999999999999</v>
      </c>
      <c r="F119" s="5">
        <v>711.04</v>
      </c>
      <c r="I119" s="19">
        <f t="shared" si="7"/>
        <v>1074</v>
      </c>
      <c r="J119" t="b">
        <f t="shared" si="4"/>
        <v>1</v>
      </c>
      <c r="K119" s="4">
        <f t="shared" si="5"/>
        <v>-0.33795158286778404</v>
      </c>
      <c r="N119"/>
      <c r="P119" t="s">
        <v>527</v>
      </c>
      <c r="Q119">
        <v>1003</v>
      </c>
      <c r="R119">
        <v>2186.44</v>
      </c>
    </row>
    <row r="120" spans="1:18" hidden="1">
      <c r="A120" t="s">
        <v>1649</v>
      </c>
      <c r="B120" t="s">
        <v>684</v>
      </c>
      <c r="C120" t="s">
        <v>685</v>
      </c>
      <c r="D120" s="28">
        <v>379</v>
      </c>
      <c r="E120" s="19">
        <f t="shared" si="6"/>
        <v>12.633333333333333</v>
      </c>
      <c r="F120" s="5">
        <v>807.18</v>
      </c>
      <c r="I120" s="19">
        <f t="shared" si="7"/>
        <v>758</v>
      </c>
      <c r="J120" t="b">
        <f t="shared" si="4"/>
        <v>1</v>
      </c>
      <c r="K120" s="4">
        <f t="shared" si="5"/>
        <v>6.4881266490765199E-2</v>
      </c>
      <c r="N120"/>
      <c r="P120" t="s">
        <v>589</v>
      </c>
      <c r="Q120">
        <v>425</v>
      </c>
      <c r="R120">
        <v>530.95000000000005</v>
      </c>
    </row>
    <row r="121" spans="1:18" hidden="1">
      <c r="A121" t="s">
        <v>1652</v>
      </c>
      <c r="B121" t="s">
        <v>270</v>
      </c>
      <c r="C121" t="s">
        <v>271</v>
      </c>
      <c r="D121" s="28">
        <v>839</v>
      </c>
      <c r="E121" s="19">
        <f t="shared" si="6"/>
        <v>27.966666666666665</v>
      </c>
      <c r="F121" s="5">
        <v>444.48</v>
      </c>
      <c r="I121" s="19">
        <f t="shared" si="7"/>
        <v>1678</v>
      </c>
      <c r="J121" t="b">
        <f t="shared" si="4"/>
        <v>1</v>
      </c>
      <c r="K121" s="4">
        <f t="shared" si="5"/>
        <v>-0.73511323003575679</v>
      </c>
      <c r="N121"/>
      <c r="P121" t="s">
        <v>441</v>
      </c>
      <c r="Q121">
        <v>457</v>
      </c>
      <c r="R121">
        <v>280.43</v>
      </c>
    </row>
    <row r="122" spans="1:18" hidden="1">
      <c r="A122" t="s">
        <v>1652</v>
      </c>
      <c r="B122" t="s">
        <v>592</v>
      </c>
      <c r="C122" t="s">
        <v>593</v>
      </c>
      <c r="D122" s="28">
        <v>581</v>
      </c>
      <c r="E122" s="19">
        <f t="shared" si="6"/>
        <v>19.366666666666667</v>
      </c>
      <c r="F122" s="5">
        <v>618.76</v>
      </c>
      <c r="I122" s="19">
        <f t="shared" si="7"/>
        <v>1162</v>
      </c>
      <c r="J122" t="b">
        <f t="shared" si="4"/>
        <v>1</v>
      </c>
      <c r="K122" s="4">
        <f t="shared" si="5"/>
        <v>-0.46750430292598966</v>
      </c>
      <c r="N122"/>
      <c r="P122" t="s">
        <v>537</v>
      </c>
      <c r="Q122">
        <v>396</v>
      </c>
      <c r="R122">
        <v>403.81</v>
      </c>
    </row>
    <row r="123" spans="1:18" hidden="1">
      <c r="A123" t="s">
        <v>1649</v>
      </c>
      <c r="B123" t="s">
        <v>370</v>
      </c>
      <c r="C123" t="s">
        <v>371</v>
      </c>
      <c r="D123" s="28">
        <v>2652</v>
      </c>
      <c r="E123" s="19">
        <f t="shared" si="6"/>
        <v>88.4</v>
      </c>
      <c r="F123" s="5">
        <v>2236.75</v>
      </c>
      <c r="I123" s="19">
        <f t="shared" si="7"/>
        <v>5304</v>
      </c>
      <c r="J123" t="b">
        <f t="shared" si="4"/>
        <v>1</v>
      </c>
      <c r="K123" s="4">
        <f t="shared" si="5"/>
        <v>-0.57828996983408754</v>
      </c>
      <c r="N123"/>
      <c r="P123" t="s">
        <v>541</v>
      </c>
      <c r="Q123">
        <v>374</v>
      </c>
      <c r="R123">
        <v>329.94</v>
      </c>
    </row>
    <row r="124" spans="1:18" hidden="1">
      <c r="A124" t="s">
        <v>1649</v>
      </c>
      <c r="B124" t="s">
        <v>306</v>
      </c>
      <c r="C124" t="s">
        <v>307</v>
      </c>
      <c r="D124" s="28">
        <v>1110</v>
      </c>
      <c r="E124" s="19">
        <f t="shared" si="6"/>
        <v>37</v>
      </c>
      <c r="F124" s="5">
        <v>2303.02</v>
      </c>
      <c r="I124" s="19">
        <f t="shared" si="7"/>
        <v>2220</v>
      </c>
      <c r="J124" t="b">
        <f t="shared" si="4"/>
        <v>1</v>
      </c>
      <c r="K124" s="4">
        <f t="shared" si="5"/>
        <v>3.7396396396396359E-2</v>
      </c>
      <c r="N124"/>
      <c r="P124" t="s">
        <v>529</v>
      </c>
      <c r="Q124">
        <v>2024</v>
      </c>
      <c r="R124">
        <v>4886.3999999999996</v>
      </c>
    </row>
    <row r="125" spans="1:18" hidden="1">
      <c r="A125" t="s">
        <v>1649</v>
      </c>
      <c r="B125" t="s">
        <v>673</v>
      </c>
      <c r="C125" t="s">
        <v>674</v>
      </c>
      <c r="D125" s="28">
        <v>735</v>
      </c>
      <c r="E125" s="19">
        <f t="shared" si="6"/>
        <v>24.5</v>
      </c>
      <c r="F125" s="5">
        <v>1050.5999999999999</v>
      </c>
      <c r="I125" s="19">
        <f t="shared" si="7"/>
        <v>1470</v>
      </c>
      <c r="J125" t="b">
        <f t="shared" si="4"/>
        <v>1</v>
      </c>
      <c r="K125" s="4">
        <f t="shared" si="5"/>
        <v>-0.28530612244897968</v>
      </c>
      <c r="N125"/>
      <c r="P125" t="s">
        <v>549</v>
      </c>
      <c r="Q125">
        <v>444</v>
      </c>
      <c r="R125">
        <v>278.83</v>
      </c>
    </row>
    <row r="126" spans="1:18" hidden="1">
      <c r="A126" t="s">
        <v>1649</v>
      </c>
      <c r="B126" s="54" t="s">
        <v>78</v>
      </c>
      <c r="C126" s="37" t="s">
        <v>79</v>
      </c>
      <c r="D126" s="28">
        <v>1757</v>
      </c>
      <c r="E126" s="19">
        <f t="shared" si="6"/>
        <v>58.56666666666667</v>
      </c>
      <c r="F126" s="5">
        <v>3175.04</v>
      </c>
      <c r="I126" s="19">
        <f t="shared" si="7"/>
        <v>3514</v>
      </c>
      <c r="J126" t="b">
        <f t="shared" si="4"/>
        <v>1</v>
      </c>
      <c r="K126" s="4">
        <f t="shared" si="5"/>
        <v>-9.6459874786568034E-2</v>
      </c>
      <c r="N126"/>
      <c r="P126" t="s">
        <v>547</v>
      </c>
      <c r="Q126">
        <v>384</v>
      </c>
      <c r="R126">
        <v>284.83</v>
      </c>
    </row>
    <row r="127" spans="1:18" hidden="1">
      <c r="A127" t="s">
        <v>1652</v>
      </c>
      <c r="B127" t="s">
        <v>384</v>
      </c>
      <c r="C127" t="s">
        <v>385</v>
      </c>
      <c r="D127" s="28">
        <v>510</v>
      </c>
      <c r="E127" s="19">
        <f t="shared" si="6"/>
        <v>17</v>
      </c>
      <c r="F127" s="5">
        <v>0</v>
      </c>
      <c r="I127" s="19">
        <f t="shared" si="7"/>
        <v>1020</v>
      </c>
      <c r="J127" t="b">
        <f t="shared" si="4"/>
        <v>1</v>
      </c>
      <c r="K127" s="4">
        <f>F127/I127-1</f>
        <v>-1</v>
      </c>
      <c r="N127"/>
      <c r="P127" t="s">
        <v>371</v>
      </c>
      <c r="Q127">
        <v>4667</v>
      </c>
      <c r="R127">
        <v>10317.379999999999</v>
      </c>
    </row>
    <row r="128" spans="1:18" hidden="1">
      <c r="A128" t="s">
        <v>1649</v>
      </c>
      <c r="B128" s="55" t="s">
        <v>145</v>
      </c>
      <c r="C128" s="37" t="s">
        <v>146</v>
      </c>
      <c r="D128" s="28">
        <v>1667</v>
      </c>
      <c r="E128" s="19">
        <f t="shared" si="6"/>
        <v>55.56666666666667</v>
      </c>
      <c r="F128" s="5">
        <v>2484.1999999999998</v>
      </c>
      <c r="I128" s="19">
        <f t="shared" si="7"/>
        <v>3334</v>
      </c>
      <c r="J128" t="b">
        <f t="shared" si="4"/>
        <v>1</v>
      </c>
      <c r="K128" s="4">
        <f t="shared" si="5"/>
        <v>-0.25488902219556098</v>
      </c>
      <c r="N128"/>
      <c r="P128" t="s">
        <v>236</v>
      </c>
      <c r="Q128">
        <v>2577</v>
      </c>
      <c r="R128">
        <v>5023.1499999999996</v>
      </c>
    </row>
    <row r="129" spans="1:18" hidden="1">
      <c r="A129" t="s">
        <v>1649</v>
      </c>
      <c r="B129" t="s">
        <v>514</v>
      </c>
      <c r="C129" t="s">
        <v>515</v>
      </c>
      <c r="D129" s="28">
        <v>886</v>
      </c>
      <c r="E129" s="19">
        <f t="shared" si="6"/>
        <v>29.533333333333335</v>
      </c>
      <c r="F129" s="5">
        <v>967.66000000000008</v>
      </c>
      <c r="I129" s="19">
        <f t="shared" si="7"/>
        <v>1772</v>
      </c>
      <c r="J129" t="b">
        <f t="shared" ref="J129:J188" si="8">IF(F129&gt;1.2*I129,FALSE,TRUE)</f>
        <v>1</v>
      </c>
      <c r="K129" s="4">
        <f t="shared" ref="K129:K188" si="9">F129/I129-1</f>
        <v>-0.4539164785553047</v>
      </c>
      <c r="N129"/>
      <c r="P129" t="s">
        <v>521</v>
      </c>
      <c r="Q129">
        <v>2165</v>
      </c>
      <c r="R129">
        <v>3961.47</v>
      </c>
    </row>
    <row r="130" spans="1:18" hidden="1">
      <c r="A130" t="s">
        <v>1651</v>
      </c>
      <c r="B130" t="s">
        <v>620</v>
      </c>
      <c r="C130" t="s">
        <v>621</v>
      </c>
      <c r="D130" s="28">
        <v>1919</v>
      </c>
      <c r="E130" s="19">
        <f t="shared" si="6"/>
        <v>63.966666666666669</v>
      </c>
      <c r="F130" s="5">
        <v>3462.97</v>
      </c>
      <c r="I130" s="19">
        <f t="shared" si="7"/>
        <v>3838</v>
      </c>
      <c r="J130" t="b">
        <f t="shared" si="8"/>
        <v>1</v>
      </c>
      <c r="K130" s="4">
        <f t="shared" si="9"/>
        <v>-9.7714955706097006E-2</v>
      </c>
      <c r="N130"/>
      <c r="P130" t="s">
        <v>615</v>
      </c>
      <c r="Q130">
        <v>1108</v>
      </c>
      <c r="R130">
        <v>2267.13</v>
      </c>
    </row>
    <row r="131" spans="1:18" hidden="1">
      <c r="A131" t="s">
        <v>1651</v>
      </c>
      <c r="B131" t="s">
        <v>562</v>
      </c>
      <c r="C131" t="s">
        <v>563</v>
      </c>
      <c r="D131" s="28">
        <v>234</v>
      </c>
      <c r="E131" s="19">
        <f t="shared" ref="E131:E194" si="10">D131/30</f>
        <v>7.8</v>
      </c>
      <c r="F131" s="5">
        <v>317.87</v>
      </c>
      <c r="I131" s="19">
        <f t="shared" ref="I131:I194" si="11">IF((D131/30)&gt;100,D131*2,D131*2)</f>
        <v>468</v>
      </c>
      <c r="J131" t="b">
        <f t="shared" si="8"/>
        <v>1</v>
      </c>
      <c r="K131" s="4">
        <f t="shared" si="9"/>
        <v>-0.32079059829059831</v>
      </c>
      <c r="N131"/>
      <c r="P131" t="s">
        <v>419</v>
      </c>
      <c r="Q131">
        <v>2302</v>
      </c>
      <c r="R131">
        <v>4803.66</v>
      </c>
    </row>
    <row r="132" spans="1:18" hidden="1">
      <c r="A132" t="s">
        <v>1652</v>
      </c>
      <c r="B132" t="s">
        <v>396</v>
      </c>
      <c r="C132" t="s">
        <v>397</v>
      </c>
      <c r="D132" s="28">
        <v>467</v>
      </c>
      <c r="E132" s="19">
        <f t="shared" si="10"/>
        <v>15.566666666666666</v>
      </c>
      <c r="F132" s="5">
        <v>1021.72</v>
      </c>
      <c r="I132" s="19">
        <f t="shared" si="11"/>
        <v>934</v>
      </c>
      <c r="J132" t="b">
        <f t="shared" si="8"/>
        <v>1</v>
      </c>
      <c r="K132" s="4">
        <f t="shared" si="9"/>
        <v>9.3918629550321153E-2</v>
      </c>
      <c r="N132"/>
      <c r="P132" t="s">
        <v>603</v>
      </c>
      <c r="Q132">
        <v>760</v>
      </c>
      <c r="R132">
        <v>1679.4</v>
      </c>
    </row>
    <row r="133" spans="1:18" hidden="1">
      <c r="A133" t="s">
        <v>1649</v>
      </c>
      <c r="B133" s="37" t="s">
        <v>264</v>
      </c>
      <c r="C133" s="37" t="s">
        <v>265</v>
      </c>
      <c r="D133" s="28">
        <v>482</v>
      </c>
      <c r="E133" s="19">
        <f t="shared" si="10"/>
        <v>16.066666666666666</v>
      </c>
      <c r="F133" s="5">
        <v>966.78</v>
      </c>
      <c r="I133" s="19">
        <f t="shared" si="11"/>
        <v>964</v>
      </c>
      <c r="J133" t="b">
        <f t="shared" si="8"/>
        <v>1</v>
      </c>
      <c r="K133" s="4">
        <f t="shared" si="9"/>
        <v>2.8838174273859707E-3</v>
      </c>
      <c r="N133"/>
      <c r="P133" t="s">
        <v>407</v>
      </c>
      <c r="Q133">
        <v>1249</v>
      </c>
      <c r="R133">
        <v>1523.67</v>
      </c>
    </row>
    <row r="134" spans="1:18" hidden="1">
      <c r="A134" t="s">
        <v>1652</v>
      </c>
      <c r="B134" t="s">
        <v>528</v>
      </c>
      <c r="C134" t="s">
        <v>529</v>
      </c>
      <c r="D134" s="28">
        <v>1505</v>
      </c>
      <c r="E134" s="19">
        <f t="shared" si="10"/>
        <v>50.166666666666664</v>
      </c>
      <c r="F134" s="5">
        <v>2167.29</v>
      </c>
      <c r="I134" s="19">
        <f t="shared" si="11"/>
        <v>3010</v>
      </c>
      <c r="J134" t="b">
        <f t="shared" si="8"/>
        <v>1</v>
      </c>
      <c r="K134" s="4">
        <f t="shared" si="9"/>
        <v>-0.27997009966777409</v>
      </c>
      <c r="N134"/>
      <c r="Q134">
        <v>0</v>
      </c>
      <c r="R134">
        <v>0</v>
      </c>
    </row>
    <row r="135" spans="1:18" hidden="1">
      <c r="A135" t="s">
        <v>1652</v>
      </c>
      <c r="B135" t="s">
        <v>697</v>
      </c>
      <c r="C135" t="s">
        <v>698</v>
      </c>
      <c r="D135" s="28">
        <v>487</v>
      </c>
      <c r="E135" s="19">
        <f t="shared" si="10"/>
        <v>16.233333333333334</v>
      </c>
      <c r="F135" s="5">
        <v>387.31</v>
      </c>
      <c r="I135" s="19">
        <f t="shared" si="11"/>
        <v>974</v>
      </c>
      <c r="J135" t="b">
        <f t="shared" si="8"/>
        <v>1</v>
      </c>
      <c r="K135" s="4">
        <f t="shared" si="9"/>
        <v>-0.6023511293634497</v>
      </c>
      <c r="N135"/>
      <c r="Q135">
        <v>0</v>
      </c>
      <c r="R135">
        <v>0</v>
      </c>
    </row>
    <row r="136" spans="1:18" hidden="1">
      <c r="A136" t="s">
        <v>1649</v>
      </c>
      <c r="B136" t="s">
        <v>688</v>
      </c>
      <c r="C136" t="s">
        <v>689</v>
      </c>
      <c r="D136" s="28">
        <v>450</v>
      </c>
      <c r="E136" s="19">
        <f t="shared" si="10"/>
        <v>15</v>
      </c>
      <c r="F136" s="5">
        <v>195.74</v>
      </c>
      <c r="I136" s="19">
        <f t="shared" si="11"/>
        <v>900</v>
      </c>
      <c r="J136" t="b">
        <f t="shared" si="8"/>
        <v>1</v>
      </c>
      <c r="K136" s="4">
        <f t="shared" si="9"/>
        <v>-0.78251111111111116</v>
      </c>
      <c r="N136"/>
      <c r="Q136">
        <v>0</v>
      </c>
      <c r="R136">
        <v>0</v>
      </c>
    </row>
    <row r="137" spans="1:18" hidden="1">
      <c r="A137" t="s">
        <v>1649</v>
      </c>
      <c r="B137" t="s">
        <v>366</v>
      </c>
      <c r="C137" t="s">
        <v>367</v>
      </c>
      <c r="D137" s="28">
        <v>2493</v>
      </c>
      <c r="E137" s="19">
        <f t="shared" si="10"/>
        <v>83.1</v>
      </c>
      <c r="F137" s="5">
        <v>4349.5</v>
      </c>
      <c r="I137" s="19">
        <f t="shared" si="11"/>
        <v>4986</v>
      </c>
      <c r="J137" t="b">
        <f t="shared" si="8"/>
        <v>1</v>
      </c>
      <c r="K137" s="4">
        <f t="shared" si="9"/>
        <v>-0.12765744083433617</v>
      </c>
      <c r="N137"/>
      <c r="Q137">
        <v>0</v>
      </c>
      <c r="R137">
        <v>0</v>
      </c>
    </row>
    <row r="138" spans="1:18" hidden="1">
      <c r="A138" t="s">
        <v>1652</v>
      </c>
      <c r="B138" t="s">
        <v>544</v>
      </c>
      <c r="C138" t="s">
        <v>545</v>
      </c>
      <c r="D138" s="28">
        <v>920</v>
      </c>
      <c r="E138" s="19">
        <f t="shared" si="10"/>
        <v>30.666666666666668</v>
      </c>
      <c r="F138" s="5">
        <v>1182.79</v>
      </c>
      <c r="I138" s="19">
        <f t="shared" si="11"/>
        <v>1840</v>
      </c>
      <c r="J138" t="b">
        <f t="shared" si="8"/>
        <v>1</v>
      </c>
      <c r="K138" s="4">
        <f t="shared" si="9"/>
        <v>-0.35717934782608696</v>
      </c>
      <c r="N138"/>
      <c r="Q138">
        <v>0</v>
      </c>
      <c r="R138">
        <v>0</v>
      </c>
    </row>
    <row r="139" spans="1:18" hidden="1">
      <c r="A139" t="s">
        <v>1649</v>
      </c>
      <c r="B139" t="s">
        <v>522</v>
      </c>
      <c r="C139" t="s">
        <v>523</v>
      </c>
      <c r="D139" s="28">
        <v>192</v>
      </c>
      <c r="E139" s="19">
        <f t="shared" si="10"/>
        <v>6.4</v>
      </c>
      <c r="F139" s="5">
        <v>372.99</v>
      </c>
      <c r="I139" s="19">
        <f t="shared" si="11"/>
        <v>384</v>
      </c>
      <c r="J139" t="b">
        <f t="shared" si="8"/>
        <v>1</v>
      </c>
      <c r="K139" s="4">
        <f t="shared" si="9"/>
        <v>-2.8671875000000013E-2</v>
      </c>
      <c r="N139"/>
      <c r="Q139">
        <v>0</v>
      </c>
      <c r="R139">
        <v>0</v>
      </c>
    </row>
    <row r="140" spans="1:18" hidden="1">
      <c r="A140" t="s">
        <v>1649</v>
      </c>
      <c r="B140" t="s">
        <v>658</v>
      </c>
      <c r="C140" t="s">
        <v>659</v>
      </c>
      <c r="D140" s="28">
        <v>1305</v>
      </c>
      <c r="E140" s="19">
        <f t="shared" si="10"/>
        <v>43.5</v>
      </c>
      <c r="F140" s="5">
        <v>1500.85</v>
      </c>
      <c r="I140" s="19">
        <f t="shared" si="11"/>
        <v>2610</v>
      </c>
      <c r="J140" t="b">
        <f t="shared" si="8"/>
        <v>1</v>
      </c>
      <c r="K140" s="4">
        <f t="shared" si="9"/>
        <v>-0.42496168582375482</v>
      </c>
      <c r="N140"/>
      <c r="P140" t="s">
        <v>385</v>
      </c>
      <c r="Q140">
        <v>477</v>
      </c>
      <c r="R140">
        <v>944.89</v>
      </c>
    </row>
    <row r="141" spans="1:18" hidden="1">
      <c r="A141" t="s">
        <v>1652</v>
      </c>
      <c r="B141" t="s">
        <v>278</v>
      </c>
      <c r="C141" t="s">
        <v>279</v>
      </c>
      <c r="D141" s="28">
        <v>959</v>
      </c>
      <c r="E141" s="19">
        <f t="shared" si="10"/>
        <v>31.966666666666665</v>
      </c>
      <c r="F141" s="5">
        <v>2096.36</v>
      </c>
      <c r="I141" s="19">
        <f t="shared" si="11"/>
        <v>1918</v>
      </c>
      <c r="J141" t="b">
        <f t="shared" si="8"/>
        <v>1</v>
      </c>
      <c r="K141" s="4">
        <f t="shared" si="9"/>
        <v>9.2992700729927158E-2</v>
      </c>
      <c r="N141"/>
      <c r="P141" t="s">
        <v>343</v>
      </c>
      <c r="Q141">
        <v>732</v>
      </c>
      <c r="R141">
        <v>2164.04</v>
      </c>
    </row>
    <row r="142" spans="1:18" hidden="1">
      <c r="A142" t="s">
        <v>1651</v>
      </c>
      <c r="B142" t="s">
        <v>262</v>
      </c>
      <c r="C142" t="s">
        <v>263</v>
      </c>
      <c r="D142" s="28">
        <v>1556</v>
      </c>
      <c r="E142" s="19">
        <f t="shared" si="10"/>
        <v>51.866666666666667</v>
      </c>
      <c r="F142" s="5">
        <v>2039.43</v>
      </c>
      <c r="I142" s="19">
        <f t="shared" si="11"/>
        <v>3112</v>
      </c>
      <c r="J142" t="b">
        <f t="shared" si="8"/>
        <v>1</v>
      </c>
      <c r="K142" s="4">
        <f t="shared" si="9"/>
        <v>-0.3446561696658097</v>
      </c>
      <c r="N142"/>
      <c r="P142" t="s">
        <v>389</v>
      </c>
      <c r="Q142">
        <v>807</v>
      </c>
      <c r="R142">
        <v>1003.12</v>
      </c>
    </row>
    <row r="143" spans="1:18" hidden="1">
      <c r="A143" t="s">
        <v>1651</v>
      </c>
      <c r="B143" s="37" t="s">
        <v>500</v>
      </c>
      <c r="C143" s="37" t="s">
        <v>501</v>
      </c>
      <c r="D143" s="28">
        <v>328</v>
      </c>
      <c r="E143" s="19">
        <f t="shared" si="10"/>
        <v>10.933333333333334</v>
      </c>
      <c r="F143" s="5">
        <v>539.26</v>
      </c>
      <c r="I143" s="19">
        <f t="shared" si="11"/>
        <v>656</v>
      </c>
      <c r="J143" t="b">
        <f t="shared" si="8"/>
        <v>1</v>
      </c>
      <c r="K143" s="4">
        <f t="shared" si="9"/>
        <v>-0.17795731707317075</v>
      </c>
      <c r="N143"/>
      <c r="P143" t="s">
        <v>297</v>
      </c>
      <c r="Q143">
        <v>1176</v>
      </c>
      <c r="R143">
        <v>1389.04</v>
      </c>
    </row>
    <row r="144" spans="1:18" hidden="1">
      <c r="A144" t="s">
        <v>1649</v>
      </c>
      <c r="B144" s="54" t="s">
        <v>125</v>
      </c>
      <c r="C144" s="37" t="s">
        <v>126</v>
      </c>
      <c r="D144" s="28">
        <v>1541</v>
      </c>
      <c r="E144" s="19">
        <f t="shared" si="10"/>
        <v>51.366666666666667</v>
      </c>
      <c r="F144" s="5">
        <v>2210.98</v>
      </c>
      <c r="I144" s="19">
        <f t="shared" si="11"/>
        <v>3082</v>
      </c>
      <c r="J144" t="b">
        <f t="shared" si="8"/>
        <v>1</v>
      </c>
      <c r="K144" s="4">
        <f t="shared" si="9"/>
        <v>-0.28261518494484106</v>
      </c>
      <c r="N144"/>
      <c r="P144" t="s">
        <v>429</v>
      </c>
      <c r="Q144">
        <v>485</v>
      </c>
      <c r="R144">
        <v>1024.1400000000001</v>
      </c>
    </row>
    <row r="145" spans="1:18" hidden="1">
      <c r="A145" t="s">
        <v>1649</v>
      </c>
      <c r="B145" t="s">
        <v>618</v>
      </c>
      <c r="C145" t="s">
        <v>619</v>
      </c>
      <c r="D145" s="28">
        <v>282</v>
      </c>
      <c r="E145" s="19">
        <f t="shared" si="10"/>
        <v>9.4</v>
      </c>
      <c r="F145" s="5">
        <v>276.87</v>
      </c>
      <c r="I145" s="19">
        <f t="shared" si="11"/>
        <v>564</v>
      </c>
      <c r="J145" t="b">
        <f t="shared" si="8"/>
        <v>1</v>
      </c>
      <c r="K145" s="4">
        <f t="shared" si="9"/>
        <v>-0.50909574468085106</v>
      </c>
      <c r="N145"/>
      <c r="P145" t="s">
        <v>381</v>
      </c>
      <c r="Q145">
        <v>1603</v>
      </c>
      <c r="R145">
        <v>2952.38</v>
      </c>
    </row>
    <row r="146" spans="1:18" hidden="1">
      <c r="A146" t="s">
        <v>1651</v>
      </c>
      <c r="B146" t="s">
        <v>161</v>
      </c>
      <c r="C146" t="s">
        <v>162</v>
      </c>
      <c r="D146" s="28">
        <v>2022</v>
      </c>
      <c r="E146" s="19">
        <f t="shared" si="10"/>
        <v>67.400000000000006</v>
      </c>
      <c r="F146" s="5">
        <v>2455.79</v>
      </c>
      <c r="I146" s="19">
        <f t="shared" si="11"/>
        <v>4044</v>
      </c>
      <c r="J146" t="b">
        <f t="shared" si="8"/>
        <v>1</v>
      </c>
      <c r="K146" s="4">
        <f t="shared" si="9"/>
        <v>-0.39273244312561817</v>
      </c>
      <c r="N146"/>
      <c r="P146" t="s">
        <v>704</v>
      </c>
      <c r="Q146">
        <v>5633</v>
      </c>
      <c r="R146">
        <v>3251.64</v>
      </c>
    </row>
    <row r="147" spans="1:18" hidden="1">
      <c r="A147" t="s">
        <v>1652</v>
      </c>
      <c r="B147" s="54" t="s">
        <v>651</v>
      </c>
      <c r="C147" s="37" t="s">
        <v>652</v>
      </c>
      <c r="D147" s="28">
        <v>528</v>
      </c>
      <c r="E147" s="19">
        <f t="shared" si="10"/>
        <v>17.600000000000001</v>
      </c>
      <c r="F147" s="5">
        <v>785.12</v>
      </c>
      <c r="I147" s="19">
        <f t="shared" si="11"/>
        <v>1056</v>
      </c>
      <c r="J147" t="b">
        <f t="shared" si="8"/>
        <v>1</v>
      </c>
      <c r="K147" s="4">
        <f t="shared" si="9"/>
        <v>-0.25651515151515147</v>
      </c>
      <c r="N147"/>
      <c r="P147" t="s">
        <v>461</v>
      </c>
      <c r="Q147">
        <v>3162</v>
      </c>
      <c r="R147">
        <v>3743.79</v>
      </c>
    </row>
    <row r="148" spans="1:18" hidden="1">
      <c r="A148" t="s">
        <v>1649</v>
      </c>
      <c r="B148" t="s">
        <v>424</v>
      </c>
      <c r="C148" t="s">
        <v>425</v>
      </c>
      <c r="D148" s="28">
        <v>756</v>
      </c>
      <c r="E148" s="19">
        <f t="shared" si="10"/>
        <v>25.2</v>
      </c>
      <c r="F148" s="5">
        <v>892.13</v>
      </c>
      <c r="I148" s="19">
        <f t="shared" si="11"/>
        <v>1512</v>
      </c>
      <c r="J148" t="b">
        <f t="shared" si="8"/>
        <v>1</v>
      </c>
      <c r="K148" s="4">
        <f t="shared" si="9"/>
        <v>-0.40996693121693117</v>
      </c>
      <c r="N148"/>
      <c r="P148" t="s">
        <v>525</v>
      </c>
      <c r="Q148">
        <v>1430</v>
      </c>
      <c r="R148">
        <v>2394.31</v>
      </c>
    </row>
    <row r="149" spans="1:18" hidden="1">
      <c r="A149" t="s">
        <v>1649</v>
      </c>
      <c r="B149" t="s">
        <v>722</v>
      </c>
      <c r="C149" t="s">
        <v>723</v>
      </c>
      <c r="D149" s="28">
        <v>2117</v>
      </c>
      <c r="E149" s="19">
        <f t="shared" si="10"/>
        <v>70.566666666666663</v>
      </c>
      <c r="F149" s="5">
        <v>2852.03</v>
      </c>
      <c r="I149" s="19">
        <f t="shared" si="11"/>
        <v>4234</v>
      </c>
      <c r="J149" t="b">
        <f t="shared" si="8"/>
        <v>1</v>
      </c>
      <c r="K149" s="4">
        <f t="shared" si="9"/>
        <v>-0.3263982050070855</v>
      </c>
      <c r="N149"/>
      <c r="P149" t="s">
        <v>613</v>
      </c>
      <c r="Q149">
        <v>751</v>
      </c>
      <c r="R149">
        <v>53.21</v>
      </c>
    </row>
    <row r="150" spans="1:18" hidden="1">
      <c r="A150" t="s">
        <v>1649</v>
      </c>
      <c r="B150" t="s">
        <v>612</v>
      </c>
      <c r="C150" t="s">
        <v>613</v>
      </c>
      <c r="D150" s="28">
        <v>411</v>
      </c>
      <c r="E150" s="19">
        <f t="shared" si="10"/>
        <v>13.7</v>
      </c>
      <c r="F150" s="5">
        <v>53.78</v>
      </c>
      <c r="I150" s="19">
        <f t="shared" si="11"/>
        <v>822</v>
      </c>
      <c r="J150" t="b">
        <f t="shared" si="8"/>
        <v>1</v>
      </c>
      <c r="K150" s="4">
        <f t="shared" si="9"/>
        <v>-0.93457420924574208</v>
      </c>
      <c r="N150"/>
      <c r="P150" t="s">
        <v>654</v>
      </c>
      <c r="Q150">
        <v>696</v>
      </c>
      <c r="R150">
        <v>966.85</v>
      </c>
    </row>
    <row r="151" spans="1:18" hidden="1">
      <c r="A151" t="s">
        <v>1651</v>
      </c>
      <c r="B151" s="54" t="s">
        <v>372</v>
      </c>
      <c r="C151" s="37" t="s">
        <v>373</v>
      </c>
      <c r="D151" s="28">
        <v>923</v>
      </c>
      <c r="E151" s="19">
        <f t="shared" si="10"/>
        <v>30.766666666666666</v>
      </c>
      <c r="F151" s="5">
        <v>1308.8</v>
      </c>
      <c r="I151" s="19">
        <f t="shared" si="11"/>
        <v>1846</v>
      </c>
      <c r="J151" t="b">
        <f t="shared" si="8"/>
        <v>1</v>
      </c>
      <c r="K151" s="4">
        <f t="shared" si="9"/>
        <v>-0.29100758396533044</v>
      </c>
      <c r="N151"/>
      <c r="P151" t="s">
        <v>517</v>
      </c>
      <c r="Q151">
        <v>1272</v>
      </c>
      <c r="R151">
        <v>2336.77</v>
      </c>
    </row>
    <row r="152" spans="1:18" hidden="1">
      <c r="A152" t="s">
        <v>1652</v>
      </c>
      <c r="B152" t="s">
        <v>526</v>
      </c>
      <c r="C152" t="s">
        <v>527</v>
      </c>
      <c r="D152" s="28">
        <v>852</v>
      </c>
      <c r="E152" s="19">
        <f t="shared" si="10"/>
        <v>28.4</v>
      </c>
      <c r="F152" s="5">
        <v>1412.69</v>
      </c>
      <c r="I152" s="19">
        <f t="shared" si="11"/>
        <v>1704</v>
      </c>
      <c r="J152" t="b">
        <f t="shared" si="8"/>
        <v>1</v>
      </c>
      <c r="K152" s="4">
        <f t="shared" si="9"/>
        <v>-0.17095657276995302</v>
      </c>
      <c r="N152"/>
      <c r="P152" t="s">
        <v>379</v>
      </c>
      <c r="Q152">
        <v>924</v>
      </c>
      <c r="R152">
        <v>1371.73</v>
      </c>
    </row>
    <row r="153" spans="1:18" hidden="1">
      <c r="A153" t="s">
        <v>1649</v>
      </c>
      <c r="B153" t="s">
        <v>649</v>
      </c>
      <c r="C153" t="s">
        <v>650</v>
      </c>
      <c r="D153" s="28">
        <v>235</v>
      </c>
      <c r="E153" s="19">
        <f t="shared" si="10"/>
        <v>7.833333333333333</v>
      </c>
      <c r="F153" s="5">
        <v>26.19</v>
      </c>
      <c r="I153" s="19">
        <f t="shared" si="11"/>
        <v>470</v>
      </c>
      <c r="J153" t="b">
        <f t="shared" si="8"/>
        <v>1</v>
      </c>
      <c r="K153" s="4">
        <f t="shared" si="9"/>
        <v>-0.94427659574468081</v>
      </c>
      <c r="N153"/>
      <c r="P153" t="s">
        <v>1493</v>
      </c>
      <c r="Q153">
        <v>3</v>
      </c>
      <c r="R153">
        <v>4.76</v>
      </c>
    </row>
    <row r="154" spans="1:18" hidden="1">
      <c r="A154" t="s">
        <v>1652</v>
      </c>
      <c r="B154" t="s">
        <v>582</v>
      </c>
      <c r="C154" t="s">
        <v>583</v>
      </c>
      <c r="D154" s="28">
        <v>226</v>
      </c>
      <c r="E154" s="19">
        <f t="shared" si="10"/>
        <v>7.5333333333333332</v>
      </c>
      <c r="F154" s="5">
        <v>363.57</v>
      </c>
      <c r="I154" s="19">
        <f t="shared" si="11"/>
        <v>452</v>
      </c>
      <c r="J154" t="b">
        <f t="shared" si="8"/>
        <v>1</v>
      </c>
      <c r="K154" s="4">
        <f t="shared" si="9"/>
        <v>-0.19564159292035399</v>
      </c>
      <c r="N154"/>
      <c r="P154" t="s">
        <v>467</v>
      </c>
      <c r="Q154">
        <v>654</v>
      </c>
      <c r="R154">
        <v>1923.98</v>
      </c>
    </row>
    <row r="155" spans="1:18" hidden="1">
      <c r="A155" t="s">
        <v>1649</v>
      </c>
      <c r="B155" s="54" t="s">
        <v>233</v>
      </c>
      <c r="C155" s="37" t="s">
        <v>234</v>
      </c>
      <c r="D155" s="19">
        <v>478</v>
      </c>
      <c r="E155" s="19">
        <f t="shared" si="10"/>
        <v>15.933333333333334</v>
      </c>
      <c r="F155" s="5">
        <v>709.95</v>
      </c>
      <c r="I155" s="19">
        <f t="shared" si="11"/>
        <v>956</v>
      </c>
      <c r="J155" t="b">
        <f t="shared" si="8"/>
        <v>1</v>
      </c>
      <c r="K155" s="4">
        <f t="shared" si="9"/>
        <v>-0.25737447698744764</v>
      </c>
      <c r="N155"/>
      <c r="P155" t="s">
        <v>1472</v>
      </c>
      <c r="Q155">
        <v>272</v>
      </c>
      <c r="R155">
        <v>150.43</v>
      </c>
    </row>
    <row r="156" spans="1:18" hidden="1">
      <c r="A156" t="s">
        <v>1651</v>
      </c>
      <c r="B156" t="s">
        <v>480</v>
      </c>
      <c r="C156" t="s">
        <v>481</v>
      </c>
      <c r="D156" s="28">
        <v>316</v>
      </c>
      <c r="E156" s="19">
        <f t="shared" si="10"/>
        <v>10.533333333333333</v>
      </c>
      <c r="F156" s="5">
        <v>0</v>
      </c>
      <c r="I156" s="19">
        <f t="shared" si="11"/>
        <v>632</v>
      </c>
      <c r="J156" t="b">
        <f t="shared" si="8"/>
        <v>1</v>
      </c>
      <c r="K156" s="4">
        <f t="shared" si="9"/>
        <v>-1</v>
      </c>
      <c r="N156"/>
      <c r="P156" t="s">
        <v>1465</v>
      </c>
      <c r="Q156">
        <v>8</v>
      </c>
      <c r="R156">
        <v>0</v>
      </c>
    </row>
    <row r="157" spans="1:18" hidden="1">
      <c r="A157" t="s">
        <v>1651</v>
      </c>
      <c r="B157" t="s">
        <v>662</v>
      </c>
      <c r="C157" t="s">
        <v>663</v>
      </c>
      <c r="D157" s="28">
        <v>335</v>
      </c>
      <c r="E157" s="19">
        <f t="shared" si="10"/>
        <v>11.166666666666666</v>
      </c>
      <c r="F157" s="5">
        <v>500.79</v>
      </c>
      <c r="I157" s="19">
        <f t="shared" si="11"/>
        <v>670</v>
      </c>
      <c r="J157" t="b">
        <f t="shared" si="8"/>
        <v>1</v>
      </c>
      <c r="K157" s="4">
        <f t="shared" si="9"/>
        <v>-0.25255223880597011</v>
      </c>
      <c r="P157" t="s">
        <v>551</v>
      </c>
      <c r="Q157">
        <v>460</v>
      </c>
      <c r="R157">
        <v>0</v>
      </c>
    </row>
    <row r="158" spans="1:18" hidden="1">
      <c r="A158" t="s">
        <v>1652</v>
      </c>
      <c r="B158" t="s">
        <v>446</v>
      </c>
      <c r="C158" t="s">
        <v>447</v>
      </c>
      <c r="D158" s="28">
        <v>0</v>
      </c>
      <c r="E158" s="19">
        <f t="shared" si="10"/>
        <v>0</v>
      </c>
      <c r="F158" s="5">
        <v>0</v>
      </c>
      <c r="I158" s="19">
        <f t="shared" si="11"/>
        <v>0</v>
      </c>
      <c r="J158" t="b">
        <f t="shared" si="8"/>
        <v>1</v>
      </c>
      <c r="K158" s="4" t="e">
        <f t="shared" si="9"/>
        <v>#DIV/0!</v>
      </c>
      <c r="N158"/>
      <c r="P158" t="s">
        <v>443</v>
      </c>
      <c r="Q158">
        <v>1605</v>
      </c>
      <c r="R158">
        <v>3252.58</v>
      </c>
    </row>
    <row r="159" spans="1:18" hidden="1">
      <c r="A159" t="s">
        <v>1652</v>
      </c>
      <c r="B159" t="s">
        <v>629</v>
      </c>
      <c r="C159" t="s">
        <v>630</v>
      </c>
      <c r="D159" s="28">
        <v>359</v>
      </c>
      <c r="E159" s="19">
        <f t="shared" si="10"/>
        <v>11.966666666666667</v>
      </c>
      <c r="F159" s="5">
        <v>374.03</v>
      </c>
      <c r="I159" s="19">
        <f t="shared" si="11"/>
        <v>718</v>
      </c>
      <c r="J159" t="b">
        <f t="shared" si="8"/>
        <v>1</v>
      </c>
      <c r="K159" s="4">
        <f t="shared" si="9"/>
        <v>-0.47906685236768809</v>
      </c>
      <c r="N159"/>
      <c r="P159" t="s">
        <v>405</v>
      </c>
      <c r="Q159">
        <v>906</v>
      </c>
      <c r="R159">
        <v>870.89</v>
      </c>
    </row>
    <row r="160" spans="1:18" hidden="1">
      <c r="A160" t="s">
        <v>1649</v>
      </c>
      <c r="B160" t="s">
        <v>550</v>
      </c>
      <c r="C160" t="s">
        <v>551</v>
      </c>
      <c r="D160" s="28">
        <v>162</v>
      </c>
      <c r="E160" s="19">
        <f t="shared" si="10"/>
        <v>5.4</v>
      </c>
      <c r="F160" s="5">
        <v>0</v>
      </c>
      <c r="I160" s="19">
        <f t="shared" si="11"/>
        <v>324</v>
      </c>
      <c r="J160" t="b">
        <f t="shared" si="8"/>
        <v>1</v>
      </c>
      <c r="K160" s="4">
        <f t="shared" si="9"/>
        <v>-1</v>
      </c>
      <c r="N160"/>
      <c r="P160" t="s">
        <v>1479</v>
      </c>
      <c r="Q160">
        <v>2</v>
      </c>
      <c r="R160">
        <v>5.22</v>
      </c>
    </row>
    <row r="161" spans="1:18" hidden="1">
      <c r="A161" t="s">
        <v>1651</v>
      </c>
      <c r="B161" t="s">
        <v>660</v>
      </c>
      <c r="C161" t="s">
        <v>661</v>
      </c>
      <c r="D161" s="28">
        <v>542</v>
      </c>
      <c r="E161" s="19">
        <f t="shared" si="10"/>
        <v>18.066666666666666</v>
      </c>
      <c r="F161" s="5">
        <v>1113.29</v>
      </c>
      <c r="I161" s="19">
        <f t="shared" si="11"/>
        <v>1084</v>
      </c>
      <c r="J161" t="b">
        <f t="shared" si="8"/>
        <v>1</v>
      </c>
      <c r="K161" s="4">
        <f t="shared" si="9"/>
        <v>2.7020295202951905E-2</v>
      </c>
      <c r="P161" t="s">
        <v>248</v>
      </c>
      <c r="Q161">
        <v>910</v>
      </c>
      <c r="R161">
        <v>1227.83</v>
      </c>
    </row>
    <row r="162" spans="1:18">
      <c r="A162" t="s">
        <v>1649</v>
      </c>
      <c r="B162" t="s">
        <v>472</v>
      </c>
      <c r="C162" t="s">
        <v>473</v>
      </c>
      <c r="D162" s="28">
        <v>271</v>
      </c>
      <c r="E162" s="19">
        <f>D162/30</f>
        <v>9.0333333333333332</v>
      </c>
      <c r="F162" s="5">
        <v>671.68</v>
      </c>
      <c r="I162" s="19">
        <f>IF((D162/30)&gt;100,D162*2,D162*2)</f>
        <v>542</v>
      </c>
      <c r="J162" t="b">
        <f>IF(F162&gt;1.2*I162,FALSE,TRUE)</f>
        <v>0</v>
      </c>
      <c r="K162" s="4">
        <f>F162/I162-1</f>
        <v>0.2392619926199262</v>
      </c>
      <c r="L162" t="s">
        <v>19</v>
      </c>
      <c r="M162" t="s">
        <v>1655</v>
      </c>
      <c r="N162"/>
      <c r="P162" t="s">
        <v>1485</v>
      </c>
      <c r="Q162">
        <v>401</v>
      </c>
      <c r="R162">
        <v>371.16</v>
      </c>
    </row>
    <row r="163" spans="1:18">
      <c r="A163" t="s">
        <v>1649</v>
      </c>
      <c r="B163" t="s">
        <v>498</v>
      </c>
      <c r="C163" t="s">
        <v>499</v>
      </c>
      <c r="D163" s="28">
        <v>461</v>
      </c>
      <c r="E163" s="19">
        <f t="shared" si="10"/>
        <v>15.366666666666667</v>
      </c>
      <c r="F163" s="5">
        <v>1179.67</v>
      </c>
      <c r="I163" s="19">
        <f t="shared" si="11"/>
        <v>922</v>
      </c>
      <c r="J163" t="b">
        <f t="shared" si="8"/>
        <v>0</v>
      </c>
      <c r="K163" s="4">
        <f t="shared" si="9"/>
        <v>0.27946854663774401</v>
      </c>
      <c r="L163" t="s">
        <v>19</v>
      </c>
      <c r="M163" t="s">
        <v>1656</v>
      </c>
      <c r="N163"/>
      <c r="P163" t="s">
        <v>32</v>
      </c>
      <c r="Q163">
        <v>2224</v>
      </c>
      <c r="R163">
        <v>3393.97</v>
      </c>
    </row>
    <row r="164" spans="1:18" hidden="1">
      <c r="A164" t="s">
        <v>1652</v>
      </c>
      <c r="B164" t="s">
        <v>596</v>
      </c>
      <c r="C164" t="s">
        <v>597</v>
      </c>
      <c r="D164" s="28">
        <v>509</v>
      </c>
      <c r="E164" s="19">
        <f t="shared" si="10"/>
        <v>16.966666666666665</v>
      </c>
      <c r="F164" s="5">
        <v>563.94000000000005</v>
      </c>
      <c r="I164" s="19">
        <f t="shared" si="11"/>
        <v>1018</v>
      </c>
      <c r="J164" t="b">
        <f t="shared" si="8"/>
        <v>1</v>
      </c>
      <c r="K164" s="4">
        <f t="shared" si="9"/>
        <v>-0.44603143418467583</v>
      </c>
      <c r="P164" t="s">
        <v>399</v>
      </c>
      <c r="Q164">
        <v>739</v>
      </c>
      <c r="R164">
        <v>1714.51</v>
      </c>
    </row>
    <row r="165" spans="1:18" hidden="1">
      <c r="A165" t="s">
        <v>1649</v>
      </c>
      <c r="B165" s="54" t="s">
        <v>624</v>
      </c>
      <c r="C165" s="37" t="s">
        <v>625</v>
      </c>
      <c r="D165" s="28">
        <v>850</v>
      </c>
      <c r="E165" s="19">
        <f t="shared" si="10"/>
        <v>28.333333333333332</v>
      </c>
      <c r="F165" s="5">
        <v>1209.27</v>
      </c>
      <c r="I165" s="19">
        <f t="shared" si="11"/>
        <v>1700</v>
      </c>
      <c r="J165" t="b">
        <f t="shared" si="8"/>
        <v>1</v>
      </c>
      <c r="K165" s="4">
        <f t="shared" si="9"/>
        <v>-0.28866470588235293</v>
      </c>
      <c r="N165"/>
      <c r="P165" t="s">
        <v>1482</v>
      </c>
      <c r="Q165">
        <v>131</v>
      </c>
      <c r="R165">
        <v>91.13</v>
      </c>
    </row>
    <row r="166" spans="1:18" hidden="1">
      <c r="A166" t="s">
        <v>1652</v>
      </c>
      <c r="B166" t="s">
        <v>679</v>
      </c>
      <c r="C166" t="s">
        <v>680</v>
      </c>
      <c r="D166" s="28">
        <v>1833</v>
      </c>
      <c r="E166" s="19">
        <f t="shared" si="10"/>
        <v>61.1</v>
      </c>
      <c r="F166" s="5">
        <v>3207.75</v>
      </c>
      <c r="I166" s="19">
        <f t="shared" si="11"/>
        <v>3666</v>
      </c>
      <c r="J166" t="b">
        <f t="shared" si="8"/>
        <v>1</v>
      </c>
      <c r="K166" s="4">
        <f t="shared" si="9"/>
        <v>-0.125</v>
      </c>
      <c r="N166"/>
      <c r="P166" t="s">
        <v>499</v>
      </c>
      <c r="Q166">
        <v>241</v>
      </c>
      <c r="R166">
        <v>1011.31</v>
      </c>
    </row>
    <row r="167" spans="1:18" hidden="1">
      <c r="A167" t="s">
        <v>1652</v>
      </c>
      <c r="B167" t="s">
        <v>586</v>
      </c>
      <c r="C167" t="s">
        <v>587</v>
      </c>
      <c r="D167" s="28">
        <v>444</v>
      </c>
      <c r="E167" s="19">
        <f t="shared" si="10"/>
        <v>14.8</v>
      </c>
      <c r="F167" s="5">
        <v>628.66999999999996</v>
      </c>
      <c r="I167" s="19">
        <f t="shared" si="11"/>
        <v>888</v>
      </c>
      <c r="J167" t="b">
        <f t="shared" si="8"/>
        <v>1</v>
      </c>
      <c r="K167" s="4">
        <f t="shared" si="9"/>
        <v>-0.29203828828828837</v>
      </c>
      <c r="N167"/>
      <c r="P167" t="s">
        <v>401</v>
      </c>
      <c r="Q167">
        <v>2823</v>
      </c>
      <c r="R167">
        <v>3165.3</v>
      </c>
    </row>
    <row r="168" spans="1:18" hidden="1">
      <c r="A168" t="s">
        <v>1652</v>
      </c>
      <c r="B168" s="143" t="s">
        <v>221</v>
      </c>
      <c r="C168" s="37" t="s">
        <v>222</v>
      </c>
      <c r="D168" s="28">
        <v>601</v>
      </c>
      <c r="E168" s="19">
        <f t="shared" si="10"/>
        <v>20.033333333333335</v>
      </c>
      <c r="F168" s="5">
        <v>1426.12</v>
      </c>
      <c r="I168" s="19">
        <f t="shared" si="11"/>
        <v>1202</v>
      </c>
      <c r="J168" t="b">
        <f t="shared" si="8"/>
        <v>1</v>
      </c>
      <c r="K168" s="4">
        <f t="shared" si="9"/>
        <v>0.18645590682196334</v>
      </c>
      <c r="N168" s="124"/>
      <c r="P168" t="s">
        <v>321</v>
      </c>
      <c r="Q168">
        <v>1428</v>
      </c>
      <c r="R168">
        <v>2934.62</v>
      </c>
    </row>
    <row r="169" spans="1:18" hidden="1">
      <c r="A169" t="s">
        <v>1649</v>
      </c>
      <c r="B169" s="54" t="s">
        <v>241</v>
      </c>
      <c r="C169" s="37" t="s">
        <v>242</v>
      </c>
      <c r="D169" s="28">
        <v>762</v>
      </c>
      <c r="E169" s="19">
        <f t="shared" si="10"/>
        <v>25.4</v>
      </c>
      <c r="F169" s="5">
        <v>228.86</v>
      </c>
      <c r="I169" s="19">
        <f t="shared" si="11"/>
        <v>1524</v>
      </c>
      <c r="J169" t="b">
        <f t="shared" si="8"/>
        <v>1</v>
      </c>
      <c r="K169" s="4">
        <f t="shared" si="9"/>
        <v>-0.84982939632545929</v>
      </c>
      <c r="N169"/>
      <c r="P169" t="s">
        <v>481</v>
      </c>
      <c r="Q169">
        <v>623</v>
      </c>
      <c r="R169">
        <v>1035.93</v>
      </c>
    </row>
    <row r="170" spans="1:18" hidden="1">
      <c r="A170" t="s">
        <v>1652</v>
      </c>
      <c r="B170" s="54" t="s">
        <v>326</v>
      </c>
      <c r="C170" s="37" t="s">
        <v>327</v>
      </c>
      <c r="D170" s="28">
        <v>653</v>
      </c>
      <c r="E170" s="19">
        <f t="shared" si="10"/>
        <v>21.766666666666666</v>
      </c>
      <c r="F170" s="5">
        <v>176.59</v>
      </c>
      <c r="I170" s="19">
        <f t="shared" si="11"/>
        <v>1306</v>
      </c>
      <c r="J170" t="b">
        <f t="shared" si="8"/>
        <v>1</v>
      </c>
      <c r="K170" s="4">
        <f t="shared" si="9"/>
        <v>-0.86478560490045941</v>
      </c>
      <c r="N170"/>
      <c r="P170" t="s">
        <v>333</v>
      </c>
      <c r="Q170">
        <v>787</v>
      </c>
      <c r="R170">
        <v>1703.07</v>
      </c>
    </row>
    <row r="171" spans="1:18">
      <c r="A171" t="s">
        <v>1649</v>
      </c>
      <c r="B171" s="142" t="s">
        <v>153</v>
      </c>
      <c r="C171" s="142" t="s">
        <v>154</v>
      </c>
      <c r="D171" s="28">
        <v>1368</v>
      </c>
      <c r="E171" s="19">
        <f t="shared" si="10"/>
        <v>45.6</v>
      </c>
      <c r="F171" s="5">
        <v>3878.77</v>
      </c>
      <c r="I171" s="19">
        <f t="shared" si="11"/>
        <v>2736</v>
      </c>
      <c r="J171" t="b">
        <f t="shared" si="8"/>
        <v>0</v>
      </c>
      <c r="K171" s="4">
        <f t="shared" si="9"/>
        <v>0.41767909356725141</v>
      </c>
      <c r="L171" t="s">
        <v>15</v>
      </c>
      <c r="M171" t="s">
        <v>1657</v>
      </c>
      <c r="N171"/>
      <c r="P171" t="s">
        <v>281</v>
      </c>
      <c r="Q171">
        <v>626</v>
      </c>
      <c r="R171">
        <v>1564.77</v>
      </c>
    </row>
    <row r="172" spans="1:18" hidden="1">
      <c r="A172" t="s">
        <v>1652</v>
      </c>
      <c r="B172" t="s">
        <v>237</v>
      </c>
      <c r="C172" t="s">
        <v>238</v>
      </c>
      <c r="D172" s="28">
        <v>1011</v>
      </c>
      <c r="E172" s="19">
        <f t="shared" si="10"/>
        <v>33.700000000000003</v>
      </c>
      <c r="F172" s="5">
        <v>1475.84</v>
      </c>
      <c r="I172" s="19">
        <f t="shared" si="11"/>
        <v>2022</v>
      </c>
      <c r="J172" t="b">
        <f t="shared" si="8"/>
        <v>1</v>
      </c>
      <c r="K172" s="4">
        <f t="shared" si="9"/>
        <v>-0.27010880316518304</v>
      </c>
      <c r="N172"/>
      <c r="P172" t="s">
        <v>425</v>
      </c>
      <c r="Q172">
        <v>685</v>
      </c>
      <c r="R172">
        <v>641.12</v>
      </c>
    </row>
    <row r="173" spans="1:18" hidden="1">
      <c r="A173" t="s">
        <v>1649</v>
      </c>
      <c r="B173" t="s">
        <v>645</v>
      </c>
      <c r="C173" t="s">
        <v>646</v>
      </c>
      <c r="D173" s="28">
        <v>328</v>
      </c>
      <c r="E173" s="19">
        <f t="shared" si="10"/>
        <v>10.933333333333334</v>
      </c>
      <c r="F173" s="5">
        <v>649.70000000000005</v>
      </c>
      <c r="I173" s="19">
        <f t="shared" si="11"/>
        <v>656</v>
      </c>
      <c r="J173" t="b">
        <f t="shared" si="8"/>
        <v>1</v>
      </c>
      <c r="K173" s="4">
        <f t="shared" si="9"/>
        <v>-9.6036585365852911E-3</v>
      </c>
      <c r="N173"/>
      <c r="P173" t="s">
        <v>317</v>
      </c>
      <c r="Q173">
        <v>1328</v>
      </c>
      <c r="R173">
        <v>1448.98</v>
      </c>
    </row>
    <row r="174" spans="1:18" hidden="1">
      <c r="A174" t="s">
        <v>1649</v>
      </c>
      <c r="B174" t="s">
        <v>566</v>
      </c>
      <c r="C174" t="s">
        <v>567</v>
      </c>
      <c r="D174" s="28">
        <v>228</v>
      </c>
      <c r="E174" s="19">
        <f t="shared" si="10"/>
        <v>7.6</v>
      </c>
      <c r="F174" s="5">
        <v>294.97000000000003</v>
      </c>
      <c r="I174" s="19">
        <f t="shared" si="11"/>
        <v>456</v>
      </c>
      <c r="J174" t="b">
        <f t="shared" si="8"/>
        <v>1</v>
      </c>
      <c r="K174" s="4">
        <f t="shared" si="9"/>
        <v>-0.35313596491228061</v>
      </c>
      <c r="N174"/>
      <c r="P174" t="s">
        <v>421</v>
      </c>
      <c r="Q174">
        <v>668</v>
      </c>
      <c r="R174">
        <v>1066.51</v>
      </c>
    </row>
    <row r="175" spans="1:18">
      <c r="A175" t="s">
        <v>1649</v>
      </c>
      <c r="B175" s="143" t="s">
        <v>308</v>
      </c>
      <c r="C175" s="37" t="s">
        <v>309</v>
      </c>
      <c r="D175" s="28">
        <v>250</v>
      </c>
      <c r="E175" s="19">
        <f t="shared" si="10"/>
        <v>8.3333333333333339</v>
      </c>
      <c r="F175" s="5">
        <v>932.79</v>
      </c>
      <c r="I175" s="19">
        <f t="shared" si="11"/>
        <v>500</v>
      </c>
      <c r="J175" t="b">
        <f t="shared" si="8"/>
        <v>0</v>
      </c>
      <c r="K175" s="4">
        <f t="shared" si="9"/>
        <v>0.86558000000000002</v>
      </c>
      <c r="L175" t="s">
        <v>15</v>
      </c>
      <c r="N175"/>
      <c r="P175" t="s">
        <v>435</v>
      </c>
      <c r="Q175">
        <v>1509</v>
      </c>
      <c r="R175">
        <v>1951.13</v>
      </c>
    </row>
    <row r="176" spans="1:18" hidden="1">
      <c r="A176" t="s">
        <v>1651</v>
      </c>
      <c r="B176" s="143" t="s">
        <v>60</v>
      </c>
      <c r="C176" s="37" t="s">
        <v>61</v>
      </c>
      <c r="D176" s="28">
        <v>1472</v>
      </c>
      <c r="E176" s="19">
        <f t="shared" si="10"/>
        <v>49.06666666666667</v>
      </c>
      <c r="F176" s="5">
        <v>1938.11</v>
      </c>
      <c r="I176" s="19">
        <f t="shared" si="11"/>
        <v>2944</v>
      </c>
      <c r="J176" t="b">
        <f t="shared" si="8"/>
        <v>1</v>
      </c>
      <c r="K176" s="4">
        <f t="shared" si="9"/>
        <v>-0.34167459239130438</v>
      </c>
      <c r="N176"/>
      <c r="P176" t="s">
        <v>483</v>
      </c>
      <c r="Q176">
        <v>3022</v>
      </c>
      <c r="R176">
        <v>5124.5200000000004</v>
      </c>
    </row>
    <row r="177" spans="1:18" hidden="1">
      <c r="A177" t="s">
        <v>1651</v>
      </c>
      <c r="B177" t="s">
        <v>584</v>
      </c>
      <c r="C177" t="s">
        <v>585</v>
      </c>
      <c r="D177" s="28">
        <v>262</v>
      </c>
      <c r="E177" s="19">
        <f t="shared" si="10"/>
        <v>8.7333333333333325</v>
      </c>
      <c r="F177" s="5">
        <v>0</v>
      </c>
      <c r="I177" s="19">
        <f t="shared" si="11"/>
        <v>524</v>
      </c>
      <c r="J177" t="b">
        <f t="shared" si="8"/>
        <v>1</v>
      </c>
      <c r="K177" s="4">
        <f t="shared" si="9"/>
        <v>-1</v>
      </c>
      <c r="N177"/>
      <c r="P177" t="s">
        <v>395</v>
      </c>
      <c r="Q177">
        <v>1145</v>
      </c>
      <c r="R177">
        <v>1818.18</v>
      </c>
    </row>
    <row r="178" spans="1:18" hidden="1">
      <c r="A178" t="s">
        <v>1651</v>
      </c>
      <c r="B178" t="s">
        <v>460</v>
      </c>
      <c r="C178" t="s">
        <v>461</v>
      </c>
      <c r="D178" s="28">
        <v>2530</v>
      </c>
      <c r="E178" s="19">
        <f t="shared" si="10"/>
        <v>84.333333333333329</v>
      </c>
      <c r="F178" s="5">
        <v>2239.14</v>
      </c>
      <c r="I178" s="19">
        <f t="shared" si="11"/>
        <v>5060</v>
      </c>
      <c r="J178" t="b">
        <f t="shared" si="8"/>
        <v>1</v>
      </c>
      <c r="K178" s="4">
        <f t="shared" si="9"/>
        <v>-0.55748221343873516</v>
      </c>
      <c r="N178"/>
      <c r="P178" t="s">
        <v>305</v>
      </c>
      <c r="Q178">
        <v>1394</v>
      </c>
      <c r="R178">
        <v>1861.92</v>
      </c>
    </row>
    <row r="179" spans="1:18" hidden="1">
      <c r="A179" t="s">
        <v>1652</v>
      </c>
      <c r="B179" t="s">
        <v>247</v>
      </c>
      <c r="C179" t="s">
        <v>248</v>
      </c>
      <c r="D179" s="28">
        <v>1400</v>
      </c>
      <c r="E179" s="19">
        <f t="shared" si="10"/>
        <v>46.666666666666664</v>
      </c>
      <c r="F179" s="5">
        <v>2206.4899999999998</v>
      </c>
      <c r="I179" s="19">
        <f t="shared" si="11"/>
        <v>2800</v>
      </c>
      <c r="J179" t="b">
        <f t="shared" si="8"/>
        <v>1</v>
      </c>
      <c r="K179" s="4">
        <f t="shared" si="9"/>
        <v>-0.21196785714285726</v>
      </c>
      <c r="N179"/>
      <c r="P179" t="s">
        <v>795</v>
      </c>
      <c r="Q179">
        <v>33472</v>
      </c>
      <c r="R179">
        <v>35816.089999999997</v>
      </c>
    </row>
    <row r="180" spans="1:18">
      <c r="A180" t="s">
        <v>1649</v>
      </c>
      <c r="B180" t="s">
        <v>394</v>
      </c>
      <c r="C180" t="s">
        <v>395</v>
      </c>
      <c r="D180" s="28">
        <v>407</v>
      </c>
      <c r="E180" s="19">
        <f t="shared" si="10"/>
        <v>13.566666666666666</v>
      </c>
      <c r="F180" s="5">
        <v>1112.4000000000001</v>
      </c>
      <c r="I180" s="19">
        <f t="shared" si="11"/>
        <v>814</v>
      </c>
      <c r="J180" t="b">
        <f t="shared" si="8"/>
        <v>0</v>
      </c>
      <c r="K180" s="4">
        <f t="shared" si="9"/>
        <v>0.3665847665847668</v>
      </c>
      <c r="L180" t="s">
        <v>15</v>
      </c>
      <c r="M180" t="s">
        <v>1658</v>
      </c>
      <c r="N180"/>
      <c r="P180" t="s">
        <v>387</v>
      </c>
      <c r="Q180">
        <v>1079</v>
      </c>
      <c r="R180">
        <v>1820.14</v>
      </c>
    </row>
    <row r="181" spans="1:18" hidden="1">
      <c r="A181" t="s">
        <v>1652</v>
      </c>
      <c r="B181" t="s">
        <v>739</v>
      </c>
      <c r="C181" t="s">
        <v>740</v>
      </c>
      <c r="D181" s="28">
        <v>1289</v>
      </c>
      <c r="E181" s="19">
        <f t="shared" si="10"/>
        <v>42.966666666666669</v>
      </c>
      <c r="F181" s="5">
        <v>1880.75</v>
      </c>
      <c r="I181" s="19">
        <f t="shared" si="11"/>
        <v>2578</v>
      </c>
      <c r="J181" t="b">
        <f t="shared" si="8"/>
        <v>1</v>
      </c>
      <c r="K181" s="4">
        <f>F181/I181-1</f>
        <v>-0.27046159813809156</v>
      </c>
      <c r="N181"/>
      <c r="P181" t="s">
        <v>172</v>
      </c>
      <c r="Q181">
        <v>1417</v>
      </c>
      <c r="R181">
        <v>2743.68</v>
      </c>
    </row>
    <row r="182" spans="1:18" hidden="1">
      <c r="A182" t="s">
        <v>1651</v>
      </c>
      <c r="B182" t="s">
        <v>560</v>
      </c>
      <c r="C182" t="s">
        <v>561</v>
      </c>
      <c r="D182" s="28">
        <v>204</v>
      </c>
      <c r="E182" s="19">
        <f t="shared" si="10"/>
        <v>6.8</v>
      </c>
      <c r="F182" s="5">
        <v>264.75</v>
      </c>
      <c r="I182" s="19">
        <f t="shared" si="11"/>
        <v>408</v>
      </c>
      <c r="J182" t="b">
        <f t="shared" si="8"/>
        <v>1</v>
      </c>
      <c r="K182" s="4">
        <f t="shared" si="9"/>
        <v>-0.35110294117647056</v>
      </c>
      <c r="N182"/>
      <c r="P182" t="s">
        <v>271</v>
      </c>
      <c r="Q182">
        <v>834</v>
      </c>
      <c r="R182">
        <v>558.63</v>
      </c>
    </row>
    <row r="183" spans="1:18" hidden="1">
      <c r="A183" t="s">
        <v>1651</v>
      </c>
      <c r="B183" t="s">
        <v>588</v>
      </c>
      <c r="C183" t="s">
        <v>589</v>
      </c>
      <c r="D183" s="28">
        <v>254</v>
      </c>
      <c r="E183" s="19">
        <f t="shared" si="10"/>
        <v>8.4666666666666668</v>
      </c>
      <c r="F183" s="5">
        <v>289.93</v>
      </c>
      <c r="I183" s="19">
        <f t="shared" si="11"/>
        <v>508</v>
      </c>
      <c r="J183" t="b">
        <f t="shared" si="8"/>
        <v>1</v>
      </c>
      <c r="K183" s="4">
        <f t="shared" si="9"/>
        <v>-0.4292716535433071</v>
      </c>
      <c r="P183" t="s">
        <v>218</v>
      </c>
      <c r="Q183">
        <v>1625</v>
      </c>
      <c r="R183">
        <v>2545.71</v>
      </c>
    </row>
    <row r="184" spans="1:18" hidden="1">
      <c r="A184" t="s">
        <v>1651</v>
      </c>
      <c r="B184" t="s">
        <v>682</v>
      </c>
      <c r="C184" t="s">
        <v>683</v>
      </c>
      <c r="D184" s="28">
        <v>465</v>
      </c>
      <c r="E184" s="19">
        <f t="shared" si="10"/>
        <v>15.5</v>
      </c>
      <c r="F184" s="5">
        <v>327.06</v>
      </c>
      <c r="I184" s="19">
        <f t="shared" si="11"/>
        <v>930</v>
      </c>
      <c r="J184" t="b">
        <f t="shared" si="8"/>
        <v>1</v>
      </c>
      <c r="K184" s="4">
        <f t="shared" si="9"/>
        <v>-0.64832258064516135</v>
      </c>
      <c r="N184"/>
      <c r="P184" t="s">
        <v>57</v>
      </c>
      <c r="Q184">
        <v>1102</v>
      </c>
      <c r="R184">
        <v>2842.03</v>
      </c>
    </row>
    <row r="185" spans="1:18" hidden="1">
      <c r="A185" t="s">
        <v>1651</v>
      </c>
      <c r="B185" s="143" t="s">
        <v>192</v>
      </c>
      <c r="C185" s="37" t="s">
        <v>193</v>
      </c>
      <c r="D185" s="28">
        <v>2039</v>
      </c>
      <c r="E185" s="19">
        <f t="shared" si="10"/>
        <v>67.966666666666669</v>
      </c>
      <c r="F185" s="5">
        <v>2079.9699999999998</v>
      </c>
      <c r="I185" s="19">
        <f t="shared" si="11"/>
        <v>4078</v>
      </c>
      <c r="J185" t="b">
        <f t="shared" si="8"/>
        <v>1</v>
      </c>
      <c r="K185" s="4">
        <f t="shared" si="9"/>
        <v>-0.48995340853359493</v>
      </c>
      <c r="N185"/>
      <c r="P185" t="s">
        <v>621</v>
      </c>
      <c r="Q185">
        <v>2369</v>
      </c>
      <c r="R185">
        <v>4283</v>
      </c>
    </row>
    <row r="186" spans="1:18" hidden="1">
      <c r="A186" t="s">
        <v>1649</v>
      </c>
      <c r="B186" s="143" t="s">
        <v>336</v>
      </c>
      <c r="C186" s="37" t="s">
        <v>337</v>
      </c>
      <c r="D186" s="28">
        <v>735</v>
      </c>
      <c r="E186" s="19">
        <f t="shared" si="10"/>
        <v>24.5</v>
      </c>
      <c r="F186" s="5">
        <v>1281.8900000000001</v>
      </c>
      <c r="I186" s="19">
        <f t="shared" si="11"/>
        <v>1470</v>
      </c>
      <c r="J186" t="b">
        <f t="shared" si="8"/>
        <v>1</v>
      </c>
      <c r="K186" s="4">
        <f t="shared" si="9"/>
        <v>-0.12796598639455781</v>
      </c>
      <c r="N186"/>
      <c r="P186" t="s">
        <v>595</v>
      </c>
      <c r="Q186">
        <v>399</v>
      </c>
      <c r="R186">
        <v>1084.67</v>
      </c>
    </row>
    <row r="187" spans="1:18" hidden="1">
      <c r="A187" t="s">
        <v>1649</v>
      </c>
      <c r="B187" s="54" t="s">
        <v>456</v>
      </c>
      <c r="C187" s="37" t="s">
        <v>457</v>
      </c>
      <c r="D187" s="28">
        <v>1905</v>
      </c>
      <c r="E187" s="19">
        <f t="shared" si="10"/>
        <v>63.5</v>
      </c>
      <c r="F187" s="5">
        <v>2449.37</v>
      </c>
      <c r="I187" s="19">
        <f t="shared" si="11"/>
        <v>3810</v>
      </c>
      <c r="J187" t="b">
        <f t="shared" si="8"/>
        <v>1</v>
      </c>
      <c r="K187" s="4">
        <f t="shared" si="9"/>
        <v>-0.35712073490813656</v>
      </c>
      <c r="N187"/>
      <c r="P187" t="s">
        <v>146</v>
      </c>
      <c r="Q187">
        <v>2274</v>
      </c>
      <c r="R187">
        <v>2660.71</v>
      </c>
    </row>
    <row r="188" spans="1:18" hidden="1">
      <c r="A188" t="s">
        <v>1652</v>
      </c>
      <c r="B188" t="s">
        <v>608</v>
      </c>
      <c r="C188" t="s">
        <v>609</v>
      </c>
      <c r="D188" s="28">
        <v>583</v>
      </c>
      <c r="E188" s="19">
        <f t="shared" si="10"/>
        <v>19.433333333333334</v>
      </c>
      <c r="F188" s="5">
        <v>1186.3399999999999</v>
      </c>
      <c r="I188" s="19">
        <f t="shared" si="11"/>
        <v>1166</v>
      </c>
      <c r="J188" t="b">
        <f t="shared" si="8"/>
        <v>1</v>
      </c>
      <c r="K188" s="4">
        <f t="shared" si="9"/>
        <v>1.7444253859348224E-2</v>
      </c>
      <c r="N188"/>
      <c r="P188" t="s">
        <v>377</v>
      </c>
      <c r="Q188">
        <v>15</v>
      </c>
      <c r="R188">
        <v>6.29</v>
      </c>
    </row>
    <row r="189" spans="1:18" hidden="1">
      <c r="A189" t="s">
        <v>1651</v>
      </c>
      <c r="B189" t="s">
        <v>332</v>
      </c>
      <c r="C189" t="s">
        <v>333</v>
      </c>
      <c r="D189" s="28">
        <v>590</v>
      </c>
      <c r="E189" s="19">
        <f t="shared" si="10"/>
        <v>19.666666666666668</v>
      </c>
      <c r="F189" s="5">
        <v>1025.07</v>
      </c>
      <c r="I189" s="19">
        <f t="shared" si="11"/>
        <v>1180</v>
      </c>
      <c r="J189" t="b">
        <f t="shared" ref="J189:J246" si="12">IF(F189&gt;1.2*I189,FALSE,TRUE)</f>
        <v>1</v>
      </c>
      <c r="K189" s="4">
        <f t="shared" ref="K189:K246" si="13">F189/I189-1</f>
        <v>-0.13129661016949157</v>
      </c>
      <c r="N189"/>
      <c r="P189" t="s">
        <v>144</v>
      </c>
      <c r="Q189">
        <v>1363</v>
      </c>
      <c r="R189">
        <v>2351.85</v>
      </c>
    </row>
    <row r="190" spans="1:18" hidden="1">
      <c r="A190" t="s">
        <v>1649</v>
      </c>
      <c r="B190" t="s">
        <v>614</v>
      </c>
      <c r="C190" t="s">
        <v>615</v>
      </c>
      <c r="D190" s="28">
        <v>728</v>
      </c>
      <c r="E190" s="19">
        <f t="shared" si="10"/>
        <v>24.266666666666666</v>
      </c>
      <c r="F190" s="5">
        <v>1225.8599999999999</v>
      </c>
      <c r="I190" s="19">
        <f t="shared" si="11"/>
        <v>1456</v>
      </c>
      <c r="J190" t="b">
        <f t="shared" si="12"/>
        <v>1</v>
      </c>
      <c r="K190" s="4">
        <f t="shared" si="13"/>
        <v>-0.15806318681318687</v>
      </c>
      <c r="N190"/>
      <c r="P190" t="s">
        <v>119</v>
      </c>
      <c r="Q190">
        <v>3262</v>
      </c>
      <c r="R190">
        <v>5310.92</v>
      </c>
    </row>
    <row r="191" spans="1:18" hidden="1">
      <c r="A191" t="s">
        <v>1649</v>
      </c>
      <c r="B191" t="s">
        <v>552</v>
      </c>
      <c r="C191" t="s">
        <v>553</v>
      </c>
      <c r="D191" s="28">
        <v>255</v>
      </c>
      <c r="E191" s="19">
        <f t="shared" si="10"/>
        <v>8.5</v>
      </c>
      <c r="F191" s="5">
        <v>205.58</v>
      </c>
      <c r="I191" s="19">
        <f t="shared" si="11"/>
        <v>510</v>
      </c>
      <c r="J191" t="b">
        <f t="shared" si="12"/>
        <v>1</v>
      </c>
      <c r="K191" s="4">
        <f t="shared" si="13"/>
        <v>-0.59690196078431368</v>
      </c>
      <c r="N191"/>
      <c r="P191" t="s">
        <v>659</v>
      </c>
      <c r="Q191">
        <v>1048</v>
      </c>
      <c r="R191">
        <v>1891.9</v>
      </c>
    </row>
    <row r="192" spans="1:18" hidden="1">
      <c r="A192" t="s">
        <v>1649</v>
      </c>
      <c r="B192" t="s">
        <v>641</v>
      </c>
      <c r="C192" t="s">
        <v>642</v>
      </c>
      <c r="D192" s="28">
        <v>402</v>
      </c>
      <c r="E192" s="19">
        <f t="shared" si="10"/>
        <v>13.4</v>
      </c>
      <c r="F192" s="5">
        <v>201.02</v>
      </c>
      <c r="I192" s="19">
        <f t="shared" si="11"/>
        <v>804</v>
      </c>
      <c r="J192" t="b">
        <f t="shared" si="12"/>
        <v>1</v>
      </c>
      <c r="K192" s="4">
        <f t="shared" si="13"/>
        <v>-0.74997512437810943</v>
      </c>
      <c r="N192"/>
      <c r="P192" t="s">
        <v>437</v>
      </c>
      <c r="Q192">
        <v>1647</v>
      </c>
      <c r="R192">
        <v>2183.27</v>
      </c>
    </row>
    <row r="193" spans="1:18" hidden="1">
      <c r="A193" t="s">
        <v>1652</v>
      </c>
      <c r="B193" t="s">
        <v>186</v>
      </c>
      <c r="C193" t="s">
        <v>187</v>
      </c>
      <c r="D193" s="28">
        <v>1300</v>
      </c>
      <c r="E193" s="19">
        <f t="shared" si="10"/>
        <v>43.333333333333336</v>
      </c>
      <c r="F193" s="5">
        <v>2121.34</v>
      </c>
      <c r="I193" s="19">
        <f t="shared" si="11"/>
        <v>2600</v>
      </c>
      <c r="J193" t="b">
        <f t="shared" si="12"/>
        <v>1</v>
      </c>
      <c r="K193" s="4">
        <f t="shared" si="13"/>
        <v>-0.18409999999999993</v>
      </c>
      <c r="N193"/>
      <c r="P193" t="s">
        <v>505</v>
      </c>
      <c r="Q193">
        <v>704</v>
      </c>
      <c r="R193">
        <v>1247.75</v>
      </c>
    </row>
    <row r="194" spans="1:18" hidden="1">
      <c r="A194" t="s">
        <v>1649</v>
      </c>
      <c r="B194" s="54" t="s">
        <v>122</v>
      </c>
      <c r="C194" s="37" t="s">
        <v>123</v>
      </c>
      <c r="D194" s="19">
        <v>2120</v>
      </c>
      <c r="E194" s="19">
        <f t="shared" si="10"/>
        <v>70.666666666666671</v>
      </c>
      <c r="F194" s="5">
        <v>2911.19</v>
      </c>
      <c r="I194" s="19">
        <f t="shared" si="11"/>
        <v>4240</v>
      </c>
      <c r="J194" t="b">
        <f t="shared" si="12"/>
        <v>1</v>
      </c>
      <c r="K194" s="4">
        <f t="shared" si="13"/>
        <v>-0.31339858490566042</v>
      </c>
      <c r="N194"/>
      <c r="P194" t="s">
        <v>363</v>
      </c>
      <c r="Q194">
        <v>1322</v>
      </c>
      <c r="R194">
        <v>3434.74</v>
      </c>
    </row>
    <row r="195" spans="1:18" hidden="1">
      <c r="A195" t="s">
        <v>1649</v>
      </c>
      <c r="B195" t="s">
        <v>112</v>
      </c>
      <c r="C195" t="s">
        <v>113</v>
      </c>
      <c r="D195" s="28">
        <v>3416</v>
      </c>
      <c r="E195" s="19">
        <f t="shared" ref="E195:E258" si="14">D195/30</f>
        <v>113.86666666666666</v>
      </c>
      <c r="F195" s="5">
        <v>1603.35</v>
      </c>
      <c r="I195" s="19">
        <f t="shared" ref="I195:I258" si="15">IF((D195/30)&gt;100,D195*2,D195*2)</f>
        <v>6832</v>
      </c>
      <c r="J195" t="b">
        <f t="shared" si="12"/>
        <v>1</v>
      </c>
      <c r="K195" s="4">
        <f t="shared" si="13"/>
        <v>-0.76531762295081962</v>
      </c>
      <c r="N195"/>
      <c r="P195" t="s">
        <v>259</v>
      </c>
      <c r="Q195">
        <v>1858</v>
      </c>
      <c r="R195">
        <v>2426.17</v>
      </c>
    </row>
    <row r="196" spans="1:18" hidden="1">
      <c r="A196" t="s">
        <v>1649</v>
      </c>
      <c r="B196" t="s">
        <v>448</v>
      </c>
      <c r="C196" t="s">
        <v>449</v>
      </c>
      <c r="D196" s="28">
        <v>7</v>
      </c>
      <c r="E196" s="19">
        <f t="shared" si="14"/>
        <v>0.23333333333333334</v>
      </c>
      <c r="F196" s="5">
        <v>1.1000000000000001</v>
      </c>
      <c r="I196" s="19">
        <f t="shared" si="15"/>
        <v>14</v>
      </c>
      <c r="J196" t="b">
        <f t="shared" si="12"/>
        <v>1</v>
      </c>
      <c r="K196" s="4">
        <f t="shared" si="13"/>
        <v>-0.92142857142857137</v>
      </c>
      <c r="N196"/>
      <c r="P196" t="s">
        <v>714</v>
      </c>
      <c r="Q196">
        <v>1829</v>
      </c>
      <c r="R196">
        <v>3966.6</v>
      </c>
    </row>
    <row r="197" spans="1:18" hidden="1">
      <c r="A197" t="s">
        <v>1652</v>
      </c>
      <c r="B197" s="54" t="s">
        <v>647</v>
      </c>
      <c r="C197" s="37" t="s">
        <v>648</v>
      </c>
      <c r="D197" s="19">
        <v>0</v>
      </c>
      <c r="E197" s="19">
        <f t="shared" si="14"/>
        <v>0</v>
      </c>
      <c r="F197" s="5">
        <v>0</v>
      </c>
      <c r="I197" s="19">
        <f t="shared" si="15"/>
        <v>0</v>
      </c>
      <c r="J197" t="b">
        <f t="shared" si="12"/>
        <v>1</v>
      </c>
      <c r="K197" s="4" t="e">
        <f t="shared" si="13"/>
        <v>#DIV/0!</v>
      </c>
      <c r="P197" t="s">
        <v>745</v>
      </c>
      <c r="Q197">
        <v>1488</v>
      </c>
      <c r="R197">
        <v>1258.69</v>
      </c>
    </row>
    <row r="198" spans="1:18" hidden="1">
      <c r="A198" t="s">
        <v>1651</v>
      </c>
      <c r="B198" t="s">
        <v>546</v>
      </c>
      <c r="C198" t="s">
        <v>547</v>
      </c>
      <c r="D198" s="28">
        <v>217</v>
      </c>
      <c r="E198" s="19">
        <f t="shared" si="14"/>
        <v>7.2333333333333334</v>
      </c>
      <c r="F198" s="5">
        <v>212.98</v>
      </c>
      <c r="I198" s="19">
        <f t="shared" si="15"/>
        <v>434</v>
      </c>
      <c r="J198" t="b">
        <f t="shared" si="12"/>
        <v>1</v>
      </c>
      <c r="K198" s="4">
        <f t="shared" si="13"/>
        <v>-0.50926267281105986</v>
      </c>
      <c r="N198"/>
      <c r="P198" t="s">
        <v>254</v>
      </c>
      <c r="Q198">
        <v>4708</v>
      </c>
      <c r="R198">
        <v>8799.1</v>
      </c>
    </row>
    <row r="199" spans="1:18">
      <c r="A199" t="s">
        <v>1649</v>
      </c>
      <c r="B199" t="s">
        <v>376</v>
      </c>
      <c r="C199" t="s">
        <v>377</v>
      </c>
      <c r="D199" s="28">
        <v>636</v>
      </c>
      <c r="E199" s="19">
        <f t="shared" si="14"/>
        <v>21.2</v>
      </c>
      <c r="F199" s="5">
        <v>1550.5</v>
      </c>
      <c r="I199" s="19">
        <f t="shared" si="15"/>
        <v>1272</v>
      </c>
      <c r="J199" t="b">
        <f t="shared" si="12"/>
        <v>0</v>
      </c>
      <c r="K199" s="4">
        <f t="shared" si="13"/>
        <v>0.21894654088050314</v>
      </c>
      <c r="L199" t="s">
        <v>17</v>
      </c>
      <c r="M199" t="s">
        <v>1659</v>
      </c>
      <c r="N199"/>
      <c r="P199" t="s">
        <v>323</v>
      </c>
      <c r="Q199">
        <v>1863</v>
      </c>
      <c r="R199">
        <v>2162.81</v>
      </c>
    </row>
    <row r="200" spans="1:18" hidden="1">
      <c r="A200" t="s">
        <v>1649</v>
      </c>
      <c r="B200" s="54" t="s">
        <v>179</v>
      </c>
      <c r="C200" s="37" t="s">
        <v>180</v>
      </c>
      <c r="D200" s="19">
        <v>876</v>
      </c>
      <c r="E200" s="19">
        <f t="shared" si="14"/>
        <v>29.2</v>
      </c>
      <c r="F200" s="5">
        <v>754.68</v>
      </c>
      <c r="I200" s="19">
        <f t="shared" si="15"/>
        <v>1752</v>
      </c>
      <c r="J200" t="b">
        <f t="shared" si="12"/>
        <v>1</v>
      </c>
      <c r="K200" s="4">
        <f t="shared" si="13"/>
        <v>-0.56924657534246581</v>
      </c>
      <c r="N200"/>
      <c r="P200" t="s">
        <v>665</v>
      </c>
      <c r="Q200">
        <v>872</v>
      </c>
      <c r="R200">
        <v>1214.8699999999999</v>
      </c>
    </row>
    <row r="201" spans="1:18" hidden="1">
      <c r="A201" t="s">
        <v>1652</v>
      </c>
      <c r="B201" t="s">
        <v>540</v>
      </c>
      <c r="C201" t="s">
        <v>541</v>
      </c>
      <c r="D201" s="28">
        <v>219</v>
      </c>
      <c r="E201" s="19">
        <f t="shared" si="14"/>
        <v>7.3</v>
      </c>
      <c r="F201" s="5">
        <v>160.63</v>
      </c>
      <c r="I201" s="19">
        <f t="shared" si="15"/>
        <v>438</v>
      </c>
      <c r="J201" t="b">
        <f t="shared" si="12"/>
        <v>1</v>
      </c>
      <c r="K201" s="4">
        <f t="shared" si="13"/>
        <v>-0.63326484018264839</v>
      </c>
      <c r="N201"/>
      <c r="P201" t="s">
        <v>565</v>
      </c>
      <c r="Q201">
        <v>881</v>
      </c>
      <c r="R201">
        <v>1652.3</v>
      </c>
    </row>
    <row r="202" spans="1:18" ht="14.25" hidden="1" customHeight="1">
      <c r="A202" t="s">
        <v>1649</v>
      </c>
      <c r="B202" t="s">
        <v>352</v>
      </c>
      <c r="C202" t="s">
        <v>353</v>
      </c>
      <c r="D202" s="28">
        <v>5131</v>
      </c>
      <c r="E202" s="19">
        <f t="shared" si="14"/>
        <v>171.03333333333333</v>
      </c>
      <c r="F202" s="5">
        <v>5535.69</v>
      </c>
      <c r="I202" s="19">
        <f t="shared" si="15"/>
        <v>10262</v>
      </c>
      <c r="J202" t="b">
        <f t="shared" si="12"/>
        <v>1</v>
      </c>
      <c r="K202" s="4">
        <f t="shared" si="13"/>
        <v>-0.4605642175014617</v>
      </c>
      <c r="N202"/>
      <c r="P202" t="s">
        <v>367</v>
      </c>
      <c r="Q202">
        <v>1829</v>
      </c>
      <c r="R202">
        <v>4095.28</v>
      </c>
    </row>
    <row r="203" spans="1:18" hidden="1">
      <c r="A203" t="s">
        <v>1649</v>
      </c>
      <c r="B203" t="s">
        <v>488</v>
      </c>
      <c r="C203" t="s">
        <v>489</v>
      </c>
      <c r="D203" s="28">
        <v>308</v>
      </c>
      <c r="E203" s="19">
        <f t="shared" si="14"/>
        <v>10.266666666666667</v>
      </c>
      <c r="F203" s="5">
        <v>467.16</v>
      </c>
      <c r="I203" s="19">
        <f t="shared" si="15"/>
        <v>616</v>
      </c>
      <c r="J203" t="b">
        <f t="shared" si="12"/>
        <v>1</v>
      </c>
      <c r="K203" s="4">
        <f t="shared" si="13"/>
        <v>-0.24162337662337663</v>
      </c>
      <c r="N203"/>
      <c r="P203" t="s">
        <v>1490</v>
      </c>
      <c r="Q203">
        <v>0</v>
      </c>
      <c r="R203">
        <v>0</v>
      </c>
    </row>
    <row r="204" spans="1:18" hidden="1">
      <c r="A204" t="s">
        <v>1649</v>
      </c>
      <c r="B204" t="s">
        <v>600</v>
      </c>
      <c r="C204" t="s">
        <v>601</v>
      </c>
      <c r="D204" s="28">
        <v>212</v>
      </c>
      <c r="E204" s="19">
        <f t="shared" si="14"/>
        <v>7.0666666666666664</v>
      </c>
      <c r="F204" s="5">
        <v>205.71</v>
      </c>
      <c r="I204" s="19">
        <f t="shared" si="15"/>
        <v>424</v>
      </c>
      <c r="J204" t="b">
        <f t="shared" si="12"/>
        <v>1</v>
      </c>
      <c r="K204" s="4">
        <f t="shared" si="13"/>
        <v>-0.51483490566037737</v>
      </c>
      <c r="N204"/>
      <c r="P204" t="s">
        <v>772</v>
      </c>
      <c r="Q204">
        <v>3661</v>
      </c>
      <c r="R204">
        <v>7728.05</v>
      </c>
    </row>
    <row r="205" spans="1:18" hidden="1">
      <c r="A205" t="s">
        <v>1652</v>
      </c>
      <c r="B205" s="142" t="s">
        <v>147</v>
      </c>
      <c r="C205" s="37" t="s">
        <v>148</v>
      </c>
      <c r="D205" s="28">
        <v>870</v>
      </c>
      <c r="E205" s="19">
        <f t="shared" si="14"/>
        <v>29</v>
      </c>
      <c r="F205" s="5">
        <v>1029.02</v>
      </c>
      <c r="I205" s="19">
        <f t="shared" si="15"/>
        <v>1740</v>
      </c>
      <c r="J205" t="b">
        <f t="shared" si="12"/>
        <v>1</v>
      </c>
      <c r="K205" s="4">
        <f t="shared" si="13"/>
        <v>-0.4086091954022989</v>
      </c>
      <c r="N205"/>
      <c r="P205" t="s">
        <v>495</v>
      </c>
      <c r="Q205">
        <v>941</v>
      </c>
      <c r="R205">
        <v>2119.17</v>
      </c>
    </row>
    <row r="206" spans="1:18" hidden="1">
      <c r="A206" t="s">
        <v>1651</v>
      </c>
      <c r="B206" s="54" t="s">
        <v>184</v>
      </c>
      <c r="C206" s="37" t="s">
        <v>185</v>
      </c>
      <c r="D206" s="28">
        <v>866</v>
      </c>
      <c r="E206" s="19">
        <f t="shared" si="14"/>
        <v>28.866666666666667</v>
      </c>
      <c r="F206" s="5">
        <v>1358.66</v>
      </c>
      <c r="I206" s="19">
        <f t="shared" si="15"/>
        <v>1732</v>
      </c>
      <c r="J206" t="b">
        <f t="shared" si="12"/>
        <v>1</v>
      </c>
      <c r="K206" s="4">
        <f t="shared" si="13"/>
        <v>-0.21555427251732096</v>
      </c>
      <c r="N206"/>
      <c r="P206" t="s">
        <v>593</v>
      </c>
      <c r="Q206">
        <v>1614</v>
      </c>
      <c r="R206">
        <v>3807.06</v>
      </c>
    </row>
    <row r="207" spans="1:18" hidden="1">
      <c r="A207" t="s">
        <v>1649</v>
      </c>
      <c r="B207" t="s">
        <v>720</v>
      </c>
      <c r="C207" t="s">
        <v>721</v>
      </c>
      <c r="D207" s="28">
        <v>732</v>
      </c>
      <c r="E207" s="19">
        <f t="shared" si="14"/>
        <v>24.4</v>
      </c>
      <c r="F207" s="5">
        <v>1359.66</v>
      </c>
      <c r="I207" s="19">
        <f t="shared" si="15"/>
        <v>1464</v>
      </c>
      <c r="J207" t="b">
        <f t="shared" si="12"/>
        <v>1</v>
      </c>
      <c r="K207" s="4">
        <f t="shared" si="13"/>
        <v>-7.1270491803278602E-2</v>
      </c>
      <c r="N207"/>
      <c r="P207" t="s">
        <v>375</v>
      </c>
      <c r="Q207">
        <v>627</v>
      </c>
      <c r="R207">
        <v>626.16</v>
      </c>
    </row>
    <row r="208" spans="1:18" hidden="1">
      <c r="A208" t="s">
        <v>1651</v>
      </c>
      <c r="B208" s="142" t="s">
        <v>227</v>
      </c>
      <c r="C208" s="37" t="s">
        <v>228</v>
      </c>
      <c r="D208" s="28">
        <v>702</v>
      </c>
      <c r="E208" s="19">
        <f t="shared" si="14"/>
        <v>23.4</v>
      </c>
      <c r="F208" s="5">
        <v>1105.8</v>
      </c>
      <c r="I208" s="19">
        <f t="shared" si="15"/>
        <v>1404</v>
      </c>
      <c r="J208" t="b">
        <f t="shared" si="12"/>
        <v>1</v>
      </c>
      <c r="K208" s="4">
        <f t="shared" si="13"/>
        <v>-0.21239316239316242</v>
      </c>
      <c r="N208"/>
      <c r="P208" t="s">
        <v>453</v>
      </c>
      <c r="Q208">
        <v>1753</v>
      </c>
      <c r="R208">
        <v>1596.89</v>
      </c>
    </row>
    <row r="209" spans="1:18" hidden="1">
      <c r="A209" t="s">
        <v>1652</v>
      </c>
      <c r="B209" t="s">
        <v>633</v>
      </c>
      <c r="C209" t="s">
        <v>634</v>
      </c>
      <c r="D209" s="28">
        <v>271</v>
      </c>
      <c r="E209" s="19">
        <f t="shared" si="14"/>
        <v>9.0333333333333332</v>
      </c>
      <c r="F209" s="5">
        <v>261.39</v>
      </c>
      <c r="I209" s="19">
        <f t="shared" si="15"/>
        <v>542</v>
      </c>
      <c r="J209" t="b">
        <f t="shared" si="12"/>
        <v>1</v>
      </c>
      <c r="K209" s="4">
        <f t="shared" si="13"/>
        <v>-0.51773062730627306</v>
      </c>
      <c r="N209"/>
      <c r="P209" t="s">
        <v>471</v>
      </c>
      <c r="Q209">
        <v>1376</v>
      </c>
      <c r="R209">
        <v>2237.9499999999998</v>
      </c>
    </row>
    <row r="210" spans="1:18" hidden="1">
      <c r="A210" t="s">
        <v>1649</v>
      </c>
      <c r="B210" t="s">
        <v>198</v>
      </c>
      <c r="C210" t="s">
        <v>199</v>
      </c>
      <c r="D210" s="28">
        <v>2241</v>
      </c>
      <c r="E210" s="19">
        <f t="shared" si="14"/>
        <v>74.7</v>
      </c>
      <c r="F210" s="5">
        <v>3288.05</v>
      </c>
      <c r="I210" s="19">
        <f t="shared" si="15"/>
        <v>4482</v>
      </c>
      <c r="J210" t="b">
        <f t="shared" si="12"/>
        <v>1</v>
      </c>
      <c r="K210" s="4">
        <f t="shared" si="13"/>
        <v>-0.26638777331548413</v>
      </c>
      <c r="N210"/>
      <c r="P210" t="s">
        <v>455</v>
      </c>
      <c r="Q210">
        <v>351</v>
      </c>
      <c r="R210">
        <v>625.14</v>
      </c>
    </row>
    <row r="211" spans="1:18">
      <c r="A211" t="s">
        <v>1649</v>
      </c>
      <c r="B211" s="54" t="s">
        <v>711</v>
      </c>
      <c r="C211" s="37" t="s">
        <v>712</v>
      </c>
      <c r="D211" s="19">
        <v>1233</v>
      </c>
      <c r="E211" s="19">
        <f>D211/30</f>
        <v>41.1</v>
      </c>
      <c r="F211" s="5">
        <v>3191.61</v>
      </c>
      <c r="I211" s="19">
        <f t="shared" si="15"/>
        <v>2466</v>
      </c>
      <c r="J211" t="b">
        <f t="shared" si="12"/>
        <v>0</v>
      </c>
      <c r="K211" s="4">
        <f t="shared" si="13"/>
        <v>0.29424574209245757</v>
      </c>
      <c r="L211" t="s">
        <v>15</v>
      </c>
      <c r="M211" t="s">
        <v>1660</v>
      </c>
      <c r="N211"/>
      <c r="P211" t="s">
        <v>753</v>
      </c>
      <c r="Q211">
        <v>4617</v>
      </c>
      <c r="R211">
        <v>5247.92</v>
      </c>
    </row>
    <row r="212" spans="1:18" hidden="1">
      <c r="A212" t="s">
        <v>1651</v>
      </c>
      <c r="B212" t="s">
        <v>534</v>
      </c>
      <c r="C212" t="s">
        <v>535</v>
      </c>
      <c r="D212" s="28">
        <v>408</v>
      </c>
      <c r="E212" s="19">
        <f t="shared" si="14"/>
        <v>13.6</v>
      </c>
      <c r="F212" s="18">
        <v>340.53</v>
      </c>
      <c r="I212" s="19">
        <f t="shared" si="15"/>
        <v>816</v>
      </c>
      <c r="J212" t="b">
        <f t="shared" si="12"/>
        <v>1</v>
      </c>
      <c r="K212" s="4">
        <f t="shared" si="13"/>
        <v>-0.58268382352941184</v>
      </c>
      <c r="N212"/>
      <c r="P212" t="s">
        <v>133</v>
      </c>
      <c r="Q212">
        <v>3350</v>
      </c>
      <c r="R212">
        <v>6045.53</v>
      </c>
    </row>
    <row r="213" spans="1:18" hidden="1">
      <c r="A213" t="s">
        <v>1651</v>
      </c>
      <c r="B213" s="54" t="s">
        <v>382</v>
      </c>
      <c r="C213" s="37" t="s">
        <v>383</v>
      </c>
      <c r="D213" s="28">
        <v>1140</v>
      </c>
      <c r="E213" s="19">
        <f t="shared" si="14"/>
        <v>38</v>
      </c>
      <c r="F213" s="5">
        <v>1775.71</v>
      </c>
      <c r="I213" s="19">
        <f t="shared" si="15"/>
        <v>2280</v>
      </c>
      <c r="J213" t="b">
        <f t="shared" si="12"/>
        <v>1</v>
      </c>
      <c r="K213" s="4">
        <f t="shared" si="13"/>
        <v>-0.2211798245614035</v>
      </c>
      <c r="N213"/>
      <c r="P213" t="s">
        <v>571</v>
      </c>
      <c r="Q213">
        <v>1866</v>
      </c>
      <c r="R213">
        <v>3855.15</v>
      </c>
    </row>
    <row r="214" spans="1:18" hidden="1">
      <c r="A214" t="s">
        <v>1649</v>
      </c>
      <c r="B214" t="s">
        <v>536</v>
      </c>
      <c r="C214" t="s">
        <v>537</v>
      </c>
      <c r="D214" s="28">
        <v>215</v>
      </c>
      <c r="E214" s="19">
        <f t="shared" si="14"/>
        <v>7.166666666666667</v>
      </c>
      <c r="F214" s="5">
        <v>225.74</v>
      </c>
      <c r="I214" s="19">
        <f t="shared" si="15"/>
        <v>430</v>
      </c>
      <c r="J214" t="b">
        <f t="shared" si="12"/>
        <v>1</v>
      </c>
      <c r="K214" s="4">
        <f t="shared" si="13"/>
        <v>-0.47502325581395344</v>
      </c>
      <c r="N214"/>
      <c r="P214" t="s">
        <v>543</v>
      </c>
      <c r="Q214">
        <v>1077</v>
      </c>
      <c r="R214">
        <v>3291.87</v>
      </c>
    </row>
    <row r="215" spans="1:18" hidden="1">
      <c r="A215" t="s">
        <v>1651</v>
      </c>
      <c r="B215" t="s">
        <v>344</v>
      </c>
      <c r="C215" t="s">
        <v>345</v>
      </c>
      <c r="D215" s="28">
        <v>1531</v>
      </c>
      <c r="E215" s="19">
        <f t="shared" si="14"/>
        <v>51.033333333333331</v>
      </c>
      <c r="F215" s="5">
        <v>2304.9299999999998</v>
      </c>
      <c r="I215" s="19">
        <f t="shared" si="15"/>
        <v>3062</v>
      </c>
      <c r="J215" t="b">
        <f t="shared" si="12"/>
        <v>1</v>
      </c>
      <c r="K215" s="4">
        <f t="shared" si="13"/>
        <v>-0.24724689745264539</v>
      </c>
      <c r="N215"/>
      <c r="P215" t="s">
        <v>555</v>
      </c>
      <c r="Q215">
        <v>746</v>
      </c>
      <c r="R215">
        <v>1167.75</v>
      </c>
    </row>
    <row r="216" spans="1:18" hidden="1">
      <c r="A216" t="s">
        <v>1649</v>
      </c>
      <c r="B216" t="s">
        <v>554</v>
      </c>
      <c r="C216" t="s">
        <v>555</v>
      </c>
      <c r="D216" s="28">
        <v>382</v>
      </c>
      <c r="E216" s="19">
        <f t="shared" si="14"/>
        <v>12.733333333333333</v>
      </c>
      <c r="F216" s="5">
        <v>423.46</v>
      </c>
      <c r="I216" s="19">
        <f t="shared" si="15"/>
        <v>764</v>
      </c>
      <c r="J216" t="b">
        <f t="shared" si="12"/>
        <v>1</v>
      </c>
      <c r="K216" s="4">
        <f t="shared" si="13"/>
        <v>-0.44573298429319375</v>
      </c>
      <c r="N216"/>
      <c r="P216" t="s">
        <v>113</v>
      </c>
      <c r="Q216">
        <v>1508</v>
      </c>
      <c r="R216">
        <v>26.36</v>
      </c>
    </row>
    <row r="217" spans="1:18" hidden="1">
      <c r="A217" t="s">
        <v>1651</v>
      </c>
      <c r="B217" t="s">
        <v>530</v>
      </c>
      <c r="C217" t="s">
        <v>531</v>
      </c>
      <c r="D217" s="28">
        <v>410</v>
      </c>
      <c r="E217" s="19">
        <f t="shared" si="14"/>
        <v>13.666666666666666</v>
      </c>
      <c r="F217" s="5">
        <v>354.78</v>
      </c>
      <c r="I217" s="19">
        <f t="shared" si="15"/>
        <v>820</v>
      </c>
      <c r="J217" t="b">
        <f t="shared" si="12"/>
        <v>1</v>
      </c>
      <c r="K217" s="4">
        <f t="shared" si="13"/>
        <v>-0.56734146341463421</v>
      </c>
      <c r="N217"/>
      <c r="P217" t="s">
        <v>307</v>
      </c>
      <c r="Q217">
        <v>1031</v>
      </c>
      <c r="R217">
        <v>2527.0700000000002</v>
      </c>
    </row>
    <row r="218" spans="1:18" hidden="1">
      <c r="A218" t="s">
        <v>1652</v>
      </c>
      <c r="B218" t="s">
        <v>492</v>
      </c>
      <c r="C218" t="s">
        <v>493</v>
      </c>
      <c r="D218" s="28">
        <v>1225</v>
      </c>
      <c r="E218" s="19">
        <f t="shared" si="14"/>
        <v>40.833333333333336</v>
      </c>
      <c r="F218" s="5">
        <v>400.25</v>
      </c>
      <c r="I218" s="19">
        <f t="shared" si="15"/>
        <v>2450</v>
      </c>
      <c r="J218" t="b">
        <f t="shared" si="12"/>
        <v>1</v>
      </c>
      <c r="K218" s="4">
        <f t="shared" si="13"/>
        <v>-0.83663265306122447</v>
      </c>
      <c r="P218" t="s">
        <v>170</v>
      </c>
      <c r="Q218">
        <v>4286</v>
      </c>
      <c r="R218">
        <v>4897.3</v>
      </c>
    </row>
    <row r="219" spans="1:18">
      <c r="A219" t="s">
        <v>1649</v>
      </c>
      <c r="B219" s="54" t="s">
        <v>215</v>
      </c>
      <c r="C219" s="37" t="s">
        <v>216</v>
      </c>
      <c r="D219" s="28">
        <v>857</v>
      </c>
      <c r="E219" s="19">
        <f t="shared" si="14"/>
        <v>28.566666666666666</v>
      </c>
      <c r="F219" s="5">
        <v>2190.34</v>
      </c>
      <c r="I219" s="19">
        <f t="shared" si="15"/>
        <v>1714</v>
      </c>
      <c r="J219" t="b">
        <f t="shared" si="12"/>
        <v>0</v>
      </c>
      <c r="K219" s="4">
        <f t="shared" si="13"/>
        <v>0.27791131855309237</v>
      </c>
      <c r="L219" t="s">
        <v>17</v>
      </c>
      <c r="M219" t="s">
        <v>1661</v>
      </c>
      <c r="N219"/>
      <c r="P219" t="s">
        <v>691</v>
      </c>
      <c r="Q219">
        <v>5987</v>
      </c>
      <c r="R219">
        <v>6518.57</v>
      </c>
    </row>
    <row r="220" spans="1:18" hidden="1">
      <c r="A220" t="s">
        <v>1652</v>
      </c>
      <c r="B220" s="54" t="s">
        <v>190</v>
      </c>
      <c r="C220" s="37" t="s">
        <v>191</v>
      </c>
      <c r="D220" s="28">
        <v>905</v>
      </c>
      <c r="E220" s="19">
        <f t="shared" si="14"/>
        <v>30.166666666666668</v>
      </c>
      <c r="F220" s="5">
        <v>1859.49</v>
      </c>
      <c r="I220" s="19">
        <f t="shared" si="15"/>
        <v>1810</v>
      </c>
      <c r="J220" t="b">
        <f t="shared" si="12"/>
        <v>1</v>
      </c>
      <c r="K220" s="4">
        <f t="shared" si="13"/>
        <v>2.7342541436464085E-2</v>
      </c>
      <c r="N220"/>
      <c r="P220" t="s">
        <v>67</v>
      </c>
      <c r="Q220">
        <v>2067</v>
      </c>
      <c r="R220">
        <v>1152.29</v>
      </c>
    </row>
    <row r="221" spans="1:18" hidden="1">
      <c r="A221" t="s">
        <v>1649</v>
      </c>
      <c r="B221" t="s">
        <v>602</v>
      </c>
      <c r="C221" t="s">
        <v>603</v>
      </c>
      <c r="D221" s="28">
        <v>586</v>
      </c>
      <c r="E221" s="19">
        <f t="shared" si="14"/>
        <v>19.533333333333335</v>
      </c>
      <c r="F221" s="5">
        <v>1257.1500000000001</v>
      </c>
      <c r="I221" s="19">
        <f t="shared" si="15"/>
        <v>1172</v>
      </c>
      <c r="J221" t="b">
        <f t="shared" si="12"/>
        <v>1</v>
      </c>
      <c r="K221" s="4">
        <f t="shared" si="13"/>
        <v>7.2653583617747541E-2</v>
      </c>
      <c r="N221"/>
      <c r="P221" t="s">
        <v>767</v>
      </c>
      <c r="Q221">
        <v>3090</v>
      </c>
      <c r="R221">
        <v>3298.37</v>
      </c>
    </row>
    <row r="222" spans="1:18">
      <c r="A222" t="s">
        <v>1649</v>
      </c>
      <c r="B222" s="54" t="s">
        <v>532</v>
      </c>
      <c r="C222" s="37" t="s">
        <v>533</v>
      </c>
      <c r="D222" s="28">
        <v>395</v>
      </c>
      <c r="E222" s="19">
        <f t="shared" si="14"/>
        <v>13.166666666666666</v>
      </c>
      <c r="F222" s="5">
        <v>1443.95</v>
      </c>
      <c r="I222" s="19">
        <f t="shared" si="15"/>
        <v>790</v>
      </c>
      <c r="J222" t="b">
        <f t="shared" si="12"/>
        <v>0</v>
      </c>
      <c r="K222" s="4">
        <f t="shared" si="13"/>
        <v>0.82778481012658234</v>
      </c>
      <c r="L222" t="s">
        <v>15</v>
      </c>
      <c r="M222" t="s">
        <v>1662</v>
      </c>
      <c r="N222"/>
      <c r="P222" t="s">
        <v>431</v>
      </c>
      <c r="Q222">
        <v>1664</v>
      </c>
      <c r="R222">
        <v>2049.73</v>
      </c>
    </row>
    <row r="223" spans="1:18" hidden="1">
      <c r="A223" t="s">
        <v>1652</v>
      </c>
      <c r="B223" s="37" t="s">
        <v>149</v>
      </c>
      <c r="C223" s="37" t="s">
        <v>150</v>
      </c>
      <c r="D223" s="28">
        <v>2601</v>
      </c>
      <c r="E223" s="19">
        <f t="shared" si="14"/>
        <v>86.7</v>
      </c>
      <c r="F223" s="5">
        <v>3915.36</v>
      </c>
      <c r="I223" s="19">
        <f t="shared" si="15"/>
        <v>5202</v>
      </c>
      <c r="J223" t="b">
        <f t="shared" si="12"/>
        <v>1</v>
      </c>
      <c r="K223" s="4">
        <f t="shared" si="13"/>
        <v>-0.24733564013840825</v>
      </c>
      <c r="P223" t="s">
        <v>279</v>
      </c>
      <c r="Q223">
        <v>124</v>
      </c>
      <c r="R223">
        <v>275.04000000000002</v>
      </c>
    </row>
    <row r="224" spans="1:18" hidden="1">
      <c r="A224" t="s">
        <v>1649</v>
      </c>
      <c r="B224" t="s">
        <v>675</v>
      </c>
      <c r="C224" t="s">
        <v>676</v>
      </c>
      <c r="D224" s="28">
        <v>341</v>
      </c>
      <c r="E224" s="19">
        <f t="shared" si="14"/>
        <v>11.366666666666667</v>
      </c>
      <c r="F224" s="5">
        <v>312.37</v>
      </c>
      <c r="I224" s="19">
        <f t="shared" si="15"/>
        <v>682</v>
      </c>
      <c r="J224" t="b">
        <f t="shared" si="12"/>
        <v>1</v>
      </c>
      <c r="K224" s="4">
        <f t="shared" si="13"/>
        <v>-0.54197947214076247</v>
      </c>
      <c r="N224"/>
      <c r="P224" t="s">
        <v>1495</v>
      </c>
      <c r="Q224">
        <v>64</v>
      </c>
      <c r="R224">
        <v>178.31</v>
      </c>
    </row>
    <row r="225" spans="1:18" hidden="1">
      <c r="A225" t="s">
        <v>1649</v>
      </c>
      <c r="B225" s="54" t="s">
        <v>576</v>
      </c>
      <c r="C225" s="37" t="s">
        <v>577</v>
      </c>
      <c r="D225" s="28">
        <v>977</v>
      </c>
      <c r="E225" s="19">
        <f t="shared" si="14"/>
        <v>32.56666666666667</v>
      </c>
      <c r="F225" s="5">
        <v>1670.6</v>
      </c>
      <c r="I225" s="19">
        <f t="shared" si="15"/>
        <v>1954</v>
      </c>
      <c r="J225" t="b">
        <f t="shared" si="12"/>
        <v>1</v>
      </c>
      <c r="K225" s="4">
        <f t="shared" si="13"/>
        <v>-0.14503582395087</v>
      </c>
      <c r="N225"/>
      <c r="P225" t="s">
        <v>519</v>
      </c>
      <c r="Q225">
        <v>1664</v>
      </c>
      <c r="R225">
        <v>1764.37</v>
      </c>
    </row>
    <row r="226" spans="1:18" hidden="1">
      <c r="A226" t="s">
        <v>1652</v>
      </c>
      <c r="B226" t="s">
        <v>310</v>
      </c>
      <c r="C226" t="s">
        <v>311</v>
      </c>
      <c r="D226" s="28">
        <v>771</v>
      </c>
      <c r="E226" s="19">
        <f t="shared" si="14"/>
        <v>25.7</v>
      </c>
      <c r="F226" s="5">
        <v>330.6</v>
      </c>
      <c r="I226" s="19">
        <f t="shared" si="15"/>
        <v>1542</v>
      </c>
      <c r="J226" t="b">
        <f t="shared" si="12"/>
        <v>1</v>
      </c>
      <c r="K226" s="4">
        <f t="shared" si="13"/>
        <v>-0.78560311284046691</v>
      </c>
      <c r="N226"/>
      <c r="P226" t="s">
        <v>238</v>
      </c>
      <c r="Q226">
        <v>1145</v>
      </c>
      <c r="R226">
        <v>1234.98</v>
      </c>
    </row>
    <row r="227" spans="1:18" hidden="1">
      <c r="A227" t="s">
        <v>1649</v>
      </c>
      <c r="B227" t="s">
        <v>508</v>
      </c>
      <c r="C227" t="s">
        <v>509</v>
      </c>
      <c r="D227" s="28">
        <v>129</v>
      </c>
      <c r="E227" s="19">
        <f t="shared" si="14"/>
        <v>4.3</v>
      </c>
      <c r="F227" s="5">
        <v>234.71</v>
      </c>
      <c r="I227" s="19">
        <f t="shared" si="15"/>
        <v>258</v>
      </c>
      <c r="J227" t="b">
        <f t="shared" si="12"/>
        <v>1</v>
      </c>
      <c r="K227" s="4">
        <f t="shared" si="13"/>
        <v>-9.0271317829457298E-2</v>
      </c>
      <c r="N227"/>
      <c r="P227" t="s">
        <v>463</v>
      </c>
      <c r="Q227">
        <v>1134</v>
      </c>
      <c r="R227">
        <v>2253.0500000000002</v>
      </c>
    </row>
    <row r="228" spans="1:18" hidden="1">
      <c r="A228" t="s">
        <v>1649</v>
      </c>
      <c r="B228" t="s">
        <v>715</v>
      </c>
      <c r="C228" t="s">
        <v>716</v>
      </c>
      <c r="D228" s="28">
        <v>831</v>
      </c>
      <c r="E228" s="19">
        <f t="shared" si="14"/>
        <v>27.7</v>
      </c>
      <c r="F228" s="5">
        <v>696.1</v>
      </c>
      <c r="I228" s="19">
        <f t="shared" si="15"/>
        <v>1662</v>
      </c>
      <c r="J228" t="b">
        <f t="shared" si="12"/>
        <v>1</v>
      </c>
      <c r="K228" s="4">
        <f t="shared" si="13"/>
        <v>-0.58116726835138388</v>
      </c>
      <c r="N228"/>
      <c r="P228" t="s">
        <v>503</v>
      </c>
      <c r="Q228">
        <v>38</v>
      </c>
      <c r="R228">
        <v>156.91</v>
      </c>
    </row>
    <row r="229" spans="1:18" hidden="1">
      <c r="A229" t="s">
        <v>1651</v>
      </c>
      <c r="B229" t="s">
        <v>468</v>
      </c>
      <c r="C229" t="s">
        <v>469</v>
      </c>
      <c r="D229" s="28">
        <v>1097</v>
      </c>
      <c r="E229" s="19">
        <f t="shared" si="14"/>
        <v>36.56666666666667</v>
      </c>
      <c r="F229" s="5">
        <v>1107.6600000000001</v>
      </c>
      <c r="I229" s="19">
        <f t="shared" si="15"/>
        <v>2194</v>
      </c>
      <c r="J229" t="b">
        <f t="shared" si="12"/>
        <v>1</v>
      </c>
      <c r="K229" s="4">
        <f t="shared" si="13"/>
        <v>-0.49514129443938004</v>
      </c>
      <c r="N229"/>
      <c r="P229" t="s">
        <v>164</v>
      </c>
      <c r="Q229">
        <v>4242</v>
      </c>
      <c r="R229">
        <v>7415.45</v>
      </c>
    </row>
    <row r="230" spans="1:18" hidden="1">
      <c r="A230" t="s">
        <v>1649</v>
      </c>
      <c r="B230" t="s">
        <v>616</v>
      </c>
      <c r="C230" t="s">
        <v>617</v>
      </c>
      <c r="D230" s="28">
        <v>226</v>
      </c>
      <c r="E230" s="19">
        <f t="shared" si="14"/>
        <v>7.5333333333333332</v>
      </c>
      <c r="F230" s="5">
        <v>279.69</v>
      </c>
      <c r="I230" s="19">
        <f t="shared" si="15"/>
        <v>452</v>
      </c>
      <c r="J230" t="b">
        <f t="shared" si="12"/>
        <v>1</v>
      </c>
      <c r="K230" s="4">
        <f t="shared" si="13"/>
        <v>-0.38121681415929209</v>
      </c>
      <c r="N230"/>
      <c r="P230" t="s">
        <v>761</v>
      </c>
      <c r="Q230">
        <v>6399</v>
      </c>
      <c r="R230">
        <v>1838.47</v>
      </c>
    </row>
    <row r="231" spans="1:18" hidden="1">
      <c r="A231" t="s">
        <v>1652</v>
      </c>
      <c r="B231" s="37" t="s">
        <v>606</v>
      </c>
      <c r="C231" s="37" t="s">
        <v>607</v>
      </c>
      <c r="D231" s="28">
        <v>908</v>
      </c>
      <c r="E231" s="19">
        <f t="shared" si="14"/>
        <v>30.266666666666666</v>
      </c>
      <c r="F231" s="5">
        <v>2027.84</v>
      </c>
      <c r="I231" s="19">
        <f t="shared" si="15"/>
        <v>1816</v>
      </c>
      <c r="J231" t="b">
        <f t="shared" si="12"/>
        <v>1</v>
      </c>
      <c r="K231" s="4">
        <f t="shared" si="13"/>
        <v>0.11665198237885455</v>
      </c>
      <c r="N231"/>
      <c r="P231" t="s">
        <v>1119</v>
      </c>
      <c r="Q231">
        <v>7632</v>
      </c>
      <c r="R231">
        <v>11858.24</v>
      </c>
    </row>
    <row r="232" spans="1:18" hidden="1">
      <c r="A232" t="s">
        <v>1649</v>
      </c>
      <c r="B232" t="s">
        <v>312</v>
      </c>
      <c r="C232" t="s">
        <v>313</v>
      </c>
      <c r="D232" s="28">
        <v>1823</v>
      </c>
      <c r="E232" s="19">
        <f t="shared" si="14"/>
        <v>60.766666666666666</v>
      </c>
      <c r="F232" s="5">
        <v>2944.34</v>
      </c>
      <c r="I232" s="19">
        <f t="shared" si="15"/>
        <v>3646</v>
      </c>
      <c r="J232" t="b">
        <f t="shared" si="12"/>
        <v>1</v>
      </c>
      <c r="K232" s="4">
        <f t="shared" si="13"/>
        <v>-0.19244651673066371</v>
      </c>
      <c r="N232"/>
      <c r="P232" t="s">
        <v>808</v>
      </c>
      <c r="Q232">
        <v>3762</v>
      </c>
      <c r="R232">
        <v>6511.64</v>
      </c>
    </row>
    <row r="233" spans="1:18" hidden="1">
      <c r="A233" t="s">
        <v>1651</v>
      </c>
      <c r="B233" s="54" t="s">
        <v>338</v>
      </c>
      <c r="C233" s="37" t="s">
        <v>339</v>
      </c>
      <c r="D233" s="28">
        <v>442</v>
      </c>
      <c r="E233" s="19">
        <f t="shared" si="14"/>
        <v>14.733333333333333</v>
      </c>
      <c r="F233" s="5">
        <v>878.16</v>
      </c>
      <c r="I233" s="19">
        <f t="shared" si="15"/>
        <v>884</v>
      </c>
      <c r="J233" t="b">
        <f t="shared" si="12"/>
        <v>1</v>
      </c>
      <c r="K233" s="4">
        <f t="shared" si="13"/>
        <v>-6.6063348416289802E-3</v>
      </c>
      <c r="N233"/>
      <c r="P233" t="s">
        <v>861</v>
      </c>
      <c r="Q233">
        <v>3048</v>
      </c>
      <c r="R233">
        <v>4722.41</v>
      </c>
    </row>
    <row r="234" spans="1:18" hidden="1">
      <c r="A234" t="s">
        <v>1649</v>
      </c>
      <c r="B234" s="54" t="s">
        <v>390</v>
      </c>
      <c r="C234" s="37" t="s">
        <v>391</v>
      </c>
      <c r="D234" s="28">
        <v>5101</v>
      </c>
      <c r="E234" s="19">
        <f t="shared" si="14"/>
        <v>170.03333333333333</v>
      </c>
      <c r="F234" s="5">
        <v>5144.93</v>
      </c>
      <c r="I234" s="19">
        <f t="shared" si="15"/>
        <v>10202</v>
      </c>
      <c r="J234" t="b">
        <f t="shared" si="12"/>
        <v>1</v>
      </c>
      <c r="K234" s="4">
        <f t="shared" si="13"/>
        <v>-0.49569398157224076</v>
      </c>
      <c r="N234"/>
      <c r="P234" t="s">
        <v>1034</v>
      </c>
      <c r="Q234">
        <v>3637</v>
      </c>
      <c r="R234">
        <v>7335.47</v>
      </c>
    </row>
    <row r="235" spans="1:18" hidden="1">
      <c r="A235" t="s">
        <v>1652</v>
      </c>
      <c r="B235" s="54" t="s">
        <v>196</v>
      </c>
      <c r="C235" s="37" t="s">
        <v>197</v>
      </c>
      <c r="D235" s="19">
        <v>927</v>
      </c>
      <c r="E235" s="19">
        <f t="shared" si="14"/>
        <v>30.9</v>
      </c>
      <c r="F235" s="5">
        <v>1327.27</v>
      </c>
      <c r="I235" s="19">
        <f t="shared" si="15"/>
        <v>1854</v>
      </c>
      <c r="J235" t="b">
        <f t="shared" si="12"/>
        <v>1</v>
      </c>
      <c r="K235" s="4">
        <f t="shared" si="13"/>
        <v>-0.28410463861920177</v>
      </c>
      <c r="N235"/>
      <c r="P235" t="s">
        <v>1126</v>
      </c>
      <c r="Q235">
        <v>4317</v>
      </c>
      <c r="R235">
        <v>6897.7699999999995</v>
      </c>
    </row>
    <row r="236" spans="1:18" hidden="1">
      <c r="A236" t="s">
        <v>1649</v>
      </c>
      <c r="B236" s="37" t="s">
        <v>348</v>
      </c>
      <c r="C236" s="37" t="s">
        <v>349</v>
      </c>
      <c r="D236" s="28">
        <v>324</v>
      </c>
      <c r="E236" s="19">
        <f t="shared" si="14"/>
        <v>10.8</v>
      </c>
      <c r="F236" s="5">
        <v>528.96</v>
      </c>
      <c r="I236" s="19">
        <f t="shared" si="15"/>
        <v>648</v>
      </c>
      <c r="J236" t="b">
        <f t="shared" si="12"/>
        <v>1</v>
      </c>
      <c r="K236" s="4">
        <f t="shared" si="13"/>
        <v>-0.1837037037037037</v>
      </c>
      <c r="N236"/>
      <c r="P236" t="s">
        <v>1131</v>
      </c>
      <c r="Q236">
        <v>5550</v>
      </c>
      <c r="R236">
        <v>9885.65</v>
      </c>
    </row>
    <row r="237" spans="1:18" hidden="1">
      <c r="A237" t="s">
        <v>1652</v>
      </c>
      <c r="B237" t="s">
        <v>516</v>
      </c>
      <c r="C237" t="s">
        <v>517</v>
      </c>
      <c r="D237" s="28">
        <v>1120</v>
      </c>
      <c r="E237" s="19">
        <f t="shared" si="14"/>
        <v>37.333333333333336</v>
      </c>
      <c r="F237" s="5">
        <v>1943.75</v>
      </c>
      <c r="I237" s="19">
        <f t="shared" si="15"/>
        <v>2240</v>
      </c>
      <c r="J237" t="b">
        <f t="shared" si="12"/>
        <v>1</v>
      </c>
      <c r="K237" s="4">
        <f t="shared" si="13"/>
        <v>-0.1322544642857143</v>
      </c>
      <c r="N237"/>
      <c r="P237" t="s">
        <v>1079</v>
      </c>
      <c r="Q237">
        <v>1894</v>
      </c>
      <c r="R237">
        <v>3441.08</v>
      </c>
    </row>
    <row r="238" spans="1:18" hidden="1">
      <c r="A238" t="s">
        <v>1649</v>
      </c>
      <c r="B238" t="s">
        <v>422</v>
      </c>
      <c r="C238" t="s">
        <v>423</v>
      </c>
      <c r="D238" s="28">
        <v>360</v>
      </c>
      <c r="E238" s="19">
        <f t="shared" si="14"/>
        <v>12</v>
      </c>
      <c r="F238" s="5">
        <v>620.25</v>
      </c>
      <c r="I238" s="19">
        <f t="shared" si="15"/>
        <v>720</v>
      </c>
      <c r="J238" t="b">
        <f t="shared" si="12"/>
        <v>1</v>
      </c>
      <c r="K238" s="4">
        <f t="shared" si="13"/>
        <v>-0.13854166666666667</v>
      </c>
      <c r="N238"/>
      <c r="P238" t="s">
        <v>1509</v>
      </c>
      <c r="Q238">
        <v>2</v>
      </c>
      <c r="R238">
        <v>0</v>
      </c>
    </row>
    <row r="239" spans="1:18" hidden="1">
      <c r="A239" t="s">
        <v>1651</v>
      </c>
      <c r="B239" t="s">
        <v>538</v>
      </c>
      <c r="C239" t="s">
        <v>539</v>
      </c>
      <c r="D239" s="28">
        <v>369</v>
      </c>
      <c r="E239" s="19">
        <f t="shared" si="14"/>
        <v>12.3</v>
      </c>
      <c r="F239" s="5">
        <v>363.95</v>
      </c>
      <c r="I239" s="19">
        <f t="shared" si="15"/>
        <v>738</v>
      </c>
      <c r="J239" t="b">
        <f t="shared" si="12"/>
        <v>1</v>
      </c>
      <c r="K239" s="4">
        <f t="shared" si="13"/>
        <v>-0.50684281842818435</v>
      </c>
      <c r="N239"/>
      <c r="P239" t="s">
        <v>812</v>
      </c>
      <c r="Q239">
        <v>3398</v>
      </c>
      <c r="R239">
        <v>4409.53</v>
      </c>
    </row>
    <row r="240" spans="1:18" hidden="1">
      <c r="A240" t="s">
        <v>1649</v>
      </c>
      <c r="B240" t="s">
        <v>398</v>
      </c>
      <c r="C240" t="s">
        <v>399</v>
      </c>
      <c r="D240" s="28">
        <v>1075</v>
      </c>
      <c r="E240" s="19">
        <f t="shared" si="14"/>
        <v>35.833333333333336</v>
      </c>
      <c r="F240" s="5">
        <v>1648.15</v>
      </c>
      <c r="I240" s="19">
        <f t="shared" si="15"/>
        <v>2150</v>
      </c>
      <c r="J240" t="b">
        <f t="shared" si="12"/>
        <v>1</v>
      </c>
      <c r="K240" s="4">
        <f t="shared" si="13"/>
        <v>-0.23341860465116271</v>
      </c>
      <c r="N240"/>
      <c r="P240" t="s">
        <v>1124</v>
      </c>
      <c r="Q240">
        <v>5137</v>
      </c>
      <c r="R240">
        <v>8701.9699999999993</v>
      </c>
    </row>
    <row r="241" spans="1:18" hidden="1">
      <c r="A241" t="s">
        <v>1651</v>
      </c>
      <c r="B241" s="143" t="s">
        <v>580</v>
      </c>
      <c r="C241" s="37" t="s">
        <v>581</v>
      </c>
      <c r="D241" s="28">
        <v>626</v>
      </c>
      <c r="E241" s="19">
        <f t="shared" si="14"/>
        <v>20.866666666666667</v>
      </c>
      <c r="F241" s="5">
        <v>854.93</v>
      </c>
      <c r="I241" s="19">
        <f t="shared" si="15"/>
        <v>1252</v>
      </c>
      <c r="J241" t="b">
        <f t="shared" si="12"/>
        <v>1</v>
      </c>
      <c r="K241" s="4">
        <f t="shared" si="13"/>
        <v>-0.31714856230031951</v>
      </c>
      <c r="N241"/>
      <c r="P241" t="s">
        <v>978</v>
      </c>
      <c r="Q241">
        <v>711</v>
      </c>
      <c r="R241">
        <v>1448.65</v>
      </c>
    </row>
    <row r="242" spans="1:18" hidden="1">
      <c r="A242" t="s">
        <v>1652</v>
      </c>
      <c r="B242" t="s">
        <v>362</v>
      </c>
      <c r="C242" s="27" t="s">
        <v>363</v>
      </c>
      <c r="D242" s="28">
        <v>1424</v>
      </c>
      <c r="E242" s="19">
        <f t="shared" si="14"/>
        <v>47.466666666666669</v>
      </c>
      <c r="F242" s="5">
        <v>2501.65</v>
      </c>
      <c r="I242" s="19">
        <f t="shared" si="15"/>
        <v>2848</v>
      </c>
      <c r="J242" t="b">
        <f t="shared" si="12"/>
        <v>1</v>
      </c>
      <c r="K242" s="4">
        <f t="shared" si="13"/>
        <v>-0.12161165730337076</v>
      </c>
      <c r="N242"/>
      <c r="P242" t="s">
        <v>814</v>
      </c>
      <c r="Q242">
        <v>2183</v>
      </c>
      <c r="R242">
        <v>3642.64</v>
      </c>
    </row>
    <row r="243" spans="1:18" hidden="1">
      <c r="A243" t="s">
        <v>1649</v>
      </c>
      <c r="B243" t="s">
        <v>504</v>
      </c>
      <c r="C243" t="s">
        <v>505</v>
      </c>
      <c r="D243" s="28">
        <v>532</v>
      </c>
      <c r="E243" s="19">
        <f t="shared" si="14"/>
        <v>17.733333333333334</v>
      </c>
      <c r="F243" s="5">
        <v>694.15</v>
      </c>
      <c r="I243" s="19">
        <f t="shared" si="15"/>
        <v>1064</v>
      </c>
      <c r="J243" t="b">
        <f t="shared" si="12"/>
        <v>1</v>
      </c>
      <c r="K243" s="4">
        <f t="shared" si="13"/>
        <v>-0.34760338345864661</v>
      </c>
      <c r="N243"/>
      <c r="P243" t="s">
        <v>846</v>
      </c>
      <c r="Q243">
        <v>1995</v>
      </c>
      <c r="R243">
        <v>4535.91</v>
      </c>
    </row>
    <row r="244" spans="1:18" hidden="1">
      <c r="A244" t="s">
        <v>1651</v>
      </c>
      <c r="B244" t="s">
        <v>354</v>
      </c>
      <c r="C244" t="s">
        <v>355</v>
      </c>
      <c r="D244" s="28">
        <v>658</v>
      </c>
      <c r="E244" s="19">
        <f t="shared" si="14"/>
        <v>21.933333333333334</v>
      </c>
      <c r="F244" s="5">
        <v>1179.6099999999999</v>
      </c>
      <c r="I244" s="19">
        <f t="shared" si="15"/>
        <v>1316</v>
      </c>
      <c r="J244" t="b">
        <f t="shared" si="12"/>
        <v>1</v>
      </c>
      <c r="K244" s="4">
        <f t="shared" si="13"/>
        <v>-0.1036398176291794</v>
      </c>
      <c r="N244"/>
      <c r="P244" t="s">
        <v>1113</v>
      </c>
      <c r="Q244">
        <v>1870</v>
      </c>
      <c r="R244">
        <v>3839.5</v>
      </c>
    </row>
    <row r="245" spans="1:18" hidden="1">
      <c r="A245" t="s">
        <v>1651</v>
      </c>
      <c r="B245" s="142" t="s">
        <v>71</v>
      </c>
      <c r="C245" s="37" t="s">
        <v>72</v>
      </c>
      <c r="D245" s="28">
        <v>1365</v>
      </c>
      <c r="E245" s="19">
        <f t="shared" si="14"/>
        <v>45.5</v>
      </c>
      <c r="F245" s="5">
        <v>1151.92</v>
      </c>
      <c r="I245" s="19">
        <f t="shared" si="15"/>
        <v>2730</v>
      </c>
      <c r="J245" t="b">
        <f t="shared" si="12"/>
        <v>1</v>
      </c>
      <c r="K245" s="4">
        <f t="shared" si="13"/>
        <v>-0.57805128205128198</v>
      </c>
      <c r="N245"/>
      <c r="P245" t="s">
        <v>902</v>
      </c>
      <c r="Q245">
        <v>1727</v>
      </c>
      <c r="R245">
        <v>3534.84</v>
      </c>
    </row>
    <row r="246" spans="1:18" hidden="1">
      <c r="A246" t="s">
        <v>1649</v>
      </c>
      <c r="B246" s="37" t="s">
        <v>282</v>
      </c>
      <c r="C246" s="37" t="s">
        <v>283</v>
      </c>
      <c r="D246" s="28">
        <v>1994</v>
      </c>
      <c r="E246" s="19">
        <f t="shared" si="14"/>
        <v>66.466666666666669</v>
      </c>
      <c r="F246" s="5">
        <v>2777.43</v>
      </c>
      <c r="I246" s="19">
        <f t="shared" si="15"/>
        <v>3988</v>
      </c>
      <c r="J246" t="b">
        <f t="shared" si="12"/>
        <v>1</v>
      </c>
      <c r="K246" s="4">
        <f t="shared" si="13"/>
        <v>-0.30355315947843531</v>
      </c>
      <c r="N246"/>
      <c r="P246" t="s">
        <v>816</v>
      </c>
      <c r="Q246">
        <v>40373</v>
      </c>
      <c r="R246">
        <v>31043.68</v>
      </c>
    </row>
    <row r="247" spans="1:18">
      <c r="A247" t="s">
        <v>1649</v>
      </c>
      <c r="B247" s="54" t="s">
        <v>639</v>
      </c>
      <c r="C247" s="37" t="s">
        <v>640</v>
      </c>
      <c r="D247" s="28">
        <v>5</v>
      </c>
      <c r="E247" s="19">
        <f t="shared" si="14"/>
        <v>0.16666666666666666</v>
      </c>
      <c r="F247" s="5">
        <v>17.84</v>
      </c>
      <c r="I247" s="19">
        <f t="shared" si="15"/>
        <v>10</v>
      </c>
      <c r="J247" t="b">
        <f t="shared" ref="J247:J296" si="16">IF(F247&gt;1.2*I247,FALSE,TRUE)</f>
        <v>0</v>
      </c>
      <c r="K247" s="4">
        <f t="shared" ref="K247:K296" si="17">F247/I247-1</f>
        <v>0.78400000000000003</v>
      </c>
      <c r="L247" t="s">
        <v>19</v>
      </c>
      <c r="M247" t="s">
        <v>1663</v>
      </c>
      <c r="N247"/>
      <c r="P247" t="s">
        <v>925</v>
      </c>
      <c r="Q247">
        <v>1614</v>
      </c>
      <c r="R247">
        <v>3358.06</v>
      </c>
    </row>
    <row r="248" spans="1:18" hidden="1">
      <c r="A248" t="s">
        <v>1649</v>
      </c>
      <c r="B248" t="s">
        <v>374</v>
      </c>
      <c r="C248" t="s">
        <v>375</v>
      </c>
      <c r="D248" s="28">
        <v>1401</v>
      </c>
      <c r="E248" s="19">
        <f t="shared" si="14"/>
        <v>46.7</v>
      </c>
      <c r="F248" s="5">
        <v>2845.93</v>
      </c>
      <c r="I248" s="19">
        <f t="shared" si="15"/>
        <v>2802</v>
      </c>
      <c r="J248" t="b">
        <f t="shared" si="16"/>
        <v>1</v>
      </c>
      <c r="K248" s="4">
        <f t="shared" si="17"/>
        <v>1.5678087080656544E-2</v>
      </c>
      <c r="N248"/>
      <c r="P248" t="s">
        <v>1122</v>
      </c>
      <c r="Q248">
        <v>2721</v>
      </c>
      <c r="R248">
        <v>5511.35</v>
      </c>
    </row>
    <row r="249" spans="1:18" hidden="1">
      <c r="A249" t="s">
        <v>1652</v>
      </c>
      <c r="B249" s="54" t="s">
        <v>200</v>
      </c>
      <c r="C249" s="27" t="s">
        <v>201</v>
      </c>
      <c r="D249" s="28">
        <v>706</v>
      </c>
      <c r="E249" s="19">
        <f t="shared" si="14"/>
        <v>23.533333333333335</v>
      </c>
      <c r="F249" s="5">
        <v>1381.9</v>
      </c>
      <c r="I249" s="19">
        <f t="shared" si="15"/>
        <v>1412</v>
      </c>
      <c r="J249" t="b">
        <f t="shared" si="16"/>
        <v>1</v>
      </c>
      <c r="K249" s="4">
        <f t="shared" si="17"/>
        <v>-2.1317280453257759E-2</v>
      </c>
      <c r="N249"/>
      <c r="P249" t="s">
        <v>1028</v>
      </c>
      <c r="Q249">
        <v>1207</v>
      </c>
      <c r="R249">
        <v>2348.6</v>
      </c>
    </row>
    <row r="250" spans="1:18" hidden="1">
      <c r="A250" t="s">
        <v>1651</v>
      </c>
      <c r="B250" t="s">
        <v>635</v>
      </c>
      <c r="C250" t="s">
        <v>636</v>
      </c>
      <c r="D250" s="28">
        <v>396</v>
      </c>
      <c r="E250" s="19">
        <f t="shared" si="14"/>
        <v>13.2</v>
      </c>
      <c r="F250" s="5">
        <v>435.06</v>
      </c>
      <c r="I250" s="19">
        <f t="shared" si="15"/>
        <v>792</v>
      </c>
      <c r="J250" t="b">
        <f t="shared" si="16"/>
        <v>1</v>
      </c>
      <c r="K250" s="4">
        <f t="shared" si="17"/>
        <v>-0.45068181818181818</v>
      </c>
      <c r="N250"/>
      <c r="P250" t="s">
        <v>944</v>
      </c>
      <c r="Q250">
        <v>611</v>
      </c>
      <c r="R250">
        <v>1458.74</v>
      </c>
    </row>
    <row r="251" spans="1:18" hidden="1">
      <c r="A251" t="s">
        <v>1649</v>
      </c>
      <c r="B251" t="s">
        <v>412</v>
      </c>
      <c r="C251" t="s">
        <v>413</v>
      </c>
      <c r="D251" s="28">
        <v>941</v>
      </c>
      <c r="E251" s="19">
        <f t="shared" si="14"/>
        <v>31.366666666666667</v>
      </c>
      <c r="F251" s="5">
        <v>1354.41</v>
      </c>
      <c r="I251" s="19">
        <f t="shared" si="15"/>
        <v>1882</v>
      </c>
      <c r="J251" t="b">
        <f t="shared" si="16"/>
        <v>1</v>
      </c>
      <c r="K251" s="4">
        <f t="shared" si="17"/>
        <v>-0.28033475026567478</v>
      </c>
      <c r="N251"/>
      <c r="P251" t="s">
        <v>1117</v>
      </c>
      <c r="Q251">
        <v>2751</v>
      </c>
      <c r="R251">
        <v>3498.09</v>
      </c>
    </row>
    <row r="252" spans="1:18" hidden="1">
      <c r="A252" t="s">
        <v>1651</v>
      </c>
      <c r="B252" s="54" t="s">
        <v>330</v>
      </c>
      <c r="C252" s="37" t="s">
        <v>331</v>
      </c>
      <c r="D252" s="28">
        <v>1248</v>
      </c>
      <c r="E252" s="19">
        <f t="shared" si="14"/>
        <v>41.6</v>
      </c>
      <c r="F252" s="5">
        <v>2332.5300000000002</v>
      </c>
      <c r="I252" s="19">
        <f t="shared" si="15"/>
        <v>2496</v>
      </c>
      <c r="J252" t="b">
        <f t="shared" si="16"/>
        <v>1</v>
      </c>
      <c r="K252" s="4">
        <f t="shared" si="17"/>
        <v>-6.5492788461538387E-2</v>
      </c>
      <c r="N252"/>
      <c r="P252" t="s">
        <v>848</v>
      </c>
      <c r="Q252">
        <v>2185</v>
      </c>
      <c r="R252">
        <v>3732.5</v>
      </c>
    </row>
    <row r="253" spans="1:18" hidden="1">
      <c r="A253" t="s">
        <v>1651</v>
      </c>
      <c r="B253" s="143" t="s">
        <v>556</v>
      </c>
      <c r="C253" s="37" t="s">
        <v>557</v>
      </c>
      <c r="D253" s="28">
        <v>309</v>
      </c>
      <c r="E253" s="19">
        <f t="shared" si="14"/>
        <v>10.3</v>
      </c>
      <c r="F253" s="5">
        <v>293.36</v>
      </c>
      <c r="I253" s="19">
        <f t="shared" si="15"/>
        <v>618</v>
      </c>
      <c r="J253" t="b">
        <f t="shared" si="16"/>
        <v>1</v>
      </c>
      <c r="K253" s="4">
        <f t="shared" si="17"/>
        <v>-0.52530744336569579</v>
      </c>
      <c r="N253"/>
      <c r="P253" t="s">
        <v>1046</v>
      </c>
      <c r="Q253">
        <v>1039</v>
      </c>
      <c r="R253">
        <v>1446.12</v>
      </c>
    </row>
    <row r="254" spans="1:18" hidden="1">
      <c r="A254" t="s">
        <v>1649</v>
      </c>
      <c r="B254" s="27" t="s">
        <v>342</v>
      </c>
      <c r="C254" s="37" t="s">
        <v>343</v>
      </c>
      <c r="D254" s="28">
        <v>608</v>
      </c>
      <c r="E254" s="19">
        <f t="shared" si="14"/>
        <v>20.266666666666666</v>
      </c>
      <c r="F254" s="5">
        <v>901.47</v>
      </c>
      <c r="I254" s="19">
        <f t="shared" si="15"/>
        <v>1216</v>
      </c>
      <c r="J254" t="b">
        <f t="shared" si="16"/>
        <v>1</v>
      </c>
      <c r="K254" s="4">
        <f t="shared" si="17"/>
        <v>-0.25865953947368414</v>
      </c>
      <c r="N254"/>
      <c r="P254" t="s">
        <v>904</v>
      </c>
      <c r="Q254">
        <v>1195</v>
      </c>
      <c r="R254">
        <v>2255.9299999999998</v>
      </c>
    </row>
    <row r="255" spans="1:18">
      <c r="A255" t="s">
        <v>1652</v>
      </c>
      <c r="B255" t="s">
        <v>637</v>
      </c>
      <c r="C255" t="s">
        <v>638</v>
      </c>
      <c r="D255" s="28">
        <v>1940</v>
      </c>
      <c r="E255" s="19">
        <f t="shared" si="14"/>
        <v>64.666666666666671</v>
      </c>
      <c r="F255" s="5">
        <v>5211.49</v>
      </c>
      <c r="I255" s="19">
        <f t="shared" si="15"/>
        <v>3880</v>
      </c>
      <c r="J255" t="b">
        <f t="shared" si="16"/>
        <v>0</v>
      </c>
      <c r="K255" s="4">
        <f t="shared" si="17"/>
        <v>0.34316752577319587</v>
      </c>
      <c r="L255" t="s">
        <v>15</v>
      </c>
      <c r="M255" s="122" t="s">
        <v>1664</v>
      </c>
      <c r="N255"/>
      <c r="P255" t="s">
        <v>1063</v>
      </c>
      <c r="Q255">
        <v>2263</v>
      </c>
      <c r="R255">
        <v>5130.78</v>
      </c>
    </row>
    <row r="256" spans="1:18" hidden="1">
      <c r="A256" t="s">
        <v>1652</v>
      </c>
      <c r="B256" t="s">
        <v>518</v>
      </c>
      <c r="C256" t="s">
        <v>519</v>
      </c>
      <c r="D256" s="28">
        <v>1389</v>
      </c>
      <c r="E256" s="19">
        <f t="shared" si="14"/>
        <v>46.3</v>
      </c>
      <c r="F256" s="5">
        <v>1551.77</v>
      </c>
      <c r="I256" s="19">
        <f t="shared" si="15"/>
        <v>2778</v>
      </c>
      <c r="J256" t="b">
        <f t="shared" si="16"/>
        <v>1</v>
      </c>
      <c r="K256" s="4">
        <f t="shared" si="17"/>
        <v>-0.44140748740100788</v>
      </c>
      <c r="P256" t="s">
        <v>1067</v>
      </c>
      <c r="Q256">
        <v>2201</v>
      </c>
      <c r="R256">
        <v>2780.43</v>
      </c>
    </row>
    <row r="257" spans="1:18" hidden="1">
      <c r="A257" t="s">
        <v>1651</v>
      </c>
      <c r="B257" t="s">
        <v>56</v>
      </c>
      <c r="C257" t="s">
        <v>57</v>
      </c>
      <c r="D257" s="28">
        <v>3306</v>
      </c>
      <c r="E257" s="19">
        <f t="shared" si="14"/>
        <v>110.2</v>
      </c>
      <c r="F257" s="5">
        <v>3478.52</v>
      </c>
      <c r="I257" s="19">
        <f t="shared" si="15"/>
        <v>6612</v>
      </c>
      <c r="J257" t="b">
        <f t="shared" si="16"/>
        <v>1</v>
      </c>
      <c r="K257" s="4">
        <f t="shared" si="17"/>
        <v>-0.47390804597701153</v>
      </c>
      <c r="N257"/>
      <c r="P257" t="s">
        <v>900</v>
      </c>
      <c r="Q257">
        <v>1667</v>
      </c>
      <c r="R257">
        <v>2965.44</v>
      </c>
    </row>
    <row r="258" spans="1:18" hidden="1">
      <c r="A258" t="s">
        <v>1652</v>
      </c>
      <c r="B258" t="s">
        <v>713</v>
      </c>
      <c r="C258" t="s">
        <v>714</v>
      </c>
      <c r="D258" s="28">
        <v>1591</v>
      </c>
      <c r="E258" s="19">
        <f t="shared" si="14"/>
        <v>53.033333333333331</v>
      </c>
      <c r="F258" s="5">
        <v>1946.54</v>
      </c>
      <c r="I258" s="19">
        <f t="shared" si="15"/>
        <v>3182</v>
      </c>
      <c r="J258" t="b">
        <f t="shared" si="16"/>
        <v>1</v>
      </c>
      <c r="K258" s="4">
        <f t="shared" si="17"/>
        <v>-0.38826524198617218</v>
      </c>
      <c r="N258"/>
      <c r="P258" t="s">
        <v>1129</v>
      </c>
      <c r="Q258">
        <v>4039</v>
      </c>
      <c r="R258">
        <v>5176.58</v>
      </c>
    </row>
    <row r="259" spans="1:18" hidden="1">
      <c r="A259" t="s">
        <v>1652</v>
      </c>
      <c r="B259" t="s">
        <v>462</v>
      </c>
      <c r="C259" t="s">
        <v>463</v>
      </c>
      <c r="D259" s="28">
        <v>1381</v>
      </c>
      <c r="E259" s="19">
        <f t="shared" ref="E259:E322" si="18">D259/30</f>
        <v>46.033333333333331</v>
      </c>
      <c r="F259" s="5">
        <v>2377.21</v>
      </c>
      <c r="I259" s="19">
        <f t="shared" ref="I259:I322" si="19">IF((D259/30)&gt;100,D259*2,D259*2)</f>
        <v>2762</v>
      </c>
      <c r="J259" t="b">
        <f t="shared" si="16"/>
        <v>1</v>
      </c>
      <c r="K259" s="4">
        <f t="shared" si="17"/>
        <v>-0.13931571325126724</v>
      </c>
      <c r="N259"/>
      <c r="P259" t="s">
        <v>1102</v>
      </c>
      <c r="Q259">
        <v>1372</v>
      </c>
      <c r="R259">
        <v>3179.39</v>
      </c>
    </row>
    <row r="260" spans="1:18" hidden="1">
      <c r="A260" t="s">
        <v>1649</v>
      </c>
      <c r="B260" s="54" t="s">
        <v>245</v>
      </c>
      <c r="C260" s="37" t="s">
        <v>246</v>
      </c>
      <c r="D260" s="28">
        <v>1182</v>
      </c>
      <c r="E260" s="19">
        <f t="shared" si="18"/>
        <v>39.4</v>
      </c>
      <c r="F260" s="5">
        <v>1333.7</v>
      </c>
      <c r="I260" s="19">
        <f t="shared" si="19"/>
        <v>2364</v>
      </c>
      <c r="J260" t="b">
        <f t="shared" si="16"/>
        <v>1</v>
      </c>
      <c r="K260" s="4">
        <f t="shared" si="17"/>
        <v>-0.43582910321488999</v>
      </c>
      <c r="N260" s="125"/>
      <c r="P260" t="s">
        <v>1511</v>
      </c>
      <c r="Q260">
        <v>3</v>
      </c>
      <c r="R260">
        <v>0</v>
      </c>
    </row>
    <row r="261" spans="1:18" hidden="1">
      <c r="A261" t="s">
        <v>1651</v>
      </c>
      <c r="B261" s="54" t="s">
        <v>91</v>
      </c>
      <c r="C261" s="37" t="s">
        <v>92</v>
      </c>
      <c r="D261" s="28">
        <v>1497</v>
      </c>
      <c r="E261" s="19">
        <f t="shared" si="18"/>
        <v>49.9</v>
      </c>
      <c r="F261" s="5">
        <v>2855.65</v>
      </c>
      <c r="I261" s="19">
        <f t="shared" si="19"/>
        <v>2994</v>
      </c>
      <c r="J261" t="b">
        <f t="shared" si="16"/>
        <v>1</v>
      </c>
      <c r="K261" s="4">
        <f t="shared" si="17"/>
        <v>-4.6209084836339342E-2</v>
      </c>
      <c r="N261"/>
      <c r="P261" t="s">
        <v>970</v>
      </c>
      <c r="Q261">
        <v>740</v>
      </c>
      <c r="R261">
        <v>1692.16</v>
      </c>
    </row>
    <row r="262" spans="1:18" hidden="1">
      <c r="A262" t="s">
        <v>1649</v>
      </c>
      <c r="B262" t="s">
        <v>474</v>
      </c>
      <c r="C262" t="s">
        <v>475</v>
      </c>
      <c r="D262" s="28">
        <v>15604</v>
      </c>
      <c r="E262" s="19">
        <f t="shared" si="18"/>
        <v>520.13333333333333</v>
      </c>
      <c r="F262" s="5">
        <v>19763.84</v>
      </c>
      <c r="I262" s="19">
        <f t="shared" si="19"/>
        <v>31208</v>
      </c>
      <c r="J262" t="b">
        <f t="shared" si="16"/>
        <v>1</v>
      </c>
      <c r="K262" s="4">
        <f t="shared" si="17"/>
        <v>-0.36670597282748008</v>
      </c>
      <c r="N262"/>
      <c r="P262" t="s">
        <v>1092</v>
      </c>
      <c r="Q262">
        <v>934</v>
      </c>
      <c r="R262">
        <v>1679.4</v>
      </c>
    </row>
    <row r="263" spans="1:18">
      <c r="A263" t="s">
        <v>1649</v>
      </c>
      <c r="B263" t="s">
        <v>594</v>
      </c>
      <c r="C263" t="s">
        <v>595</v>
      </c>
      <c r="D263" s="28">
        <v>130</v>
      </c>
      <c r="E263" s="19">
        <f t="shared" si="18"/>
        <v>4.333333333333333</v>
      </c>
      <c r="F263" s="5">
        <v>369.98</v>
      </c>
      <c r="I263" s="19">
        <f t="shared" si="19"/>
        <v>260</v>
      </c>
      <c r="J263" t="b">
        <f t="shared" si="16"/>
        <v>0</v>
      </c>
      <c r="K263" s="4">
        <f t="shared" si="17"/>
        <v>0.42300000000000004</v>
      </c>
      <c r="L263" t="s">
        <v>19</v>
      </c>
      <c r="M263" t="s">
        <v>1665</v>
      </c>
      <c r="N263"/>
      <c r="P263" t="s">
        <v>1032</v>
      </c>
      <c r="Q263">
        <v>1221</v>
      </c>
      <c r="R263">
        <v>1238.4000000000001</v>
      </c>
    </row>
    <row r="264" spans="1:18" hidden="1">
      <c r="A264" t="s">
        <v>1649</v>
      </c>
      <c r="B264" t="s">
        <v>304</v>
      </c>
      <c r="C264" t="s">
        <v>305</v>
      </c>
      <c r="D264" s="28">
        <v>2280</v>
      </c>
      <c r="E264" s="19">
        <f t="shared" si="18"/>
        <v>76</v>
      </c>
      <c r="F264" s="5">
        <v>3510.47</v>
      </c>
      <c r="I264" s="19">
        <f t="shared" si="19"/>
        <v>4560</v>
      </c>
      <c r="J264" t="b">
        <f t="shared" si="16"/>
        <v>1</v>
      </c>
      <c r="K264" s="4">
        <f t="shared" si="17"/>
        <v>-0.2301600877192983</v>
      </c>
      <c r="N264"/>
      <c r="P264" t="s">
        <v>1026</v>
      </c>
      <c r="Q264">
        <v>706</v>
      </c>
      <c r="R264">
        <v>887.74</v>
      </c>
    </row>
    <row r="265" spans="1:18" hidden="1">
      <c r="A265" t="s">
        <v>1649</v>
      </c>
      <c r="B265" s="37" t="s">
        <v>93</v>
      </c>
      <c r="C265" s="37" t="s">
        <v>94</v>
      </c>
      <c r="D265" s="28">
        <v>1543</v>
      </c>
      <c r="E265" s="19">
        <f t="shared" si="18"/>
        <v>51.43333333333333</v>
      </c>
      <c r="F265" s="5">
        <v>2166.14</v>
      </c>
      <c r="I265" s="19">
        <f t="shared" si="19"/>
        <v>3086</v>
      </c>
      <c r="J265" t="b">
        <f t="shared" si="16"/>
        <v>1</v>
      </c>
      <c r="K265" s="4">
        <f t="shared" si="17"/>
        <v>-0.29807517822423857</v>
      </c>
      <c r="N265"/>
      <c r="P265" t="s">
        <v>1024</v>
      </c>
      <c r="Q265">
        <v>995</v>
      </c>
      <c r="R265">
        <v>1253.03</v>
      </c>
    </row>
    <row r="266" spans="1:18" hidden="1">
      <c r="A266" t="s">
        <v>1649</v>
      </c>
      <c r="B266" t="s">
        <v>693</v>
      </c>
      <c r="C266" t="s">
        <v>694</v>
      </c>
      <c r="D266" s="28">
        <v>4912</v>
      </c>
      <c r="E266" s="19">
        <f t="shared" si="18"/>
        <v>163.73333333333332</v>
      </c>
      <c r="F266" s="5">
        <v>4940.9799999999996</v>
      </c>
      <c r="I266" s="19">
        <f t="shared" si="19"/>
        <v>9824</v>
      </c>
      <c r="J266" t="b">
        <f t="shared" si="16"/>
        <v>1</v>
      </c>
      <c r="K266" s="4">
        <f t="shared" si="17"/>
        <v>-0.49705008143322482</v>
      </c>
      <c r="N266"/>
      <c r="P266" t="s">
        <v>986</v>
      </c>
      <c r="Q266">
        <v>942</v>
      </c>
      <c r="R266">
        <v>1905.07</v>
      </c>
    </row>
    <row r="267" spans="1:18" hidden="1">
      <c r="A267" t="s">
        <v>1649</v>
      </c>
      <c r="B267" s="54" t="s">
        <v>671</v>
      </c>
      <c r="C267" s="37" t="s">
        <v>672</v>
      </c>
      <c r="D267" s="28">
        <v>6011</v>
      </c>
      <c r="E267" s="19">
        <f t="shared" si="18"/>
        <v>200.36666666666667</v>
      </c>
      <c r="F267" s="5">
        <v>10780.58</v>
      </c>
      <c r="I267" s="19">
        <f t="shared" si="19"/>
        <v>12022</v>
      </c>
      <c r="J267" t="b">
        <f t="shared" si="16"/>
        <v>1</v>
      </c>
      <c r="K267" s="4">
        <f t="shared" si="17"/>
        <v>-0.10326235235401759</v>
      </c>
      <c r="N267"/>
      <c r="P267" t="s">
        <v>892</v>
      </c>
      <c r="Q267">
        <v>697</v>
      </c>
      <c r="R267">
        <v>933.22</v>
      </c>
    </row>
    <row r="268" spans="1:18" hidden="1">
      <c r="A268" t="s">
        <v>1652</v>
      </c>
      <c r="B268" s="54" t="s">
        <v>128</v>
      </c>
      <c r="C268" s="37" t="s">
        <v>129</v>
      </c>
      <c r="D268" s="28">
        <v>1503</v>
      </c>
      <c r="E268" s="19">
        <f t="shared" si="18"/>
        <v>50.1</v>
      </c>
      <c r="F268" s="5">
        <v>1799.65</v>
      </c>
      <c r="I268" s="19">
        <f t="shared" si="19"/>
        <v>3006</v>
      </c>
      <c r="J268" t="b">
        <f t="shared" si="16"/>
        <v>1</v>
      </c>
      <c r="K268" s="4">
        <f t="shared" si="17"/>
        <v>-0.40131403858948766</v>
      </c>
      <c r="N268"/>
      <c r="P268" t="s">
        <v>1111</v>
      </c>
      <c r="Q268">
        <v>1585</v>
      </c>
      <c r="R268">
        <v>1853.67</v>
      </c>
    </row>
    <row r="269" spans="1:18" hidden="1">
      <c r="A269" t="s">
        <v>1649</v>
      </c>
      <c r="B269" t="s">
        <v>167</v>
      </c>
      <c r="C269" t="s">
        <v>168</v>
      </c>
      <c r="D269" s="28">
        <v>3610</v>
      </c>
      <c r="E269" s="19">
        <f t="shared" si="18"/>
        <v>120.33333333333333</v>
      </c>
      <c r="F269" s="5">
        <v>3997.73</v>
      </c>
      <c r="I269" s="19">
        <f t="shared" si="19"/>
        <v>7220</v>
      </c>
      <c r="J269" t="b">
        <f t="shared" si="16"/>
        <v>1</v>
      </c>
      <c r="K269" s="4">
        <f t="shared" si="17"/>
        <v>-0.44629778393351804</v>
      </c>
      <c r="N269"/>
      <c r="P269" t="s">
        <v>954</v>
      </c>
      <c r="Q269">
        <v>1841</v>
      </c>
      <c r="R269">
        <v>2630.37</v>
      </c>
    </row>
    <row r="270" spans="1:18" hidden="1">
      <c r="A270" t="s">
        <v>1651</v>
      </c>
      <c r="B270" t="s">
        <v>173</v>
      </c>
      <c r="C270" t="s">
        <v>174</v>
      </c>
      <c r="D270" s="28">
        <v>764</v>
      </c>
      <c r="E270" s="19">
        <f t="shared" si="18"/>
        <v>25.466666666666665</v>
      </c>
      <c r="F270" s="5">
        <v>1301.8699999999999</v>
      </c>
      <c r="I270" s="19">
        <f t="shared" si="19"/>
        <v>1528</v>
      </c>
      <c r="J270" t="b">
        <f t="shared" si="16"/>
        <v>1</v>
      </c>
      <c r="K270" s="4">
        <f t="shared" si="17"/>
        <v>-0.14799083769633514</v>
      </c>
      <c r="N270"/>
      <c r="P270" t="s">
        <v>1037</v>
      </c>
      <c r="Q270">
        <v>1079</v>
      </c>
      <c r="R270">
        <v>2122.04</v>
      </c>
    </row>
    <row r="271" spans="1:18" hidden="1">
      <c r="A271" t="s">
        <v>1652</v>
      </c>
      <c r="B271" s="54" t="s">
        <v>300</v>
      </c>
      <c r="C271" s="37" t="s">
        <v>301</v>
      </c>
      <c r="D271" s="28">
        <v>869</v>
      </c>
      <c r="E271" s="19">
        <f t="shared" si="18"/>
        <v>28.966666666666665</v>
      </c>
      <c r="F271" s="5">
        <v>1589.45</v>
      </c>
      <c r="I271" s="19">
        <f t="shared" si="19"/>
        <v>1738</v>
      </c>
      <c r="J271" t="b">
        <f t="shared" si="16"/>
        <v>1</v>
      </c>
      <c r="K271" s="4">
        <f t="shared" si="17"/>
        <v>-8.5471806674338291E-2</v>
      </c>
      <c r="N271"/>
      <c r="P271" t="s">
        <v>974</v>
      </c>
      <c r="Q271">
        <v>337</v>
      </c>
      <c r="R271">
        <v>529.88</v>
      </c>
    </row>
    <row r="272" spans="1:18" hidden="1">
      <c r="A272" t="s">
        <v>1649</v>
      </c>
      <c r="B272" t="s">
        <v>450</v>
      </c>
      <c r="C272" t="s">
        <v>451</v>
      </c>
      <c r="D272" s="28">
        <v>2298</v>
      </c>
      <c r="E272" s="19">
        <f t="shared" si="18"/>
        <v>76.599999999999994</v>
      </c>
      <c r="F272" s="5">
        <v>2298.0500000000002</v>
      </c>
      <c r="I272" s="19">
        <f t="shared" si="19"/>
        <v>4596</v>
      </c>
      <c r="J272" t="b">
        <f t="shared" si="16"/>
        <v>1</v>
      </c>
      <c r="K272" s="4">
        <f t="shared" si="17"/>
        <v>-0.49998912097476067</v>
      </c>
      <c r="N272"/>
      <c r="P272" t="s">
        <v>968</v>
      </c>
      <c r="Q272">
        <v>456</v>
      </c>
      <c r="R272">
        <v>569.27</v>
      </c>
    </row>
    <row r="273" spans="1:18" hidden="1">
      <c r="A273" t="s">
        <v>1651</v>
      </c>
      <c r="B273" t="s">
        <v>610</v>
      </c>
      <c r="C273" t="s">
        <v>611</v>
      </c>
      <c r="D273" s="28">
        <v>567</v>
      </c>
      <c r="E273" s="19">
        <f t="shared" si="18"/>
        <v>18.899999999999999</v>
      </c>
      <c r="F273" s="5">
        <v>746.98</v>
      </c>
      <c r="I273" s="19">
        <f t="shared" si="19"/>
        <v>1134</v>
      </c>
      <c r="J273" t="b">
        <f t="shared" si="16"/>
        <v>1</v>
      </c>
      <c r="K273" s="4">
        <f t="shared" si="17"/>
        <v>-0.3412874779541446</v>
      </c>
      <c r="N273"/>
      <c r="P273" t="s">
        <v>931</v>
      </c>
      <c r="Q273">
        <v>1330</v>
      </c>
      <c r="R273">
        <v>1531.91</v>
      </c>
    </row>
    <row r="274" spans="1:18" hidden="1">
      <c r="A274" t="s">
        <v>1649</v>
      </c>
      <c r="B274" t="s">
        <v>249</v>
      </c>
      <c r="C274" t="s">
        <v>250</v>
      </c>
      <c r="D274" s="28">
        <v>561</v>
      </c>
      <c r="E274" s="19">
        <f t="shared" si="18"/>
        <v>18.7</v>
      </c>
      <c r="F274" s="5">
        <v>144.57</v>
      </c>
      <c r="I274" s="19">
        <f t="shared" si="19"/>
        <v>1122</v>
      </c>
      <c r="J274" t="b">
        <f t="shared" si="16"/>
        <v>1</v>
      </c>
      <c r="K274" s="4">
        <f t="shared" si="17"/>
        <v>-0.8711497326203208</v>
      </c>
      <c r="N274"/>
      <c r="P274" t="s">
        <v>962</v>
      </c>
      <c r="Q274">
        <v>736</v>
      </c>
      <c r="R274">
        <v>930.48</v>
      </c>
    </row>
    <row r="275" spans="1:18" hidden="1">
      <c r="A275" t="s">
        <v>1651</v>
      </c>
      <c r="B275" t="s">
        <v>631</v>
      </c>
      <c r="C275" t="s">
        <v>632</v>
      </c>
      <c r="D275" s="28">
        <v>570</v>
      </c>
      <c r="E275" s="19">
        <f t="shared" si="18"/>
        <v>19</v>
      </c>
      <c r="F275" s="5">
        <v>1286.1500000000001</v>
      </c>
      <c r="I275" s="19">
        <f t="shared" si="19"/>
        <v>1140</v>
      </c>
      <c r="J275" t="b">
        <f t="shared" si="16"/>
        <v>1</v>
      </c>
      <c r="K275" s="4">
        <f t="shared" si="17"/>
        <v>0.12820175438596504</v>
      </c>
      <c r="N275"/>
      <c r="P275" t="s">
        <v>942</v>
      </c>
      <c r="Q275">
        <v>468</v>
      </c>
      <c r="R275">
        <v>604.41</v>
      </c>
    </row>
    <row r="276" spans="1:18" hidden="1">
      <c r="A276" t="s">
        <v>1651</v>
      </c>
      <c r="B276" s="54" t="s">
        <v>643</v>
      </c>
      <c r="C276" s="37" t="s">
        <v>644</v>
      </c>
      <c r="D276" s="28">
        <v>1087</v>
      </c>
      <c r="E276" s="19">
        <f t="shared" si="18"/>
        <v>36.233333333333334</v>
      </c>
      <c r="F276" s="5">
        <v>2133.29</v>
      </c>
      <c r="I276" s="19">
        <f t="shared" si="19"/>
        <v>2174</v>
      </c>
      <c r="J276" t="b">
        <f t="shared" si="16"/>
        <v>1</v>
      </c>
      <c r="K276" s="4">
        <f t="shared" si="17"/>
        <v>-1.8725850965961355E-2</v>
      </c>
      <c r="N276"/>
      <c r="P276" t="s">
        <v>1012</v>
      </c>
      <c r="Q276">
        <v>1391</v>
      </c>
      <c r="R276">
        <v>3435.81</v>
      </c>
    </row>
    <row r="277" spans="1:18" hidden="1">
      <c r="A277" t="s">
        <v>1651</v>
      </c>
      <c r="B277" t="s">
        <v>320</v>
      </c>
      <c r="C277" t="s">
        <v>321</v>
      </c>
      <c r="D277" s="28">
        <v>1490</v>
      </c>
      <c r="E277" s="19">
        <f t="shared" si="18"/>
        <v>49.666666666666664</v>
      </c>
      <c r="F277" s="5">
        <v>2534.88</v>
      </c>
      <c r="I277" s="19">
        <f t="shared" si="19"/>
        <v>2980</v>
      </c>
      <c r="J277" t="b">
        <f t="shared" si="16"/>
        <v>1</v>
      </c>
      <c r="K277" s="4">
        <f t="shared" si="17"/>
        <v>-0.14936912751677844</v>
      </c>
      <c r="N277"/>
      <c r="P277" t="s">
        <v>1073</v>
      </c>
      <c r="Q277">
        <v>1388</v>
      </c>
      <c r="R277">
        <v>939.57</v>
      </c>
    </row>
    <row r="278" spans="1:18" hidden="1">
      <c r="A278" t="s">
        <v>1649</v>
      </c>
      <c r="B278" s="54" t="s">
        <v>328</v>
      </c>
      <c r="C278" s="37" t="s">
        <v>329</v>
      </c>
      <c r="D278" s="19">
        <v>841</v>
      </c>
      <c r="E278" s="19">
        <f t="shared" si="18"/>
        <v>28.033333333333335</v>
      </c>
      <c r="F278" s="5">
        <v>1268.52</v>
      </c>
      <c r="I278" s="19">
        <f t="shared" si="19"/>
        <v>1682</v>
      </c>
      <c r="J278" t="b">
        <f t="shared" si="16"/>
        <v>1</v>
      </c>
      <c r="K278" s="4">
        <f t="shared" si="17"/>
        <v>-0.24582639714625443</v>
      </c>
      <c r="N278"/>
      <c r="P278" t="s">
        <v>1134</v>
      </c>
      <c r="Q278">
        <v>2475</v>
      </c>
      <c r="R278">
        <v>4662.12</v>
      </c>
    </row>
    <row r="279" spans="1:18" hidden="1">
      <c r="A279" t="s">
        <v>1649</v>
      </c>
      <c r="B279" s="37" t="s">
        <v>378</v>
      </c>
      <c r="C279" s="37" t="s">
        <v>379</v>
      </c>
      <c r="D279" s="28">
        <v>1056</v>
      </c>
      <c r="E279" s="19">
        <f t="shared" si="18"/>
        <v>35.200000000000003</v>
      </c>
      <c r="F279" s="5">
        <v>1937.24</v>
      </c>
      <c r="I279" s="19">
        <f t="shared" si="19"/>
        <v>2112</v>
      </c>
      <c r="J279" t="b">
        <f t="shared" si="16"/>
        <v>1</v>
      </c>
      <c r="K279" s="4">
        <f t="shared" si="17"/>
        <v>-8.2746212121212137E-2</v>
      </c>
      <c r="N279"/>
      <c r="P279" t="s">
        <v>1018</v>
      </c>
      <c r="Q279">
        <v>480</v>
      </c>
      <c r="R279">
        <v>1367.15</v>
      </c>
    </row>
    <row r="280" spans="1:18" hidden="1">
      <c r="A280" t="s">
        <v>1652</v>
      </c>
      <c r="B280" s="54" t="s">
        <v>574</v>
      </c>
      <c r="C280" s="37" t="s">
        <v>575</v>
      </c>
      <c r="D280" s="19">
        <v>1300</v>
      </c>
      <c r="E280" s="19">
        <f t="shared" si="18"/>
        <v>43.333333333333336</v>
      </c>
      <c r="F280" s="5">
        <v>2229.35</v>
      </c>
      <c r="I280" s="19">
        <f t="shared" si="19"/>
        <v>2600</v>
      </c>
      <c r="J280" t="b">
        <f t="shared" si="16"/>
        <v>1</v>
      </c>
      <c r="K280" s="4">
        <f t="shared" si="17"/>
        <v>-0.14255769230769233</v>
      </c>
      <c r="N280"/>
      <c r="P280" t="s">
        <v>1008</v>
      </c>
      <c r="Q280">
        <v>2459</v>
      </c>
      <c r="R280">
        <v>2134.25</v>
      </c>
    </row>
    <row r="281" spans="1:18" hidden="1">
      <c r="A281" t="s">
        <v>1651</v>
      </c>
      <c r="B281" t="s">
        <v>213</v>
      </c>
      <c r="C281" t="s">
        <v>214</v>
      </c>
      <c r="D281" s="28">
        <v>907</v>
      </c>
      <c r="E281" s="19">
        <f t="shared" si="18"/>
        <v>30.233333333333334</v>
      </c>
      <c r="F281" s="5">
        <v>1756.43</v>
      </c>
      <c r="I281" s="19">
        <f t="shared" si="19"/>
        <v>1814</v>
      </c>
      <c r="J281" t="b">
        <f t="shared" si="16"/>
        <v>1</v>
      </c>
      <c r="K281" s="4">
        <f t="shared" si="17"/>
        <v>-3.1736493936052934E-2</v>
      </c>
      <c r="N281"/>
      <c r="P281" t="s">
        <v>933</v>
      </c>
      <c r="Q281">
        <v>957</v>
      </c>
      <c r="R281">
        <v>952.57</v>
      </c>
    </row>
    <row r="282" spans="1:18">
      <c r="A282" t="s">
        <v>1649</v>
      </c>
      <c r="B282" t="s">
        <v>408</v>
      </c>
      <c r="C282" t="s">
        <v>409</v>
      </c>
      <c r="D282" s="28">
        <v>2520</v>
      </c>
      <c r="E282" s="19">
        <f t="shared" si="18"/>
        <v>84</v>
      </c>
      <c r="F282" s="5">
        <v>6174.51</v>
      </c>
      <c r="I282" s="19">
        <f t="shared" si="19"/>
        <v>5040</v>
      </c>
      <c r="J282" t="b">
        <f t="shared" si="16"/>
        <v>0</v>
      </c>
      <c r="K282" s="4">
        <f t="shared" si="17"/>
        <v>0.22510119047619059</v>
      </c>
      <c r="L282" t="s">
        <v>15</v>
      </c>
      <c r="M282" t="s">
        <v>1666</v>
      </c>
      <c r="N282"/>
      <c r="P282" t="s">
        <v>990</v>
      </c>
      <c r="Q282">
        <v>171</v>
      </c>
      <c r="R282">
        <v>98.72</v>
      </c>
    </row>
    <row r="283" spans="1:18" hidden="1">
      <c r="A283" t="s">
        <v>1649</v>
      </c>
      <c r="B283" t="s">
        <v>604</v>
      </c>
      <c r="C283" t="s">
        <v>605</v>
      </c>
      <c r="D283" s="28">
        <v>3277</v>
      </c>
      <c r="E283" s="19">
        <f t="shared" si="18"/>
        <v>109.23333333333333</v>
      </c>
      <c r="F283" s="5">
        <v>3089.78</v>
      </c>
      <c r="I283" s="19">
        <f t="shared" si="19"/>
        <v>6554</v>
      </c>
      <c r="J283" t="b">
        <f t="shared" si="16"/>
        <v>1</v>
      </c>
      <c r="K283" s="4">
        <f t="shared" si="17"/>
        <v>-0.52856576136710398</v>
      </c>
      <c r="N283"/>
      <c r="P283" t="s">
        <v>1582</v>
      </c>
      <c r="Q283">
        <v>0</v>
      </c>
      <c r="R283">
        <v>0</v>
      </c>
    </row>
    <row r="284" spans="1:18" hidden="1">
      <c r="A284" t="s">
        <v>1649</v>
      </c>
      <c r="B284" t="s">
        <v>130</v>
      </c>
      <c r="C284" t="s">
        <v>131</v>
      </c>
      <c r="D284" s="28">
        <v>2761</v>
      </c>
      <c r="E284" s="19">
        <f t="shared" si="18"/>
        <v>92.033333333333331</v>
      </c>
      <c r="F284" s="5">
        <v>4524.25</v>
      </c>
      <c r="I284" s="19">
        <f t="shared" si="19"/>
        <v>5522</v>
      </c>
      <c r="J284" t="b">
        <f t="shared" si="16"/>
        <v>1</v>
      </c>
      <c r="K284" s="4">
        <f t="shared" si="17"/>
        <v>-0.18068634552698293</v>
      </c>
      <c r="N284"/>
      <c r="P284" t="s">
        <v>935</v>
      </c>
      <c r="Q284">
        <v>671</v>
      </c>
      <c r="R284">
        <v>0</v>
      </c>
    </row>
    <row r="285" spans="1:18" hidden="1">
      <c r="A285" t="s">
        <v>1651</v>
      </c>
      <c r="B285" t="s">
        <v>95</v>
      </c>
      <c r="C285" t="s">
        <v>96</v>
      </c>
      <c r="D285" s="28">
        <v>1695</v>
      </c>
      <c r="E285" s="19">
        <f t="shared" si="18"/>
        <v>56.5</v>
      </c>
      <c r="F285" s="5">
        <v>2423.44</v>
      </c>
      <c r="I285" s="19">
        <f t="shared" si="19"/>
        <v>3390</v>
      </c>
      <c r="J285" t="b">
        <f t="shared" si="16"/>
        <v>1</v>
      </c>
      <c r="K285" s="4">
        <f t="shared" si="17"/>
        <v>-0.2851209439528023</v>
      </c>
      <c r="N285"/>
      <c r="P285" t="s">
        <v>1059</v>
      </c>
      <c r="Q285">
        <v>1758</v>
      </c>
      <c r="R285">
        <v>3478.4</v>
      </c>
    </row>
    <row r="286" spans="1:18" hidden="1">
      <c r="A286" t="s">
        <v>1649</v>
      </c>
      <c r="B286" t="s">
        <v>701</v>
      </c>
      <c r="C286" s="27" t="s">
        <v>702</v>
      </c>
      <c r="D286" s="28">
        <v>2185</v>
      </c>
      <c r="E286" s="19">
        <f t="shared" si="18"/>
        <v>72.833333333333329</v>
      </c>
      <c r="F286" s="5">
        <v>2892.82</v>
      </c>
      <c r="I286" s="19">
        <f t="shared" si="19"/>
        <v>4370</v>
      </c>
      <c r="J286" t="b">
        <f t="shared" si="16"/>
        <v>1</v>
      </c>
      <c r="K286" s="4">
        <f t="shared" si="17"/>
        <v>-0.33802745995423333</v>
      </c>
      <c r="N286"/>
      <c r="P286" t="s">
        <v>1041</v>
      </c>
      <c r="Q286">
        <v>1810</v>
      </c>
      <c r="R286">
        <v>2248.7199999999998</v>
      </c>
    </row>
    <row r="287" spans="1:18" hidden="1">
      <c r="A287" t="s">
        <v>1651</v>
      </c>
      <c r="B287" s="54" t="s">
        <v>63</v>
      </c>
      <c r="C287" s="37" t="s">
        <v>64</v>
      </c>
      <c r="D287" s="19">
        <v>6277</v>
      </c>
      <c r="E287" s="19">
        <f t="shared" si="18"/>
        <v>209.23333333333332</v>
      </c>
      <c r="F287" s="5">
        <v>5452.02</v>
      </c>
      <c r="I287" s="19">
        <f t="shared" si="19"/>
        <v>12554</v>
      </c>
      <c r="J287" t="b">
        <f t="shared" si="16"/>
        <v>1</v>
      </c>
      <c r="K287" s="4">
        <f t="shared" si="17"/>
        <v>-0.56571451330253297</v>
      </c>
      <c r="N287"/>
      <c r="P287" t="s">
        <v>1510</v>
      </c>
      <c r="Q287">
        <v>130</v>
      </c>
      <c r="R287">
        <v>0</v>
      </c>
    </row>
    <row r="288" spans="1:18">
      <c r="A288" t="s">
        <v>1649</v>
      </c>
      <c r="B288" t="s">
        <v>502</v>
      </c>
      <c r="C288" t="s">
        <v>503</v>
      </c>
      <c r="D288" s="28">
        <v>1117</v>
      </c>
      <c r="E288" s="19">
        <f t="shared" si="18"/>
        <v>37.233333333333334</v>
      </c>
      <c r="F288" s="5">
        <v>2702.76</v>
      </c>
      <c r="I288" s="19">
        <f t="shared" si="19"/>
        <v>2234</v>
      </c>
      <c r="J288" t="b">
        <f t="shared" si="16"/>
        <v>0</v>
      </c>
      <c r="K288" s="4">
        <f t="shared" si="17"/>
        <v>0.20982990152193381</v>
      </c>
      <c r="L288" t="s">
        <v>17</v>
      </c>
      <c r="M288" t="s">
        <v>1667</v>
      </c>
      <c r="N288"/>
      <c r="P288" t="s">
        <v>921</v>
      </c>
      <c r="Q288">
        <v>1461</v>
      </c>
      <c r="R288">
        <v>3193.14</v>
      </c>
    </row>
    <row r="289" spans="1:18" hidden="1">
      <c r="A289" t="s">
        <v>1652</v>
      </c>
      <c r="B289" t="s">
        <v>29</v>
      </c>
      <c r="C289" t="s">
        <v>30</v>
      </c>
      <c r="D289" s="28">
        <v>54557</v>
      </c>
      <c r="E289" s="19">
        <f t="shared" si="18"/>
        <v>1818.5666666666666</v>
      </c>
      <c r="F289" s="5">
        <v>65747.56</v>
      </c>
      <c r="I289" s="19">
        <f t="shared" si="19"/>
        <v>109114</v>
      </c>
      <c r="J289" t="b">
        <f t="shared" si="16"/>
        <v>1</v>
      </c>
      <c r="K289" s="4">
        <f t="shared" si="17"/>
        <v>-0.39744157486665321</v>
      </c>
      <c r="N289" s="125"/>
      <c r="P289" t="s">
        <v>984</v>
      </c>
      <c r="Q289">
        <v>898</v>
      </c>
      <c r="R289">
        <v>1140.48</v>
      </c>
    </row>
    <row r="290" spans="1:18" hidden="1">
      <c r="A290" t="s">
        <v>1649</v>
      </c>
      <c r="B290" s="37" t="s">
        <v>276</v>
      </c>
      <c r="C290" s="27" t="s">
        <v>277</v>
      </c>
      <c r="D290" s="28">
        <v>2472</v>
      </c>
      <c r="E290" s="19">
        <f t="shared" si="18"/>
        <v>82.4</v>
      </c>
      <c r="F290" s="5">
        <v>3972.24</v>
      </c>
      <c r="I290" s="19">
        <f t="shared" si="19"/>
        <v>4944</v>
      </c>
      <c r="J290" t="b">
        <f t="shared" si="16"/>
        <v>1</v>
      </c>
      <c r="K290" s="4">
        <f t="shared" si="17"/>
        <v>-0.19655339805825245</v>
      </c>
      <c r="N290"/>
      <c r="P290" t="s">
        <v>825</v>
      </c>
      <c r="Q290">
        <v>767</v>
      </c>
      <c r="R290">
        <v>780.51</v>
      </c>
    </row>
    <row r="291" spans="1:18" hidden="1">
      <c r="A291" t="s">
        <v>1649</v>
      </c>
      <c r="B291" s="54" t="s">
        <v>749</v>
      </c>
      <c r="C291" s="37" t="s">
        <v>750</v>
      </c>
      <c r="D291" s="28">
        <v>78</v>
      </c>
      <c r="E291" s="19">
        <f t="shared" si="18"/>
        <v>2.6</v>
      </c>
      <c r="F291" s="5">
        <v>131.12</v>
      </c>
      <c r="I291" s="19">
        <f t="shared" si="19"/>
        <v>156</v>
      </c>
      <c r="J291" t="b">
        <f t="shared" si="16"/>
        <v>1</v>
      </c>
      <c r="K291" s="4">
        <f t="shared" si="17"/>
        <v>-0.1594871794871795</v>
      </c>
      <c r="N291"/>
      <c r="P291" t="s">
        <v>886</v>
      </c>
      <c r="Q291">
        <v>1069</v>
      </c>
      <c r="R291">
        <v>1609.44</v>
      </c>
    </row>
    <row r="292" spans="1:18" hidden="1">
      <c r="A292" t="s">
        <v>1651</v>
      </c>
      <c r="B292" s="55" t="s">
        <v>746</v>
      </c>
      <c r="C292" s="37" t="s">
        <v>747</v>
      </c>
      <c r="D292" s="28">
        <v>3717</v>
      </c>
      <c r="E292" s="19">
        <f t="shared" si="18"/>
        <v>123.9</v>
      </c>
      <c r="F292" s="5">
        <v>6111.42</v>
      </c>
      <c r="I292" s="19">
        <f t="shared" si="19"/>
        <v>7434</v>
      </c>
      <c r="J292" t="b">
        <f t="shared" si="16"/>
        <v>1</v>
      </c>
      <c r="K292" s="4">
        <f t="shared" si="17"/>
        <v>-0.177909604519774</v>
      </c>
      <c r="N292"/>
      <c r="P292" t="s">
        <v>827</v>
      </c>
      <c r="Q292">
        <v>1050</v>
      </c>
      <c r="R292">
        <v>2642.42</v>
      </c>
    </row>
    <row r="293" spans="1:18">
      <c r="A293" t="s">
        <v>1649</v>
      </c>
      <c r="B293" t="s">
        <v>290</v>
      </c>
      <c r="C293" t="s">
        <v>291</v>
      </c>
      <c r="D293" s="28">
        <v>958</v>
      </c>
      <c r="E293" s="19">
        <f t="shared" si="18"/>
        <v>31.933333333333334</v>
      </c>
      <c r="F293" s="5">
        <v>3026.73</v>
      </c>
      <c r="I293" s="19">
        <f t="shared" si="19"/>
        <v>1916</v>
      </c>
      <c r="J293" t="b">
        <f t="shared" si="16"/>
        <v>0</v>
      </c>
      <c r="K293" s="4">
        <f t="shared" si="17"/>
        <v>0.57971294363256787</v>
      </c>
      <c r="L293" t="s">
        <v>15</v>
      </c>
      <c r="M293" t="s">
        <v>1668</v>
      </c>
      <c r="N293"/>
      <c r="P293" t="s">
        <v>1050</v>
      </c>
      <c r="Q293">
        <v>1599</v>
      </c>
      <c r="R293">
        <v>2462.29</v>
      </c>
    </row>
    <row r="294" spans="1:18" hidden="1">
      <c r="A294" t="s">
        <v>1651</v>
      </c>
      <c r="B294" s="37" t="s">
        <v>420</v>
      </c>
      <c r="C294" s="37" t="s">
        <v>421</v>
      </c>
      <c r="D294" s="28">
        <v>1392</v>
      </c>
      <c r="E294" s="19">
        <f t="shared" si="18"/>
        <v>46.4</v>
      </c>
      <c r="F294" s="5">
        <v>2926.76</v>
      </c>
      <c r="I294" s="19">
        <f t="shared" si="19"/>
        <v>2784</v>
      </c>
      <c r="J294" t="b">
        <f t="shared" si="16"/>
        <v>1</v>
      </c>
      <c r="K294" s="4">
        <f t="shared" si="17"/>
        <v>5.1278735632183992E-2</v>
      </c>
      <c r="N294"/>
      <c r="P294" t="s">
        <v>1075</v>
      </c>
      <c r="Q294">
        <v>986</v>
      </c>
      <c r="R294">
        <v>1511.76</v>
      </c>
    </row>
    <row r="295" spans="1:18" hidden="1">
      <c r="A295" t="s">
        <v>1649</v>
      </c>
      <c r="B295" t="s">
        <v>358</v>
      </c>
      <c r="C295" t="s">
        <v>359</v>
      </c>
      <c r="D295" s="28">
        <v>979</v>
      </c>
      <c r="E295" s="19">
        <f t="shared" si="18"/>
        <v>32.633333333333333</v>
      </c>
      <c r="F295" s="5">
        <v>1554.52</v>
      </c>
      <c r="I295" s="19">
        <f t="shared" si="19"/>
        <v>1958</v>
      </c>
      <c r="J295" t="b">
        <f t="shared" si="16"/>
        <v>1</v>
      </c>
      <c r="K295" s="4">
        <f t="shared" si="17"/>
        <v>-0.20606741573033704</v>
      </c>
      <c r="N295"/>
      <c r="P295" t="s">
        <v>1002</v>
      </c>
      <c r="Q295">
        <v>1097</v>
      </c>
      <c r="R295">
        <v>2322.02</v>
      </c>
    </row>
    <row r="296" spans="1:18" hidden="1">
      <c r="A296" t="s">
        <v>1649</v>
      </c>
      <c r="B296" s="54" t="s">
        <v>100</v>
      </c>
      <c r="C296" s="37" t="s">
        <v>101</v>
      </c>
      <c r="D296" s="28">
        <v>1447</v>
      </c>
      <c r="E296" s="19">
        <f t="shared" si="18"/>
        <v>48.233333333333334</v>
      </c>
      <c r="F296" s="5">
        <v>2539.16</v>
      </c>
      <c r="I296" s="19">
        <f t="shared" si="19"/>
        <v>2894</v>
      </c>
      <c r="J296" t="b">
        <f t="shared" si="16"/>
        <v>1</v>
      </c>
      <c r="K296" s="4">
        <f t="shared" si="17"/>
        <v>-0.12261230131306156</v>
      </c>
      <c r="N296"/>
      <c r="P296" t="s">
        <v>830</v>
      </c>
      <c r="Q296">
        <v>4451</v>
      </c>
      <c r="R296">
        <v>6429.45</v>
      </c>
    </row>
    <row r="297" spans="1:18" hidden="1">
      <c r="A297" t="s">
        <v>1651</v>
      </c>
      <c r="B297" s="37" t="s">
        <v>777</v>
      </c>
      <c r="C297" s="37" t="s">
        <v>778</v>
      </c>
      <c r="D297" s="28">
        <v>4801</v>
      </c>
      <c r="E297" s="19">
        <f t="shared" si="18"/>
        <v>160.03333333333333</v>
      </c>
      <c r="F297" s="5">
        <v>7390.4</v>
      </c>
      <c r="I297" s="19">
        <f t="shared" si="19"/>
        <v>9602</v>
      </c>
      <c r="J297" t="b">
        <f t="shared" ref="J297:J338" si="20">IF(F297&gt;1.2*I297,FALSE,TRUE)</f>
        <v>1</v>
      </c>
      <c r="K297" s="4">
        <f t="shared" ref="K297:K338" si="21">F297/I297-1</f>
        <v>-0.23032701520516563</v>
      </c>
      <c r="N297"/>
      <c r="P297" t="s">
        <v>1061</v>
      </c>
      <c r="Q297">
        <v>1048</v>
      </c>
      <c r="R297">
        <v>1274.44</v>
      </c>
    </row>
    <row r="298" spans="1:18" hidden="1">
      <c r="A298" t="s">
        <v>1651</v>
      </c>
      <c r="B298" s="54" t="s">
        <v>177</v>
      </c>
      <c r="C298" s="37" t="s">
        <v>178</v>
      </c>
      <c r="D298" s="28">
        <v>2842</v>
      </c>
      <c r="E298" s="19">
        <f t="shared" si="18"/>
        <v>94.733333333333334</v>
      </c>
      <c r="F298" s="5">
        <v>4554.5600000000004</v>
      </c>
      <c r="I298" s="19">
        <f t="shared" si="19"/>
        <v>5684</v>
      </c>
      <c r="J298" t="b">
        <f t="shared" si="20"/>
        <v>1</v>
      </c>
      <c r="K298" s="4">
        <f t="shared" si="21"/>
        <v>-0.19870513722730465</v>
      </c>
      <c r="P298" t="s">
        <v>1512</v>
      </c>
      <c r="Q298">
        <v>140</v>
      </c>
      <c r="R298">
        <v>0</v>
      </c>
    </row>
    <row r="299" spans="1:18">
      <c r="A299" t="s">
        <v>1649</v>
      </c>
      <c r="B299" s="54" t="s">
        <v>239</v>
      </c>
      <c r="C299" s="37" t="s">
        <v>240</v>
      </c>
      <c r="D299" s="28">
        <v>1154</v>
      </c>
      <c r="E299" s="19">
        <f t="shared" si="18"/>
        <v>38.466666666666669</v>
      </c>
      <c r="F299" s="131">
        <v>2907.8</v>
      </c>
      <c r="I299" s="19">
        <f t="shared" si="19"/>
        <v>2308</v>
      </c>
      <c r="J299" t="b">
        <f t="shared" si="20"/>
        <v>0</v>
      </c>
      <c r="K299" s="4">
        <f t="shared" si="21"/>
        <v>0.25987868284228788</v>
      </c>
      <c r="L299" t="s">
        <v>17</v>
      </c>
      <c r="M299" t="s">
        <v>1669</v>
      </c>
      <c r="N299"/>
      <c r="P299" t="s">
        <v>879</v>
      </c>
      <c r="Q299">
        <v>931</v>
      </c>
      <c r="R299">
        <v>1583.03</v>
      </c>
    </row>
    <row r="300" spans="1:18" hidden="1">
      <c r="A300" t="s">
        <v>1652</v>
      </c>
      <c r="B300" t="s">
        <v>356</v>
      </c>
      <c r="C300" t="s">
        <v>357</v>
      </c>
      <c r="D300" s="28">
        <v>1193</v>
      </c>
      <c r="E300" s="19">
        <f t="shared" si="18"/>
        <v>39.766666666666666</v>
      </c>
      <c r="F300" s="5">
        <v>2120.81</v>
      </c>
      <c r="I300" s="19">
        <f t="shared" si="19"/>
        <v>2386</v>
      </c>
      <c r="J300" t="b">
        <f t="shared" si="20"/>
        <v>1</v>
      </c>
      <c r="K300" s="4">
        <f t="shared" si="21"/>
        <v>-0.11114417435037727</v>
      </c>
      <c r="N300"/>
      <c r="P300" t="s">
        <v>966</v>
      </c>
      <c r="Q300">
        <v>348</v>
      </c>
      <c r="R300">
        <v>233.13</v>
      </c>
    </row>
    <row r="301" spans="1:18" hidden="1">
      <c r="A301" t="s">
        <v>1649</v>
      </c>
      <c r="B301" s="54" t="s">
        <v>138</v>
      </c>
      <c r="C301" s="37" t="s">
        <v>139</v>
      </c>
      <c r="D301" s="28">
        <v>3035</v>
      </c>
      <c r="E301" s="19">
        <f t="shared" si="18"/>
        <v>101.16666666666667</v>
      </c>
      <c r="F301" s="5">
        <v>3675.22</v>
      </c>
      <c r="I301" s="19">
        <f t="shared" si="19"/>
        <v>6070</v>
      </c>
      <c r="J301" t="b">
        <f t="shared" si="20"/>
        <v>1</v>
      </c>
      <c r="K301" s="4">
        <f t="shared" si="21"/>
        <v>-0.39452718286655686</v>
      </c>
      <c r="N301"/>
      <c r="P301" t="s">
        <v>850</v>
      </c>
      <c r="Q301">
        <v>1493</v>
      </c>
      <c r="R301">
        <v>2515.94</v>
      </c>
    </row>
    <row r="302" spans="1:18" hidden="1">
      <c r="A302" t="s">
        <v>1649</v>
      </c>
      <c r="B302" s="54" t="s">
        <v>486</v>
      </c>
      <c r="C302" s="37" t="s">
        <v>487</v>
      </c>
      <c r="D302" s="28">
        <v>1158</v>
      </c>
      <c r="E302" s="19">
        <f t="shared" si="18"/>
        <v>38.6</v>
      </c>
      <c r="F302" s="5">
        <v>777.4</v>
      </c>
      <c r="I302" s="19">
        <f t="shared" si="19"/>
        <v>2316</v>
      </c>
      <c r="J302" t="b">
        <f t="shared" si="20"/>
        <v>1</v>
      </c>
      <c r="K302" s="4">
        <f t="shared" si="21"/>
        <v>-0.66433506044905011</v>
      </c>
      <c r="N302"/>
      <c r="P302" t="s">
        <v>950</v>
      </c>
      <c r="Q302">
        <v>1954</v>
      </c>
      <c r="R302">
        <v>2412.92</v>
      </c>
    </row>
    <row r="303" spans="1:18" hidden="1">
      <c r="A303" t="s">
        <v>1651</v>
      </c>
      <c r="B303" t="s">
        <v>151</v>
      </c>
      <c r="C303" t="s">
        <v>152</v>
      </c>
      <c r="D303" s="28">
        <v>3393</v>
      </c>
      <c r="E303" s="19">
        <f t="shared" si="18"/>
        <v>113.1</v>
      </c>
      <c r="F303" s="5">
        <v>3498.23</v>
      </c>
      <c r="I303" s="19">
        <f t="shared" si="19"/>
        <v>6786</v>
      </c>
      <c r="J303" t="b">
        <f t="shared" si="20"/>
        <v>1</v>
      </c>
      <c r="K303" s="4">
        <f t="shared" si="21"/>
        <v>-0.48449307397583263</v>
      </c>
      <c r="N303"/>
      <c r="P303" t="s">
        <v>1498</v>
      </c>
      <c r="Q303">
        <v>595</v>
      </c>
      <c r="R303">
        <v>486.99</v>
      </c>
    </row>
    <row r="304" spans="1:18" hidden="1">
      <c r="A304" t="s">
        <v>1652</v>
      </c>
      <c r="B304" t="s">
        <v>165</v>
      </c>
      <c r="C304" t="s">
        <v>166</v>
      </c>
      <c r="D304" s="28">
        <v>838</v>
      </c>
      <c r="E304" s="19">
        <f t="shared" si="18"/>
        <v>27.933333333333334</v>
      </c>
      <c r="F304" s="5">
        <v>1677.41</v>
      </c>
      <c r="I304" s="19">
        <f t="shared" si="19"/>
        <v>1676</v>
      </c>
      <c r="J304" t="b">
        <f t="shared" si="20"/>
        <v>1</v>
      </c>
      <c r="K304" s="4">
        <f t="shared" si="21"/>
        <v>8.4128878281619635E-4</v>
      </c>
      <c r="N304"/>
      <c r="P304" t="s">
        <v>1030</v>
      </c>
      <c r="Q304">
        <v>1003</v>
      </c>
      <c r="R304">
        <v>879.2</v>
      </c>
    </row>
    <row r="305" spans="1:18" hidden="1">
      <c r="A305" t="s">
        <v>1649</v>
      </c>
      <c r="B305" t="s">
        <v>163</v>
      </c>
      <c r="C305" t="s">
        <v>164</v>
      </c>
      <c r="D305" s="28">
        <v>3147</v>
      </c>
      <c r="E305" s="19">
        <f t="shared" si="18"/>
        <v>104.9</v>
      </c>
      <c r="F305" s="5">
        <v>6023.05</v>
      </c>
      <c r="I305" s="19">
        <f t="shared" si="19"/>
        <v>6294</v>
      </c>
      <c r="J305" t="b">
        <f t="shared" si="20"/>
        <v>1</v>
      </c>
      <c r="K305" s="4">
        <f t="shared" si="21"/>
        <v>-4.3048935494121365E-2</v>
      </c>
      <c r="N305"/>
      <c r="P305" t="s">
        <v>1010</v>
      </c>
      <c r="Q305">
        <v>721</v>
      </c>
      <c r="R305">
        <v>855.88</v>
      </c>
    </row>
    <row r="306" spans="1:18" hidden="1">
      <c r="A306" t="s">
        <v>1649</v>
      </c>
      <c r="B306" t="s">
        <v>478</v>
      </c>
      <c r="C306" t="s">
        <v>479</v>
      </c>
      <c r="D306" s="28">
        <v>1405</v>
      </c>
      <c r="E306" s="19">
        <f t="shared" si="18"/>
        <v>46.833333333333336</v>
      </c>
      <c r="F306" s="5">
        <v>2519.5100000000002</v>
      </c>
      <c r="I306" s="19">
        <f t="shared" si="19"/>
        <v>2810</v>
      </c>
      <c r="J306" t="b">
        <f t="shared" si="20"/>
        <v>1</v>
      </c>
      <c r="K306" s="4">
        <f t="shared" si="21"/>
        <v>-0.10337722419928819</v>
      </c>
      <c r="N306"/>
      <c r="P306" t="s">
        <v>877</v>
      </c>
      <c r="Q306">
        <v>1221</v>
      </c>
      <c r="R306">
        <v>0</v>
      </c>
    </row>
    <row r="307" spans="1:18" hidden="1">
      <c r="A307" t="s">
        <v>1651</v>
      </c>
      <c r="B307" t="s">
        <v>568</v>
      </c>
      <c r="C307" t="s">
        <v>569</v>
      </c>
      <c r="D307" s="28">
        <v>1497</v>
      </c>
      <c r="E307" s="19">
        <f t="shared" si="18"/>
        <v>49.9</v>
      </c>
      <c r="F307" s="5">
        <v>3082.38</v>
      </c>
      <c r="I307" s="19">
        <f t="shared" si="19"/>
        <v>2994</v>
      </c>
      <c r="J307" t="b">
        <f t="shared" si="20"/>
        <v>1</v>
      </c>
      <c r="K307" s="4">
        <f t="shared" si="21"/>
        <v>2.9519038076152304E-2</v>
      </c>
      <c r="N307"/>
      <c r="P307" t="s">
        <v>1085</v>
      </c>
      <c r="Q307">
        <v>722</v>
      </c>
      <c r="R307">
        <v>486.87</v>
      </c>
    </row>
    <row r="308" spans="1:18" hidden="1">
      <c r="A308" t="s">
        <v>1652</v>
      </c>
      <c r="B308" t="s">
        <v>755</v>
      </c>
      <c r="C308" t="s">
        <v>756</v>
      </c>
      <c r="D308" s="28">
        <v>3063</v>
      </c>
      <c r="E308" s="19">
        <f t="shared" si="18"/>
        <v>102.1</v>
      </c>
      <c r="F308" s="5">
        <v>1002.38</v>
      </c>
      <c r="I308" s="19">
        <f t="shared" si="19"/>
        <v>6126</v>
      </c>
      <c r="J308" t="b">
        <f t="shared" si="20"/>
        <v>1</v>
      </c>
      <c r="K308" s="4">
        <f t="shared" si="21"/>
        <v>-0.8363728370878224</v>
      </c>
      <c r="N308"/>
      <c r="P308" t="s">
        <v>832</v>
      </c>
      <c r="Q308">
        <v>1270</v>
      </c>
      <c r="R308">
        <v>2839.08</v>
      </c>
    </row>
    <row r="309" spans="1:18" hidden="1">
      <c r="A309" t="s">
        <v>1649</v>
      </c>
      <c r="B309" s="54" t="s">
        <v>58</v>
      </c>
      <c r="C309" s="37" t="s">
        <v>59</v>
      </c>
      <c r="D309" s="28">
        <v>2320</v>
      </c>
      <c r="E309" s="19">
        <f t="shared" si="18"/>
        <v>77.333333333333329</v>
      </c>
      <c r="F309" s="5">
        <v>2063.9299999999998</v>
      </c>
      <c r="I309" s="19">
        <f t="shared" si="19"/>
        <v>4640</v>
      </c>
      <c r="J309" t="b">
        <f t="shared" si="20"/>
        <v>1</v>
      </c>
      <c r="K309" s="4">
        <f t="shared" si="21"/>
        <v>-0.55518750000000006</v>
      </c>
      <c r="P309" t="s">
        <v>1094</v>
      </c>
      <c r="Q309">
        <v>3590</v>
      </c>
      <c r="R309">
        <v>3329.15</v>
      </c>
    </row>
    <row r="310" spans="1:18" hidden="1">
      <c r="A310" t="s">
        <v>1651</v>
      </c>
      <c r="B310" t="s">
        <v>31</v>
      </c>
      <c r="C310" t="s">
        <v>32</v>
      </c>
      <c r="D310" s="28">
        <v>8108</v>
      </c>
      <c r="E310" s="19">
        <f t="shared" si="18"/>
        <v>270.26666666666665</v>
      </c>
      <c r="F310" s="5">
        <v>8903.26</v>
      </c>
      <c r="I310" s="19">
        <f t="shared" si="19"/>
        <v>16216</v>
      </c>
      <c r="J310" t="b">
        <f t="shared" si="20"/>
        <v>1</v>
      </c>
      <c r="K310" s="4">
        <f t="shared" si="21"/>
        <v>-0.45095831277750364</v>
      </c>
      <c r="N310"/>
      <c r="P310" t="s">
        <v>960</v>
      </c>
      <c r="Q310">
        <v>1071</v>
      </c>
      <c r="R310">
        <v>1111.29</v>
      </c>
    </row>
    <row r="311" spans="1:18" hidden="1">
      <c r="A311" t="s">
        <v>1652</v>
      </c>
      <c r="B311" s="54" t="s">
        <v>709</v>
      </c>
      <c r="C311" s="37" t="s">
        <v>710</v>
      </c>
      <c r="D311" s="19">
        <v>1288</v>
      </c>
      <c r="E311" s="19">
        <f t="shared" si="18"/>
        <v>42.93333333333333</v>
      </c>
      <c r="F311" s="5">
        <v>2530.9499999999998</v>
      </c>
      <c r="I311" s="19">
        <f t="shared" si="19"/>
        <v>2576</v>
      </c>
      <c r="J311" t="b">
        <f t="shared" si="20"/>
        <v>1</v>
      </c>
      <c r="K311" s="4">
        <f t="shared" si="21"/>
        <v>-1.7488354037267118E-2</v>
      </c>
      <c r="N311"/>
      <c r="P311" t="s">
        <v>1004</v>
      </c>
      <c r="Q311">
        <v>1019</v>
      </c>
      <c r="R311">
        <v>2154.46</v>
      </c>
    </row>
    <row r="312" spans="1:18" hidden="1">
      <c r="A312" t="s">
        <v>1651</v>
      </c>
      <c r="B312" t="s">
        <v>780</v>
      </c>
      <c r="C312" t="s">
        <v>781</v>
      </c>
      <c r="D312" s="28">
        <v>16575</v>
      </c>
      <c r="E312" s="19">
        <f t="shared" si="18"/>
        <v>552.5</v>
      </c>
      <c r="F312" s="5">
        <v>13219.11</v>
      </c>
      <c r="I312" s="19">
        <f t="shared" si="19"/>
        <v>33150</v>
      </c>
      <c r="J312" t="b">
        <f t="shared" si="20"/>
        <v>1</v>
      </c>
      <c r="K312" s="4">
        <f t="shared" si="21"/>
        <v>-0.6012334841628959</v>
      </c>
      <c r="N312"/>
      <c r="P312" t="s">
        <v>854</v>
      </c>
      <c r="Q312">
        <v>2100</v>
      </c>
      <c r="R312">
        <v>2900.04</v>
      </c>
    </row>
    <row r="313" spans="1:18" hidden="1">
      <c r="A313" t="s">
        <v>1652</v>
      </c>
      <c r="B313" s="54" t="s">
        <v>346</v>
      </c>
      <c r="C313" s="37" t="s">
        <v>347</v>
      </c>
      <c r="D313" s="28">
        <v>2748</v>
      </c>
      <c r="E313" s="19">
        <f t="shared" si="18"/>
        <v>91.6</v>
      </c>
      <c r="F313" s="5">
        <v>3774.34</v>
      </c>
      <c r="I313" s="19">
        <f t="shared" si="19"/>
        <v>5496</v>
      </c>
      <c r="J313" t="b">
        <f t="shared" si="20"/>
        <v>1</v>
      </c>
      <c r="K313" s="4">
        <f t="shared" si="21"/>
        <v>-0.31325691411935952</v>
      </c>
      <c r="N313"/>
      <c r="P313" t="s">
        <v>1098</v>
      </c>
      <c r="Q313">
        <v>2322</v>
      </c>
      <c r="R313">
        <v>2781.16</v>
      </c>
    </row>
    <row r="314" spans="1:18" hidden="1">
      <c r="A314" t="s">
        <v>1649</v>
      </c>
      <c r="B314" s="54" t="s">
        <v>284</v>
      </c>
      <c r="C314" s="37" t="s">
        <v>285</v>
      </c>
      <c r="D314" s="19">
        <v>1131</v>
      </c>
      <c r="E314" s="19">
        <f t="shared" si="18"/>
        <v>37.700000000000003</v>
      </c>
      <c r="F314" s="5">
        <v>1774.69</v>
      </c>
      <c r="I314" s="19">
        <f t="shared" si="19"/>
        <v>2262</v>
      </c>
      <c r="J314" t="b">
        <f t="shared" si="20"/>
        <v>1</v>
      </c>
      <c r="K314" s="4">
        <f t="shared" si="21"/>
        <v>-0.21543324491600346</v>
      </c>
      <c r="N314"/>
      <c r="P314" t="s">
        <v>982</v>
      </c>
      <c r="Q314">
        <v>485</v>
      </c>
      <c r="R314">
        <v>329.07</v>
      </c>
    </row>
    <row r="315" spans="1:18" hidden="1">
      <c r="A315" t="s">
        <v>1652</v>
      </c>
      <c r="B315" t="s">
        <v>771</v>
      </c>
      <c r="C315" t="s">
        <v>772</v>
      </c>
      <c r="D315" s="28">
        <v>5994</v>
      </c>
      <c r="E315" s="19">
        <f t="shared" si="18"/>
        <v>199.8</v>
      </c>
      <c r="F315" s="5">
        <v>8176.97</v>
      </c>
      <c r="I315" s="19">
        <f t="shared" si="19"/>
        <v>11988</v>
      </c>
      <c r="J315" t="b">
        <f t="shared" si="20"/>
        <v>1</v>
      </c>
      <c r="K315" s="4">
        <f t="shared" si="21"/>
        <v>-0.31790373707040376</v>
      </c>
      <c r="N315"/>
      <c r="P315" t="s">
        <v>864</v>
      </c>
      <c r="Q315">
        <v>1498</v>
      </c>
      <c r="R315">
        <v>723.63</v>
      </c>
    </row>
    <row r="316" spans="1:18" hidden="1">
      <c r="A316" t="s">
        <v>1649</v>
      </c>
      <c r="B316" s="54" t="s">
        <v>44</v>
      </c>
      <c r="C316" s="37" t="s">
        <v>45</v>
      </c>
      <c r="D316" s="28">
        <v>2685</v>
      </c>
      <c r="E316" s="19">
        <f t="shared" si="18"/>
        <v>89.5</v>
      </c>
      <c r="F316" s="5">
        <v>3126.43</v>
      </c>
      <c r="I316" s="19">
        <f t="shared" si="19"/>
        <v>5370</v>
      </c>
      <c r="J316" t="b">
        <f t="shared" si="20"/>
        <v>1</v>
      </c>
      <c r="K316" s="4">
        <f t="shared" si="21"/>
        <v>-0.41779702048417133</v>
      </c>
      <c r="N316"/>
      <c r="P316" t="s">
        <v>1138</v>
      </c>
      <c r="Q316">
        <v>10278</v>
      </c>
      <c r="R316">
        <v>8437.92</v>
      </c>
    </row>
    <row r="317" spans="1:18" hidden="1">
      <c r="A317" t="s">
        <v>1649</v>
      </c>
      <c r="B317" s="54" t="s">
        <v>82</v>
      </c>
      <c r="C317" s="37" t="s">
        <v>83</v>
      </c>
      <c r="D317" s="28">
        <v>1336</v>
      </c>
      <c r="E317" s="19">
        <f t="shared" si="18"/>
        <v>44.533333333333331</v>
      </c>
      <c r="F317" s="5">
        <v>1584.5</v>
      </c>
      <c r="I317" s="19">
        <f t="shared" si="19"/>
        <v>2672</v>
      </c>
      <c r="J317" t="b">
        <f t="shared" si="20"/>
        <v>1</v>
      </c>
      <c r="K317" s="4">
        <f t="shared" si="21"/>
        <v>-0.40699850299401197</v>
      </c>
      <c r="N317"/>
      <c r="P317" t="s">
        <v>1088</v>
      </c>
      <c r="Q317">
        <v>1468</v>
      </c>
      <c r="R317">
        <v>459.8</v>
      </c>
    </row>
    <row r="318" spans="1:18" hidden="1">
      <c r="A318" t="s">
        <v>1649</v>
      </c>
      <c r="B318" t="s">
        <v>39</v>
      </c>
      <c r="C318" t="s">
        <v>40</v>
      </c>
      <c r="D318" s="28">
        <v>8524</v>
      </c>
      <c r="E318" s="19">
        <f t="shared" si="18"/>
        <v>284.13333333333333</v>
      </c>
      <c r="F318" s="5">
        <v>13172.97</v>
      </c>
      <c r="I318" s="19">
        <f t="shared" si="19"/>
        <v>17048</v>
      </c>
      <c r="J318" t="b">
        <f t="shared" si="20"/>
        <v>1</v>
      </c>
      <c r="K318" s="4">
        <f t="shared" si="21"/>
        <v>-0.22730114969497894</v>
      </c>
      <c r="N318"/>
      <c r="P318" t="s">
        <v>1044</v>
      </c>
      <c r="Q318">
        <v>1079</v>
      </c>
      <c r="R318">
        <v>2197.5700000000002</v>
      </c>
    </row>
    <row r="319" spans="1:18" hidden="1">
      <c r="A319" t="s">
        <v>1649</v>
      </c>
      <c r="B319" s="54" t="s">
        <v>114</v>
      </c>
      <c r="C319" s="37" t="s">
        <v>115</v>
      </c>
      <c r="D319" s="19">
        <v>2887</v>
      </c>
      <c r="E319" s="19">
        <f t="shared" si="18"/>
        <v>96.233333333333334</v>
      </c>
      <c r="F319" s="5">
        <v>1894.36</v>
      </c>
      <c r="I319" s="19">
        <f t="shared" si="19"/>
        <v>5774</v>
      </c>
      <c r="J319" t="b">
        <f t="shared" si="20"/>
        <v>1</v>
      </c>
      <c r="K319" s="4">
        <f t="shared" si="21"/>
        <v>-0.67191548320055428</v>
      </c>
      <c r="N319"/>
      <c r="P319" t="s">
        <v>890</v>
      </c>
      <c r="Q319">
        <v>1017</v>
      </c>
      <c r="R319">
        <v>1281.21</v>
      </c>
    </row>
    <row r="320" spans="1:18" hidden="1">
      <c r="A320" t="s">
        <v>1651</v>
      </c>
      <c r="B320" s="54" t="s">
        <v>699</v>
      </c>
      <c r="C320" s="37" t="s">
        <v>700</v>
      </c>
      <c r="D320" s="28">
        <v>1640</v>
      </c>
      <c r="E320" s="19">
        <f t="shared" si="18"/>
        <v>54.666666666666664</v>
      </c>
      <c r="F320" s="5">
        <v>2995.03</v>
      </c>
      <c r="I320" s="19">
        <f t="shared" si="19"/>
        <v>3280</v>
      </c>
      <c r="J320" t="b">
        <f t="shared" si="20"/>
        <v>1</v>
      </c>
      <c r="K320" s="4">
        <f t="shared" si="21"/>
        <v>-8.6881097560975507E-2</v>
      </c>
      <c r="N320"/>
      <c r="P320" t="s">
        <v>919</v>
      </c>
      <c r="Q320">
        <v>1132</v>
      </c>
      <c r="R320">
        <v>960.15</v>
      </c>
    </row>
    <row r="321" spans="1:18" hidden="1">
      <c r="A321" t="s">
        <v>1652</v>
      </c>
      <c r="B321" t="s">
        <v>763</v>
      </c>
      <c r="C321" t="s">
        <v>764</v>
      </c>
      <c r="D321" s="28">
        <v>123</v>
      </c>
      <c r="E321" s="19">
        <f t="shared" si="18"/>
        <v>4.0999999999999996</v>
      </c>
      <c r="F321" s="5">
        <v>0</v>
      </c>
      <c r="I321" s="19">
        <f t="shared" si="19"/>
        <v>246</v>
      </c>
      <c r="J321" t="b">
        <f t="shared" si="20"/>
        <v>1</v>
      </c>
      <c r="K321" s="4">
        <f t="shared" si="21"/>
        <v>-1</v>
      </c>
      <c r="N321"/>
      <c r="P321" t="s">
        <v>958</v>
      </c>
      <c r="Q321">
        <v>1142</v>
      </c>
      <c r="R321">
        <v>598.61</v>
      </c>
    </row>
    <row r="322" spans="1:18" hidden="1">
      <c r="A322" t="s">
        <v>1649</v>
      </c>
      <c r="B322" t="s">
        <v>727</v>
      </c>
      <c r="C322" t="s">
        <v>728</v>
      </c>
      <c r="D322" s="28">
        <v>3711</v>
      </c>
      <c r="E322" s="19">
        <f t="shared" si="18"/>
        <v>123.7</v>
      </c>
      <c r="F322" s="5">
        <v>7788.44</v>
      </c>
      <c r="I322" s="19">
        <f t="shared" si="19"/>
        <v>7422</v>
      </c>
      <c r="J322" t="b">
        <f t="shared" si="20"/>
        <v>1</v>
      </c>
      <c r="K322" s="4">
        <f t="shared" si="21"/>
        <v>4.9372136890325935E-2</v>
      </c>
      <c r="N322"/>
      <c r="P322" t="s">
        <v>956</v>
      </c>
      <c r="Q322">
        <v>1001</v>
      </c>
      <c r="R322">
        <v>1293.8800000000001</v>
      </c>
    </row>
    <row r="323" spans="1:18" hidden="1">
      <c r="A323" t="s">
        <v>1651</v>
      </c>
      <c r="B323" t="s">
        <v>730</v>
      </c>
      <c r="C323" t="s">
        <v>731</v>
      </c>
      <c r="D323" s="28">
        <v>700</v>
      </c>
      <c r="E323" s="19">
        <f t="shared" ref="E323:E386" si="22">D323/30</f>
        <v>23.333333333333332</v>
      </c>
      <c r="F323" s="5">
        <v>892.26</v>
      </c>
      <c r="I323" s="19">
        <f t="shared" ref="I323:I386" si="23">IF((D323/30)&gt;100,D323*2,D323*2)</f>
        <v>1400</v>
      </c>
      <c r="J323" t="b">
        <f t="shared" si="20"/>
        <v>1</v>
      </c>
      <c r="K323" s="4">
        <f t="shared" si="21"/>
        <v>-0.36267142857142853</v>
      </c>
      <c r="N323"/>
      <c r="P323" t="s">
        <v>1022</v>
      </c>
      <c r="Q323">
        <v>442</v>
      </c>
      <c r="R323">
        <v>0</v>
      </c>
    </row>
    <row r="324" spans="1:18" hidden="1">
      <c r="A324" t="s">
        <v>1649</v>
      </c>
      <c r="B324" s="54" t="s">
        <v>76</v>
      </c>
      <c r="C324" s="37" t="s">
        <v>77</v>
      </c>
      <c r="D324" s="28">
        <v>1942</v>
      </c>
      <c r="E324" s="19">
        <f t="shared" si="22"/>
        <v>64.733333333333334</v>
      </c>
      <c r="F324" s="5">
        <v>2544.54</v>
      </c>
      <c r="I324" s="19">
        <f t="shared" si="23"/>
        <v>3884</v>
      </c>
      <c r="J324" t="b">
        <f t="shared" si="20"/>
        <v>1</v>
      </c>
      <c r="K324" s="4">
        <f t="shared" si="21"/>
        <v>-0.34486611740473738</v>
      </c>
      <c r="N324"/>
      <c r="P324" t="s">
        <v>917</v>
      </c>
      <c r="Q324">
        <v>352</v>
      </c>
      <c r="R324">
        <v>304.18</v>
      </c>
    </row>
    <row r="325" spans="1:18" hidden="1">
      <c r="A325" t="s">
        <v>1649</v>
      </c>
      <c r="B325" t="s">
        <v>41</v>
      </c>
      <c r="C325" t="s">
        <v>42</v>
      </c>
      <c r="D325" s="28">
        <v>3923</v>
      </c>
      <c r="E325" s="19">
        <f t="shared" si="22"/>
        <v>130.76666666666668</v>
      </c>
      <c r="F325" s="5">
        <v>5804.09</v>
      </c>
      <c r="I325" s="19">
        <f t="shared" si="23"/>
        <v>7846</v>
      </c>
      <c r="J325" t="b">
        <f t="shared" si="20"/>
        <v>1</v>
      </c>
      <c r="K325" s="4">
        <f>F325/I325-1</f>
        <v>-0.26024853428498596</v>
      </c>
      <c r="N325"/>
      <c r="P325" t="s">
        <v>1518</v>
      </c>
      <c r="Q325">
        <v>433</v>
      </c>
      <c r="R325">
        <v>283.95999999999998</v>
      </c>
    </row>
    <row r="326" spans="1:18" hidden="1">
      <c r="A326" t="s">
        <v>1649</v>
      </c>
      <c r="B326" t="s">
        <v>243</v>
      </c>
      <c r="C326" t="s">
        <v>244</v>
      </c>
      <c r="D326" s="28">
        <v>2127</v>
      </c>
      <c r="E326" s="19">
        <f t="shared" si="22"/>
        <v>70.900000000000006</v>
      </c>
      <c r="F326" s="5">
        <v>2775.3</v>
      </c>
      <c r="I326" s="19">
        <f t="shared" si="23"/>
        <v>4254</v>
      </c>
      <c r="J326" t="b">
        <f t="shared" si="20"/>
        <v>1</v>
      </c>
      <c r="K326" s="4">
        <f t="shared" si="21"/>
        <v>-0.34760225669957678</v>
      </c>
      <c r="N326"/>
      <c r="P326" t="s">
        <v>896</v>
      </c>
      <c r="Q326">
        <v>1773</v>
      </c>
      <c r="R326">
        <v>658.97</v>
      </c>
    </row>
    <row r="327" spans="1:18" hidden="1">
      <c r="A327" t="s">
        <v>1649</v>
      </c>
      <c r="B327" t="s">
        <v>272</v>
      </c>
      <c r="C327" t="s">
        <v>273</v>
      </c>
      <c r="D327" s="28">
        <v>2363</v>
      </c>
      <c r="E327" s="19">
        <f t="shared" si="22"/>
        <v>78.766666666666666</v>
      </c>
      <c r="F327" s="5">
        <v>4949.4299999999994</v>
      </c>
      <c r="I327" s="19">
        <f t="shared" si="23"/>
        <v>4726</v>
      </c>
      <c r="J327" t="b">
        <f t="shared" si="20"/>
        <v>1</v>
      </c>
      <c r="K327" s="4">
        <f t="shared" si="21"/>
        <v>4.7276766821836569E-2</v>
      </c>
      <c r="N327"/>
      <c r="P327" t="s">
        <v>819</v>
      </c>
      <c r="Q327">
        <v>4088</v>
      </c>
      <c r="R327">
        <v>1357.7</v>
      </c>
    </row>
    <row r="328" spans="1:18">
      <c r="A328" t="s">
        <v>1649</v>
      </c>
      <c r="B328" s="54" t="s">
        <v>572</v>
      </c>
      <c r="C328" s="37" t="s">
        <v>573</v>
      </c>
      <c r="D328" s="28">
        <v>878</v>
      </c>
      <c r="E328" s="19">
        <f t="shared" si="22"/>
        <v>29.266666666666666</v>
      </c>
      <c r="F328" s="5">
        <v>2393.9</v>
      </c>
      <c r="I328" s="19">
        <f t="shared" si="23"/>
        <v>1756</v>
      </c>
      <c r="J328" t="b">
        <f t="shared" si="20"/>
        <v>0</v>
      </c>
      <c r="K328" s="4">
        <f t="shared" si="21"/>
        <v>0.36326879271070611</v>
      </c>
      <c r="L328" t="s">
        <v>15</v>
      </c>
      <c r="N328"/>
      <c r="P328" t="s">
        <v>1020</v>
      </c>
      <c r="Q328">
        <v>307</v>
      </c>
      <c r="R328">
        <v>316.98</v>
      </c>
    </row>
    <row r="329" spans="1:18" hidden="1">
      <c r="A329" t="s">
        <v>1649</v>
      </c>
      <c r="B329" t="s">
        <v>68</v>
      </c>
      <c r="C329" t="s">
        <v>69</v>
      </c>
      <c r="D329" s="28">
        <v>3004</v>
      </c>
      <c r="E329" s="19">
        <f t="shared" si="22"/>
        <v>100.13333333333334</v>
      </c>
      <c r="F329" s="5">
        <v>6373.06</v>
      </c>
      <c r="I329" s="19">
        <f t="shared" si="23"/>
        <v>6008</v>
      </c>
      <c r="J329" t="b">
        <f t="shared" si="20"/>
        <v>1</v>
      </c>
      <c r="K329" s="4">
        <f t="shared" si="21"/>
        <v>6.0762316910785596E-2</v>
      </c>
      <c r="N329"/>
      <c r="P329" t="s">
        <v>836</v>
      </c>
      <c r="Q329">
        <v>1359</v>
      </c>
      <c r="R329">
        <v>2670.18</v>
      </c>
    </row>
    <row r="330" spans="1:18" hidden="1">
      <c r="A330" t="s">
        <v>1649</v>
      </c>
      <c r="B330" t="s">
        <v>736</v>
      </c>
      <c r="C330" t="s">
        <v>737</v>
      </c>
      <c r="D330" s="28">
        <v>1729</v>
      </c>
      <c r="E330" s="19">
        <f t="shared" si="22"/>
        <v>57.633333333333333</v>
      </c>
      <c r="F330" s="5">
        <v>3426.58</v>
      </c>
      <c r="I330" s="19">
        <f t="shared" si="23"/>
        <v>3458</v>
      </c>
      <c r="J330" t="b">
        <f t="shared" si="20"/>
        <v>1</v>
      </c>
      <c r="K330" s="4">
        <f t="shared" si="21"/>
        <v>-9.0861769809138515E-3</v>
      </c>
      <c r="N330"/>
      <c r="P330" t="s">
        <v>856</v>
      </c>
      <c r="Q330">
        <v>4341</v>
      </c>
      <c r="R330">
        <v>5128.26</v>
      </c>
    </row>
    <row r="331" spans="1:18" hidden="1">
      <c r="A331" t="s">
        <v>1649</v>
      </c>
      <c r="B331" s="54" t="s">
        <v>25</v>
      </c>
      <c r="C331" s="37" t="s">
        <v>26</v>
      </c>
      <c r="D331" s="19">
        <v>8012</v>
      </c>
      <c r="E331" s="19">
        <f t="shared" si="22"/>
        <v>267.06666666666666</v>
      </c>
      <c r="F331" s="5">
        <v>5966.26</v>
      </c>
      <c r="I331" s="19">
        <f t="shared" si="23"/>
        <v>16024</v>
      </c>
      <c r="J331" t="b">
        <f t="shared" si="20"/>
        <v>1</v>
      </c>
      <c r="K331" s="4">
        <f t="shared" si="21"/>
        <v>-0.62766724912631044</v>
      </c>
      <c r="N331"/>
      <c r="P331" t="s">
        <v>906</v>
      </c>
      <c r="Q331">
        <v>2197</v>
      </c>
      <c r="R331">
        <v>3365.88</v>
      </c>
    </row>
    <row r="332" spans="1:18" hidden="1">
      <c r="A332" t="s">
        <v>1652</v>
      </c>
      <c r="B332" s="37" t="s">
        <v>686</v>
      </c>
      <c r="C332" s="37" t="s">
        <v>687</v>
      </c>
      <c r="D332" s="28">
        <v>1272</v>
      </c>
      <c r="E332" s="19">
        <f t="shared" si="22"/>
        <v>42.4</v>
      </c>
      <c r="F332" s="5">
        <v>1374.63</v>
      </c>
      <c r="I332" s="19">
        <f t="shared" si="23"/>
        <v>2544</v>
      </c>
      <c r="J332" t="b">
        <f t="shared" si="20"/>
        <v>1</v>
      </c>
      <c r="K332" s="4">
        <f t="shared" si="21"/>
        <v>-0.45965801886792446</v>
      </c>
      <c r="N332"/>
      <c r="P332" t="s">
        <v>870</v>
      </c>
      <c r="Q332">
        <v>680</v>
      </c>
      <c r="R332">
        <v>313.06</v>
      </c>
    </row>
    <row r="333" spans="1:18" hidden="1">
      <c r="A333" t="s">
        <v>1649</v>
      </c>
      <c r="B333" t="s">
        <v>36</v>
      </c>
      <c r="C333" t="s">
        <v>37</v>
      </c>
      <c r="D333" s="28">
        <v>6350</v>
      </c>
      <c r="E333" s="19">
        <f t="shared" si="22"/>
        <v>211.66666666666666</v>
      </c>
      <c r="F333" s="5">
        <v>8292.6200000000008</v>
      </c>
      <c r="I333" s="19">
        <f t="shared" si="23"/>
        <v>12700</v>
      </c>
      <c r="J333" t="b">
        <f t="shared" si="20"/>
        <v>1</v>
      </c>
      <c r="K333" s="4">
        <f t="shared" si="21"/>
        <v>-0.34703779527559053</v>
      </c>
      <c r="N333"/>
      <c r="P333" t="s">
        <v>913</v>
      </c>
      <c r="Q333">
        <v>556</v>
      </c>
      <c r="R333">
        <v>825.59</v>
      </c>
    </row>
    <row r="334" spans="1:18" hidden="1">
      <c r="A334" t="s">
        <v>1649</v>
      </c>
      <c r="B334" t="s">
        <v>788</v>
      </c>
      <c r="C334" t="s">
        <v>789</v>
      </c>
      <c r="D334" s="28">
        <v>16417</v>
      </c>
      <c r="E334" s="19">
        <f t="shared" si="22"/>
        <v>547.23333333333335</v>
      </c>
      <c r="F334" s="19">
        <v>14701.22</v>
      </c>
      <c r="I334" s="19">
        <f t="shared" si="23"/>
        <v>32834</v>
      </c>
      <c r="J334" t="b">
        <f t="shared" si="20"/>
        <v>1</v>
      </c>
      <c r="K334" s="4">
        <f t="shared" si="21"/>
        <v>-0.55225619784369862</v>
      </c>
      <c r="N334"/>
      <c r="P334" t="s">
        <v>1069</v>
      </c>
      <c r="Q334">
        <v>709</v>
      </c>
      <c r="R334">
        <v>343.68</v>
      </c>
    </row>
    <row r="335" spans="1:18" hidden="1">
      <c r="A335" t="s">
        <v>1652</v>
      </c>
      <c r="B335" t="s">
        <v>769</v>
      </c>
      <c r="C335" t="s">
        <v>770</v>
      </c>
      <c r="D335" s="28">
        <v>7740</v>
      </c>
      <c r="E335" s="19">
        <f t="shared" si="22"/>
        <v>258</v>
      </c>
      <c r="F335" s="5">
        <v>11318.28</v>
      </c>
      <c r="I335" s="19">
        <f t="shared" si="23"/>
        <v>15480</v>
      </c>
      <c r="J335" t="b">
        <f t="shared" si="20"/>
        <v>1</v>
      </c>
      <c r="K335" s="4">
        <f t="shared" si="21"/>
        <v>-0.26884496124030999</v>
      </c>
      <c r="N335"/>
      <c r="P335" t="s">
        <v>1006</v>
      </c>
      <c r="Q335">
        <v>1391</v>
      </c>
      <c r="R335">
        <v>753.72</v>
      </c>
    </row>
    <row r="336" spans="1:18" hidden="1">
      <c r="A336" t="s">
        <v>1652</v>
      </c>
      <c r="B336" s="37" t="s">
        <v>22</v>
      </c>
      <c r="C336" s="37" t="s">
        <v>23</v>
      </c>
      <c r="D336" s="28">
        <v>31468</v>
      </c>
      <c r="E336" s="19">
        <f t="shared" si="22"/>
        <v>1048.9333333333334</v>
      </c>
      <c r="F336" s="5">
        <v>33434.769999999997</v>
      </c>
      <c r="I336" s="19">
        <f t="shared" si="23"/>
        <v>62936</v>
      </c>
      <c r="J336" t="b">
        <f t="shared" si="20"/>
        <v>1</v>
      </c>
      <c r="K336" s="4">
        <f t="shared" si="21"/>
        <v>-0.46874968221685531</v>
      </c>
      <c r="N336"/>
      <c r="P336" t="s">
        <v>915</v>
      </c>
      <c r="Q336">
        <v>994</v>
      </c>
      <c r="R336">
        <v>2606.08</v>
      </c>
    </row>
    <row r="337" spans="1:18" hidden="1">
      <c r="A337" t="s">
        <v>1651</v>
      </c>
      <c r="B337" s="54" t="s">
        <v>695</v>
      </c>
      <c r="C337" s="37" t="s">
        <v>696</v>
      </c>
      <c r="D337" s="28">
        <v>628</v>
      </c>
      <c r="E337" s="19">
        <f t="shared" si="22"/>
        <v>20.933333333333334</v>
      </c>
      <c r="F337" s="5">
        <v>1312.38</v>
      </c>
      <c r="I337" s="19">
        <f t="shared" si="23"/>
        <v>1256</v>
      </c>
      <c r="J337" t="b">
        <f t="shared" si="20"/>
        <v>1</v>
      </c>
      <c r="K337" s="4">
        <f t="shared" si="21"/>
        <v>4.488853503184731E-2</v>
      </c>
      <c r="N337"/>
      <c r="P337" t="s">
        <v>872</v>
      </c>
      <c r="Q337">
        <v>2392</v>
      </c>
      <c r="R337">
        <v>3804.61</v>
      </c>
    </row>
    <row r="338" spans="1:18" hidden="1">
      <c r="A338" t="s">
        <v>1652</v>
      </c>
      <c r="B338" s="27" t="s">
        <v>188</v>
      </c>
      <c r="C338" s="149" t="s">
        <v>189</v>
      </c>
      <c r="D338" s="28">
        <v>1473</v>
      </c>
      <c r="E338" s="19">
        <f t="shared" si="22"/>
        <v>49.1</v>
      </c>
      <c r="F338" s="5">
        <v>1142.3599999999999</v>
      </c>
      <c r="I338" s="19">
        <f t="shared" si="23"/>
        <v>2946</v>
      </c>
      <c r="J338" t="b">
        <f t="shared" si="20"/>
        <v>1</v>
      </c>
      <c r="K338" s="4">
        <f t="shared" si="21"/>
        <v>-0.61223353699932115</v>
      </c>
      <c r="N338"/>
      <c r="P338" t="s">
        <v>952</v>
      </c>
      <c r="Q338">
        <v>968</v>
      </c>
      <c r="R338">
        <v>2030.96</v>
      </c>
    </row>
    <row r="339" spans="1:18" hidden="1">
      <c r="A339" t="s">
        <v>1649</v>
      </c>
      <c r="B339" s="150" t="s">
        <v>208</v>
      </c>
      <c r="C339" s="149" t="s">
        <v>209</v>
      </c>
      <c r="D339" s="28">
        <v>715</v>
      </c>
      <c r="E339" s="19">
        <f t="shared" si="22"/>
        <v>23.833333333333332</v>
      </c>
      <c r="F339" s="5">
        <v>1596.62</v>
      </c>
      <c r="I339" s="19">
        <f t="shared" si="23"/>
        <v>1430</v>
      </c>
      <c r="J339" t="b">
        <f t="shared" ref="J339:J362" si="24">IF(F339&gt;1.2*I339,FALSE,TRUE)</f>
        <v>1</v>
      </c>
      <c r="K339" s="4">
        <f t="shared" ref="K339:K362" si="25">F339/I339-1</f>
        <v>0.1165174825174824</v>
      </c>
      <c r="N339"/>
      <c r="P339" t="s">
        <v>1055</v>
      </c>
      <c r="Q339">
        <v>1050</v>
      </c>
      <c r="R339">
        <v>214.39</v>
      </c>
    </row>
    <row r="340" spans="1:18" hidden="1">
      <c r="A340" t="s">
        <v>1651</v>
      </c>
      <c r="B340" s="54" t="s">
        <v>80</v>
      </c>
      <c r="C340" s="27" t="s">
        <v>81</v>
      </c>
      <c r="D340" s="28">
        <v>1072</v>
      </c>
      <c r="E340" s="19">
        <f t="shared" si="22"/>
        <v>35.733333333333334</v>
      </c>
      <c r="F340" s="5">
        <v>1242.01</v>
      </c>
      <c r="I340" s="19">
        <f t="shared" si="23"/>
        <v>2144</v>
      </c>
      <c r="J340" t="b">
        <f t="shared" si="24"/>
        <v>1</v>
      </c>
      <c r="K340" s="4">
        <f t="shared" si="25"/>
        <v>-0.42070429104477614</v>
      </c>
      <c r="N340"/>
      <c r="P340" t="s">
        <v>946</v>
      </c>
      <c r="Q340">
        <v>932</v>
      </c>
      <c r="R340">
        <v>1821.75</v>
      </c>
    </row>
    <row r="341" spans="1:18">
      <c r="A341" t="s">
        <v>1649</v>
      </c>
      <c r="B341" s="54" t="s">
        <v>318</v>
      </c>
      <c r="C341" s="37" t="s">
        <v>319</v>
      </c>
      <c r="D341" s="28">
        <v>280</v>
      </c>
      <c r="E341" s="19">
        <f t="shared" si="22"/>
        <v>9.3333333333333339</v>
      </c>
      <c r="F341" s="5">
        <v>779.7</v>
      </c>
      <c r="I341" s="19">
        <f t="shared" si="23"/>
        <v>560</v>
      </c>
      <c r="J341" t="b">
        <f t="shared" si="24"/>
        <v>0</v>
      </c>
      <c r="K341" s="4">
        <f t="shared" si="25"/>
        <v>0.39232142857142871</v>
      </c>
      <c r="L341" t="s">
        <v>17</v>
      </c>
      <c r="M341" t="s">
        <v>1670</v>
      </c>
      <c r="N341"/>
      <c r="P341" t="s">
        <v>1100</v>
      </c>
      <c r="Q341">
        <v>2202</v>
      </c>
      <c r="R341">
        <v>4728.72</v>
      </c>
    </row>
    <row r="342" spans="1:18">
      <c r="A342" t="s">
        <v>1652</v>
      </c>
      <c r="B342" s="54" t="s">
        <v>476</v>
      </c>
      <c r="C342" s="37" t="s">
        <v>477</v>
      </c>
      <c r="D342" s="28">
        <v>150</v>
      </c>
      <c r="E342" s="19">
        <f t="shared" si="22"/>
        <v>5</v>
      </c>
      <c r="F342" s="5">
        <v>438.63</v>
      </c>
      <c r="I342" s="19">
        <f t="shared" si="23"/>
        <v>300</v>
      </c>
      <c r="J342" t="b">
        <f t="shared" si="24"/>
        <v>0</v>
      </c>
      <c r="K342" s="4">
        <f t="shared" si="25"/>
        <v>0.46209999999999996</v>
      </c>
      <c r="P342" t="s">
        <v>866</v>
      </c>
      <c r="Q342">
        <v>1002</v>
      </c>
      <c r="R342">
        <v>1222.03</v>
      </c>
    </row>
    <row r="343" spans="1:18" hidden="1">
      <c r="A343" t="s">
        <v>1651</v>
      </c>
      <c r="B343" s="54" t="s">
        <v>464</v>
      </c>
      <c r="C343" s="37" t="s">
        <v>465</v>
      </c>
      <c r="D343" s="28">
        <v>22</v>
      </c>
      <c r="E343" s="19">
        <f t="shared" si="22"/>
        <v>0.73333333333333328</v>
      </c>
      <c r="F343" s="131">
        <v>27.65</v>
      </c>
      <c r="I343" s="19">
        <f t="shared" si="23"/>
        <v>44</v>
      </c>
      <c r="J343" t="b">
        <f t="shared" si="24"/>
        <v>1</v>
      </c>
      <c r="K343" s="4">
        <f t="shared" si="25"/>
        <v>-0.37159090909090908</v>
      </c>
      <c r="N343"/>
      <c r="P343" t="s">
        <v>810</v>
      </c>
      <c r="Q343">
        <v>871</v>
      </c>
      <c r="R343">
        <v>1788.28</v>
      </c>
    </row>
    <row r="344" spans="1:18" ht="30" hidden="1">
      <c r="A344" t="s">
        <v>1651</v>
      </c>
      <c r="B344" s="54" t="s">
        <v>34</v>
      </c>
      <c r="C344" s="37" t="s">
        <v>35</v>
      </c>
      <c r="D344" s="28">
        <v>3875</v>
      </c>
      <c r="E344" s="19">
        <f t="shared" si="22"/>
        <v>129.16666666666666</v>
      </c>
      <c r="F344" s="5">
        <v>5068.88</v>
      </c>
      <c r="I344" s="19">
        <f t="shared" si="23"/>
        <v>7750</v>
      </c>
      <c r="J344" t="b">
        <f t="shared" si="24"/>
        <v>1</v>
      </c>
      <c r="K344" s="4">
        <f t="shared" si="25"/>
        <v>-0.34595096774193546</v>
      </c>
      <c r="N344"/>
      <c r="Q344">
        <v>0</v>
      </c>
      <c r="R344">
        <v>0</v>
      </c>
    </row>
    <row r="345" spans="1:18">
      <c r="A345" t="s">
        <v>1649</v>
      </c>
      <c r="B345" s="54" t="s">
        <v>410</v>
      </c>
      <c r="C345" s="37" t="s">
        <v>411</v>
      </c>
      <c r="D345" s="28">
        <v>106</v>
      </c>
      <c r="E345" s="19">
        <f t="shared" si="22"/>
        <v>3.5333333333333332</v>
      </c>
      <c r="F345" s="5">
        <v>269.93</v>
      </c>
      <c r="I345" s="19">
        <f t="shared" si="23"/>
        <v>212</v>
      </c>
      <c r="J345" t="b">
        <f t="shared" si="24"/>
        <v>0</v>
      </c>
      <c r="K345" s="4">
        <f t="shared" si="25"/>
        <v>0.27325471698113213</v>
      </c>
      <c r="L345" t="s">
        <v>17</v>
      </c>
      <c r="M345" t="s">
        <v>1671</v>
      </c>
      <c r="N345"/>
      <c r="Q345">
        <v>0</v>
      </c>
      <c r="R345">
        <v>0</v>
      </c>
    </row>
    <row r="346" spans="1:18" hidden="1">
      <c r="A346" t="s">
        <v>1652</v>
      </c>
      <c r="B346" s="54" t="s">
        <v>84</v>
      </c>
      <c r="C346" s="37" t="s">
        <v>85</v>
      </c>
      <c r="D346" s="28">
        <v>982</v>
      </c>
      <c r="E346" s="19">
        <f t="shared" si="22"/>
        <v>32.733333333333334</v>
      </c>
      <c r="F346" s="5">
        <v>1034.42</v>
      </c>
      <c r="I346" s="19">
        <f t="shared" si="23"/>
        <v>1964</v>
      </c>
      <c r="J346" t="b">
        <f t="shared" si="24"/>
        <v>1</v>
      </c>
      <c r="K346" s="4">
        <f t="shared" si="25"/>
        <v>-0.47330957230142567</v>
      </c>
      <c r="N346"/>
      <c r="Q346">
        <v>0</v>
      </c>
      <c r="R346">
        <v>0</v>
      </c>
    </row>
    <row r="347" spans="1:18" hidden="1">
      <c r="A347" t="s">
        <v>1651</v>
      </c>
      <c r="B347" s="143" t="s">
        <v>102</v>
      </c>
      <c r="C347" s="37" t="s">
        <v>103</v>
      </c>
      <c r="D347" s="28">
        <v>1007</v>
      </c>
      <c r="E347" s="19">
        <f t="shared" si="22"/>
        <v>33.56666666666667</v>
      </c>
      <c r="F347" s="5">
        <v>1836.2</v>
      </c>
      <c r="I347" s="19">
        <f t="shared" si="23"/>
        <v>2014</v>
      </c>
      <c r="J347" t="b">
        <f t="shared" si="24"/>
        <v>1</v>
      </c>
      <c r="K347" s="4">
        <f t="shared" si="25"/>
        <v>-8.8282025819265142E-2</v>
      </c>
      <c r="N347"/>
      <c r="Q347">
        <v>0</v>
      </c>
      <c r="R347">
        <v>0</v>
      </c>
    </row>
    <row r="348" spans="1:18">
      <c r="A348" t="s">
        <v>1649</v>
      </c>
      <c r="B348" s="143" t="s">
        <v>141</v>
      </c>
      <c r="C348" s="143" t="s">
        <v>142</v>
      </c>
      <c r="D348" s="28">
        <v>1011</v>
      </c>
      <c r="E348" s="19">
        <f t="shared" si="22"/>
        <v>33.700000000000003</v>
      </c>
      <c r="F348" s="5">
        <v>2512.17</v>
      </c>
      <c r="I348" s="19">
        <f t="shared" si="23"/>
        <v>2022</v>
      </c>
      <c r="J348" t="b">
        <f t="shared" si="24"/>
        <v>0</v>
      </c>
      <c r="K348" s="4">
        <f t="shared" si="25"/>
        <v>0.24241839762611272</v>
      </c>
      <c r="L348" t="s">
        <v>1672</v>
      </c>
      <c r="M348" t="s">
        <v>1673</v>
      </c>
      <c r="N348"/>
      <c r="Q348">
        <v>0</v>
      </c>
      <c r="R348">
        <v>0</v>
      </c>
    </row>
    <row r="349" spans="1:18">
      <c r="A349" t="s">
        <v>1649</v>
      </c>
      <c r="B349" s="143" t="s">
        <v>231</v>
      </c>
      <c r="C349" s="143" t="s">
        <v>232</v>
      </c>
      <c r="D349" s="28">
        <v>360</v>
      </c>
      <c r="E349" s="19">
        <f t="shared" si="22"/>
        <v>12</v>
      </c>
      <c r="F349" s="5">
        <v>985.89</v>
      </c>
      <c r="I349" s="19">
        <f t="shared" si="23"/>
        <v>720</v>
      </c>
      <c r="J349" t="b">
        <f t="shared" si="24"/>
        <v>0</v>
      </c>
      <c r="K349" s="4">
        <f t="shared" si="25"/>
        <v>0.36929166666666657</v>
      </c>
      <c r="L349" t="s">
        <v>19</v>
      </c>
      <c r="N349"/>
      <c r="P349" t="s">
        <v>1344</v>
      </c>
      <c r="Q349">
        <v>2357</v>
      </c>
      <c r="R349">
        <v>4551.13</v>
      </c>
    </row>
    <row r="350" spans="1:18">
      <c r="A350" t="s">
        <v>1649</v>
      </c>
      <c r="B350" s="143" t="s">
        <v>360</v>
      </c>
      <c r="C350" s="143" t="s">
        <v>361</v>
      </c>
      <c r="D350" s="28">
        <v>85</v>
      </c>
      <c r="E350" s="19">
        <f t="shared" si="22"/>
        <v>2.8333333333333335</v>
      </c>
      <c r="F350" s="5">
        <v>358.43</v>
      </c>
      <c r="I350" s="19">
        <f t="shared" si="23"/>
        <v>170</v>
      </c>
      <c r="J350" t="b">
        <f t="shared" si="24"/>
        <v>0</v>
      </c>
      <c r="K350" s="4">
        <f t="shared" si="25"/>
        <v>1.1084117647058824</v>
      </c>
      <c r="L350" t="s">
        <v>17</v>
      </c>
      <c r="M350" t="s">
        <v>1674</v>
      </c>
      <c r="N350"/>
      <c r="P350" t="s">
        <v>1189</v>
      </c>
      <c r="Q350">
        <v>1605</v>
      </c>
      <c r="R350">
        <v>1997.57</v>
      </c>
    </row>
    <row r="351" spans="1:18" hidden="1">
      <c r="A351" t="s">
        <v>1649</v>
      </c>
      <c r="B351" s="143" t="s">
        <v>104</v>
      </c>
      <c r="C351" s="143" t="s">
        <v>105</v>
      </c>
      <c r="D351" s="28">
        <v>768</v>
      </c>
      <c r="E351" s="19">
        <f t="shared" si="22"/>
        <v>25.6</v>
      </c>
      <c r="F351" s="5">
        <v>1824.24</v>
      </c>
      <c r="I351" s="19">
        <f t="shared" si="23"/>
        <v>1536</v>
      </c>
      <c r="J351" t="b">
        <f t="shared" si="24"/>
        <v>1</v>
      </c>
      <c r="K351" s="4">
        <f t="shared" si="25"/>
        <v>0.18765625000000008</v>
      </c>
      <c r="N351"/>
      <c r="P351" t="s">
        <v>1358</v>
      </c>
      <c r="Q351">
        <v>2820</v>
      </c>
      <c r="R351">
        <v>5352.41</v>
      </c>
    </row>
    <row r="352" spans="1:18" hidden="1">
      <c r="A352" t="s">
        <v>1652</v>
      </c>
      <c r="B352" s="143" t="s">
        <v>22</v>
      </c>
      <c r="C352" s="143" t="s">
        <v>23</v>
      </c>
      <c r="D352" s="28">
        <v>31468</v>
      </c>
      <c r="E352" s="19">
        <f t="shared" si="22"/>
        <v>1048.9333333333334</v>
      </c>
      <c r="F352" s="5">
        <v>33434.769999999997</v>
      </c>
      <c r="I352" s="19">
        <f t="shared" si="23"/>
        <v>62936</v>
      </c>
      <c r="J352" t="b">
        <f t="shared" si="24"/>
        <v>1</v>
      </c>
      <c r="K352" s="4">
        <f t="shared" si="25"/>
        <v>-0.46874968221685531</v>
      </c>
      <c r="N352"/>
      <c r="P352" t="s">
        <v>1203</v>
      </c>
      <c r="Q352">
        <v>4202</v>
      </c>
      <c r="R352">
        <v>3829.56</v>
      </c>
    </row>
    <row r="353" spans="1:18" hidden="1">
      <c r="A353" t="s">
        <v>1651</v>
      </c>
      <c r="B353" s="143" t="s">
        <v>140</v>
      </c>
      <c r="C353" s="143" t="s">
        <v>139</v>
      </c>
      <c r="D353" s="28">
        <v>3035</v>
      </c>
      <c r="E353" s="19">
        <f t="shared" si="22"/>
        <v>101.16666666666667</v>
      </c>
      <c r="F353" s="5">
        <v>3675.22</v>
      </c>
      <c r="I353" s="19">
        <f t="shared" si="23"/>
        <v>6070</v>
      </c>
      <c r="J353" t="b">
        <f t="shared" si="24"/>
        <v>1</v>
      </c>
      <c r="K353" s="4">
        <f t="shared" si="25"/>
        <v>-0.39452718286655686</v>
      </c>
      <c r="N353"/>
      <c r="P353" t="s">
        <v>1354</v>
      </c>
      <c r="Q353">
        <v>1460</v>
      </c>
      <c r="R353">
        <v>3168.75</v>
      </c>
    </row>
    <row r="354" spans="1:18" hidden="1">
      <c r="A354" t="s">
        <v>1649</v>
      </c>
      <c r="B354" s="143" t="s">
        <v>643</v>
      </c>
      <c r="C354" s="143" t="s">
        <v>644</v>
      </c>
      <c r="D354" s="28">
        <v>1087</v>
      </c>
      <c r="E354" s="19">
        <f t="shared" si="22"/>
        <v>36.233333333333334</v>
      </c>
      <c r="F354" s="5">
        <v>2133.29</v>
      </c>
      <c r="I354" s="19">
        <f t="shared" si="23"/>
        <v>2174</v>
      </c>
      <c r="J354" t="b">
        <f t="shared" si="24"/>
        <v>1</v>
      </c>
      <c r="K354" s="4">
        <f t="shared" si="25"/>
        <v>-1.8725850965961355E-2</v>
      </c>
      <c r="N354"/>
      <c r="P354" t="s">
        <v>1308</v>
      </c>
      <c r="Q354">
        <v>871</v>
      </c>
      <c r="R354">
        <v>1459.05</v>
      </c>
    </row>
    <row r="355" spans="1:18" hidden="1">
      <c r="A355" t="s">
        <v>1649</v>
      </c>
      <c r="B355" s="143" t="s">
        <v>110</v>
      </c>
      <c r="C355" s="143" t="s">
        <v>111</v>
      </c>
      <c r="D355" s="28">
        <v>760</v>
      </c>
      <c r="E355" s="19">
        <f t="shared" si="22"/>
        <v>25.333333333333332</v>
      </c>
      <c r="F355" s="5">
        <v>1618.97</v>
      </c>
      <c r="I355" s="19">
        <f t="shared" si="23"/>
        <v>1520</v>
      </c>
      <c r="J355" t="b">
        <f t="shared" si="24"/>
        <v>1</v>
      </c>
      <c r="K355" s="4">
        <f t="shared" si="25"/>
        <v>6.5111842105263218E-2</v>
      </c>
      <c r="P355" t="s">
        <v>1284</v>
      </c>
      <c r="Q355">
        <v>4871</v>
      </c>
      <c r="R355">
        <v>8603.15</v>
      </c>
    </row>
    <row r="356" spans="1:18" hidden="1">
      <c r="A356" t="s">
        <v>1651</v>
      </c>
      <c r="B356" s="143" t="s">
        <v>334</v>
      </c>
      <c r="C356" s="143" t="s">
        <v>335</v>
      </c>
      <c r="D356" s="28">
        <v>141</v>
      </c>
      <c r="E356" s="19">
        <f t="shared" si="22"/>
        <v>4.7</v>
      </c>
      <c r="F356" s="5">
        <v>286.89</v>
      </c>
      <c r="I356" s="19">
        <f t="shared" si="23"/>
        <v>282</v>
      </c>
      <c r="J356" t="b">
        <f t="shared" si="24"/>
        <v>1</v>
      </c>
      <c r="K356" s="4">
        <f t="shared" si="25"/>
        <v>1.7340425531914949E-2</v>
      </c>
      <c r="N356"/>
      <c r="P356" t="s">
        <v>1145</v>
      </c>
      <c r="Q356">
        <v>10863</v>
      </c>
      <c r="R356">
        <v>10572.08</v>
      </c>
    </row>
    <row r="357" spans="1:18">
      <c r="A357" t="s">
        <v>1649</v>
      </c>
      <c r="B357" s="143" t="s">
        <v>268</v>
      </c>
      <c r="C357" s="143" t="s">
        <v>269</v>
      </c>
      <c r="D357" s="28">
        <v>240</v>
      </c>
      <c r="E357" s="19">
        <f t="shared" si="22"/>
        <v>8</v>
      </c>
      <c r="F357" s="5">
        <v>720.62</v>
      </c>
      <c r="I357" s="19">
        <f t="shared" si="23"/>
        <v>480</v>
      </c>
      <c r="J357" t="b">
        <f t="shared" si="24"/>
        <v>0</v>
      </c>
      <c r="K357" s="4">
        <f t="shared" si="25"/>
        <v>0.50129166666666669</v>
      </c>
      <c r="L357" t="s">
        <v>17</v>
      </c>
      <c r="M357" t="s">
        <v>1675</v>
      </c>
      <c r="N357"/>
      <c r="P357" t="s">
        <v>1373</v>
      </c>
      <c r="Q357">
        <v>2105</v>
      </c>
      <c r="R357">
        <v>5222.25</v>
      </c>
    </row>
    <row r="358" spans="1:18" hidden="1">
      <c r="A358" t="s">
        <v>1649</v>
      </c>
      <c r="B358" s="143" t="s">
        <v>157</v>
      </c>
      <c r="C358" s="143" t="s">
        <v>158</v>
      </c>
      <c r="D358" s="28">
        <v>537</v>
      </c>
      <c r="E358" s="19">
        <f t="shared" si="22"/>
        <v>17.899999999999999</v>
      </c>
      <c r="F358" s="5">
        <v>1246.33</v>
      </c>
      <c r="I358" s="19">
        <f t="shared" si="23"/>
        <v>1074</v>
      </c>
      <c r="J358" t="b">
        <f t="shared" si="24"/>
        <v>1</v>
      </c>
      <c r="K358" s="4">
        <f t="shared" si="25"/>
        <v>0.16045623836126621</v>
      </c>
      <c r="P358" t="s">
        <v>1219</v>
      </c>
      <c r="Q358">
        <v>1161</v>
      </c>
      <c r="R358">
        <v>1374.2</v>
      </c>
    </row>
    <row r="359" spans="1:18" hidden="1">
      <c r="A359" t="s">
        <v>1652</v>
      </c>
      <c r="B359" s="143" t="s">
        <v>211</v>
      </c>
      <c r="C359" s="143" t="s">
        <v>212</v>
      </c>
      <c r="D359" s="28">
        <v>373</v>
      </c>
      <c r="E359" s="19">
        <f t="shared" si="22"/>
        <v>12.433333333333334</v>
      </c>
      <c r="F359" s="5">
        <v>624.28</v>
      </c>
      <c r="I359" s="19">
        <f t="shared" si="23"/>
        <v>746</v>
      </c>
      <c r="J359" t="b">
        <f t="shared" si="24"/>
        <v>1</v>
      </c>
      <c r="K359" s="4">
        <f t="shared" si="25"/>
        <v>-0.16316353887399471</v>
      </c>
      <c r="N359"/>
      <c r="P359" t="s">
        <v>1199</v>
      </c>
      <c r="Q359">
        <v>2704</v>
      </c>
      <c r="R359">
        <v>3791.04</v>
      </c>
    </row>
    <row r="360" spans="1:18" hidden="1">
      <c r="A360" t="s">
        <v>1652</v>
      </c>
      <c r="B360" s="143" t="s">
        <v>298</v>
      </c>
      <c r="C360" s="143" t="s">
        <v>299</v>
      </c>
      <c r="D360" s="28">
        <v>197</v>
      </c>
      <c r="E360" s="19">
        <f t="shared" si="22"/>
        <v>6.5666666666666664</v>
      </c>
      <c r="F360" s="5">
        <v>417.69</v>
      </c>
      <c r="I360" s="19">
        <f t="shared" si="23"/>
        <v>394</v>
      </c>
      <c r="J360" t="b">
        <f t="shared" si="24"/>
        <v>1</v>
      </c>
      <c r="K360" s="4">
        <f t="shared" si="25"/>
        <v>6.0126903553299416E-2</v>
      </c>
      <c r="N360"/>
      <c r="P360" t="s">
        <v>1334</v>
      </c>
      <c r="Q360">
        <v>1464</v>
      </c>
      <c r="R360">
        <v>1310.06</v>
      </c>
    </row>
    <row r="361" spans="1:18" ht="16.5" customHeight="1">
      <c r="A361" t="s">
        <v>1649</v>
      </c>
      <c r="B361" s="143" t="s">
        <v>260</v>
      </c>
      <c r="C361" s="143" t="s">
        <v>261</v>
      </c>
      <c r="D361" s="28">
        <v>256</v>
      </c>
      <c r="E361" s="19">
        <f t="shared" si="22"/>
        <v>8.5333333333333332</v>
      </c>
      <c r="F361" s="5">
        <v>1008.67</v>
      </c>
      <c r="I361" s="19">
        <f t="shared" si="23"/>
        <v>512</v>
      </c>
      <c r="J361" t="b">
        <f t="shared" si="24"/>
        <v>0</v>
      </c>
      <c r="K361" s="4">
        <f t="shared" si="25"/>
        <v>0.97005859374999992</v>
      </c>
      <c r="L361" t="s">
        <v>17</v>
      </c>
      <c r="M361" t="s">
        <v>1676</v>
      </c>
      <c r="N361"/>
      <c r="P361" t="s">
        <v>1186</v>
      </c>
      <c r="Q361">
        <v>432</v>
      </c>
      <c r="R361">
        <v>657.51</v>
      </c>
    </row>
    <row r="362" spans="1:18">
      <c r="A362" t="s">
        <v>1651</v>
      </c>
      <c r="B362" s="143" t="s">
        <v>288</v>
      </c>
      <c r="C362" s="143" t="s">
        <v>289</v>
      </c>
      <c r="D362" s="28">
        <v>204</v>
      </c>
      <c r="E362" s="19">
        <f t="shared" si="22"/>
        <v>6.8</v>
      </c>
      <c r="F362" s="5">
        <v>537.75</v>
      </c>
      <c r="I362" s="19">
        <f t="shared" si="23"/>
        <v>408</v>
      </c>
      <c r="J362" t="b">
        <f t="shared" si="24"/>
        <v>0</v>
      </c>
      <c r="K362" s="4">
        <f t="shared" si="25"/>
        <v>0.31801470588235303</v>
      </c>
      <c r="L362" t="s">
        <v>17</v>
      </c>
      <c r="M362" t="s">
        <v>1676</v>
      </c>
      <c r="P362" t="s">
        <v>1366</v>
      </c>
      <c r="Q362">
        <v>1424</v>
      </c>
      <c r="R362">
        <v>3264.21</v>
      </c>
    </row>
    <row r="363" spans="1:18" hidden="1">
      <c r="B363" s="143" t="s">
        <v>136</v>
      </c>
      <c r="C363" s="143" t="s">
        <v>137</v>
      </c>
      <c r="D363" s="28">
        <v>660</v>
      </c>
      <c r="E363" s="19">
        <f t="shared" si="22"/>
        <v>22</v>
      </c>
      <c r="F363" s="5">
        <v>620.62</v>
      </c>
      <c r="I363" s="19">
        <f t="shared" si="23"/>
        <v>1320</v>
      </c>
      <c r="J363" t="b">
        <f t="shared" ref="J363:J426" si="26">IF(F363&gt;1.2*I363,FALSE,TRUE)</f>
        <v>1</v>
      </c>
      <c r="K363" s="4">
        <f t="shared" ref="K363:K426" si="27">F363/I363-1</f>
        <v>-0.52983333333333338</v>
      </c>
      <c r="P363" t="s">
        <v>1297</v>
      </c>
      <c r="Q363">
        <v>1014</v>
      </c>
      <c r="R363">
        <v>1354.39</v>
      </c>
    </row>
    <row r="364" spans="1:18" hidden="1">
      <c r="B364" s="143" t="s">
        <v>444</v>
      </c>
      <c r="C364" s="143" t="s">
        <v>445</v>
      </c>
      <c r="D364" s="28">
        <v>0</v>
      </c>
      <c r="E364" s="19">
        <f t="shared" si="22"/>
        <v>0</v>
      </c>
      <c r="F364" s="5">
        <v>0</v>
      </c>
      <c r="I364" s="19">
        <f t="shared" si="23"/>
        <v>0</v>
      </c>
      <c r="J364" t="b">
        <f t="shared" si="26"/>
        <v>1</v>
      </c>
      <c r="K364" s="4" t="e">
        <f t="shared" si="27"/>
        <v>#DIV/0!</v>
      </c>
      <c r="P364" t="s">
        <v>1352</v>
      </c>
      <c r="Q364">
        <v>1525</v>
      </c>
      <c r="R364">
        <v>2359.86</v>
      </c>
    </row>
    <row r="365" spans="1:18" hidden="1">
      <c r="B365" s="143" t="s">
        <v>73</v>
      </c>
      <c r="C365" s="143" t="s">
        <v>74</v>
      </c>
      <c r="D365" s="28">
        <v>994</v>
      </c>
      <c r="E365" s="19">
        <f t="shared" si="22"/>
        <v>33.133333333333333</v>
      </c>
      <c r="F365" s="5">
        <v>2358.4699999999998</v>
      </c>
      <c r="I365" s="19">
        <f t="shared" si="23"/>
        <v>1988</v>
      </c>
      <c r="J365" t="b">
        <f t="shared" si="26"/>
        <v>1</v>
      </c>
      <c r="K365" s="4">
        <f t="shared" si="27"/>
        <v>0.18635311871227356</v>
      </c>
      <c r="P365" t="s">
        <v>1310</v>
      </c>
      <c r="Q365">
        <v>816</v>
      </c>
      <c r="R365">
        <v>2073.8200000000002</v>
      </c>
    </row>
    <row r="366" spans="1:18">
      <c r="A366" t="s">
        <v>1649</v>
      </c>
      <c r="B366" s="143" t="s">
        <v>350</v>
      </c>
      <c r="C366" s="143" t="s">
        <v>351</v>
      </c>
      <c r="D366" s="28">
        <v>100</v>
      </c>
      <c r="E366" s="19">
        <f t="shared" si="22"/>
        <v>3.3333333333333335</v>
      </c>
      <c r="F366" s="5">
        <v>265.12</v>
      </c>
      <c r="I366" s="19">
        <f t="shared" si="23"/>
        <v>200</v>
      </c>
      <c r="J366" t="b">
        <f t="shared" si="26"/>
        <v>0</v>
      </c>
      <c r="K366" s="4">
        <f t="shared" si="27"/>
        <v>0.32560000000000011</v>
      </c>
      <c r="L366" t="s">
        <v>17</v>
      </c>
      <c r="M366" s="143" t="s">
        <v>1677</v>
      </c>
      <c r="P366" t="s">
        <v>1342</v>
      </c>
      <c r="Q366">
        <v>1682</v>
      </c>
      <c r="R366">
        <v>580.09</v>
      </c>
    </row>
    <row r="367" spans="1:18">
      <c r="A367" t="s">
        <v>1649</v>
      </c>
      <c r="B367" s="143" t="s">
        <v>155</v>
      </c>
      <c r="C367" s="143" t="s">
        <v>156</v>
      </c>
      <c r="D367" s="28">
        <v>546</v>
      </c>
      <c r="E367" s="19">
        <f t="shared" si="22"/>
        <v>18.2</v>
      </c>
      <c r="F367" s="5">
        <v>1384.24</v>
      </c>
      <c r="I367" s="19">
        <f t="shared" si="23"/>
        <v>1092</v>
      </c>
      <c r="J367" t="b">
        <f t="shared" si="26"/>
        <v>0</v>
      </c>
      <c r="K367" s="4">
        <f t="shared" si="27"/>
        <v>0.26761904761904765</v>
      </c>
      <c r="L367" t="s">
        <v>17</v>
      </c>
      <c r="M367" t="s">
        <v>1678</v>
      </c>
      <c r="P367" t="s">
        <v>1217</v>
      </c>
      <c r="Q367">
        <v>261</v>
      </c>
      <c r="R367">
        <v>1405.71</v>
      </c>
    </row>
    <row r="368" spans="1:18" hidden="1">
      <c r="B368" s="143" t="s">
        <v>106</v>
      </c>
      <c r="C368" s="143" t="s">
        <v>107</v>
      </c>
      <c r="D368" s="28">
        <v>731</v>
      </c>
      <c r="E368" s="19">
        <f t="shared" si="22"/>
        <v>24.366666666666667</v>
      </c>
      <c r="F368" s="5">
        <v>1419.62</v>
      </c>
      <c r="I368" s="19">
        <f t="shared" si="23"/>
        <v>1462</v>
      </c>
      <c r="J368" t="b">
        <f t="shared" si="26"/>
        <v>1</v>
      </c>
      <c r="K368" s="4">
        <f t="shared" si="27"/>
        <v>-2.8987688098495279E-2</v>
      </c>
      <c r="P368" t="s">
        <v>1241</v>
      </c>
      <c r="Q368">
        <v>1366</v>
      </c>
      <c r="R368">
        <v>3088.32</v>
      </c>
    </row>
    <row r="369" spans="2:18" hidden="1">
      <c r="B369" t="s">
        <v>807</v>
      </c>
      <c r="C369" t="s">
        <v>808</v>
      </c>
      <c r="D369" s="19">
        <v>8594</v>
      </c>
      <c r="E369" s="19">
        <f t="shared" si="22"/>
        <v>286.46666666666664</v>
      </c>
      <c r="F369" s="5">
        <v>8479.31</v>
      </c>
      <c r="I369" s="19">
        <f t="shared" si="23"/>
        <v>17188</v>
      </c>
      <c r="J369" t="b">
        <f t="shared" si="26"/>
        <v>1</v>
      </c>
      <c r="K369" s="4">
        <f t="shared" si="27"/>
        <v>-0.50667267861298582</v>
      </c>
      <c r="P369" t="s">
        <v>1326</v>
      </c>
      <c r="Q369">
        <v>1601</v>
      </c>
      <c r="R369">
        <v>3000.95</v>
      </c>
    </row>
    <row r="370" spans="2:18" hidden="1">
      <c r="B370" t="s">
        <v>815</v>
      </c>
      <c r="C370" t="s">
        <v>816</v>
      </c>
      <c r="D370" s="19">
        <v>62048</v>
      </c>
      <c r="E370" s="19">
        <f t="shared" si="22"/>
        <v>2068.2666666666669</v>
      </c>
      <c r="F370" s="5">
        <v>59832.72</v>
      </c>
      <c r="I370" s="19">
        <f t="shared" si="23"/>
        <v>124096</v>
      </c>
      <c r="J370" t="b">
        <f t="shared" si="26"/>
        <v>1</v>
      </c>
      <c r="K370" s="4">
        <f t="shared" si="27"/>
        <v>-0.51785134089736973</v>
      </c>
      <c r="P370" t="s">
        <v>1183</v>
      </c>
      <c r="Q370">
        <v>7185</v>
      </c>
      <c r="R370">
        <v>9078.4500000000007</v>
      </c>
    </row>
    <row r="371" spans="2:18" hidden="1">
      <c r="B371" s="142" t="s">
        <v>893</v>
      </c>
      <c r="C371" s="37" t="s">
        <v>894</v>
      </c>
      <c r="D371">
        <v>1180</v>
      </c>
      <c r="E371" s="19">
        <f t="shared" si="22"/>
        <v>39.333333333333336</v>
      </c>
      <c r="F371" s="5">
        <v>532.66</v>
      </c>
      <c r="I371" s="19">
        <f t="shared" si="23"/>
        <v>2360</v>
      </c>
      <c r="J371" t="b">
        <f t="shared" si="26"/>
        <v>1</v>
      </c>
      <c r="K371" s="4">
        <f t="shared" si="27"/>
        <v>-0.77429661016949147</v>
      </c>
      <c r="P371" t="s">
        <v>1295</v>
      </c>
      <c r="Q371">
        <v>1016</v>
      </c>
      <c r="R371">
        <v>2364.4699999999998</v>
      </c>
    </row>
    <row r="372" spans="2:18" hidden="1">
      <c r="B372" t="s">
        <v>947</v>
      </c>
      <c r="C372" t="s">
        <v>948</v>
      </c>
      <c r="D372" s="19">
        <v>731</v>
      </c>
      <c r="E372" s="19">
        <f t="shared" si="22"/>
        <v>24.366666666666667</v>
      </c>
      <c r="F372" s="5">
        <v>447.89000000000004</v>
      </c>
      <c r="I372" s="19">
        <f t="shared" si="23"/>
        <v>1462</v>
      </c>
      <c r="J372" t="b">
        <f t="shared" si="26"/>
        <v>1</v>
      </c>
      <c r="K372" s="4">
        <f t="shared" si="27"/>
        <v>-0.69364569083447325</v>
      </c>
      <c r="P372" t="s">
        <v>1208</v>
      </c>
      <c r="Q372">
        <v>1074</v>
      </c>
      <c r="R372">
        <v>1191.3399999999999</v>
      </c>
    </row>
    <row r="373" spans="2:18" hidden="1">
      <c r="B373" t="s">
        <v>1121</v>
      </c>
      <c r="C373" t="s">
        <v>1122</v>
      </c>
      <c r="D373" s="19">
        <v>44</v>
      </c>
      <c r="E373" s="19">
        <f t="shared" si="22"/>
        <v>1.4666666666666666</v>
      </c>
      <c r="F373" s="5">
        <v>0</v>
      </c>
      <c r="I373" s="19">
        <f t="shared" si="23"/>
        <v>88</v>
      </c>
      <c r="J373" t="b">
        <f t="shared" si="26"/>
        <v>1</v>
      </c>
      <c r="K373" s="4">
        <f t="shared" si="27"/>
        <v>-1</v>
      </c>
      <c r="Q373">
        <v>0</v>
      </c>
      <c r="R373">
        <v>0</v>
      </c>
    </row>
    <row r="374" spans="2:18" hidden="1">
      <c r="B374" t="s">
        <v>829</v>
      </c>
      <c r="C374" t="s">
        <v>830</v>
      </c>
      <c r="D374" s="19">
        <v>1923</v>
      </c>
      <c r="E374" s="19">
        <f t="shared" si="22"/>
        <v>64.099999999999994</v>
      </c>
      <c r="F374" s="5">
        <v>1131.58</v>
      </c>
      <c r="I374" s="19">
        <f t="shared" si="23"/>
        <v>3846</v>
      </c>
      <c r="J374" t="b">
        <f t="shared" si="26"/>
        <v>1</v>
      </c>
      <c r="K374" s="4">
        <f t="shared" si="27"/>
        <v>-0.70577743109724389</v>
      </c>
      <c r="P374" t="s">
        <v>1312</v>
      </c>
      <c r="Q374">
        <v>539</v>
      </c>
      <c r="R374">
        <v>1057.49</v>
      </c>
    </row>
    <row r="375" spans="2:18" hidden="1">
      <c r="B375" t="s">
        <v>1137</v>
      </c>
      <c r="C375" t="s">
        <v>1138</v>
      </c>
      <c r="D375" s="19">
        <v>7315</v>
      </c>
      <c r="E375" s="19">
        <f t="shared" si="22"/>
        <v>243.83333333333334</v>
      </c>
      <c r="F375" s="131">
        <v>3111.56</v>
      </c>
      <c r="I375" s="19">
        <f t="shared" si="23"/>
        <v>14630</v>
      </c>
      <c r="J375" t="b">
        <f t="shared" si="26"/>
        <v>1</v>
      </c>
      <c r="K375" s="4">
        <f t="shared" si="27"/>
        <v>-0.78731647300068353</v>
      </c>
      <c r="P375" t="s">
        <v>1235</v>
      </c>
      <c r="Q375">
        <v>1075</v>
      </c>
      <c r="R375">
        <v>1761.57</v>
      </c>
    </row>
    <row r="376" spans="2:18" hidden="1">
      <c r="B376" t="s">
        <v>949</v>
      </c>
      <c r="C376" t="s">
        <v>950</v>
      </c>
      <c r="D376" s="19">
        <v>2953</v>
      </c>
      <c r="E376" s="19">
        <f t="shared" si="22"/>
        <v>98.433333333333337</v>
      </c>
      <c r="F376" s="5">
        <v>1953.44</v>
      </c>
      <c r="I376" s="19">
        <f t="shared" si="23"/>
        <v>5906</v>
      </c>
      <c r="J376" t="b">
        <f t="shared" si="26"/>
        <v>1</v>
      </c>
      <c r="K376" s="4">
        <f t="shared" si="27"/>
        <v>-0.66924483576024385</v>
      </c>
      <c r="P376" t="s">
        <v>1324</v>
      </c>
      <c r="Q376">
        <v>1470</v>
      </c>
      <c r="R376">
        <v>2032.1</v>
      </c>
    </row>
    <row r="377" spans="2:18" hidden="1">
      <c r="B377" s="142" t="s">
        <v>887</v>
      </c>
      <c r="C377" s="37" t="s">
        <v>888</v>
      </c>
      <c r="D377">
        <v>1136</v>
      </c>
      <c r="E377" s="19">
        <f t="shared" si="22"/>
        <v>37.866666666666667</v>
      </c>
      <c r="F377" s="5">
        <v>1623.76</v>
      </c>
      <c r="I377" s="19">
        <f t="shared" si="23"/>
        <v>2272</v>
      </c>
      <c r="J377" t="b">
        <f t="shared" si="26"/>
        <v>1</v>
      </c>
      <c r="K377" s="4">
        <f t="shared" si="27"/>
        <v>-0.28531690140845067</v>
      </c>
      <c r="P377" t="s">
        <v>1338</v>
      </c>
      <c r="Q377">
        <v>1676</v>
      </c>
      <c r="R377">
        <v>2748.23</v>
      </c>
    </row>
    <row r="378" spans="2:18" hidden="1">
      <c r="B378" t="s">
        <v>833</v>
      </c>
      <c r="C378" t="s">
        <v>834</v>
      </c>
      <c r="D378" s="19">
        <v>1082</v>
      </c>
      <c r="E378" s="19">
        <f t="shared" si="22"/>
        <v>36.06666666666667</v>
      </c>
      <c r="F378" s="5">
        <v>1556.34</v>
      </c>
      <c r="I378" s="19">
        <f t="shared" si="23"/>
        <v>2164</v>
      </c>
      <c r="J378" t="b">
        <f t="shared" si="26"/>
        <v>1</v>
      </c>
      <c r="K378" s="4">
        <f t="shared" si="27"/>
        <v>-0.28080406654343815</v>
      </c>
      <c r="P378" t="s">
        <v>1254</v>
      </c>
      <c r="Q378">
        <v>556</v>
      </c>
      <c r="R378">
        <v>399.59</v>
      </c>
    </row>
    <row r="379" spans="2:18" hidden="1">
      <c r="B379" s="27" t="s">
        <v>945</v>
      </c>
      <c r="C379" s="27" t="s">
        <v>946</v>
      </c>
      <c r="D379" s="19">
        <v>1004</v>
      </c>
      <c r="E379" s="19">
        <f t="shared" si="22"/>
        <v>33.466666666666669</v>
      </c>
      <c r="F379" s="5">
        <v>451.56</v>
      </c>
      <c r="I379" s="19">
        <f t="shared" si="23"/>
        <v>2008</v>
      </c>
      <c r="J379" t="b">
        <f t="shared" si="26"/>
        <v>1</v>
      </c>
      <c r="K379" s="4">
        <f t="shared" si="27"/>
        <v>-0.77511952191235056</v>
      </c>
      <c r="P379" t="s">
        <v>1172</v>
      </c>
      <c r="Q379">
        <v>1179</v>
      </c>
      <c r="R379">
        <v>2708.58</v>
      </c>
    </row>
    <row r="380" spans="2:18" hidden="1">
      <c r="B380" t="s">
        <v>939</v>
      </c>
      <c r="C380" t="s">
        <v>940</v>
      </c>
      <c r="D380" s="19">
        <v>881</v>
      </c>
      <c r="E380" s="19">
        <f t="shared" si="22"/>
        <v>29.366666666666667</v>
      </c>
      <c r="F380" s="5">
        <v>475.34</v>
      </c>
      <c r="I380" s="19">
        <f t="shared" si="23"/>
        <v>1762</v>
      </c>
      <c r="J380" t="b">
        <f t="shared" si="26"/>
        <v>1</v>
      </c>
      <c r="K380" s="4">
        <f t="shared" si="27"/>
        <v>-0.73022701475595908</v>
      </c>
      <c r="P380" t="s">
        <v>1388</v>
      </c>
      <c r="Q380">
        <v>1553</v>
      </c>
      <c r="R380">
        <v>1075</v>
      </c>
    </row>
    <row r="381" spans="2:18" hidden="1">
      <c r="B381" s="130" t="s">
        <v>1108</v>
      </c>
      <c r="C381" s="37" t="s">
        <v>1109</v>
      </c>
      <c r="D381">
        <v>2</v>
      </c>
      <c r="E381" s="19">
        <f t="shared" si="22"/>
        <v>6.6666666666666666E-2</v>
      </c>
      <c r="F381" s="5">
        <v>0</v>
      </c>
      <c r="I381" s="19">
        <f t="shared" si="23"/>
        <v>4</v>
      </c>
      <c r="J381" t="b">
        <f t="shared" si="26"/>
        <v>1</v>
      </c>
      <c r="K381" s="4">
        <f t="shared" si="27"/>
        <v>-1</v>
      </c>
      <c r="P381" t="s">
        <v>1304</v>
      </c>
      <c r="Q381">
        <v>1400</v>
      </c>
      <c r="R381">
        <v>1440.96</v>
      </c>
    </row>
    <row r="382" spans="2:18" hidden="1">
      <c r="B382" t="s">
        <v>1029</v>
      </c>
      <c r="C382" t="s">
        <v>1030</v>
      </c>
      <c r="D382" s="19">
        <v>944</v>
      </c>
      <c r="E382" s="19">
        <f t="shared" si="22"/>
        <v>31.466666666666665</v>
      </c>
      <c r="F382" s="5">
        <v>610.38</v>
      </c>
      <c r="I382" s="19">
        <f t="shared" si="23"/>
        <v>1888</v>
      </c>
      <c r="J382" t="b">
        <f t="shared" si="26"/>
        <v>1</v>
      </c>
      <c r="K382" s="4">
        <f t="shared" si="27"/>
        <v>-0.67670550847457633</v>
      </c>
      <c r="P382" t="s">
        <v>1269</v>
      </c>
      <c r="Q382">
        <v>1462</v>
      </c>
      <c r="R382">
        <v>1070.9000000000001</v>
      </c>
    </row>
    <row r="383" spans="2:18" hidden="1">
      <c r="B383" s="27" t="s">
        <v>943</v>
      </c>
      <c r="C383" s="37" t="s">
        <v>944</v>
      </c>
      <c r="D383" s="19">
        <v>868</v>
      </c>
      <c r="E383" s="19">
        <f t="shared" si="22"/>
        <v>28.933333333333334</v>
      </c>
      <c r="F383" s="5">
        <v>817.68</v>
      </c>
      <c r="I383" s="19">
        <f t="shared" si="23"/>
        <v>1736</v>
      </c>
      <c r="J383" t="b">
        <f t="shared" si="26"/>
        <v>1</v>
      </c>
      <c r="K383" s="4">
        <f t="shared" si="27"/>
        <v>-0.5289861751152074</v>
      </c>
      <c r="P383" t="s">
        <v>1364</v>
      </c>
      <c r="Q383">
        <v>7031</v>
      </c>
      <c r="R383">
        <v>6062.04</v>
      </c>
    </row>
    <row r="384" spans="2:18" hidden="1">
      <c r="B384" t="s">
        <v>1054</v>
      </c>
      <c r="C384" t="s">
        <v>1055</v>
      </c>
      <c r="D384" s="19">
        <v>590</v>
      </c>
      <c r="E384" s="19">
        <f t="shared" si="22"/>
        <v>19.666666666666668</v>
      </c>
      <c r="F384" s="5">
        <v>142.74</v>
      </c>
      <c r="I384" s="19">
        <f t="shared" si="23"/>
        <v>1180</v>
      </c>
      <c r="J384" t="b">
        <f t="shared" si="26"/>
        <v>1</v>
      </c>
      <c r="K384" s="4">
        <f t="shared" si="27"/>
        <v>-0.87903389830508472</v>
      </c>
      <c r="P384" t="s">
        <v>1386</v>
      </c>
      <c r="Q384">
        <v>1743</v>
      </c>
      <c r="R384">
        <v>2986.39</v>
      </c>
    </row>
    <row r="385" spans="2:18" hidden="1">
      <c r="B385" t="s">
        <v>847</v>
      </c>
      <c r="C385" t="s">
        <v>848</v>
      </c>
      <c r="D385" s="19">
        <v>2766</v>
      </c>
      <c r="E385" s="19">
        <f t="shared" si="22"/>
        <v>92.2</v>
      </c>
      <c r="F385" s="5">
        <v>2398.94</v>
      </c>
      <c r="I385" s="19">
        <f t="shared" si="23"/>
        <v>5532</v>
      </c>
      <c r="J385" t="b">
        <f t="shared" si="26"/>
        <v>1</v>
      </c>
      <c r="K385" s="4">
        <f t="shared" si="27"/>
        <v>-0.56635213304410703</v>
      </c>
      <c r="P385" t="s">
        <v>1193</v>
      </c>
      <c r="Q385">
        <v>1235</v>
      </c>
      <c r="R385">
        <v>2031.46</v>
      </c>
    </row>
    <row r="386" spans="2:18" hidden="1">
      <c r="B386" t="s">
        <v>876</v>
      </c>
      <c r="C386" t="s">
        <v>877</v>
      </c>
      <c r="D386" s="19">
        <v>1122</v>
      </c>
      <c r="E386" s="19">
        <f t="shared" si="22"/>
        <v>37.4</v>
      </c>
      <c r="F386" s="5">
        <v>0</v>
      </c>
      <c r="I386" s="19">
        <f t="shared" si="23"/>
        <v>2244</v>
      </c>
      <c r="J386" t="b">
        <f t="shared" si="26"/>
        <v>1</v>
      </c>
      <c r="K386" s="4">
        <f t="shared" si="27"/>
        <v>-1</v>
      </c>
      <c r="P386" t="s">
        <v>1574</v>
      </c>
      <c r="Q386">
        <v>1</v>
      </c>
      <c r="R386">
        <v>0</v>
      </c>
    </row>
    <row r="387" spans="2:18" hidden="1">
      <c r="B387" t="s">
        <v>1082</v>
      </c>
      <c r="C387" t="s">
        <v>1083</v>
      </c>
      <c r="D387" s="19">
        <v>2153</v>
      </c>
      <c r="E387" s="19">
        <f t="shared" ref="E387:E450" si="28">D387/30</f>
        <v>71.766666666666666</v>
      </c>
      <c r="F387" s="5">
        <v>2453</v>
      </c>
      <c r="I387" s="19">
        <f t="shared" ref="I387:I450" si="29">IF((D387/30)&gt;100,D387*2,D387*2)</f>
        <v>4306</v>
      </c>
      <c r="J387" t="b">
        <f t="shared" si="26"/>
        <v>1</v>
      </c>
      <c r="K387" s="4">
        <f t="shared" si="27"/>
        <v>-0.43032977241058989</v>
      </c>
      <c r="P387" t="s">
        <v>1371</v>
      </c>
      <c r="Q387">
        <v>1060</v>
      </c>
      <c r="R387">
        <v>1987.32</v>
      </c>
    </row>
    <row r="388" spans="2:18" hidden="1">
      <c r="B388" t="s">
        <v>813</v>
      </c>
      <c r="C388" t="s">
        <v>814</v>
      </c>
      <c r="D388" s="19">
        <v>1953</v>
      </c>
      <c r="E388" s="19">
        <f t="shared" si="28"/>
        <v>65.099999999999994</v>
      </c>
      <c r="F388" s="5">
        <v>2302.62</v>
      </c>
      <c r="I388" s="19">
        <f t="shared" si="29"/>
        <v>3906</v>
      </c>
      <c r="J388" t="b">
        <f t="shared" si="26"/>
        <v>1</v>
      </c>
      <c r="K388" s="4">
        <f t="shared" si="27"/>
        <v>-0.41049155145929339</v>
      </c>
      <c r="P388" t="s">
        <v>1348</v>
      </c>
      <c r="Q388">
        <v>810</v>
      </c>
      <c r="R388">
        <v>987.64</v>
      </c>
    </row>
    <row r="389" spans="2:18" hidden="1">
      <c r="B389" t="s">
        <v>1023</v>
      </c>
      <c r="C389" t="s">
        <v>1024</v>
      </c>
      <c r="D389" s="19">
        <v>1087</v>
      </c>
      <c r="E389" s="19">
        <f t="shared" si="28"/>
        <v>36.233333333333334</v>
      </c>
      <c r="F389" s="5">
        <v>1407.08</v>
      </c>
      <c r="I389" s="19">
        <f t="shared" si="29"/>
        <v>2174</v>
      </c>
      <c r="J389" t="b">
        <f t="shared" si="26"/>
        <v>1</v>
      </c>
      <c r="K389" s="4">
        <f t="shared" si="27"/>
        <v>-0.35276908923643058</v>
      </c>
      <c r="P389" t="s">
        <v>1368</v>
      </c>
      <c r="Q389">
        <v>1161</v>
      </c>
      <c r="R389">
        <v>2264.92</v>
      </c>
    </row>
    <row r="390" spans="2:18" hidden="1">
      <c r="B390" s="27" t="s">
        <v>1076</v>
      </c>
      <c r="C390" s="27" t="s">
        <v>1077</v>
      </c>
      <c r="D390" s="19">
        <v>802</v>
      </c>
      <c r="E390" s="19">
        <f t="shared" si="28"/>
        <v>26.733333333333334</v>
      </c>
      <c r="F390" s="131">
        <v>451.8</v>
      </c>
      <c r="I390" s="19">
        <f t="shared" si="29"/>
        <v>1604</v>
      </c>
      <c r="J390" t="b">
        <f t="shared" si="26"/>
        <v>1</v>
      </c>
      <c r="K390" s="4">
        <f t="shared" si="27"/>
        <v>-0.71832917705735655</v>
      </c>
      <c r="P390" t="s">
        <v>1154</v>
      </c>
      <c r="Q390">
        <v>1609</v>
      </c>
      <c r="R390">
        <v>1661.07</v>
      </c>
    </row>
    <row r="391" spans="2:18" hidden="1">
      <c r="B391" t="s">
        <v>881</v>
      </c>
      <c r="C391" t="s">
        <v>882</v>
      </c>
      <c r="D391" s="19">
        <v>2523</v>
      </c>
      <c r="E391" s="19">
        <f t="shared" si="28"/>
        <v>84.1</v>
      </c>
      <c r="F391" s="5">
        <v>1948.87</v>
      </c>
      <c r="I391" s="19">
        <f t="shared" si="29"/>
        <v>5046</v>
      </c>
      <c r="J391" t="b">
        <f t="shared" si="26"/>
        <v>1</v>
      </c>
      <c r="K391" s="4">
        <f t="shared" si="27"/>
        <v>-0.61377923107411814</v>
      </c>
      <c r="P391" t="s">
        <v>1390</v>
      </c>
      <c r="Q391">
        <v>1107</v>
      </c>
      <c r="R391">
        <v>1110.52</v>
      </c>
    </row>
    <row r="392" spans="2:18" hidden="1">
      <c r="B392" t="s">
        <v>1070</v>
      </c>
      <c r="C392" t="s">
        <v>1071</v>
      </c>
      <c r="D392" s="19">
        <v>157</v>
      </c>
      <c r="E392" s="19">
        <f t="shared" si="28"/>
        <v>5.2333333333333334</v>
      </c>
      <c r="F392" s="5">
        <v>33.69</v>
      </c>
      <c r="I392" s="19">
        <f t="shared" si="29"/>
        <v>314</v>
      </c>
      <c r="J392" t="b">
        <f t="shared" si="26"/>
        <v>1</v>
      </c>
      <c r="K392" s="4">
        <f t="shared" si="27"/>
        <v>-0.89270700636942679</v>
      </c>
      <c r="P392" t="s">
        <v>1263</v>
      </c>
      <c r="Q392">
        <v>550</v>
      </c>
      <c r="R392">
        <v>515.15</v>
      </c>
    </row>
    <row r="393" spans="2:18" hidden="1">
      <c r="B393" t="s">
        <v>1128</v>
      </c>
      <c r="C393" t="s">
        <v>1129</v>
      </c>
      <c r="D393" s="19">
        <v>14</v>
      </c>
      <c r="E393" s="19">
        <f t="shared" si="28"/>
        <v>0.46666666666666667</v>
      </c>
      <c r="F393" s="5">
        <v>0</v>
      </c>
      <c r="I393" s="19">
        <f t="shared" si="29"/>
        <v>28</v>
      </c>
      <c r="J393" t="b">
        <f t="shared" si="26"/>
        <v>1</v>
      </c>
      <c r="K393" s="4">
        <f t="shared" si="27"/>
        <v>-1</v>
      </c>
      <c r="P393" t="s">
        <v>1346</v>
      </c>
      <c r="Q393">
        <v>925</v>
      </c>
      <c r="R393">
        <v>1261.25</v>
      </c>
    </row>
    <row r="394" spans="2:18" hidden="1">
      <c r="B394" t="s">
        <v>1021</v>
      </c>
      <c r="C394" t="s">
        <v>1022</v>
      </c>
      <c r="D394" s="19">
        <v>398</v>
      </c>
      <c r="E394" s="19">
        <f t="shared" si="28"/>
        <v>13.266666666666667</v>
      </c>
      <c r="F394" s="5">
        <v>0</v>
      </c>
      <c r="I394" s="19">
        <f t="shared" si="29"/>
        <v>796</v>
      </c>
      <c r="J394" t="b">
        <f t="shared" si="26"/>
        <v>1</v>
      </c>
      <c r="K394" s="4">
        <f t="shared" si="27"/>
        <v>-1</v>
      </c>
      <c r="P394" t="s">
        <v>1375</v>
      </c>
      <c r="Q394">
        <v>1375</v>
      </c>
      <c r="R394">
        <v>2480.4</v>
      </c>
    </row>
    <row r="395" spans="2:18" hidden="1">
      <c r="B395" t="s">
        <v>863</v>
      </c>
      <c r="C395" t="s">
        <v>864</v>
      </c>
      <c r="D395" s="19">
        <v>1856</v>
      </c>
      <c r="E395" s="19">
        <f t="shared" si="28"/>
        <v>61.866666666666667</v>
      </c>
      <c r="F395" s="5">
        <v>1395.52</v>
      </c>
      <c r="I395" s="19">
        <f t="shared" si="29"/>
        <v>3712</v>
      </c>
      <c r="J395" t="b">
        <f t="shared" si="26"/>
        <v>1</v>
      </c>
      <c r="K395" s="4">
        <f t="shared" si="27"/>
        <v>-0.62405172413793109</v>
      </c>
      <c r="P395" t="s">
        <v>1245</v>
      </c>
      <c r="Q395">
        <v>770</v>
      </c>
      <c r="R395">
        <v>85.89</v>
      </c>
    </row>
    <row r="396" spans="2:18" hidden="1">
      <c r="B396" t="s">
        <v>1101</v>
      </c>
      <c r="C396" t="s">
        <v>1102</v>
      </c>
      <c r="D396" s="19">
        <v>1197</v>
      </c>
      <c r="E396" s="19">
        <f t="shared" si="28"/>
        <v>39.9</v>
      </c>
      <c r="F396" s="5">
        <v>1643.99</v>
      </c>
      <c r="I396" s="19">
        <f t="shared" si="29"/>
        <v>2394</v>
      </c>
      <c r="J396" t="b">
        <f t="shared" si="26"/>
        <v>1</v>
      </c>
      <c r="K396" s="4">
        <f t="shared" si="27"/>
        <v>-0.31328738512949039</v>
      </c>
      <c r="P396" t="s">
        <v>1302</v>
      </c>
      <c r="Q396">
        <v>1104</v>
      </c>
      <c r="R396">
        <v>2117</v>
      </c>
    </row>
    <row r="397" spans="2:18" hidden="1">
      <c r="B397" s="55" t="s">
        <v>1099</v>
      </c>
      <c r="C397" s="37" t="s">
        <v>1100</v>
      </c>
      <c r="D397" s="19">
        <v>1013</v>
      </c>
      <c r="E397" s="19">
        <f t="shared" si="28"/>
        <v>33.766666666666666</v>
      </c>
      <c r="F397" s="5">
        <v>1792.28</v>
      </c>
      <c r="I397" s="19">
        <f t="shared" si="29"/>
        <v>2026</v>
      </c>
      <c r="J397" t="b">
        <f t="shared" si="26"/>
        <v>1</v>
      </c>
      <c r="K397" s="4">
        <f t="shared" si="27"/>
        <v>-0.11536031589338602</v>
      </c>
      <c r="P397" t="s">
        <v>1181</v>
      </c>
      <c r="Q397">
        <v>1299</v>
      </c>
      <c r="R397">
        <v>2181.89</v>
      </c>
    </row>
    <row r="398" spans="2:18" hidden="1">
      <c r="B398" t="s">
        <v>855</v>
      </c>
      <c r="C398" t="s">
        <v>856</v>
      </c>
      <c r="D398" s="19">
        <v>1429</v>
      </c>
      <c r="E398" s="19">
        <f t="shared" si="28"/>
        <v>47.633333333333333</v>
      </c>
      <c r="F398" s="5">
        <v>563.91</v>
      </c>
      <c r="I398" s="19">
        <f t="shared" si="29"/>
        <v>2858</v>
      </c>
      <c r="J398" t="b">
        <f t="shared" si="26"/>
        <v>1</v>
      </c>
      <c r="K398" s="4">
        <f t="shared" si="27"/>
        <v>-0.80269069279216243</v>
      </c>
      <c r="P398" t="s">
        <v>1336</v>
      </c>
      <c r="Q398">
        <v>930</v>
      </c>
      <c r="R398">
        <v>2178.85</v>
      </c>
    </row>
    <row r="399" spans="2:18" hidden="1">
      <c r="B399" t="s">
        <v>981</v>
      </c>
      <c r="C399" t="s">
        <v>982</v>
      </c>
      <c r="D399" s="19">
        <v>534</v>
      </c>
      <c r="E399" s="19">
        <f t="shared" si="28"/>
        <v>17.8</v>
      </c>
      <c r="F399" s="5">
        <v>232.63</v>
      </c>
      <c r="I399" s="19">
        <f t="shared" si="29"/>
        <v>1068</v>
      </c>
      <c r="J399" t="b">
        <f t="shared" si="26"/>
        <v>1</v>
      </c>
      <c r="K399" s="4">
        <f t="shared" si="27"/>
        <v>-0.78218164794007494</v>
      </c>
      <c r="P399" t="s">
        <v>1287</v>
      </c>
      <c r="Q399">
        <v>531</v>
      </c>
      <c r="R399">
        <v>251.56</v>
      </c>
    </row>
    <row r="400" spans="2:18" hidden="1">
      <c r="B400" t="s">
        <v>1068</v>
      </c>
      <c r="C400" t="s">
        <v>1069</v>
      </c>
      <c r="D400" s="19">
        <v>1173</v>
      </c>
      <c r="E400" s="19">
        <f t="shared" si="28"/>
        <v>39.1</v>
      </c>
      <c r="F400" s="5">
        <v>1585.12</v>
      </c>
      <c r="I400" s="19">
        <f t="shared" si="29"/>
        <v>2346</v>
      </c>
      <c r="J400" t="b">
        <f t="shared" si="26"/>
        <v>1</v>
      </c>
      <c r="K400" s="4">
        <f t="shared" si="27"/>
        <v>-0.32433077578857639</v>
      </c>
      <c r="P400" t="s">
        <v>1197</v>
      </c>
      <c r="Q400">
        <v>1122</v>
      </c>
      <c r="R400">
        <v>2440.81</v>
      </c>
    </row>
    <row r="401" spans="2:18" hidden="1">
      <c r="B401" t="s">
        <v>977</v>
      </c>
      <c r="C401" t="s">
        <v>978</v>
      </c>
      <c r="D401" s="19">
        <v>1027</v>
      </c>
      <c r="E401" s="19">
        <f t="shared" si="28"/>
        <v>34.233333333333334</v>
      </c>
      <c r="F401" s="5">
        <v>1802.72</v>
      </c>
      <c r="I401" s="19">
        <f t="shared" si="29"/>
        <v>2054</v>
      </c>
      <c r="J401" t="b">
        <f t="shared" si="26"/>
        <v>1</v>
      </c>
      <c r="K401" s="4">
        <f t="shared" si="27"/>
        <v>-0.12233690360272642</v>
      </c>
      <c r="P401" t="s">
        <v>1320</v>
      </c>
      <c r="Q401">
        <v>325</v>
      </c>
      <c r="R401">
        <v>978.93</v>
      </c>
    </row>
    <row r="402" spans="2:18" hidden="1">
      <c r="B402" s="27" t="s">
        <v>809</v>
      </c>
      <c r="C402" s="27" t="s">
        <v>810</v>
      </c>
      <c r="D402" s="19">
        <v>2700</v>
      </c>
      <c r="E402" s="19">
        <f t="shared" si="28"/>
        <v>90</v>
      </c>
      <c r="F402" s="5">
        <v>2524.6799999999998</v>
      </c>
      <c r="I402" s="19">
        <f t="shared" si="29"/>
        <v>5400</v>
      </c>
      <c r="J402" t="b">
        <f t="shared" si="26"/>
        <v>1</v>
      </c>
      <c r="K402" s="4">
        <f t="shared" si="27"/>
        <v>-0.53246666666666664</v>
      </c>
      <c r="P402" t="s">
        <v>1356</v>
      </c>
      <c r="Q402">
        <v>1173</v>
      </c>
      <c r="R402">
        <v>2045.63</v>
      </c>
    </row>
    <row r="403" spans="2:18" hidden="1">
      <c r="B403" t="s">
        <v>1040</v>
      </c>
      <c r="C403" t="s">
        <v>1041</v>
      </c>
      <c r="D403" s="19">
        <v>455</v>
      </c>
      <c r="E403" s="19">
        <f t="shared" si="28"/>
        <v>15.166666666666666</v>
      </c>
      <c r="F403" s="5">
        <v>133.01</v>
      </c>
      <c r="I403" s="19">
        <f t="shared" si="29"/>
        <v>910</v>
      </c>
      <c r="J403" t="b">
        <f t="shared" si="26"/>
        <v>1</v>
      </c>
      <c r="K403" s="4">
        <f t="shared" si="27"/>
        <v>-0.85383516483516486</v>
      </c>
      <c r="P403" t="s">
        <v>1639</v>
      </c>
      <c r="Q403">
        <v>0</v>
      </c>
      <c r="R403">
        <v>0</v>
      </c>
    </row>
    <row r="404" spans="2:18" hidden="1">
      <c r="B404" t="s">
        <v>1007</v>
      </c>
      <c r="C404" t="s">
        <v>1008</v>
      </c>
      <c r="D404" s="19">
        <v>982</v>
      </c>
      <c r="E404" s="19">
        <f t="shared" si="28"/>
        <v>32.733333333333334</v>
      </c>
      <c r="F404" s="5">
        <v>1376.22</v>
      </c>
      <c r="I404" s="19">
        <f t="shared" si="29"/>
        <v>1964</v>
      </c>
      <c r="J404" t="b">
        <f t="shared" si="26"/>
        <v>1</v>
      </c>
      <c r="K404" s="4">
        <f t="shared" si="27"/>
        <v>-0.2992769857433808</v>
      </c>
      <c r="Q404">
        <v>0</v>
      </c>
      <c r="R404">
        <v>0</v>
      </c>
    </row>
    <row r="405" spans="2:18" hidden="1">
      <c r="B405" s="55" t="s">
        <v>1003</v>
      </c>
      <c r="C405" s="37" t="s">
        <v>1004</v>
      </c>
      <c r="D405" s="19">
        <v>1277</v>
      </c>
      <c r="E405" s="19">
        <f t="shared" si="28"/>
        <v>42.56666666666667</v>
      </c>
      <c r="F405" s="5">
        <v>1491.05</v>
      </c>
      <c r="I405" s="19">
        <f t="shared" si="29"/>
        <v>2554</v>
      </c>
      <c r="J405" t="b">
        <f t="shared" si="26"/>
        <v>1</v>
      </c>
      <c r="K405" s="4">
        <f t="shared" si="27"/>
        <v>-0.4161902897415819</v>
      </c>
      <c r="Q405">
        <v>0</v>
      </c>
      <c r="R405">
        <v>0</v>
      </c>
    </row>
    <row r="406" spans="2:18" hidden="1">
      <c r="B406" t="s">
        <v>1015</v>
      </c>
      <c r="C406" t="s">
        <v>1016</v>
      </c>
      <c r="D406" s="19">
        <v>892</v>
      </c>
      <c r="E406" s="19">
        <f t="shared" si="28"/>
        <v>29.733333333333334</v>
      </c>
      <c r="F406" s="5">
        <v>1004.9</v>
      </c>
      <c r="I406" s="19">
        <f t="shared" si="29"/>
        <v>1784</v>
      </c>
      <c r="J406" t="b">
        <f t="shared" si="26"/>
        <v>1</v>
      </c>
      <c r="K406" s="4">
        <f t="shared" si="27"/>
        <v>-0.4367152466367713</v>
      </c>
      <c r="P406" t="s">
        <v>1233</v>
      </c>
      <c r="Q406">
        <v>1253</v>
      </c>
      <c r="R406">
        <v>1938.81</v>
      </c>
    </row>
    <row r="407" spans="2:18" hidden="1">
      <c r="B407" s="54" t="s">
        <v>849</v>
      </c>
      <c r="C407" s="37" t="s">
        <v>850</v>
      </c>
      <c r="D407" s="19">
        <v>1283</v>
      </c>
      <c r="E407" s="19">
        <f t="shared" si="28"/>
        <v>42.766666666666666</v>
      </c>
      <c r="F407" s="131">
        <v>1348.5</v>
      </c>
      <c r="I407" s="19">
        <f t="shared" si="29"/>
        <v>2566</v>
      </c>
      <c r="J407" t="b">
        <f t="shared" si="26"/>
        <v>1</v>
      </c>
      <c r="K407" s="4">
        <f t="shared" si="27"/>
        <v>-0.47447388932190182</v>
      </c>
      <c r="Q407">
        <v>0</v>
      </c>
      <c r="R407">
        <v>0</v>
      </c>
    </row>
    <row r="408" spans="2:18" hidden="1">
      <c r="B408" s="27" t="s">
        <v>858</v>
      </c>
      <c r="C408" s="37" t="s">
        <v>859</v>
      </c>
      <c r="D408" s="19">
        <v>1120</v>
      </c>
      <c r="E408" s="19">
        <f t="shared" si="28"/>
        <v>37.333333333333336</v>
      </c>
      <c r="F408" s="5">
        <v>682.82</v>
      </c>
      <c r="I408" s="19">
        <f t="shared" si="29"/>
        <v>2240</v>
      </c>
      <c r="J408" t="b">
        <f t="shared" si="26"/>
        <v>1</v>
      </c>
      <c r="K408" s="4">
        <f t="shared" si="27"/>
        <v>-0.69516964285714278</v>
      </c>
      <c r="P408" t="s">
        <v>1265</v>
      </c>
      <c r="Q408">
        <v>566</v>
      </c>
      <c r="R408">
        <v>1224.96</v>
      </c>
    </row>
    <row r="409" spans="2:18" hidden="1">
      <c r="B409" t="s">
        <v>1033</v>
      </c>
      <c r="C409" t="s">
        <v>1034</v>
      </c>
      <c r="D409" s="19">
        <v>2846</v>
      </c>
      <c r="E409" s="19">
        <f t="shared" si="28"/>
        <v>94.86666666666666</v>
      </c>
      <c r="F409" s="5">
        <v>3610.4400000000005</v>
      </c>
      <c r="I409" s="19">
        <f t="shared" si="29"/>
        <v>5692</v>
      </c>
      <c r="J409" t="b">
        <f t="shared" si="26"/>
        <v>1</v>
      </c>
      <c r="K409" s="4">
        <f t="shared" si="27"/>
        <v>-0.36569922698524238</v>
      </c>
      <c r="P409" t="s">
        <v>1166</v>
      </c>
      <c r="Q409">
        <v>601</v>
      </c>
      <c r="R409">
        <v>1605.96</v>
      </c>
    </row>
    <row r="410" spans="2:18" hidden="1">
      <c r="B410" s="27" t="s">
        <v>1091</v>
      </c>
      <c r="C410" s="27" t="s">
        <v>1092</v>
      </c>
      <c r="D410" s="19">
        <v>6</v>
      </c>
      <c r="E410" s="19">
        <f t="shared" si="28"/>
        <v>0.2</v>
      </c>
      <c r="F410" s="131">
        <v>0</v>
      </c>
      <c r="I410" s="19">
        <f t="shared" si="29"/>
        <v>12</v>
      </c>
      <c r="J410" t="b">
        <f t="shared" si="26"/>
        <v>1</v>
      </c>
      <c r="K410" s="4">
        <f t="shared" si="27"/>
        <v>-1</v>
      </c>
      <c r="P410" t="s">
        <v>1248</v>
      </c>
      <c r="Q410">
        <v>375</v>
      </c>
      <c r="R410">
        <v>652.58000000000004</v>
      </c>
    </row>
    <row r="411" spans="2:18" hidden="1">
      <c r="B411" t="s">
        <v>955</v>
      </c>
      <c r="C411" t="s">
        <v>956</v>
      </c>
      <c r="D411" s="19">
        <v>873</v>
      </c>
      <c r="E411" s="19">
        <f t="shared" si="28"/>
        <v>29.1</v>
      </c>
      <c r="F411" s="5">
        <v>1113.42</v>
      </c>
      <c r="I411" s="19">
        <f t="shared" si="29"/>
        <v>1746</v>
      </c>
      <c r="J411" t="b">
        <f t="shared" si="26"/>
        <v>1</v>
      </c>
      <c r="K411" s="4">
        <f t="shared" si="27"/>
        <v>-0.36230240549828174</v>
      </c>
      <c r="P411" t="s">
        <v>1261</v>
      </c>
      <c r="Q411">
        <v>17</v>
      </c>
      <c r="R411">
        <v>31</v>
      </c>
    </row>
    <row r="412" spans="2:18" hidden="1">
      <c r="B412" s="54" t="s">
        <v>907</v>
      </c>
      <c r="C412" s="37" t="s">
        <v>908</v>
      </c>
      <c r="D412">
        <v>1001</v>
      </c>
      <c r="E412" s="19">
        <f t="shared" si="28"/>
        <v>33.366666666666667</v>
      </c>
      <c r="F412" s="5">
        <v>1371.56</v>
      </c>
      <c r="I412" s="19">
        <f t="shared" si="29"/>
        <v>2002</v>
      </c>
      <c r="J412" t="b">
        <f t="shared" si="26"/>
        <v>1</v>
      </c>
      <c r="K412" s="4">
        <f t="shared" si="27"/>
        <v>-0.31490509490509488</v>
      </c>
      <c r="P412" t="s">
        <v>1215</v>
      </c>
      <c r="Q412">
        <v>0</v>
      </c>
      <c r="R412">
        <v>0</v>
      </c>
    </row>
    <row r="413" spans="2:18" hidden="1">
      <c r="B413" t="s">
        <v>826</v>
      </c>
      <c r="C413" t="s">
        <v>827</v>
      </c>
      <c r="D413" s="19">
        <v>1849</v>
      </c>
      <c r="E413" s="19">
        <f t="shared" si="28"/>
        <v>61.633333333333333</v>
      </c>
      <c r="F413" s="5">
        <v>2161.12</v>
      </c>
      <c r="I413" s="19">
        <f t="shared" si="29"/>
        <v>3698</v>
      </c>
      <c r="J413" t="b">
        <f t="shared" si="26"/>
        <v>1</v>
      </c>
      <c r="K413" s="4">
        <f t="shared" si="27"/>
        <v>-0.41559762033531644</v>
      </c>
      <c r="P413" t="s">
        <v>1179</v>
      </c>
      <c r="Q413">
        <v>966</v>
      </c>
      <c r="R413">
        <v>591.04999999999995</v>
      </c>
    </row>
    <row r="414" spans="2:18" hidden="1">
      <c r="B414" t="s">
        <v>967</v>
      </c>
      <c r="C414" t="s">
        <v>968</v>
      </c>
      <c r="D414" s="19">
        <v>347</v>
      </c>
      <c r="E414" s="19">
        <f t="shared" si="28"/>
        <v>11.566666666666666</v>
      </c>
      <c r="F414" s="5">
        <v>250.69</v>
      </c>
      <c r="I414" s="19">
        <f t="shared" si="29"/>
        <v>694</v>
      </c>
      <c r="J414" t="b">
        <f t="shared" si="26"/>
        <v>1</v>
      </c>
      <c r="K414" s="4">
        <f t="shared" si="27"/>
        <v>-0.63877521613832855</v>
      </c>
      <c r="P414" t="s">
        <v>1267</v>
      </c>
      <c r="Q414">
        <v>22</v>
      </c>
      <c r="R414">
        <v>26.05</v>
      </c>
    </row>
    <row r="415" spans="2:18" hidden="1">
      <c r="B415" t="s">
        <v>934</v>
      </c>
      <c r="C415" t="s">
        <v>935</v>
      </c>
      <c r="D415" s="19">
        <v>602</v>
      </c>
      <c r="E415" s="19">
        <f t="shared" si="28"/>
        <v>20.066666666666666</v>
      </c>
      <c r="F415" s="5">
        <v>181.18</v>
      </c>
      <c r="I415" s="19">
        <f t="shared" si="29"/>
        <v>1204</v>
      </c>
      <c r="J415" t="b">
        <f t="shared" si="26"/>
        <v>1</v>
      </c>
      <c r="K415" s="4">
        <f t="shared" si="27"/>
        <v>-0.84951827242524913</v>
      </c>
      <c r="P415" t="s">
        <v>1314</v>
      </c>
      <c r="Q415">
        <v>1292</v>
      </c>
      <c r="R415">
        <v>1954.98</v>
      </c>
    </row>
    <row r="416" spans="2:18" hidden="1">
      <c r="B416" t="s">
        <v>885</v>
      </c>
      <c r="C416" t="s">
        <v>886</v>
      </c>
      <c r="D416" s="19">
        <v>1400</v>
      </c>
      <c r="E416" s="19">
        <f t="shared" si="28"/>
        <v>46.666666666666664</v>
      </c>
      <c r="F416" s="5">
        <v>1329.17</v>
      </c>
      <c r="I416" s="19">
        <f t="shared" si="29"/>
        <v>2800</v>
      </c>
      <c r="J416" t="b">
        <f t="shared" si="26"/>
        <v>1</v>
      </c>
      <c r="K416" s="4">
        <f t="shared" si="27"/>
        <v>-0.52529642857142855</v>
      </c>
      <c r="P416" t="s">
        <v>1322</v>
      </c>
      <c r="Q416">
        <v>840</v>
      </c>
      <c r="R416">
        <v>462.91</v>
      </c>
    </row>
    <row r="417" spans="2:18" hidden="1">
      <c r="B417" s="5" t="s">
        <v>953</v>
      </c>
      <c r="C417" t="s">
        <v>954</v>
      </c>
      <c r="D417" s="19">
        <v>530</v>
      </c>
      <c r="E417" s="19">
        <f t="shared" si="28"/>
        <v>17.666666666666668</v>
      </c>
      <c r="F417" s="5">
        <v>0</v>
      </c>
      <c r="I417" s="19">
        <f t="shared" si="29"/>
        <v>1060</v>
      </c>
      <c r="J417" t="b">
        <f t="shared" si="26"/>
        <v>1</v>
      </c>
      <c r="K417" s="4">
        <f t="shared" si="27"/>
        <v>-1</v>
      </c>
      <c r="P417" t="s">
        <v>1259</v>
      </c>
      <c r="Q417">
        <v>142</v>
      </c>
      <c r="R417">
        <v>0</v>
      </c>
    </row>
    <row r="418" spans="2:18" hidden="1">
      <c r="B418" t="s">
        <v>871</v>
      </c>
      <c r="C418" t="s">
        <v>872</v>
      </c>
      <c r="D418" s="19">
        <v>3586</v>
      </c>
      <c r="E418" s="19">
        <f t="shared" si="28"/>
        <v>119.53333333333333</v>
      </c>
      <c r="F418" s="5">
        <v>4852.7299999999996</v>
      </c>
      <c r="I418" s="19">
        <f t="shared" si="29"/>
        <v>7172</v>
      </c>
      <c r="J418" t="b">
        <f t="shared" si="26"/>
        <v>1</v>
      </c>
      <c r="K418" s="4">
        <f t="shared" si="27"/>
        <v>-0.3233784160624652</v>
      </c>
      <c r="P418" t="s">
        <v>1250</v>
      </c>
      <c r="Q418">
        <v>131</v>
      </c>
      <c r="R418">
        <v>513.11</v>
      </c>
    </row>
    <row r="419" spans="2:18" hidden="1">
      <c r="B419" t="s">
        <v>811</v>
      </c>
      <c r="C419" t="s">
        <v>812</v>
      </c>
      <c r="D419" s="19">
        <v>4905</v>
      </c>
      <c r="E419" s="19">
        <f t="shared" si="28"/>
        <v>163.5</v>
      </c>
      <c r="F419" s="5">
        <v>3871.16</v>
      </c>
      <c r="I419" s="19">
        <f t="shared" si="29"/>
        <v>9810</v>
      </c>
      <c r="J419" t="b">
        <f t="shared" si="26"/>
        <v>1</v>
      </c>
      <c r="K419" s="4">
        <f t="shared" si="27"/>
        <v>-0.60538634046890927</v>
      </c>
      <c r="P419" t="s">
        <v>1206</v>
      </c>
      <c r="Q419">
        <v>0</v>
      </c>
      <c r="R419">
        <v>0</v>
      </c>
    </row>
    <row r="420" spans="2:18" hidden="1">
      <c r="B420" t="s">
        <v>918</v>
      </c>
      <c r="C420" t="s">
        <v>919</v>
      </c>
      <c r="D420" s="19">
        <v>940</v>
      </c>
      <c r="E420" s="19">
        <f t="shared" si="28"/>
        <v>31.333333333333332</v>
      </c>
      <c r="F420" s="5">
        <v>654.91999999999996</v>
      </c>
      <c r="I420" s="19">
        <f t="shared" si="29"/>
        <v>1880</v>
      </c>
      <c r="J420" t="b">
        <f t="shared" si="26"/>
        <v>1</v>
      </c>
      <c r="K420" s="4">
        <f t="shared" si="27"/>
        <v>-0.65163829787234051</v>
      </c>
      <c r="P420" t="s">
        <v>1201</v>
      </c>
      <c r="Q420">
        <v>683</v>
      </c>
      <c r="R420">
        <v>642.48</v>
      </c>
    </row>
    <row r="421" spans="2:18" hidden="1">
      <c r="B421" t="s">
        <v>930</v>
      </c>
      <c r="C421" t="s">
        <v>931</v>
      </c>
      <c r="D421" s="19">
        <v>1502</v>
      </c>
      <c r="E421" s="19">
        <f t="shared" si="28"/>
        <v>50.06666666666667</v>
      </c>
      <c r="F421" s="131">
        <v>1432.25</v>
      </c>
      <c r="I421" s="19">
        <f t="shared" si="29"/>
        <v>3004</v>
      </c>
      <c r="J421" t="b">
        <f t="shared" si="26"/>
        <v>1</v>
      </c>
      <c r="K421" s="4">
        <f t="shared" si="27"/>
        <v>-0.52321904127829555</v>
      </c>
      <c r="P421" t="s">
        <v>1223</v>
      </c>
      <c r="Q421">
        <v>276</v>
      </c>
      <c r="R421">
        <v>0</v>
      </c>
    </row>
    <row r="422" spans="2:18" hidden="1">
      <c r="B422" t="s">
        <v>1047</v>
      </c>
      <c r="C422" t="s">
        <v>1048</v>
      </c>
      <c r="D422" s="19">
        <v>872</v>
      </c>
      <c r="E422" s="19">
        <f t="shared" si="28"/>
        <v>29.066666666666666</v>
      </c>
      <c r="F422" s="5">
        <v>949.59</v>
      </c>
      <c r="I422" s="19">
        <f t="shared" si="29"/>
        <v>1744</v>
      </c>
      <c r="J422" t="b">
        <f t="shared" si="26"/>
        <v>1</v>
      </c>
      <c r="K422" s="4">
        <f t="shared" si="27"/>
        <v>-0.45551032110091738</v>
      </c>
      <c r="P422" t="s">
        <v>1231</v>
      </c>
      <c r="Q422">
        <v>295</v>
      </c>
      <c r="R422">
        <v>114.7</v>
      </c>
    </row>
    <row r="423" spans="2:18" hidden="1">
      <c r="B423" t="s">
        <v>1130</v>
      </c>
      <c r="C423" t="s">
        <v>1131</v>
      </c>
      <c r="D423" s="19">
        <v>50</v>
      </c>
      <c r="E423" s="19">
        <f t="shared" si="28"/>
        <v>1.6666666666666667</v>
      </c>
      <c r="F423" s="5">
        <v>0</v>
      </c>
      <c r="I423" s="19">
        <f t="shared" si="29"/>
        <v>100</v>
      </c>
      <c r="J423" t="b">
        <f t="shared" si="26"/>
        <v>1</v>
      </c>
      <c r="K423" s="4">
        <f t="shared" si="27"/>
        <v>-1</v>
      </c>
      <c r="P423" t="s">
        <v>1559</v>
      </c>
      <c r="Q423">
        <v>279</v>
      </c>
      <c r="R423">
        <v>0</v>
      </c>
    </row>
    <row r="424" spans="2:18" hidden="1">
      <c r="B424" t="s">
        <v>1031</v>
      </c>
      <c r="C424" t="s">
        <v>1032</v>
      </c>
      <c r="D424" s="19">
        <v>691</v>
      </c>
      <c r="E424" s="19">
        <f t="shared" si="28"/>
        <v>23.033333333333335</v>
      </c>
      <c r="F424" s="5">
        <v>512.97</v>
      </c>
      <c r="I424" s="19">
        <f t="shared" si="29"/>
        <v>1382</v>
      </c>
      <c r="J424" t="b">
        <f t="shared" si="26"/>
        <v>1</v>
      </c>
      <c r="K424" s="4">
        <f t="shared" si="27"/>
        <v>-0.62882054992764114</v>
      </c>
      <c r="P424" t="s">
        <v>1280</v>
      </c>
      <c r="Q424">
        <v>1946</v>
      </c>
      <c r="R424">
        <v>2591</v>
      </c>
    </row>
    <row r="425" spans="2:18" hidden="1">
      <c r="B425" t="s">
        <v>1049</v>
      </c>
      <c r="C425" t="s">
        <v>1050</v>
      </c>
      <c r="D425" s="19">
        <v>1132</v>
      </c>
      <c r="E425" s="19">
        <f t="shared" si="28"/>
        <v>37.733333333333334</v>
      </c>
      <c r="F425" s="131">
        <v>892.54</v>
      </c>
      <c r="I425" s="19">
        <f t="shared" si="29"/>
        <v>2264</v>
      </c>
      <c r="J425" t="b">
        <f t="shared" si="26"/>
        <v>1</v>
      </c>
      <c r="K425" s="4">
        <f t="shared" si="27"/>
        <v>-0.60576855123674911</v>
      </c>
      <c r="P425" t="s">
        <v>1381</v>
      </c>
      <c r="Q425">
        <v>1462</v>
      </c>
      <c r="R425">
        <v>2207.94</v>
      </c>
    </row>
    <row r="426" spans="2:18" hidden="1">
      <c r="B426" t="s">
        <v>1093</v>
      </c>
      <c r="C426" t="s">
        <v>1094</v>
      </c>
      <c r="D426" s="19">
        <v>3747</v>
      </c>
      <c r="E426" s="19">
        <f t="shared" si="28"/>
        <v>124.9</v>
      </c>
      <c r="F426" s="5">
        <v>1775.9</v>
      </c>
      <c r="I426" s="19">
        <f t="shared" si="29"/>
        <v>7494</v>
      </c>
      <c r="J426" t="b">
        <f t="shared" si="26"/>
        <v>1</v>
      </c>
      <c r="K426" s="4">
        <f t="shared" si="27"/>
        <v>-0.76302375233520148</v>
      </c>
      <c r="P426" t="s">
        <v>1362</v>
      </c>
      <c r="Q426">
        <v>2083</v>
      </c>
      <c r="R426">
        <v>2456.46</v>
      </c>
    </row>
    <row r="427" spans="2:18" hidden="1">
      <c r="B427" s="136" t="s">
        <v>822</v>
      </c>
      <c r="C427" s="37" t="s">
        <v>823</v>
      </c>
      <c r="D427" s="19">
        <v>1995</v>
      </c>
      <c r="E427" s="19">
        <f t="shared" si="28"/>
        <v>66.5</v>
      </c>
      <c r="F427" s="5">
        <v>1933.15</v>
      </c>
      <c r="I427" s="19">
        <f t="shared" si="29"/>
        <v>3990</v>
      </c>
      <c r="J427" t="b">
        <f t="shared" ref="J427:J490" si="30">IF(F427&gt;1.2*I427,FALSE,TRUE)</f>
        <v>1</v>
      </c>
      <c r="K427" s="4">
        <f t="shared" ref="K427:K490" si="31">F427/I427-1</f>
        <v>-0.51550125313283202</v>
      </c>
      <c r="P427" t="s">
        <v>1272</v>
      </c>
      <c r="Q427">
        <v>336</v>
      </c>
      <c r="R427">
        <v>1014.8</v>
      </c>
    </row>
    <row r="428" spans="2:18" hidden="1">
      <c r="B428" t="s">
        <v>985</v>
      </c>
      <c r="C428" t="s">
        <v>986</v>
      </c>
      <c r="D428" s="19">
        <v>0</v>
      </c>
      <c r="E428" s="19">
        <f t="shared" si="28"/>
        <v>0</v>
      </c>
      <c r="F428" s="5">
        <v>0</v>
      </c>
      <c r="I428" s="19">
        <f t="shared" si="29"/>
        <v>0</v>
      </c>
      <c r="J428" t="b">
        <f t="shared" si="30"/>
        <v>1</v>
      </c>
      <c r="K428" s="4" t="e">
        <f t="shared" si="31"/>
        <v>#DIV/0!</v>
      </c>
      <c r="P428" t="s">
        <v>1350</v>
      </c>
      <c r="Q428">
        <v>1332</v>
      </c>
      <c r="R428">
        <v>1485.85</v>
      </c>
    </row>
    <row r="429" spans="2:18" hidden="1">
      <c r="B429" t="s">
        <v>1056</v>
      </c>
      <c r="C429" t="s">
        <v>1057</v>
      </c>
      <c r="D429" s="19">
        <v>1423</v>
      </c>
      <c r="E429" s="19">
        <f t="shared" si="28"/>
        <v>47.43333333333333</v>
      </c>
      <c r="F429" s="5">
        <v>939.94</v>
      </c>
      <c r="I429" s="19">
        <f t="shared" si="29"/>
        <v>2846</v>
      </c>
      <c r="J429" t="b">
        <f t="shared" si="30"/>
        <v>1</v>
      </c>
      <c r="K429" s="4">
        <f t="shared" si="31"/>
        <v>-0.66973295853829939</v>
      </c>
      <c r="P429" t="s">
        <v>1229</v>
      </c>
      <c r="Q429">
        <v>796</v>
      </c>
      <c r="R429">
        <v>1368.16</v>
      </c>
    </row>
    <row r="430" spans="2:18" hidden="1">
      <c r="B430" t="s">
        <v>987</v>
      </c>
      <c r="C430" t="s">
        <v>988</v>
      </c>
      <c r="D430" s="19">
        <v>0</v>
      </c>
      <c r="E430" s="19">
        <f t="shared" si="28"/>
        <v>0</v>
      </c>
      <c r="F430" s="5">
        <v>0</v>
      </c>
      <c r="I430" s="19">
        <f t="shared" si="29"/>
        <v>0</v>
      </c>
      <c r="J430" t="b">
        <f t="shared" si="30"/>
        <v>1</v>
      </c>
      <c r="K430" s="4" t="e">
        <f t="shared" si="31"/>
        <v>#DIV/0!</v>
      </c>
      <c r="P430" t="s">
        <v>1412</v>
      </c>
      <c r="Q430">
        <v>3891</v>
      </c>
      <c r="R430">
        <v>3675.14</v>
      </c>
    </row>
    <row r="431" spans="2:18" hidden="1">
      <c r="B431" s="54" t="s">
        <v>841</v>
      </c>
      <c r="C431" s="37" t="s">
        <v>842</v>
      </c>
      <c r="D431">
        <v>1073</v>
      </c>
      <c r="E431" s="19">
        <f t="shared" si="28"/>
        <v>35.766666666666666</v>
      </c>
      <c r="F431" s="5">
        <v>1286.97</v>
      </c>
      <c r="I431" s="19">
        <f t="shared" si="29"/>
        <v>2146</v>
      </c>
      <c r="J431" t="b">
        <f t="shared" si="30"/>
        <v>1</v>
      </c>
      <c r="K431" s="4">
        <f t="shared" si="31"/>
        <v>-0.40029356943150041</v>
      </c>
      <c r="P431" t="s">
        <v>1274</v>
      </c>
      <c r="Q431">
        <v>1452</v>
      </c>
      <c r="R431">
        <v>3178.29</v>
      </c>
    </row>
    <row r="432" spans="2:18" hidden="1">
      <c r="B432" t="s">
        <v>1084</v>
      </c>
      <c r="C432" t="s">
        <v>1085</v>
      </c>
      <c r="D432" s="19">
        <v>765</v>
      </c>
      <c r="E432" s="19">
        <f t="shared" si="28"/>
        <v>25.5</v>
      </c>
      <c r="F432" s="5">
        <v>462.15</v>
      </c>
      <c r="I432" s="19">
        <f t="shared" si="29"/>
        <v>1530</v>
      </c>
      <c r="J432" t="b">
        <f t="shared" si="30"/>
        <v>1</v>
      </c>
      <c r="K432" s="4">
        <f t="shared" si="31"/>
        <v>-0.69794117647058829</v>
      </c>
      <c r="P432" t="s">
        <v>1318</v>
      </c>
      <c r="Q432">
        <v>1547</v>
      </c>
      <c r="R432">
        <v>2379.5700000000002</v>
      </c>
    </row>
    <row r="433" spans="2:18" hidden="1">
      <c r="B433" t="s">
        <v>989</v>
      </c>
      <c r="C433" t="s">
        <v>990</v>
      </c>
      <c r="D433" s="19">
        <v>0</v>
      </c>
      <c r="E433" s="19">
        <f t="shared" si="28"/>
        <v>0</v>
      </c>
      <c r="F433" s="5">
        <v>0</v>
      </c>
      <c r="I433" s="19">
        <f t="shared" si="29"/>
        <v>0</v>
      </c>
      <c r="J433" t="b">
        <f t="shared" si="30"/>
        <v>1</v>
      </c>
      <c r="K433" s="4" t="e">
        <f t="shared" si="31"/>
        <v>#DIV/0!</v>
      </c>
      <c r="P433" t="s">
        <v>1306</v>
      </c>
      <c r="Q433">
        <v>303</v>
      </c>
      <c r="R433">
        <v>0</v>
      </c>
    </row>
    <row r="434" spans="2:18" hidden="1">
      <c r="B434" t="s">
        <v>971</v>
      </c>
      <c r="C434" t="s">
        <v>972</v>
      </c>
      <c r="D434" s="19">
        <v>495</v>
      </c>
      <c r="E434" s="19">
        <f t="shared" si="28"/>
        <v>16.5</v>
      </c>
      <c r="F434" s="5">
        <v>233.08</v>
      </c>
      <c r="I434" s="19">
        <f t="shared" si="29"/>
        <v>990</v>
      </c>
      <c r="J434" t="b">
        <f t="shared" si="30"/>
        <v>1</v>
      </c>
      <c r="K434" s="4">
        <f t="shared" si="31"/>
        <v>-0.76456565656565656</v>
      </c>
      <c r="P434" t="s">
        <v>1160</v>
      </c>
      <c r="Q434">
        <v>1797</v>
      </c>
      <c r="R434">
        <v>1445.79</v>
      </c>
    </row>
    <row r="435" spans="2:18" hidden="1">
      <c r="B435" t="s">
        <v>965</v>
      </c>
      <c r="C435" t="s">
        <v>966</v>
      </c>
      <c r="D435" s="19">
        <v>346</v>
      </c>
      <c r="E435" s="19">
        <f t="shared" si="28"/>
        <v>11.533333333333333</v>
      </c>
      <c r="F435" s="5">
        <v>111.63</v>
      </c>
      <c r="I435" s="19">
        <f t="shared" si="29"/>
        <v>692</v>
      </c>
      <c r="J435" t="b">
        <f t="shared" si="30"/>
        <v>1</v>
      </c>
      <c r="K435" s="4">
        <f t="shared" si="31"/>
        <v>-0.8386849710982659</v>
      </c>
      <c r="P435" t="s">
        <v>1257</v>
      </c>
      <c r="Q435">
        <v>313</v>
      </c>
      <c r="R435">
        <v>201.38</v>
      </c>
    </row>
    <row r="436" spans="2:18" hidden="1">
      <c r="B436" t="s">
        <v>916</v>
      </c>
      <c r="C436" t="s">
        <v>917</v>
      </c>
      <c r="D436" s="19">
        <v>497</v>
      </c>
      <c r="E436" s="19">
        <f t="shared" si="28"/>
        <v>16.566666666666666</v>
      </c>
      <c r="F436" s="5">
        <v>193.06</v>
      </c>
      <c r="I436" s="19">
        <f t="shared" si="29"/>
        <v>994</v>
      </c>
      <c r="J436" t="b">
        <f t="shared" si="30"/>
        <v>1</v>
      </c>
      <c r="K436" s="4">
        <f t="shared" si="31"/>
        <v>-0.805774647887324</v>
      </c>
      <c r="P436" t="s">
        <v>1221</v>
      </c>
      <c r="Q436">
        <v>742</v>
      </c>
      <c r="R436">
        <v>704.89</v>
      </c>
    </row>
    <row r="437" spans="2:18" hidden="1">
      <c r="B437" t="s">
        <v>1019</v>
      </c>
      <c r="C437" t="s">
        <v>1020</v>
      </c>
      <c r="D437" s="19">
        <v>200</v>
      </c>
      <c r="E437" s="19">
        <f t="shared" si="28"/>
        <v>6.666666666666667</v>
      </c>
      <c r="F437" s="5">
        <v>104.12</v>
      </c>
      <c r="I437" s="19">
        <f t="shared" si="29"/>
        <v>400</v>
      </c>
      <c r="J437" t="b">
        <f t="shared" si="30"/>
        <v>1</v>
      </c>
      <c r="K437" s="4">
        <f t="shared" si="31"/>
        <v>-0.73970000000000002</v>
      </c>
      <c r="P437" t="s">
        <v>1291</v>
      </c>
      <c r="Q437">
        <v>356</v>
      </c>
      <c r="R437">
        <v>199.27</v>
      </c>
    </row>
    <row r="438" spans="2:18" hidden="1">
      <c r="B438" t="s">
        <v>869</v>
      </c>
      <c r="C438" t="s">
        <v>870</v>
      </c>
      <c r="D438" s="19">
        <v>1092</v>
      </c>
      <c r="E438" s="19">
        <f t="shared" si="28"/>
        <v>36.4</v>
      </c>
      <c r="F438" s="131">
        <v>312.45</v>
      </c>
      <c r="I438" s="19">
        <f t="shared" si="29"/>
        <v>2184</v>
      </c>
      <c r="J438" t="b">
        <f t="shared" si="30"/>
        <v>1</v>
      </c>
      <c r="K438" s="4">
        <f t="shared" si="31"/>
        <v>-0.85693681318681314</v>
      </c>
      <c r="P438" t="s">
        <v>1293</v>
      </c>
      <c r="Q438">
        <v>1874</v>
      </c>
      <c r="R438">
        <v>3772.22</v>
      </c>
    </row>
    <row r="439" spans="2:18" hidden="1">
      <c r="B439" t="s">
        <v>1036</v>
      </c>
      <c r="C439" t="s">
        <v>1037</v>
      </c>
      <c r="D439" s="19">
        <v>421</v>
      </c>
      <c r="E439" s="19">
        <f t="shared" si="28"/>
        <v>14.033333333333333</v>
      </c>
      <c r="F439" s="5">
        <v>174.74</v>
      </c>
      <c r="I439" s="19">
        <f t="shared" si="29"/>
        <v>842</v>
      </c>
      <c r="J439" t="b">
        <f t="shared" si="30"/>
        <v>1</v>
      </c>
      <c r="K439" s="4">
        <f t="shared" si="31"/>
        <v>-0.79247030878859859</v>
      </c>
      <c r="P439" t="s">
        <v>1252</v>
      </c>
      <c r="Q439">
        <v>434</v>
      </c>
      <c r="R439">
        <v>676.99</v>
      </c>
    </row>
    <row r="440" spans="2:18" hidden="1">
      <c r="B440" t="s">
        <v>1025</v>
      </c>
      <c r="C440" t="s">
        <v>1026</v>
      </c>
      <c r="D440" s="19">
        <v>623</v>
      </c>
      <c r="E440" s="19">
        <f t="shared" si="28"/>
        <v>20.766666666666666</v>
      </c>
      <c r="F440" s="5">
        <v>343.05</v>
      </c>
      <c r="I440" s="19">
        <f t="shared" si="29"/>
        <v>1246</v>
      </c>
      <c r="J440" t="b">
        <f t="shared" si="30"/>
        <v>1</v>
      </c>
      <c r="K440" s="4">
        <f t="shared" si="31"/>
        <v>-0.72467897271268056</v>
      </c>
      <c r="P440" t="s">
        <v>1175</v>
      </c>
      <c r="Q440">
        <v>922</v>
      </c>
      <c r="R440">
        <v>615.99</v>
      </c>
    </row>
    <row r="441" spans="2:18" hidden="1">
      <c r="B441" s="142" t="s">
        <v>991</v>
      </c>
      <c r="C441" s="27" t="s">
        <v>992</v>
      </c>
      <c r="D441">
        <v>1</v>
      </c>
      <c r="E441" s="19">
        <f t="shared" si="28"/>
        <v>3.3333333333333333E-2</v>
      </c>
      <c r="F441" s="5">
        <v>0</v>
      </c>
      <c r="I441" s="19">
        <f t="shared" si="29"/>
        <v>2</v>
      </c>
      <c r="J441" t="b">
        <f t="shared" si="30"/>
        <v>1</v>
      </c>
      <c r="K441" s="4">
        <f t="shared" si="31"/>
        <v>-1</v>
      </c>
      <c r="P441" t="s">
        <v>1379</v>
      </c>
      <c r="Q441">
        <v>1303</v>
      </c>
      <c r="R441">
        <v>976.48</v>
      </c>
    </row>
    <row r="442" spans="2:18" hidden="1">
      <c r="B442" t="s">
        <v>924</v>
      </c>
      <c r="C442" t="s">
        <v>925</v>
      </c>
      <c r="D442" s="19">
        <v>1803</v>
      </c>
      <c r="E442" s="19">
        <f t="shared" si="28"/>
        <v>60.1</v>
      </c>
      <c r="F442" s="5">
        <v>2029.36</v>
      </c>
      <c r="I442" s="19">
        <f t="shared" si="29"/>
        <v>3606</v>
      </c>
      <c r="J442" t="b">
        <f t="shared" si="30"/>
        <v>1</v>
      </c>
      <c r="K442" s="4">
        <f t="shared" si="31"/>
        <v>-0.43722684414864121</v>
      </c>
      <c r="P442" t="s">
        <v>1328</v>
      </c>
      <c r="Q442">
        <v>1967</v>
      </c>
      <c r="R442">
        <v>2669.32</v>
      </c>
    </row>
    <row r="443" spans="2:18" hidden="1">
      <c r="B443" t="s">
        <v>1060</v>
      </c>
      <c r="C443" t="s">
        <v>1061</v>
      </c>
      <c r="D443" s="19">
        <v>978</v>
      </c>
      <c r="E443" s="19">
        <f t="shared" si="28"/>
        <v>32.6</v>
      </c>
      <c r="F443" s="5">
        <v>1132.92</v>
      </c>
      <c r="I443" s="19">
        <f t="shared" si="29"/>
        <v>1956</v>
      </c>
      <c r="J443" t="b">
        <f t="shared" si="30"/>
        <v>1</v>
      </c>
      <c r="K443" s="4">
        <f t="shared" si="31"/>
        <v>-0.42079754601226993</v>
      </c>
      <c r="P443" t="s">
        <v>1191</v>
      </c>
      <c r="Q443">
        <v>2648</v>
      </c>
      <c r="R443">
        <v>1533.95</v>
      </c>
    </row>
    <row r="444" spans="2:18" hidden="1">
      <c r="B444" t="s">
        <v>973</v>
      </c>
      <c r="C444" t="s">
        <v>974</v>
      </c>
      <c r="D444" s="19">
        <v>679</v>
      </c>
      <c r="E444" s="19">
        <f t="shared" si="28"/>
        <v>22.633333333333333</v>
      </c>
      <c r="F444" s="5">
        <v>729.73</v>
      </c>
      <c r="I444" s="19">
        <f t="shared" si="29"/>
        <v>1358</v>
      </c>
      <c r="J444" t="b">
        <f t="shared" si="30"/>
        <v>1</v>
      </c>
      <c r="K444" s="4">
        <f t="shared" si="31"/>
        <v>-0.46264359351988216</v>
      </c>
      <c r="P444" t="s">
        <v>1243</v>
      </c>
      <c r="Q444">
        <v>1099</v>
      </c>
      <c r="R444">
        <v>1681.39</v>
      </c>
    </row>
    <row r="445" spans="2:18" hidden="1">
      <c r="B445" t="s">
        <v>959</v>
      </c>
      <c r="C445" t="s">
        <v>960</v>
      </c>
      <c r="D445" s="19">
        <v>880</v>
      </c>
      <c r="E445" s="19">
        <f t="shared" si="28"/>
        <v>29.333333333333332</v>
      </c>
      <c r="F445" s="5">
        <v>623.91</v>
      </c>
      <c r="I445" s="19">
        <f t="shared" si="29"/>
        <v>1760</v>
      </c>
      <c r="J445" t="b">
        <f t="shared" si="30"/>
        <v>1</v>
      </c>
      <c r="K445" s="4">
        <f t="shared" si="31"/>
        <v>-0.64550568181818191</v>
      </c>
      <c r="P445" t="s">
        <v>1383</v>
      </c>
      <c r="Q445">
        <v>3298</v>
      </c>
      <c r="R445">
        <v>6920.57</v>
      </c>
    </row>
    <row r="446" spans="2:18" hidden="1">
      <c r="B446" t="s">
        <v>1043</v>
      </c>
      <c r="C446" t="s">
        <v>1044</v>
      </c>
      <c r="D446" s="19">
        <v>1015</v>
      </c>
      <c r="E446" s="19">
        <f t="shared" si="28"/>
        <v>33.833333333333336</v>
      </c>
      <c r="F446" s="5">
        <v>829.31</v>
      </c>
      <c r="I446" s="19">
        <f t="shared" si="29"/>
        <v>2030</v>
      </c>
      <c r="J446" t="b">
        <f t="shared" si="30"/>
        <v>1</v>
      </c>
      <c r="K446" s="4">
        <f t="shared" si="31"/>
        <v>-0.5914729064039409</v>
      </c>
      <c r="P446" t="s">
        <v>1282</v>
      </c>
      <c r="Q446">
        <v>355</v>
      </c>
      <c r="R446">
        <v>1017.38</v>
      </c>
    </row>
    <row r="447" spans="2:18" hidden="1">
      <c r="B447" t="s">
        <v>878</v>
      </c>
      <c r="C447" t="s">
        <v>879</v>
      </c>
      <c r="D447" s="19">
        <v>635</v>
      </c>
      <c r="E447" s="19">
        <f t="shared" si="28"/>
        <v>21.166666666666668</v>
      </c>
      <c r="F447" s="5">
        <v>1332.48</v>
      </c>
      <c r="I447" s="19">
        <f t="shared" si="29"/>
        <v>1270</v>
      </c>
      <c r="J447" t="b">
        <f t="shared" si="30"/>
        <v>1</v>
      </c>
      <c r="K447" s="4">
        <f t="shared" si="31"/>
        <v>4.9196850393700808E-2</v>
      </c>
      <c r="P447" t="s">
        <v>1405</v>
      </c>
      <c r="Q447">
        <v>4192</v>
      </c>
      <c r="R447">
        <v>3703.72</v>
      </c>
    </row>
    <row r="448" spans="2:18" hidden="1">
      <c r="B448" t="s">
        <v>853</v>
      </c>
      <c r="C448" t="s">
        <v>854</v>
      </c>
      <c r="D448" s="19">
        <v>2313</v>
      </c>
      <c r="E448" s="19">
        <f t="shared" si="28"/>
        <v>77.099999999999994</v>
      </c>
      <c r="F448" s="5">
        <v>1468.9</v>
      </c>
      <c r="I448" s="19">
        <f t="shared" si="29"/>
        <v>4626</v>
      </c>
      <c r="J448" t="b">
        <f t="shared" si="30"/>
        <v>1</v>
      </c>
      <c r="K448" s="4">
        <f t="shared" si="31"/>
        <v>-0.68246865542585389</v>
      </c>
      <c r="P448" t="s">
        <v>1409</v>
      </c>
      <c r="Q448">
        <v>5893</v>
      </c>
      <c r="R448">
        <v>4482.1899999999996</v>
      </c>
    </row>
    <row r="449" spans="2:18" hidden="1">
      <c r="B449" t="s">
        <v>969</v>
      </c>
      <c r="C449" t="s">
        <v>970</v>
      </c>
      <c r="D449" s="19">
        <v>682</v>
      </c>
      <c r="E449" s="19">
        <f t="shared" si="28"/>
        <v>22.733333333333334</v>
      </c>
      <c r="F449" s="5">
        <v>1128.94</v>
      </c>
      <c r="I449" s="19">
        <f t="shared" si="29"/>
        <v>1364</v>
      </c>
      <c r="J449" t="b">
        <f t="shared" si="30"/>
        <v>1</v>
      </c>
      <c r="K449" s="4">
        <f t="shared" si="31"/>
        <v>-0.17233137829912015</v>
      </c>
      <c r="P449" t="s">
        <v>1237</v>
      </c>
      <c r="Q449">
        <v>1168</v>
      </c>
      <c r="R449">
        <v>1022.36</v>
      </c>
    </row>
    <row r="450" spans="2:18" hidden="1">
      <c r="B450" t="s">
        <v>1009</v>
      </c>
      <c r="C450" t="s">
        <v>1010</v>
      </c>
      <c r="D450" s="19">
        <v>587</v>
      </c>
      <c r="E450" s="19">
        <f t="shared" si="28"/>
        <v>19.566666666666666</v>
      </c>
      <c r="F450" s="5">
        <v>419.14</v>
      </c>
      <c r="I450" s="19">
        <f t="shared" si="29"/>
        <v>1174</v>
      </c>
      <c r="J450" t="b">
        <f t="shared" si="30"/>
        <v>1</v>
      </c>
      <c r="K450" s="4">
        <f t="shared" si="31"/>
        <v>-0.6429812606473595</v>
      </c>
      <c r="P450" t="s">
        <v>1377</v>
      </c>
      <c r="Q450">
        <v>660</v>
      </c>
      <c r="R450">
        <v>1099.67</v>
      </c>
    </row>
    <row r="451" spans="2:18" hidden="1">
      <c r="B451" t="s">
        <v>957</v>
      </c>
      <c r="C451" s="27" t="s">
        <v>958</v>
      </c>
      <c r="D451" s="19">
        <v>1035</v>
      </c>
      <c r="E451" s="19">
        <f t="shared" ref="E451:E514" si="32">D451/30</f>
        <v>34.5</v>
      </c>
      <c r="F451" s="5">
        <v>1192.51</v>
      </c>
      <c r="I451" s="19">
        <f t="shared" ref="I451:I514" si="33">IF((D451/30)&gt;100,D451*2,D451*2)</f>
        <v>2070</v>
      </c>
      <c r="J451" t="b">
        <f t="shared" si="30"/>
        <v>1</v>
      </c>
      <c r="K451" s="4">
        <f t="shared" si="31"/>
        <v>-0.42390821256038647</v>
      </c>
      <c r="P451" t="s">
        <v>1227</v>
      </c>
      <c r="Q451">
        <v>1341</v>
      </c>
      <c r="R451">
        <v>2691.33</v>
      </c>
    </row>
    <row r="452" spans="2:18" hidden="1">
      <c r="B452" t="s">
        <v>891</v>
      </c>
      <c r="C452" t="s">
        <v>892</v>
      </c>
      <c r="D452" s="19">
        <v>906</v>
      </c>
      <c r="E452" s="19">
        <f t="shared" si="32"/>
        <v>30.2</v>
      </c>
      <c r="F452" s="5">
        <v>746.5</v>
      </c>
      <c r="I452" s="19">
        <f t="shared" si="33"/>
        <v>1812</v>
      </c>
      <c r="J452" t="b">
        <f t="shared" si="30"/>
        <v>1</v>
      </c>
      <c r="K452" s="4">
        <f t="shared" si="31"/>
        <v>-0.58802428256070638</v>
      </c>
      <c r="P452" t="s">
        <v>1289</v>
      </c>
      <c r="Q452">
        <v>3129</v>
      </c>
      <c r="R452">
        <v>2951.94</v>
      </c>
    </row>
    <row r="453" spans="2:18" hidden="1">
      <c r="B453" t="s">
        <v>941</v>
      </c>
      <c r="C453" t="s">
        <v>942</v>
      </c>
      <c r="D453" s="19">
        <v>421</v>
      </c>
      <c r="E453" s="19">
        <f t="shared" si="32"/>
        <v>14.033333333333333</v>
      </c>
      <c r="F453" s="5">
        <v>216</v>
      </c>
      <c r="I453" s="19">
        <f t="shared" si="33"/>
        <v>842</v>
      </c>
      <c r="J453" t="b">
        <f t="shared" si="30"/>
        <v>1</v>
      </c>
      <c r="K453" s="4">
        <f t="shared" si="31"/>
        <v>-0.74346793349168649</v>
      </c>
      <c r="P453" t="s">
        <v>1399</v>
      </c>
      <c r="Q453">
        <v>3780</v>
      </c>
      <c r="R453">
        <v>6358.12</v>
      </c>
    </row>
    <row r="454" spans="2:18" hidden="1">
      <c r="B454" t="s">
        <v>883</v>
      </c>
      <c r="C454" s="27" t="s">
        <v>884</v>
      </c>
      <c r="D454" s="19">
        <v>633</v>
      </c>
      <c r="E454" s="19">
        <f t="shared" si="32"/>
        <v>21.1</v>
      </c>
      <c r="F454" s="5">
        <v>254.13</v>
      </c>
      <c r="I454" s="19">
        <f t="shared" si="33"/>
        <v>1266</v>
      </c>
      <c r="J454" t="b">
        <f t="shared" si="30"/>
        <v>1</v>
      </c>
      <c r="K454" s="4">
        <f t="shared" si="31"/>
        <v>-0.79926540284360192</v>
      </c>
      <c r="P454" t="s">
        <v>1148</v>
      </c>
      <c r="Q454">
        <v>4424</v>
      </c>
      <c r="R454">
        <v>4518.8</v>
      </c>
    </row>
    <row r="455" spans="2:18" hidden="1">
      <c r="B455" t="s">
        <v>1110</v>
      </c>
      <c r="C455" t="s">
        <v>1111</v>
      </c>
      <c r="D455" s="19">
        <v>17</v>
      </c>
      <c r="E455" s="19">
        <f t="shared" si="32"/>
        <v>0.56666666666666665</v>
      </c>
      <c r="F455" s="5">
        <v>10.65</v>
      </c>
      <c r="I455" s="19">
        <f t="shared" si="33"/>
        <v>34</v>
      </c>
      <c r="J455" t="b">
        <f t="shared" si="30"/>
        <v>1</v>
      </c>
      <c r="K455" s="4">
        <f t="shared" si="31"/>
        <v>-0.68676470588235294</v>
      </c>
      <c r="P455" t="s">
        <v>1195</v>
      </c>
      <c r="Q455">
        <v>910</v>
      </c>
      <c r="R455">
        <v>2003.82</v>
      </c>
    </row>
    <row r="456" spans="2:18" hidden="1">
      <c r="B456" t="s">
        <v>889</v>
      </c>
      <c r="C456" t="s">
        <v>890</v>
      </c>
      <c r="D456" s="19">
        <v>1419</v>
      </c>
      <c r="E456" s="19">
        <f t="shared" si="32"/>
        <v>47.3</v>
      </c>
      <c r="F456" s="5">
        <v>832.82</v>
      </c>
      <c r="I456" s="19">
        <f t="shared" si="33"/>
        <v>2838</v>
      </c>
      <c r="J456" t="b">
        <f t="shared" si="30"/>
        <v>1</v>
      </c>
      <c r="K456" s="4">
        <f t="shared" si="31"/>
        <v>-0.70654686398872446</v>
      </c>
    </row>
    <row r="457" spans="2:18" hidden="1">
      <c r="B457" t="s">
        <v>920</v>
      </c>
      <c r="C457" t="s">
        <v>921</v>
      </c>
      <c r="D457" s="19">
        <v>1284</v>
      </c>
      <c r="E457" s="19">
        <f t="shared" si="32"/>
        <v>42.8</v>
      </c>
      <c r="F457" s="5">
        <v>1038.3399999999999</v>
      </c>
      <c r="I457" s="19">
        <f t="shared" si="33"/>
        <v>2568</v>
      </c>
      <c r="J457" t="b">
        <f t="shared" si="30"/>
        <v>1</v>
      </c>
      <c r="K457" s="4">
        <f t="shared" si="31"/>
        <v>-0.59566199376947049</v>
      </c>
    </row>
    <row r="458" spans="2:18" hidden="1">
      <c r="B458" s="24" t="s">
        <v>951</v>
      </c>
      <c r="C458" s="23" t="s">
        <v>952</v>
      </c>
      <c r="D458" s="19">
        <v>884</v>
      </c>
      <c r="E458" s="19">
        <f t="shared" si="32"/>
        <v>29.466666666666665</v>
      </c>
      <c r="F458" s="5">
        <v>899.22</v>
      </c>
      <c r="I458" s="19">
        <f t="shared" si="33"/>
        <v>1768</v>
      </c>
      <c r="J458" t="b">
        <f t="shared" si="30"/>
        <v>1</v>
      </c>
      <c r="K458" s="4">
        <f t="shared" si="31"/>
        <v>-0.49139140271493209</v>
      </c>
    </row>
    <row r="459" spans="2:18" hidden="1">
      <c r="B459" t="s">
        <v>865</v>
      </c>
      <c r="C459" t="s">
        <v>866</v>
      </c>
      <c r="D459" s="19">
        <v>1138</v>
      </c>
      <c r="E459" s="19">
        <f t="shared" si="32"/>
        <v>37.93333333333333</v>
      </c>
      <c r="F459" s="5">
        <v>408.46</v>
      </c>
      <c r="I459" s="19">
        <f t="shared" si="33"/>
        <v>2276</v>
      </c>
      <c r="J459" t="b">
        <f t="shared" si="30"/>
        <v>1</v>
      </c>
      <c r="K459" s="4">
        <f t="shared" si="31"/>
        <v>-0.82053602811950788</v>
      </c>
    </row>
    <row r="460" spans="2:18" hidden="1">
      <c r="B460" t="s">
        <v>845</v>
      </c>
      <c r="C460" t="s">
        <v>846</v>
      </c>
      <c r="D460" s="19">
        <v>1002</v>
      </c>
      <c r="E460" s="19">
        <f t="shared" si="32"/>
        <v>33.4</v>
      </c>
      <c r="F460" s="5">
        <v>405.98</v>
      </c>
      <c r="I460" s="19">
        <f t="shared" si="33"/>
        <v>2004</v>
      </c>
      <c r="J460" t="b">
        <f t="shared" si="30"/>
        <v>1</v>
      </c>
      <c r="K460" s="4">
        <f t="shared" si="31"/>
        <v>-0.7974151696606786</v>
      </c>
    </row>
    <row r="461" spans="2:18" hidden="1">
      <c r="B461" t="s">
        <v>1027</v>
      </c>
      <c r="C461" t="s">
        <v>1028</v>
      </c>
      <c r="D461" s="19">
        <v>498</v>
      </c>
      <c r="E461" s="19">
        <f t="shared" si="32"/>
        <v>16.600000000000001</v>
      </c>
      <c r="F461" s="5">
        <v>134.27000000000001</v>
      </c>
      <c r="I461" s="19">
        <f t="shared" si="33"/>
        <v>996</v>
      </c>
      <c r="J461" t="b">
        <f t="shared" si="30"/>
        <v>1</v>
      </c>
      <c r="K461" s="4">
        <f t="shared" si="31"/>
        <v>-0.86519076305220888</v>
      </c>
    </row>
    <row r="462" spans="2:18" hidden="1">
      <c r="B462" t="s">
        <v>1097</v>
      </c>
      <c r="C462" t="s">
        <v>1098</v>
      </c>
      <c r="D462" s="19">
        <v>3015</v>
      </c>
      <c r="E462" s="19">
        <f t="shared" si="32"/>
        <v>100.5</v>
      </c>
      <c r="F462" s="5">
        <v>2194.42</v>
      </c>
      <c r="I462" s="19">
        <f t="shared" si="33"/>
        <v>6030</v>
      </c>
      <c r="J462" t="b">
        <f t="shared" si="30"/>
        <v>1</v>
      </c>
      <c r="K462" s="4">
        <f t="shared" si="31"/>
        <v>-0.63608291873963507</v>
      </c>
    </row>
    <row r="463" spans="2:18" hidden="1">
      <c r="B463" t="s">
        <v>932</v>
      </c>
      <c r="C463" t="s">
        <v>933</v>
      </c>
      <c r="D463" s="19">
        <v>609</v>
      </c>
      <c r="E463" s="19">
        <f t="shared" si="32"/>
        <v>20.3</v>
      </c>
      <c r="F463" s="5">
        <v>118.47</v>
      </c>
      <c r="I463" s="19">
        <f t="shared" si="33"/>
        <v>1218</v>
      </c>
      <c r="J463" t="b">
        <f t="shared" si="30"/>
        <v>1</v>
      </c>
      <c r="K463" s="4">
        <f t="shared" si="31"/>
        <v>-0.90273399014778322</v>
      </c>
    </row>
    <row r="464" spans="2:18" hidden="1">
      <c r="B464" t="s">
        <v>824</v>
      </c>
      <c r="C464" t="s">
        <v>825</v>
      </c>
      <c r="D464" s="19">
        <v>1088</v>
      </c>
      <c r="E464" s="19">
        <f t="shared" si="32"/>
        <v>36.266666666666666</v>
      </c>
      <c r="F464" s="5">
        <v>1009.35</v>
      </c>
      <c r="I464" s="19">
        <f t="shared" si="33"/>
        <v>2176</v>
      </c>
      <c r="J464" t="b">
        <f t="shared" si="30"/>
        <v>1</v>
      </c>
      <c r="K464" s="4">
        <f t="shared" si="31"/>
        <v>-0.53614430147058822</v>
      </c>
    </row>
    <row r="465" spans="2:11" hidden="1">
      <c r="B465" t="s">
        <v>1074</v>
      </c>
      <c r="C465" t="s">
        <v>1075</v>
      </c>
      <c r="D465" s="19">
        <v>859</v>
      </c>
      <c r="E465" s="19">
        <f t="shared" si="32"/>
        <v>28.633333333333333</v>
      </c>
      <c r="F465" s="5">
        <v>795.96</v>
      </c>
      <c r="I465" s="19">
        <f t="shared" si="33"/>
        <v>1718</v>
      </c>
      <c r="J465" t="b">
        <f t="shared" si="30"/>
        <v>1</v>
      </c>
      <c r="K465" s="4">
        <f t="shared" si="31"/>
        <v>-0.53669383003492432</v>
      </c>
    </row>
    <row r="466" spans="2:11" hidden="1">
      <c r="B466" t="s">
        <v>961</v>
      </c>
      <c r="C466" t="s">
        <v>962</v>
      </c>
      <c r="D466" s="19">
        <v>605</v>
      </c>
      <c r="E466" s="19">
        <f t="shared" si="32"/>
        <v>20.166666666666668</v>
      </c>
      <c r="F466" s="5">
        <v>289.64999999999998</v>
      </c>
      <c r="I466" s="19">
        <f t="shared" si="33"/>
        <v>1210</v>
      </c>
      <c r="J466" t="b">
        <f t="shared" si="30"/>
        <v>1</v>
      </c>
      <c r="K466" s="4">
        <f t="shared" si="31"/>
        <v>-0.76061983471074379</v>
      </c>
    </row>
    <row r="467" spans="2:11" hidden="1">
      <c r="B467" t="s">
        <v>1078</v>
      </c>
      <c r="C467" t="s">
        <v>1079</v>
      </c>
      <c r="D467" s="19">
        <v>924</v>
      </c>
      <c r="E467" s="19">
        <f t="shared" si="32"/>
        <v>30.8</v>
      </c>
      <c r="F467" s="5">
        <v>799.84</v>
      </c>
      <c r="I467" s="19">
        <f t="shared" si="33"/>
        <v>1848</v>
      </c>
      <c r="J467" t="b">
        <f t="shared" si="30"/>
        <v>1</v>
      </c>
      <c r="K467" s="4">
        <f t="shared" si="31"/>
        <v>-0.56718614718614724</v>
      </c>
    </row>
    <row r="468" spans="2:11" hidden="1">
      <c r="B468" t="s">
        <v>1045</v>
      </c>
      <c r="C468" t="s">
        <v>1046</v>
      </c>
      <c r="D468" s="19">
        <v>836</v>
      </c>
      <c r="E468" s="19">
        <f t="shared" si="32"/>
        <v>27.866666666666667</v>
      </c>
      <c r="F468" s="5">
        <v>816.43</v>
      </c>
      <c r="I468" s="19">
        <f t="shared" si="33"/>
        <v>1672</v>
      </c>
      <c r="J468" t="b">
        <f t="shared" si="30"/>
        <v>1</v>
      </c>
      <c r="K468" s="4">
        <f t="shared" si="31"/>
        <v>-0.51170454545454547</v>
      </c>
    </row>
    <row r="469" spans="2:11" hidden="1">
      <c r="B469" t="s">
        <v>1058</v>
      </c>
      <c r="C469" t="s">
        <v>1059</v>
      </c>
      <c r="D469" s="19">
        <v>1260</v>
      </c>
      <c r="E469" s="19">
        <f t="shared" si="32"/>
        <v>42</v>
      </c>
      <c r="F469" s="5">
        <v>1513.97</v>
      </c>
      <c r="I469" s="19">
        <f t="shared" si="33"/>
        <v>2520</v>
      </c>
      <c r="J469" t="b">
        <f t="shared" si="30"/>
        <v>1</v>
      </c>
      <c r="K469" s="4">
        <f t="shared" si="31"/>
        <v>-0.39921825396825394</v>
      </c>
    </row>
    <row r="470" spans="2:11" hidden="1">
      <c r="B470" t="s">
        <v>1017</v>
      </c>
      <c r="C470" t="s">
        <v>1018</v>
      </c>
      <c r="D470" s="19">
        <v>321</v>
      </c>
      <c r="E470" s="19">
        <f t="shared" si="32"/>
        <v>10.7</v>
      </c>
      <c r="F470" s="5">
        <v>347.09</v>
      </c>
      <c r="I470" s="19">
        <f t="shared" si="33"/>
        <v>642</v>
      </c>
      <c r="J470" t="b">
        <f t="shared" si="30"/>
        <v>1</v>
      </c>
      <c r="K470" s="4">
        <f t="shared" si="31"/>
        <v>-0.45936137071651095</v>
      </c>
    </row>
    <row r="471" spans="2:11" hidden="1">
      <c r="B471" t="s">
        <v>1062</v>
      </c>
      <c r="C471" t="s">
        <v>1063</v>
      </c>
      <c r="D471" s="19">
        <v>1399</v>
      </c>
      <c r="E471" s="19">
        <f t="shared" si="32"/>
        <v>46.633333333333333</v>
      </c>
      <c r="F471" s="5">
        <v>1363.17</v>
      </c>
      <c r="I471" s="19">
        <f t="shared" si="33"/>
        <v>2798</v>
      </c>
      <c r="J471" t="b">
        <f t="shared" si="30"/>
        <v>1</v>
      </c>
      <c r="K471" s="4">
        <f t="shared" si="31"/>
        <v>-0.51280557541100791</v>
      </c>
    </row>
    <row r="472" spans="2:11" hidden="1">
      <c r="B472" t="s">
        <v>1087</v>
      </c>
      <c r="C472" t="s">
        <v>1088</v>
      </c>
      <c r="D472" s="19">
        <v>1533</v>
      </c>
      <c r="E472" s="19">
        <f t="shared" si="32"/>
        <v>51.1</v>
      </c>
      <c r="F472" s="5">
        <v>502.42</v>
      </c>
      <c r="I472" s="19">
        <f t="shared" si="33"/>
        <v>3066</v>
      </c>
      <c r="J472" t="b">
        <f t="shared" si="30"/>
        <v>1</v>
      </c>
      <c r="K472" s="4">
        <f t="shared" si="31"/>
        <v>-0.83613176777560339</v>
      </c>
    </row>
    <row r="473" spans="2:11" hidden="1">
      <c r="B473" t="s">
        <v>1072</v>
      </c>
      <c r="C473" t="s">
        <v>1073</v>
      </c>
      <c r="D473" s="19">
        <v>757</v>
      </c>
      <c r="E473" s="19">
        <f t="shared" si="32"/>
        <v>25.233333333333334</v>
      </c>
      <c r="F473" s="5">
        <v>588.66</v>
      </c>
      <c r="I473" s="19">
        <f t="shared" si="33"/>
        <v>1514</v>
      </c>
      <c r="J473" t="b">
        <f t="shared" si="30"/>
        <v>1</v>
      </c>
      <c r="K473" s="4">
        <f t="shared" si="31"/>
        <v>-0.61118890356671074</v>
      </c>
    </row>
    <row r="474" spans="2:11" hidden="1">
      <c r="B474" t="s">
        <v>983</v>
      </c>
      <c r="C474" t="s">
        <v>984</v>
      </c>
      <c r="D474" s="19">
        <v>766</v>
      </c>
      <c r="E474" s="19">
        <f t="shared" si="32"/>
        <v>25.533333333333335</v>
      </c>
      <c r="F474" s="5">
        <v>622.55999999999995</v>
      </c>
      <c r="I474" s="19">
        <f t="shared" si="33"/>
        <v>1532</v>
      </c>
      <c r="J474" t="b">
        <f t="shared" si="30"/>
        <v>1</v>
      </c>
      <c r="K474" s="4">
        <f t="shared" si="31"/>
        <v>-0.59362924281984331</v>
      </c>
    </row>
    <row r="475" spans="2:11" hidden="1">
      <c r="B475" t="s">
        <v>831</v>
      </c>
      <c r="C475" t="s">
        <v>832</v>
      </c>
      <c r="D475" s="19">
        <v>1619</v>
      </c>
      <c r="E475" s="19">
        <f t="shared" si="32"/>
        <v>53.966666666666669</v>
      </c>
      <c r="F475" s="5">
        <v>2344.86</v>
      </c>
      <c r="I475" s="19">
        <f t="shared" si="33"/>
        <v>3238</v>
      </c>
      <c r="J475" t="b">
        <f t="shared" si="30"/>
        <v>1</v>
      </c>
      <c r="K475" s="4">
        <f t="shared" si="31"/>
        <v>-0.27583075972822724</v>
      </c>
    </row>
    <row r="476" spans="2:11" hidden="1">
      <c r="B476" s="54" t="s">
        <v>1013</v>
      </c>
      <c r="C476" s="37" t="s">
        <v>1014</v>
      </c>
      <c r="D476">
        <v>89</v>
      </c>
      <c r="E476" s="19">
        <f t="shared" si="32"/>
        <v>2.9666666666666668</v>
      </c>
      <c r="F476" s="5">
        <v>0</v>
      </c>
      <c r="I476" s="19">
        <f t="shared" si="33"/>
        <v>178</v>
      </c>
      <c r="J476" t="b">
        <f t="shared" si="30"/>
        <v>1</v>
      </c>
      <c r="K476" s="4">
        <f t="shared" si="31"/>
        <v>-1</v>
      </c>
    </row>
    <row r="477" spans="2:11" hidden="1">
      <c r="B477" s="130" t="s">
        <v>1038</v>
      </c>
      <c r="C477" s="37" t="s">
        <v>1039</v>
      </c>
      <c r="D477">
        <v>261</v>
      </c>
      <c r="E477" s="19">
        <f t="shared" si="32"/>
        <v>8.6999999999999993</v>
      </c>
      <c r="F477" s="5">
        <v>275.56</v>
      </c>
      <c r="I477" s="19">
        <f t="shared" si="33"/>
        <v>522</v>
      </c>
      <c r="J477" t="b">
        <f t="shared" si="30"/>
        <v>1</v>
      </c>
      <c r="K477" s="4">
        <f t="shared" si="31"/>
        <v>-0.47210727969348654</v>
      </c>
    </row>
    <row r="478" spans="2:11" hidden="1">
      <c r="B478" t="s">
        <v>835</v>
      </c>
      <c r="C478" t="s">
        <v>836</v>
      </c>
      <c r="D478" s="19">
        <v>2251</v>
      </c>
      <c r="E478" s="19">
        <f t="shared" si="32"/>
        <v>75.033333333333331</v>
      </c>
      <c r="F478" s="5">
        <v>2929.85</v>
      </c>
      <c r="I478" s="19">
        <f t="shared" si="33"/>
        <v>4502</v>
      </c>
      <c r="J478" t="b">
        <f t="shared" si="30"/>
        <v>1</v>
      </c>
      <c r="K478" s="4">
        <f t="shared" si="31"/>
        <v>-0.34921146157263439</v>
      </c>
    </row>
    <row r="479" spans="2:11" hidden="1">
      <c r="B479" t="s">
        <v>899</v>
      </c>
      <c r="C479" t="s">
        <v>900</v>
      </c>
      <c r="D479" s="19">
        <v>739</v>
      </c>
      <c r="E479" s="19">
        <f t="shared" si="32"/>
        <v>24.633333333333333</v>
      </c>
      <c r="F479" s="5">
        <v>463.14</v>
      </c>
      <c r="I479" s="19">
        <f t="shared" si="33"/>
        <v>1478</v>
      </c>
      <c r="J479" t="b">
        <f t="shared" si="30"/>
        <v>1</v>
      </c>
      <c r="K479" s="4">
        <f t="shared" si="31"/>
        <v>-0.68664411366711775</v>
      </c>
    </row>
    <row r="480" spans="2:11" hidden="1">
      <c r="B480" t="s">
        <v>895</v>
      </c>
      <c r="C480" t="s">
        <v>896</v>
      </c>
      <c r="D480" s="19">
        <v>1505</v>
      </c>
      <c r="E480" s="19">
        <f t="shared" si="32"/>
        <v>50.166666666666664</v>
      </c>
      <c r="F480" s="5">
        <v>745.23</v>
      </c>
      <c r="I480" s="19">
        <f t="shared" si="33"/>
        <v>3010</v>
      </c>
      <c r="J480" t="b">
        <f t="shared" si="30"/>
        <v>1</v>
      </c>
      <c r="K480" s="4">
        <f t="shared" si="31"/>
        <v>-0.7524152823920266</v>
      </c>
    </row>
    <row r="481" spans="2:11" hidden="1">
      <c r="B481" s="27" t="s">
        <v>867</v>
      </c>
      <c r="C481" s="27" t="s">
        <v>868</v>
      </c>
      <c r="D481" s="19">
        <v>793</v>
      </c>
      <c r="E481" s="19">
        <f t="shared" si="32"/>
        <v>26.433333333333334</v>
      </c>
      <c r="F481" s="5">
        <v>1251.94</v>
      </c>
      <c r="I481" s="19">
        <f t="shared" si="33"/>
        <v>1586</v>
      </c>
      <c r="J481" t="b">
        <f t="shared" si="30"/>
        <v>1</v>
      </c>
      <c r="K481" s="4">
        <f t="shared" si="31"/>
        <v>-0.21063051702395963</v>
      </c>
    </row>
    <row r="482" spans="2:11" hidden="1">
      <c r="B482" s="5" t="s">
        <v>1001</v>
      </c>
      <c r="C482" t="s">
        <v>1002</v>
      </c>
      <c r="D482" s="19">
        <v>901</v>
      </c>
      <c r="E482" s="19">
        <f t="shared" si="32"/>
        <v>30.033333333333335</v>
      </c>
      <c r="F482" s="5">
        <v>926.17</v>
      </c>
      <c r="I482" s="19">
        <f t="shared" si="33"/>
        <v>1802</v>
      </c>
      <c r="J482" t="b">
        <f t="shared" si="30"/>
        <v>1</v>
      </c>
      <c r="K482" s="4">
        <f t="shared" si="31"/>
        <v>-0.48603218645948942</v>
      </c>
    </row>
    <row r="483" spans="2:11" hidden="1">
      <c r="B483" t="s">
        <v>1066</v>
      </c>
      <c r="C483" t="s">
        <v>1067</v>
      </c>
      <c r="D483" s="19">
        <v>176</v>
      </c>
      <c r="E483" s="19">
        <f t="shared" si="32"/>
        <v>5.8666666666666663</v>
      </c>
      <c r="F483" s="5">
        <v>2.58</v>
      </c>
      <c r="I483" s="19">
        <f t="shared" si="33"/>
        <v>352</v>
      </c>
      <c r="J483" t="b">
        <f t="shared" si="30"/>
        <v>1</v>
      </c>
      <c r="K483" s="4">
        <f t="shared" si="31"/>
        <v>-0.99267045454545455</v>
      </c>
    </row>
    <row r="484" spans="2:11" hidden="1">
      <c r="B484" s="5" t="s">
        <v>926</v>
      </c>
      <c r="C484" s="27" t="s">
        <v>927</v>
      </c>
      <c r="D484" s="19">
        <v>651</v>
      </c>
      <c r="E484" s="19">
        <f t="shared" si="32"/>
        <v>21.7</v>
      </c>
      <c r="F484" s="5">
        <v>293.91000000000003</v>
      </c>
      <c r="I484" s="19">
        <f t="shared" si="33"/>
        <v>1302</v>
      </c>
      <c r="J484" t="b">
        <f t="shared" si="30"/>
        <v>1</v>
      </c>
      <c r="K484" s="4">
        <f t="shared" si="31"/>
        <v>-0.77426267281105987</v>
      </c>
    </row>
    <row r="485" spans="2:11" hidden="1">
      <c r="B485" t="s">
        <v>1116</v>
      </c>
      <c r="C485" t="s">
        <v>1117</v>
      </c>
      <c r="D485" s="19">
        <v>1069</v>
      </c>
      <c r="E485" s="19">
        <f t="shared" si="32"/>
        <v>35.633333333333333</v>
      </c>
      <c r="F485" s="5">
        <v>1221.76</v>
      </c>
      <c r="I485" s="19">
        <f t="shared" si="33"/>
        <v>2138</v>
      </c>
      <c r="J485" t="b">
        <f t="shared" si="30"/>
        <v>1</v>
      </c>
      <c r="K485" s="4">
        <f t="shared" si="31"/>
        <v>-0.42855004677268471</v>
      </c>
    </row>
    <row r="486" spans="2:11" hidden="1">
      <c r="B486" t="s">
        <v>1095</v>
      </c>
      <c r="C486" t="s">
        <v>1096</v>
      </c>
      <c r="D486" s="19">
        <v>1243</v>
      </c>
      <c r="E486" s="19">
        <f t="shared" si="32"/>
        <v>41.43333333333333</v>
      </c>
      <c r="F486" s="5">
        <v>888.21</v>
      </c>
      <c r="I486" s="19">
        <f t="shared" si="33"/>
        <v>2486</v>
      </c>
      <c r="J486" t="b">
        <f t="shared" si="30"/>
        <v>1</v>
      </c>
      <c r="K486" s="4">
        <f t="shared" si="31"/>
        <v>-0.6427152051488334</v>
      </c>
    </row>
    <row r="487" spans="2:11" hidden="1">
      <c r="B487" t="s">
        <v>1106</v>
      </c>
      <c r="C487" t="s">
        <v>1107</v>
      </c>
      <c r="D487" s="19">
        <v>446</v>
      </c>
      <c r="E487" s="19">
        <f t="shared" si="32"/>
        <v>14.866666666666667</v>
      </c>
      <c r="F487" s="5">
        <v>431.36</v>
      </c>
      <c r="I487" s="19">
        <f t="shared" si="33"/>
        <v>892</v>
      </c>
      <c r="J487" t="b">
        <f t="shared" si="30"/>
        <v>1</v>
      </c>
      <c r="K487" s="4">
        <f t="shared" si="31"/>
        <v>-0.51641255605381164</v>
      </c>
    </row>
    <row r="488" spans="2:11" hidden="1">
      <c r="B488" t="s">
        <v>903</v>
      </c>
      <c r="C488" t="s">
        <v>904</v>
      </c>
      <c r="D488" s="19">
        <v>551</v>
      </c>
      <c r="E488" s="19">
        <f t="shared" si="32"/>
        <v>18.366666666666667</v>
      </c>
      <c r="F488" s="5">
        <v>300.38</v>
      </c>
      <c r="I488" s="19">
        <f t="shared" si="33"/>
        <v>1102</v>
      </c>
      <c r="J488" t="b">
        <f t="shared" si="30"/>
        <v>1</v>
      </c>
      <c r="K488" s="4">
        <f t="shared" si="31"/>
        <v>-0.72742286751361163</v>
      </c>
    </row>
    <row r="489" spans="2:11" hidden="1">
      <c r="B489" t="s">
        <v>860</v>
      </c>
      <c r="C489" t="s">
        <v>861</v>
      </c>
      <c r="D489" s="19">
        <v>2790</v>
      </c>
      <c r="E489" s="19">
        <f>D489/30</f>
        <v>93</v>
      </c>
      <c r="F489" s="5">
        <v>1924.04</v>
      </c>
      <c r="I489" s="19">
        <f t="shared" si="33"/>
        <v>5580</v>
      </c>
      <c r="J489" t="b">
        <f t="shared" si="30"/>
        <v>1</v>
      </c>
      <c r="K489" s="4">
        <f t="shared" si="31"/>
        <v>-0.65518996415770614</v>
      </c>
    </row>
    <row r="490" spans="2:11" hidden="1">
      <c r="B490" s="27" t="s">
        <v>1011</v>
      </c>
      <c r="C490" s="37" t="s">
        <v>1012</v>
      </c>
      <c r="D490" s="19">
        <v>950</v>
      </c>
      <c r="E490" s="19">
        <f t="shared" si="32"/>
        <v>31.666666666666668</v>
      </c>
      <c r="F490" s="5">
        <v>1279.29</v>
      </c>
      <c r="I490" s="19">
        <f t="shared" si="33"/>
        <v>1900</v>
      </c>
      <c r="J490" t="b">
        <f t="shared" si="30"/>
        <v>1</v>
      </c>
      <c r="K490" s="4">
        <f t="shared" si="31"/>
        <v>-0.32668947368421053</v>
      </c>
    </row>
    <row r="491" spans="2:11" hidden="1">
      <c r="B491" s="130" t="s">
        <v>820</v>
      </c>
      <c r="C491" s="37" t="s">
        <v>821</v>
      </c>
      <c r="D491">
        <v>1454</v>
      </c>
      <c r="E491" s="19">
        <f t="shared" si="32"/>
        <v>48.466666666666669</v>
      </c>
      <c r="F491" s="5">
        <v>1188.71</v>
      </c>
      <c r="I491" s="19">
        <f t="shared" si="33"/>
        <v>2908</v>
      </c>
      <c r="J491" t="b">
        <f t="shared" ref="J491:J554" si="34">IF(F491&gt;1.2*I491,FALSE,TRUE)</f>
        <v>1</v>
      </c>
      <c r="K491" s="4">
        <f t="shared" ref="K491:K554" si="35">F491/I491-1</f>
        <v>-0.59122764786795046</v>
      </c>
    </row>
    <row r="492" spans="2:11" hidden="1">
      <c r="B492" s="24" t="s">
        <v>1125</v>
      </c>
      <c r="C492" s="23" t="s">
        <v>1126</v>
      </c>
      <c r="D492" s="19">
        <v>1665</v>
      </c>
      <c r="E492" s="19">
        <f t="shared" si="32"/>
        <v>55.5</v>
      </c>
      <c r="F492" s="5">
        <v>2259.4299999999998</v>
      </c>
      <c r="I492" s="19">
        <f t="shared" si="33"/>
        <v>3330</v>
      </c>
      <c r="J492" t="b">
        <f t="shared" si="34"/>
        <v>1</v>
      </c>
      <c r="K492" s="4">
        <f t="shared" si="35"/>
        <v>-0.32149249249249257</v>
      </c>
    </row>
    <row r="493" spans="2:11" hidden="1">
      <c r="B493" s="27" t="s">
        <v>1133</v>
      </c>
      <c r="C493" s="27" t="s">
        <v>1134</v>
      </c>
      <c r="D493" s="19">
        <v>4083</v>
      </c>
      <c r="E493" s="19">
        <f t="shared" si="32"/>
        <v>136.1</v>
      </c>
      <c r="F493" s="5">
        <v>3125.45</v>
      </c>
      <c r="I493" s="19">
        <f t="shared" si="33"/>
        <v>8166</v>
      </c>
      <c r="J493" t="b">
        <f t="shared" si="34"/>
        <v>1</v>
      </c>
      <c r="K493" s="4">
        <f t="shared" si="35"/>
        <v>-0.61726059270144507</v>
      </c>
    </row>
    <row r="494" spans="2:11" hidden="1">
      <c r="B494" s="24" t="s">
        <v>1064</v>
      </c>
      <c r="C494" s="23" t="s">
        <v>1065</v>
      </c>
      <c r="D494" s="19">
        <v>1024</v>
      </c>
      <c r="E494" s="19">
        <f t="shared" si="32"/>
        <v>34.133333333333333</v>
      </c>
      <c r="F494" s="5">
        <v>925.44</v>
      </c>
      <c r="I494" s="19">
        <f t="shared" si="33"/>
        <v>2048</v>
      </c>
      <c r="J494" t="b">
        <f t="shared" si="34"/>
        <v>1</v>
      </c>
      <c r="K494" s="4">
        <f t="shared" si="35"/>
        <v>-0.54812499999999997</v>
      </c>
    </row>
    <row r="495" spans="2:11" hidden="1">
      <c r="B495" t="s">
        <v>1005</v>
      </c>
      <c r="C495" t="s">
        <v>1006</v>
      </c>
      <c r="D495" s="19">
        <v>1583</v>
      </c>
      <c r="E495" s="19">
        <f t="shared" si="32"/>
        <v>52.766666666666666</v>
      </c>
      <c r="F495" s="5">
        <v>1128.21</v>
      </c>
      <c r="I495" s="19">
        <f t="shared" si="33"/>
        <v>3166</v>
      </c>
      <c r="J495" t="b">
        <f t="shared" si="34"/>
        <v>1</v>
      </c>
      <c r="K495" s="4">
        <f t="shared" si="35"/>
        <v>-0.64364813644977881</v>
      </c>
    </row>
    <row r="496" spans="2:11" hidden="1">
      <c r="B496" t="s">
        <v>905</v>
      </c>
      <c r="C496" t="s">
        <v>906</v>
      </c>
      <c r="D496" s="19">
        <v>570</v>
      </c>
      <c r="E496" s="19">
        <f t="shared" si="32"/>
        <v>19</v>
      </c>
      <c r="F496" s="5">
        <v>143.51</v>
      </c>
      <c r="I496" s="19">
        <f t="shared" si="33"/>
        <v>1140</v>
      </c>
      <c r="J496" t="b">
        <f t="shared" si="34"/>
        <v>1</v>
      </c>
      <c r="K496" s="4">
        <f t="shared" si="35"/>
        <v>-0.87411403508771934</v>
      </c>
    </row>
    <row r="497" spans="2:11" hidden="1">
      <c r="B497" t="s">
        <v>912</v>
      </c>
      <c r="C497" t="s">
        <v>913</v>
      </c>
      <c r="D497" s="19">
        <v>693</v>
      </c>
      <c r="E497" s="19">
        <f t="shared" si="32"/>
        <v>23.1</v>
      </c>
      <c r="F497" s="5">
        <v>451.39</v>
      </c>
      <c r="I497" s="19">
        <f t="shared" si="33"/>
        <v>1386</v>
      </c>
      <c r="J497" t="b">
        <f t="shared" si="34"/>
        <v>1</v>
      </c>
      <c r="K497" s="4">
        <f t="shared" si="35"/>
        <v>-0.67432178932178932</v>
      </c>
    </row>
    <row r="498" spans="2:11" hidden="1">
      <c r="B498" t="s">
        <v>851</v>
      </c>
      <c r="C498" t="s">
        <v>852</v>
      </c>
      <c r="D498" s="19">
        <v>859</v>
      </c>
      <c r="E498" s="19">
        <f t="shared" si="32"/>
        <v>28.633333333333333</v>
      </c>
      <c r="F498" s="5">
        <v>1170.46</v>
      </c>
      <c r="I498" s="19">
        <f t="shared" si="33"/>
        <v>1718</v>
      </c>
      <c r="J498" t="b">
        <f t="shared" si="34"/>
        <v>1</v>
      </c>
      <c r="K498" s="4">
        <f t="shared" si="35"/>
        <v>-0.31870779976717112</v>
      </c>
    </row>
    <row r="499" spans="2:11" hidden="1">
      <c r="B499" s="130" t="s">
        <v>1089</v>
      </c>
      <c r="C499" s="37" t="s">
        <v>1090</v>
      </c>
      <c r="D499">
        <v>1547</v>
      </c>
      <c r="E499" s="19">
        <f t="shared" si="32"/>
        <v>51.56666666666667</v>
      </c>
      <c r="F499" s="5">
        <v>1827.67</v>
      </c>
      <c r="I499" s="19">
        <f t="shared" si="33"/>
        <v>3094</v>
      </c>
      <c r="J499" t="b">
        <f t="shared" si="34"/>
        <v>1</v>
      </c>
      <c r="K499" s="4">
        <f t="shared" si="35"/>
        <v>-0.40928571428571425</v>
      </c>
    </row>
    <row r="500" spans="2:11" hidden="1">
      <c r="B500" s="37" t="s">
        <v>914</v>
      </c>
      <c r="C500" s="37" t="s">
        <v>915</v>
      </c>
      <c r="D500" s="19">
        <v>519</v>
      </c>
      <c r="E500" s="19">
        <f t="shared" si="32"/>
        <v>17.3</v>
      </c>
      <c r="F500" s="5">
        <v>122.89</v>
      </c>
      <c r="I500" s="19">
        <f t="shared" si="33"/>
        <v>1038</v>
      </c>
      <c r="J500" t="b">
        <f t="shared" si="34"/>
        <v>1</v>
      </c>
      <c r="K500" s="4">
        <f t="shared" si="35"/>
        <v>-0.88160886319845855</v>
      </c>
    </row>
    <row r="501" spans="2:11" hidden="1">
      <c r="B501" t="s">
        <v>843</v>
      </c>
      <c r="C501" t="s">
        <v>844</v>
      </c>
      <c r="D501" s="19">
        <v>1278</v>
      </c>
      <c r="E501" s="19">
        <f t="shared" si="32"/>
        <v>42.6</v>
      </c>
      <c r="F501" s="5">
        <v>1370.71</v>
      </c>
      <c r="I501" s="19">
        <f t="shared" si="33"/>
        <v>2556</v>
      </c>
      <c r="J501" t="b">
        <f t="shared" si="34"/>
        <v>1</v>
      </c>
      <c r="K501" s="4">
        <f t="shared" si="35"/>
        <v>-0.46372848200312988</v>
      </c>
    </row>
    <row r="502" spans="2:11" hidden="1">
      <c r="B502" t="s">
        <v>1118</v>
      </c>
      <c r="C502" t="s">
        <v>1119</v>
      </c>
      <c r="D502" s="19">
        <v>2871</v>
      </c>
      <c r="E502" s="19">
        <f t="shared" si="32"/>
        <v>95.7</v>
      </c>
      <c r="F502" s="5">
        <v>2305.13</v>
      </c>
      <c r="I502" s="19">
        <f t="shared" si="33"/>
        <v>5742</v>
      </c>
      <c r="J502" t="b">
        <f t="shared" si="34"/>
        <v>1</v>
      </c>
      <c r="K502" s="4">
        <f t="shared" si="35"/>
        <v>-0.59854928596307899</v>
      </c>
    </row>
    <row r="503" spans="2:11" hidden="1">
      <c r="B503" t="s">
        <v>818</v>
      </c>
      <c r="C503" t="s">
        <v>819</v>
      </c>
      <c r="D503" s="19">
        <v>9082</v>
      </c>
      <c r="E503" s="19">
        <f t="shared" si="32"/>
        <v>302.73333333333335</v>
      </c>
      <c r="F503" s="5">
        <v>656.53</v>
      </c>
      <c r="I503" s="19">
        <f t="shared" si="33"/>
        <v>18164</v>
      </c>
      <c r="J503" t="b">
        <f t="shared" si="34"/>
        <v>1</v>
      </c>
      <c r="K503" s="4">
        <f t="shared" si="35"/>
        <v>-0.96385542831975335</v>
      </c>
    </row>
    <row r="504" spans="2:11" hidden="1">
      <c r="B504" s="27" t="s">
        <v>1112</v>
      </c>
      <c r="C504" s="27" t="s">
        <v>1113</v>
      </c>
      <c r="D504" s="19">
        <v>731</v>
      </c>
      <c r="E504" s="19">
        <f t="shared" si="32"/>
        <v>24.366666666666667</v>
      </c>
      <c r="F504" s="5">
        <v>1113.79</v>
      </c>
      <c r="I504" s="19">
        <f t="shared" si="33"/>
        <v>1462</v>
      </c>
      <c r="J504" t="b">
        <f t="shared" si="34"/>
        <v>1</v>
      </c>
      <c r="K504" s="4">
        <f t="shared" si="35"/>
        <v>-0.23817373461012314</v>
      </c>
    </row>
    <row r="505" spans="2:11" hidden="1">
      <c r="B505" t="s">
        <v>1123</v>
      </c>
      <c r="C505" t="s">
        <v>1124</v>
      </c>
      <c r="D505" s="19">
        <v>2795</v>
      </c>
      <c r="E505" s="19">
        <f t="shared" si="32"/>
        <v>93.166666666666671</v>
      </c>
      <c r="F505" s="5">
        <v>2824.41</v>
      </c>
      <c r="I505" s="19">
        <f t="shared" si="33"/>
        <v>5590</v>
      </c>
      <c r="J505" t="b">
        <f t="shared" si="34"/>
        <v>1</v>
      </c>
      <c r="K505" s="4">
        <f t="shared" si="35"/>
        <v>-0.49473881932021468</v>
      </c>
    </row>
    <row r="506" spans="2:11" hidden="1">
      <c r="B506" t="s">
        <v>901</v>
      </c>
      <c r="C506" t="s">
        <v>902</v>
      </c>
      <c r="D506" s="19">
        <v>1192</v>
      </c>
      <c r="E506" s="19">
        <f t="shared" si="32"/>
        <v>39.733333333333334</v>
      </c>
      <c r="F506" s="5">
        <v>1862.84</v>
      </c>
      <c r="I506" s="19">
        <f t="shared" si="33"/>
        <v>2384</v>
      </c>
      <c r="J506" t="b">
        <f t="shared" si="34"/>
        <v>1</v>
      </c>
      <c r="K506" s="4">
        <f t="shared" si="35"/>
        <v>-0.21860738255033563</v>
      </c>
    </row>
    <row r="507" spans="2:11" hidden="1">
      <c r="B507" s="54" t="s">
        <v>909</v>
      </c>
      <c r="C507" s="37" t="s">
        <v>910</v>
      </c>
      <c r="D507" s="19">
        <v>544</v>
      </c>
      <c r="E507" s="19">
        <f t="shared" si="32"/>
        <v>18.133333333333333</v>
      </c>
      <c r="F507" s="5">
        <v>1203.94</v>
      </c>
      <c r="I507" s="19">
        <f t="shared" si="33"/>
        <v>1088</v>
      </c>
      <c r="J507" t="b">
        <f t="shared" si="34"/>
        <v>1</v>
      </c>
      <c r="K507" s="4">
        <f t="shared" si="35"/>
        <v>0.10656250000000012</v>
      </c>
    </row>
    <row r="508" spans="2:11" hidden="1">
      <c r="B508" s="54" t="s">
        <v>1103</v>
      </c>
      <c r="C508" s="37" t="s">
        <v>1104</v>
      </c>
      <c r="D508" s="19">
        <v>769</v>
      </c>
      <c r="E508" s="19">
        <f t="shared" si="32"/>
        <v>25.633333333333333</v>
      </c>
      <c r="F508" s="5">
        <v>1538.44</v>
      </c>
      <c r="I508" s="19">
        <f t="shared" si="33"/>
        <v>1538</v>
      </c>
      <c r="J508" t="b">
        <f t="shared" si="34"/>
        <v>1</v>
      </c>
      <c r="K508" s="4">
        <f t="shared" si="35"/>
        <v>2.8608582574785046E-4</v>
      </c>
    </row>
    <row r="509" spans="2:11" hidden="1">
      <c r="B509" s="54" t="s">
        <v>928</v>
      </c>
      <c r="C509" s="37" t="s">
        <v>929</v>
      </c>
      <c r="D509" s="19">
        <v>522</v>
      </c>
      <c r="E509" s="19">
        <f t="shared" si="32"/>
        <v>17.399999999999999</v>
      </c>
      <c r="F509" s="5">
        <v>1072.75</v>
      </c>
      <c r="I509" s="19">
        <f t="shared" si="33"/>
        <v>1044</v>
      </c>
      <c r="J509" t="b">
        <f t="shared" si="34"/>
        <v>1</v>
      </c>
      <c r="K509" s="4">
        <f t="shared" si="35"/>
        <v>2.7538314176245304E-2</v>
      </c>
    </row>
    <row r="510" spans="2:11" hidden="1">
      <c r="B510" s="54" t="s">
        <v>839</v>
      </c>
      <c r="C510" s="37" t="s">
        <v>840</v>
      </c>
      <c r="D510" s="19">
        <v>682</v>
      </c>
      <c r="E510" s="19">
        <f t="shared" si="32"/>
        <v>22.733333333333334</v>
      </c>
      <c r="F510" s="5">
        <v>1178.6400000000001</v>
      </c>
      <c r="I510" s="19">
        <f t="shared" si="33"/>
        <v>1364</v>
      </c>
      <c r="J510" t="b">
        <f t="shared" si="34"/>
        <v>1</v>
      </c>
      <c r="K510" s="4">
        <f t="shared" si="35"/>
        <v>-0.13589442815249264</v>
      </c>
    </row>
    <row r="511" spans="2:11" hidden="1">
      <c r="B511" s="54" t="s">
        <v>837</v>
      </c>
      <c r="C511" s="37" t="s">
        <v>838</v>
      </c>
      <c r="D511" s="19">
        <v>698</v>
      </c>
      <c r="E511" s="19">
        <f t="shared" si="32"/>
        <v>23.266666666666666</v>
      </c>
      <c r="F511" s="5">
        <v>1450.08</v>
      </c>
      <c r="I511" s="19">
        <f t="shared" si="33"/>
        <v>1396</v>
      </c>
      <c r="J511" t="b">
        <f t="shared" si="34"/>
        <v>1</v>
      </c>
      <c r="K511" s="4">
        <f t="shared" si="35"/>
        <v>3.8739255014326623E-2</v>
      </c>
    </row>
    <row r="512" spans="2:11" hidden="1">
      <c r="B512" s="54" t="s">
        <v>993</v>
      </c>
      <c r="C512" s="37" t="s">
        <v>994</v>
      </c>
      <c r="D512" s="19">
        <v>668</v>
      </c>
      <c r="E512" s="19">
        <f t="shared" si="32"/>
        <v>22.266666666666666</v>
      </c>
      <c r="F512" s="5">
        <v>1110.3800000000001</v>
      </c>
      <c r="I512" s="19">
        <f t="shared" si="33"/>
        <v>1336</v>
      </c>
      <c r="J512" t="b">
        <f t="shared" si="34"/>
        <v>1</v>
      </c>
      <c r="K512" s="4">
        <f t="shared" si="35"/>
        <v>-0.16887724550898198</v>
      </c>
    </row>
    <row r="513" spans="2:11" hidden="1">
      <c r="B513" s="136" t="s">
        <v>995</v>
      </c>
      <c r="C513" s="37" t="s">
        <v>996</v>
      </c>
      <c r="D513" s="19">
        <v>629</v>
      </c>
      <c r="E513" s="19">
        <f t="shared" si="32"/>
        <v>20.966666666666665</v>
      </c>
      <c r="F513" s="5">
        <v>1141.5899999999999</v>
      </c>
      <c r="I513" s="19">
        <f t="shared" si="33"/>
        <v>1258</v>
      </c>
      <c r="J513" t="b">
        <f t="shared" si="34"/>
        <v>1</v>
      </c>
      <c r="K513" s="4">
        <f t="shared" si="35"/>
        <v>-9.2535771065182848E-2</v>
      </c>
    </row>
    <row r="514" spans="2:11">
      <c r="B514" s="136" t="s">
        <v>997</v>
      </c>
      <c r="C514" s="37" t="s">
        <v>998</v>
      </c>
      <c r="D514" s="19">
        <v>414</v>
      </c>
      <c r="E514" s="19">
        <f t="shared" si="32"/>
        <v>13.8</v>
      </c>
      <c r="F514" s="5">
        <v>1152.5</v>
      </c>
      <c r="I514" s="19">
        <f t="shared" si="33"/>
        <v>828</v>
      </c>
      <c r="J514" t="b">
        <f t="shared" si="34"/>
        <v>0</v>
      </c>
      <c r="K514" s="4">
        <f t="shared" si="35"/>
        <v>0.39190821256038655</v>
      </c>
    </row>
    <row r="515" spans="2:11">
      <c r="B515" s="54" t="s">
        <v>999</v>
      </c>
      <c r="C515" s="37" t="s">
        <v>1000</v>
      </c>
      <c r="D515" s="19">
        <v>348</v>
      </c>
      <c r="E515" s="19">
        <f t="shared" ref="E515:E556" si="36">D515/30</f>
        <v>11.6</v>
      </c>
      <c r="F515" s="5">
        <v>1572.37</v>
      </c>
      <c r="I515" s="19">
        <f t="shared" ref="I515:I578" si="37">IF((D515/30)&gt;100,D515*2,D515*2)</f>
        <v>696</v>
      </c>
      <c r="J515" t="b">
        <f t="shared" si="34"/>
        <v>0</v>
      </c>
      <c r="K515" s="4">
        <f t="shared" si="35"/>
        <v>1.2591522988505743</v>
      </c>
    </row>
    <row r="516" spans="2:11" hidden="1">
      <c r="B516" t="s">
        <v>1408</v>
      </c>
      <c r="C516" t="s">
        <v>1409</v>
      </c>
      <c r="D516">
        <v>4219</v>
      </c>
      <c r="E516" s="19">
        <f t="shared" si="36"/>
        <v>140.63333333333333</v>
      </c>
      <c r="F516" s="5">
        <v>1999.94</v>
      </c>
      <c r="I516" s="19">
        <f t="shared" si="37"/>
        <v>8438</v>
      </c>
      <c r="J516" t="b">
        <f t="shared" si="34"/>
        <v>1</v>
      </c>
      <c r="K516" s="4">
        <f t="shared" si="35"/>
        <v>-0.76298411945958755</v>
      </c>
    </row>
    <row r="517" spans="2:11" hidden="1">
      <c r="B517" t="s">
        <v>1361</v>
      </c>
      <c r="C517" t="s">
        <v>1362</v>
      </c>
      <c r="D517">
        <v>1485</v>
      </c>
      <c r="E517" s="19">
        <f t="shared" si="36"/>
        <v>49.5</v>
      </c>
      <c r="F517" s="5">
        <v>822.06</v>
      </c>
      <c r="I517" s="19">
        <f t="shared" si="37"/>
        <v>2970</v>
      </c>
      <c r="J517" t="b">
        <f t="shared" si="34"/>
        <v>1</v>
      </c>
      <c r="K517" s="4">
        <f t="shared" si="35"/>
        <v>-0.7232121212121212</v>
      </c>
    </row>
    <row r="518" spans="2:11" hidden="1">
      <c r="B518" t="s">
        <v>1159</v>
      </c>
      <c r="C518" t="s">
        <v>1160</v>
      </c>
      <c r="D518">
        <v>2829</v>
      </c>
      <c r="E518" s="19">
        <f t="shared" si="36"/>
        <v>94.3</v>
      </c>
      <c r="F518" s="5">
        <v>2333.5</v>
      </c>
      <c r="I518" s="19">
        <f t="shared" si="37"/>
        <v>5658</v>
      </c>
      <c r="J518" t="b">
        <f t="shared" si="34"/>
        <v>1</v>
      </c>
      <c r="K518" s="4">
        <f t="shared" si="35"/>
        <v>-0.58757511488158354</v>
      </c>
    </row>
    <row r="519" spans="2:11" hidden="1">
      <c r="B519" t="s">
        <v>1283</v>
      </c>
      <c r="C519" t="s">
        <v>1284</v>
      </c>
      <c r="D519">
        <v>4641</v>
      </c>
      <c r="E519" s="19">
        <f t="shared" si="36"/>
        <v>154.69999999999999</v>
      </c>
      <c r="F519" s="5">
        <v>3839.51</v>
      </c>
      <c r="I519" s="19">
        <f t="shared" si="37"/>
        <v>9282</v>
      </c>
      <c r="J519" t="b">
        <f t="shared" si="34"/>
        <v>1</v>
      </c>
      <c r="K519" s="4">
        <f t="shared" si="35"/>
        <v>-0.58634884723120018</v>
      </c>
    </row>
    <row r="520" spans="2:11" hidden="1">
      <c r="B520" s="55" t="s">
        <v>1359</v>
      </c>
      <c r="C520" s="37" t="s">
        <v>1360</v>
      </c>
      <c r="D520">
        <v>1516</v>
      </c>
      <c r="E520" s="19">
        <f t="shared" si="36"/>
        <v>50.533333333333331</v>
      </c>
      <c r="F520" s="5">
        <v>2241.84</v>
      </c>
      <c r="I520" s="19">
        <f t="shared" si="37"/>
        <v>3032</v>
      </c>
      <c r="J520" t="b">
        <f t="shared" si="34"/>
        <v>1</v>
      </c>
      <c r="K520" s="4">
        <f t="shared" si="35"/>
        <v>-0.26060686015831125</v>
      </c>
    </row>
    <row r="521" spans="2:11" hidden="1">
      <c r="B521" t="s">
        <v>1343</v>
      </c>
      <c r="C521" t="s">
        <v>1344</v>
      </c>
      <c r="D521">
        <v>2846</v>
      </c>
      <c r="E521" s="19">
        <f t="shared" si="36"/>
        <v>94.86666666666666</v>
      </c>
      <c r="F521" s="5">
        <v>3404.7999999999997</v>
      </c>
      <c r="I521" s="19">
        <f t="shared" si="37"/>
        <v>5692</v>
      </c>
      <c r="J521" t="b">
        <f t="shared" si="34"/>
        <v>1</v>
      </c>
      <c r="K521" s="4">
        <f t="shared" si="35"/>
        <v>-0.40182712579058333</v>
      </c>
    </row>
    <row r="522" spans="2:11" hidden="1">
      <c r="B522" t="s">
        <v>1268</v>
      </c>
      <c r="C522" t="s">
        <v>1269</v>
      </c>
      <c r="D522">
        <v>1261</v>
      </c>
      <c r="E522" s="19">
        <f t="shared" si="36"/>
        <v>42.033333333333331</v>
      </c>
      <c r="F522" s="5">
        <v>667.68</v>
      </c>
      <c r="I522" s="19">
        <f t="shared" si="37"/>
        <v>2522</v>
      </c>
      <c r="J522" t="b">
        <f t="shared" si="34"/>
        <v>1</v>
      </c>
      <c r="K522" s="4">
        <f t="shared" si="35"/>
        <v>-0.73525773195876298</v>
      </c>
    </row>
    <row r="523" spans="2:11" hidden="1">
      <c r="B523" t="s">
        <v>1180</v>
      </c>
      <c r="C523" t="s">
        <v>1181</v>
      </c>
      <c r="D523">
        <v>1927</v>
      </c>
      <c r="E523" s="19">
        <f t="shared" si="36"/>
        <v>64.233333333333334</v>
      </c>
      <c r="F523" s="5">
        <v>2207.84</v>
      </c>
      <c r="I523" s="19">
        <f t="shared" si="37"/>
        <v>3854</v>
      </c>
      <c r="J523" t="b">
        <f t="shared" si="34"/>
        <v>1</v>
      </c>
      <c r="K523" s="4">
        <f t="shared" si="35"/>
        <v>-0.42713025428126616</v>
      </c>
    </row>
    <row r="524" spans="2:11" hidden="1">
      <c r="B524" t="s">
        <v>1198</v>
      </c>
      <c r="C524" t="s">
        <v>1199</v>
      </c>
      <c r="D524">
        <v>2554</v>
      </c>
      <c r="E524" s="19">
        <f t="shared" si="36"/>
        <v>85.13333333333334</v>
      </c>
      <c r="F524" s="5">
        <v>2348.0500000000002</v>
      </c>
      <c r="I524" s="19">
        <f t="shared" si="37"/>
        <v>5108</v>
      </c>
      <c r="J524" t="b">
        <f t="shared" si="34"/>
        <v>1</v>
      </c>
      <c r="K524" s="4">
        <f t="shared" si="35"/>
        <v>-0.54031910728269383</v>
      </c>
    </row>
    <row r="525" spans="2:11" hidden="1">
      <c r="B525" t="s">
        <v>1398</v>
      </c>
      <c r="C525" t="s">
        <v>1399</v>
      </c>
      <c r="D525">
        <v>2820</v>
      </c>
      <c r="E525" s="19">
        <f t="shared" si="36"/>
        <v>94</v>
      </c>
      <c r="F525" s="5">
        <v>3713.99</v>
      </c>
      <c r="I525" s="19">
        <f t="shared" si="37"/>
        <v>5640</v>
      </c>
      <c r="J525" t="b">
        <f t="shared" si="34"/>
        <v>1</v>
      </c>
      <c r="K525" s="4">
        <f t="shared" si="35"/>
        <v>-0.34149113475177306</v>
      </c>
    </row>
    <row r="526" spans="2:11" hidden="1">
      <c r="B526" t="s">
        <v>1190</v>
      </c>
      <c r="C526" t="s">
        <v>1191</v>
      </c>
      <c r="D526">
        <v>2718</v>
      </c>
      <c r="E526" s="19">
        <f t="shared" si="36"/>
        <v>90.6</v>
      </c>
      <c r="F526" s="5">
        <v>1875.37</v>
      </c>
      <c r="I526" s="19">
        <f t="shared" si="37"/>
        <v>5436</v>
      </c>
      <c r="J526" t="b">
        <f t="shared" si="34"/>
        <v>1</v>
      </c>
      <c r="K526" s="4">
        <f t="shared" si="35"/>
        <v>-0.6550091979396615</v>
      </c>
    </row>
    <row r="527" spans="2:11" hidden="1">
      <c r="B527" s="54" t="s">
        <v>1339</v>
      </c>
      <c r="C527" s="37" t="s">
        <v>1340</v>
      </c>
      <c r="D527">
        <v>2365</v>
      </c>
      <c r="E527" s="19">
        <f t="shared" si="36"/>
        <v>78.833333333333329</v>
      </c>
      <c r="F527" s="5">
        <v>4926.92</v>
      </c>
      <c r="I527" s="19">
        <f t="shared" si="37"/>
        <v>4730</v>
      </c>
      <c r="J527" t="b">
        <f t="shared" si="34"/>
        <v>1</v>
      </c>
      <c r="K527" s="4">
        <f t="shared" si="35"/>
        <v>4.1632135306553852E-2</v>
      </c>
    </row>
    <row r="528" spans="2:11" hidden="1">
      <c r="B528" t="s">
        <v>1331</v>
      </c>
      <c r="C528" t="s">
        <v>1332</v>
      </c>
      <c r="D528">
        <v>1652</v>
      </c>
      <c r="E528" s="19">
        <f t="shared" si="36"/>
        <v>55.06666666666667</v>
      </c>
      <c r="F528" s="5">
        <v>1965.86</v>
      </c>
      <c r="I528" s="19">
        <f t="shared" si="37"/>
        <v>3304</v>
      </c>
      <c r="J528" t="b">
        <f t="shared" si="34"/>
        <v>1</v>
      </c>
      <c r="K528" s="4">
        <f t="shared" si="35"/>
        <v>-0.40500605326876515</v>
      </c>
    </row>
    <row r="529" spans="2:11" hidden="1">
      <c r="B529" t="s">
        <v>1232</v>
      </c>
      <c r="C529" t="s">
        <v>1233</v>
      </c>
      <c r="D529">
        <v>1224</v>
      </c>
      <c r="E529" s="19">
        <f t="shared" si="36"/>
        <v>40.799999999999997</v>
      </c>
      <c r="F529" s="5">
        <v>1307.6600000000001</v>
      </c>
      <c r="I529" s="19">
        <f t="shared" si="37"/>
        <v>2448</v>
      </c>
      <c r="J529" t="b">
        <f t="shared" si="34"/>
        <v>1</v>
      </c>
      <c r="K529" s="4">
        <f t="shared" si="35"/>
        <v>-0.46582516339869273</v>
      </c>
    </row>
    <row r="530" spans="2:11" hidden="1">
      <c r="B530" t="s">
        <v>1236</v>
      </c>
      <c r="C530" t="s">
        <v>1237</v>
      </c>
      <c r="D530">
        <v>1216</v>
      </c>
      <c r="E530" s="19">
        <f t="shared" si="36"/>
        <v>40.533333333333331</v>
      </c>
      <c r="F530" s="5">
        <v>1101.9100000000001</v>
      </c>
      <c r="I530" s="19">
        <f t="shared" si="37"/>
        <v>2432</v>
      </c>
      <c r="J530" t="b">
        <f t="shared" si="34"/>
        <v>1</v>
      </c>
      <c r="K530" s="4">
        <f t="shared" si="35"/>
        <v>-0.54691200657894734</v>
      </c>
    </row>
    <row r="531" spans="2:11" hidden="1">
      <c r="B531" t="s">
        <v>1357</v>
      </c>
      <c r="C531" t="s">
        <v>1358</v>
      </c>
      <c r="D531">
        <v>2116</v>
      </c>
      <c r="E531" s="19">
        <f t="shared" si="36"/>
        <v>70.533333333333331</v>
      </c>
      <c r="F531" s="5">
        <v>1090.46</v>
      </c>
      <c r="I531" s="19">
        <f t="shared" si="37"/>
        <v>4232</v>
      </c>
      <c r="J531" t="b">
        <f t="shared" si="34"/>
        <v>1</v>
      </c>
      <c r="K531" s="4">
        <f t="shared" si="35"/>
        <v>-0.7423298676748582</v>
      </c>
    </row>
    <row r="532" spans="2:11" hidden="1">
      <c r="B532" s="54" t="s">
        <v>1149</v>
      </c>
      <c r="C532" s="37" t="s">
        <v>1150</v>
      </c>
      <c r="D532">
        <v>2607</v>
      </c>
      <c r="E532" s="19">
        <f t="shared" si="36"/>
        <v>86.9</v>
      </c>
      <c r="F532" s="5">
        <v>1969.56</v>
      </c>
      <c r="I532" s="19">
        <f t="shared" si="37"/>
        <v>5214</v>
      </c>
      <c r="J532" t="b">
        <f t="shared" si="34"/>
        <v>1</v>
      </c>
      <c r="K532" s="4">
        <f t="shared" si="35"/>
        <v>-0.62225546605293447</v>
      </c>
    </row>
    <row r="533" spans="2:11" hidden="1">
      <c r="B533" t="s">
        <v>1296</v>
      </c>
      <c r="C533" t="s">
        <v>1297</v>
      </c>
      <c r="D533">
        <v>1299</v>
      </c>
      <c r="E533" s="19">
        <f t="shared" si="36"/>
        <v>43.3</v>
      </c>
      <c r="F533" s="5">
        <v>1237.2</v>
      </c>
      <c r="I533" s="19">
        <f t="shared" si="37"/>
        <v>2598</v>
      </c>
      <c r="J533" t="b">
        <f t="shared" si="34"/>
        <v>1</v>
      </c>
      <c r="K533" s="4">
        <f t="shared" si="35"/>
        <v>-0.52378752886836022</v>
      </c>
    </row>
    <row r="534" spans="2:11" hidden="1">
      <c r="B534" t="s">
        <v>1382</v>
      </c>
      <c r="C534" t="s">
        <v>1383</v>
      </c>
      <c r="D534">
        <v>1778</v>
      </c>
      <c r="E534" s="19">
        <f t="shared" si="36"/>
        <v>59.266666666666666</v>
      </c>
      <c r="F534" s="5">
        <v>1428.32</v>
      </c>
      <c r="I534" s="19">
        <f t="shared" si="37"/>
        <v>3556</v>
      </c>
      <c r="J534" t="b">
        <f t="shared" si="34"/>
        <v>1</v>
      </c>
      <c r="K534" s="4">
        <f t="shared" si="35"/>
        <v>-0.59833520809898766</v>
      </c>
    </row>
    <row r="535" spans="2:11" hidden="1">
      <c r="B535" t="s">
        <v>1351</v>
      </c>
      <c r="C535" t="s">
        <v>1352</v>
      </c>
      <c r="D535">
        <v>1192</v>
      </c>
      <c r="E535" s="19">
        <f t="shared" si="36"/>
        <v>39.733333333333334</v>
      </c>
      <c r="F535" s="5">
        <v>1078.8</v>
      </c>
      <c r="I535" s="19">
        <f t="shared" si="37"/>
        <v>2384</v>
      </c>
      <c r="J535" t="b">
        <f t="shared" si="34"/>
        <v>1</v>
      </c>
      <c r="K535" s="4">
        <f t="shared" si="35"/>
        <v>-0.54748322147651007</v>
      </c>
    </row>
    <row r="536" spans="2:11" hidden="1">
      <c r="B536" t="s">
        <v>1337</v>
      </c>
      <c r="C536" t="s">
        <v>1338</v>
      </c>
      <c r="D536">
        <v>1726</v>
      </c>
      <c r="E536" s="19">
        <f t="shared" si="36"/>
        <v>57.533333333333331</v>
      </c>
      <c r="F536" s="5">
        <v>1266.3599999999999</v>
      </c>
      <c r="I536" s="19">
        <f t="shared" si="37"/>
        <v>3452</v>
      </c>
      <c r="J536" t="b">
        <f t="shared" si="34"/>
        <v>1</v>
      </c>
      <c r="K536" s="4">
        <f t="shared" si="35"/>
        <v>-0.63315179606025496</v>
      </c>
    </row>
    <row r="537" spans="2:11" hidden="1">
      <c r="B537" t="s">
        <v>1376</v>
      </c>
      <c r="C537" t="s">
        <v>1377</v>
      </c>
      <c r="D537">
        <v>530</v>
      </c>
      <c r="E537" s="19">
        <f t="shared" si="36"/>
        <v>17.666666666666668</v>
      </c>
      <c r="F537" s="5">
        <v>842.13</v>
      </c>
      <c r="I537" s="19">
        <f t="shared" si="37"/>
        <v>1060</v>
      </c>
      <c r="J537" t="b">
        <f t="shared" si="34"/>
        <v>1</v>
      </c>
      <c r="K537" s="4">
        <f t="shared" si="35"/>
        <v>-0.20553773584905666</v>
      </c>
    </row>
    <row r="538" spans="2:11" hidden="1">
      <c r="B538" t="s">
        <v>1273</v>
      </c>
      <c r="C538" t="s">
        <v>1274</v>
      </c>
      <c r="D538">
        <v>1082</v>
      </c>
      <c r="E538" s="19">
        <f t="shared" si="36"/>
        <v>36.06666666666667</v>
      </c>
      <c r="F538" s="5">
        <v>1434.94</v>
      </c>
      <c r="I538" s="19">
        <f t="shared" si="37"/>
        <v>2164</v>
      </c>
      <c r="J538" t="b">
        <f t="shared" si="34"/>
        <v>1</v>
      </c>
      <c r="K538" s="4">
        <f t="shared" si="35"/>
        <v>-0.33690388170055452</v>
      </c>
    </row>
    <row r="539" spans="2:11" hidden="1">
      <c r="B539" t="s">
        <v>1378</v>
      </c>
      <c r="C539" t="s">
        <v>1379</v>
      </c>
      <c r="D539">
        <v>775</v>
      </c>
      <c r="E539" s="19">
        <f t="shared" si="36"/>
        <v>25.833333333333332</v>
      </c>
      <c r="F539" s="5">
        <v>710.74</v>
      </c>
      <c r="I539" s="19">
        <f t="shared" si="37"/>
        <v>1550</v>
      </c>
      <c r="J539" t="b">
        <f t="shared" si="34"/>
        <v>1</v>
      </c>
      <c r="K539" s="4">
        <f t="shared" si="35"/>
        <v>-0.5414580645161291</v>
      </c>
    </row>
    <row r="540" spans="2:11" hidden="1">
      <c r="B540" t="s">
        <v>1240</v>
      </c>
      <c r="C540" t="s">
        <v>1241</v>
      </c>
      <c r="D540">
        <v>1729</v>
      </c>
      <c r="E540" s="19">
        <f t="shared" si="36"/>
        <v>57.633333333333333</v>
      </c>
      <c r="F540" s="5">
        <v>2799.94</v>
      </c>
      <c r="I540" s="19">
        <f t="shared" si="37"/>
        <v>3458</v>
      </c>
      <c r="J540" t="b">
        <f t="shared" si="34"/>
        <v>1</v>
      </c>
      <c r="K540" s="4">
        <f t="shared" si="35"/>
        <v>-0.19030075187969919</v>
      </c>
    </row>
    <row r="541" spans="2:11" hidden="1">
      <c r="B541" t="s">
        <v>1279</v>
      </c>
      <c r="C541" t="s">
        <v>1280</v>
      </c>
      <c r="D541">
        <v>1999</v>
      </c>
      <c r="E541" s="19">
        <f t="shared" si="36"/>
        <v>66.63333333333334</v>
      </c>
      <c r="F541" s="5">
        <v>1949.92</v>
      </c>
      <c r="I541" s="19">
        <f t="shared" si="37"/>
        <v>3998</v>
      </c>
      <c r="J541" t="b">
        <f t="shared" si="34"/>
        <v>1</v>
      </c>
      <c r="K541" s="4">
        <f t="shared" si="35"/>
        <v>-0.51227613806903449</v>
      </c>
    </row>
    <row r="542" spans="2:11" hidden="1">
      <c r="B542" s="54" t="s">
        <v>1212</v>
      </c>
      <c r="C542" s="27" t="s">
        <v>1213</v>
      </c>
      <c r="D542">
        <v>911</v>
      </c>
      <c r="E542" s="19">
        <f t="shared" si="36"/>
        <v>30.366666666666667</v>
      </c>
      <c r="F542" s="5">
        <v>1924.55</v>
      </c>
      <c r="I542" s="19">
        <f t="shared" si="37"/>
        <v>1822</v>
      </c>
      <c r="J542" t="b">
        <f t="shared" si="34"/>
        <v>1</v>
      </c>
      <c r="K542" s="4">
        <f t="shared" si="35"/>
        <v>5.6284302963776067E-2</v>
      </c>
    </row>
    <row r="543" spans="2:11" hidden="1">
      <c r="B543" t="s">
        <v>1288</v>
      </c>
      <c r="C543" t="s">
        <v>1289</v>
      </c>
      <c r="D543">
        <v>3359</v>
      </c>
      <c r="E543" s="19">
        <f t="shared" si="36"/>
        <v>111.96666666666667</v>
      </c>
      <c r="F543" s="5">
        <v>1645.47</v>
      </c>
      <c r="I543" s="19">
        <f t="shared" si="37"/>
        <v>6718</v>
      </c>
      <c r="J543" t="b">
        <f t="shared" si="34"/>
        <v>1</v>
      </c>
      <c r="K543" s="4">
        <f t="shared" si="35"/>
        <v>-0.755065495683239</v>
      </c>
    </row>
    <row r="544" spans="2:11" hidden="1">
      <c r="B544" t="s">
        <v>1188</v>
      </c>
      <c r="C544" t="s">
        <v>1189</v>
      </c>
      <c r="D544">
        <v>1677</v>
      </c>
      <c r="E544" s="19">
        <f t="shared" si="36"/>
        <v>55.9</v>
      </c>
      <c r="F544" s="5">
        <v>1334.47</v>
      </c>
      <c r="I544" s="19">
        <f t="shared" si="37"/>
        <v>3354</v>
      </c>
      <c r="J544" t="b">
        <f t="shared" si="34"/>
        <v>1</v>
      </c>
      <c r="K544" s="4">
        <f t="shared" si="35"/>
        <v>-0.60212581991651759</v>
      </c>
    </row>
    <row r="545" spans="2:11" hidden="1">
      <c r="B545" t="s">
        <v>1345</v>
      </c>
      <c r="C545" t="s">
        <v>1346</v>
      </c>
      <c r="D545">
        <v>784</v>
      </c>
      <c r="E545" s="19">
        <f t="shared" si="36"/>
        <v>26.133333333333333</v>
      </c>
      <c r="F545" s="5">
        <v>1579.09</v>
      </c>
      <c r="I545" s="19">
        <f t="shared" si="37"/>
        <v>1568</v>
      </c>
      <c r="J545" t="b">
        <f t="shared" si="34"/>
        <v>1</v>
      </c>
      <c r="K545" s="4">
        <f t="shared" si="35"/>
        <v>7.0727040816325193E-3</v>
      </c>
    </row>
    <row r="546" spans="2:11" hidden="1">
      <c r="B546" t="s">
        <v>1242</v>
      </c>
      <c r="C546" t="s">
        <v>1243</v>
      </c>
      <c r="D546">
        <v>753</v>
      </c>
      <c r="E546" s="19">
        <f t="shared" si="36"/>
        <v>25.1</v>
      </c>
      <c r="F546" s="5">
        <v>1312.06</v>
      </c>
      <c r="I546" s="19">
        <f t="shared" si="37"/>
        <v>1506</v>
      </c>
      <c r="J546" t="b">
        <f t="shared" si="34"/>
        <v>1</v>
      </c>
      <c r="K546" s="4">
        <f t="shared" si="35"/>
        <v>-0.12877822045152731</v>
      </c>
    </row>
    <row r="547" spans="2:11" hidden="1">
      <c r="B547" t="s">
        <v>1244</v>
      </c>
      <c r="C547" t="s">
        <v>1245</v>
      </c>
      <c r="D547">
        <v>0</v>
      </c>
      <c r="E547" s="19">
        <f t="shared" si="36"/>
        <v>0</v>
      </c>
      <c r="F547" s="5">
        <v>0</v>
      </c>
      <c r="I547" s="19">
        <f t="shared" si="37"/>
        <v>0</v>
      </c>
      <c r="J547" t="b">
        <f t="shared" si="34"/>
        <v>1</v>
      </c>
      <c r="K547" s="4" t="e">
        <f t="shared" si="35"/>
        <v>#DIV/0!</v>
      </c>
    </row>
    <row r="548" spans="2:11" hidden="1">
      <c r="B548" t="s">
        <v>1305</v>
      </c>
      <c r="C548" t="s">
        <v>1306</v>
      </c>
      <c r="D548">
        <v>243</v>
      </c>
      <c r="E548" s="19">
        <f t="shared" si="36"/>
        <v>8.1</v>
      </c>
      <c r="F548" s="5">
        <v>0</v>
      </c>
      <c r="I548" s="19">
        <f t="shared" si="37"/>
        <v>486</v>
      </c>
      <c r="J548" t="b">
        <f t="shared" si="34"/>
        <v>1</v>
      </c>
      <c r="K548" s="4">
        <f t="shared" si="35"/>
        <v>-1</v>
      </c>
    </row>
    <row r="549" spans="2:11" hidden="1">
      <c r="B549" t="s">
        <v>1301</v>
      </c>
      <c r="C549" t="s">
        <v>1302</v>
      </c>
      <c r="D549">
        <v>1069</v>
      </c>
      <c r="E549" s="19">
        <f t="shared" si="36"/>
        <v>35.633333333333333</v>
      </c>
      <c r="F549" s="5">
        <v>1566.52</v>
      </c>
      <c r="I549" s="19">
        <f t="shared" si="37"/>
        <v>2138</v>
      </c>
      <c r="J549" t="b">
        <f t="shared" si="34"/>
        <v>1</v>
      </c>
      <c r="K549" s="4">
        <f t="shared" si="35"/>
        <v>-0.26729653882132831</v>
      </c>
    </row>
    <row r="550" spans="2:11" hidden="1">
      <c r="B550" t="s">
        <v>1209</v>
      </c>
      <c r="C550" t="s">
        <v>1210</v>
      </c>
      <c r="D550">
        <v>934</v>
      </c>
      <c r="E550" s="19">
        <f t="shared" si="36"/>
        <v>31.133333333333333</v>
      </c>
      <c r="F550" s="5">
        <v>1334.75</v>
      </c>
      <c r="I550" s="19">
        <f t="shared" si="37"/>
        <v>1868</v>
      </c>
      <c r="J550" t="b">
        <f t="shared" si="34"/>
        <v>1</v>
      </c>
      <c r="K550" s="4">
        <f t="shared" si="35"/>
        <v>-0.28546573875802994</v>
      </c>
    </row>
    <row r="551" spans="2:11" hidden="1">
      <c r="B551" t="s">
        <v>1341</v>
      </c>
      <c r="C551" t="s">
        <v>1342</v>
      </c>
      <c r="D551">
        <v>1053</v>
      </c>
      <c r="E551" s="19">
        <f t="shared" si="36"/>
        <v>35.1</v>
      </c>
      <c r="F551" s="5">
        <v>755.26</v>
      </c>
      <c r="I551" s="19">
        <f t="shared" si="37"/>
        <v>2106</v>
      </c>
      <c r="J551" t="b">
        <f t="shared" si="34"/>
        <v>1</v>
      </c>
      <c r="K551" s="4">
        <f t="shared" si="35"/>
        <v>-0.64137701804368463</v>
      </c>
    </row>
    <row r="552" spans="2:11" hidden="1">
      <c r="B552" t="s">
        <v>1313</v>
      </c>
      <c r="C552" t="s">
        <v>1314</v>
      </c>
      <c r="D552">
        <v>1329</v>
      </c>
      <c r="E552" s="19">
        <f t="shared" si="36"/>
        <v>44.3</v>
      </c>
      <c r="F552" s="5">
        <v>1589.45</v>
      </c>
      <c r="I552" s="19">
        <f t="shared" si="37"/>
        <v>2658</v>
      </c>
      <c r="J552" t="b">
        <f t="shared" si="34"/>
        <v>1</v>
      </c>
      <c r="K552" s="4">
        <f t="shared" si="35"/>
        <v>-0.40201279157261094</v>
      </c>
    </row>
    <row r="553" spans="2:11" hidden="1">
      <c r="B553" t="s">
        <v>1380</v>
      </c>
      <c r="C553" t="s">
        <v>1381</v>
      </c>
      <c r="D553">
        <v>999</v>
      </c>
      <c r="E553" s="19">
        <f t="shared" si="36"/>
        <v>33.299999999999997</v>
      </c>
      <c r="F553" s="5">
        <v>1343.71</v>
      </c>
      <c r="I553" s="19">
        <f t="shared" si="37"/>
        <v>1998</v>
      </c>
      <c r="J553" t="b">
        <f t="shared" si="34"/>
        <v>1</v>
      </c>
      <c r="K553" s="4">
        <f t="shared" si="35"/>
        <v>-0.32747247247247246</v>
      </c>
    </row>
    <row r="554" spans="2:11" hidden="1">
      <c r="B554" s="27" t="s">
        <v>1271</v>
      </c>
      <c r="C554" s="27" t="s">
        <v>1272</v>
      </c>
      <c r="D554">
        <v>351</v>
      </c>
      <c r="E554" s="19">
        <f t="shared" si="36"/>
        <v>11.7</v>
      </c>
      <c r="F554" s="5">
        <v>739.3</v>
      </c>
      <c r="I554" s="19">
        <f t="shared" si="37"/>
        <v>702</v>
      </c>
      <c r="J554" t="b">
        <f t="shared" si="34"/>
        <v>1</v>
      </c>
      <c r="K554" s="4">
        <f t="shared" si="35"/>
        <v>5.3133903133903093E-2</v>
      </c>
    </row>
    <row r="555" spans="2:11" hidden="1">
      <c r="B555" t="s">
        <v>1178</v>
      </c>
      <c r="C555" t="s">
        <v>1179</v>
      </c>
      <c r="D555">
        <v>1423</v>
      </c>
      <c r="E555" s="19">
        <f t="shared" si="36"/>
        <v>47.43333333333333</v>
      </c>
      <c r="F555" s="5">
        <v>895.56</v>
      </c>
      <c r="I555" s="19">
        <f t="shared" si="37"/>
        <v>2846</v>
      </c>
      <c r="J555" t="b">
        <f t="shared" ref="J555:J557" si="38">IF(F555&gt;1.2*I555,FALSE,TRUE)</f>
        <v>1</v>
      </c>
      <c r="K555" s="4">
        <f t="shared" ref="K555:K557" si="39">F555/I555-1</f>
        <v>-0.68532677442023893</v>
      </c>
    </row>
    <row r="556" spans="2:11" hidden="1">
      <c r="B556" t="s">
        <v>1226</v>
      </c>
      <c r="C556" t="s">
        <v>1227</v>
      </c>
      <c r="D556">
        <v>744</v>
      </c>
      <c r="E556" s="19">
        <f t="shared" si="36"/>
        <v>24.8</v>
      </c>
      <c r="F556" s="5">
        <v>578.6</v>
      </c>
      <c r="I556" s="19">
        <f t="shared" si="37"/>
        <v>1488</v>
      </c>
      <c r="J556" t="b">
        <f t="shared" si="38"/>
        <v>1</v>
      </c>
      <c r="K556" s="4">
        <f t="shared" si="39"/>
        <v>-0.61115591397849456</v>
      </c>
    </row>
    <row r="557" spans="2:11" hidden="1">
      <c r="B557" s="54" t="s">
        <v>1224</v>
      </c>
      <c r="C557" s="37" t="s">
        <v>1225</v>
      </c>
      <c r="D557">
        <v>438</v>
      </c>
      <c r="E557" s="19">
        <f>D557/30</f>
        <v>14.6</v>
      </c>
      <c r="F557" s="5">
        <v>950.57</v>
      </c>
      <c r="I557" s="19">
        <f t="shared" si="37"/>
        <v>876</v>
      </c>
      <c r="J557" t="b">
        <f t="shared" si="38"/>
        <v>1</v>
      </c>
      <c r="K557" s="4">
        <f t="shared" si="39"/>
        <v>8.512557077625571E-2</v>
      </c>
    </row>
    <row r="558" spans="2:11" hidden="1">
      <c r="B558" t="s">
        <v>1323</v>
      </c>
      <c r="C558" t="s">
        <v>1324</v>
      </c>
      <c r="D558">
        <v>1384</v>
      </c>
      <c r="E558" s="19">
        <f t="shared" ref="E558:E621" si="40">D558/30</f>
        <v>46.133333333333333</v>
      </c>
      <c r="F558" s="131">
        <v>1119.08</v>
      </c>
      <c r="I558" s="19">
        <f t="shared" si="37"/>
        <v>2768</v>
      </c>
      <c r="J558" t="b">
        <f t="shared" ref="J558:J621" si="41">IF(F558&gt;1.2*I558,FALSE,TRUE)</f>
        <v>1</v>
      </c>
      <c r="K558" s="4">
        <f t="shared" ref="K558:K621" si="42">F558/I558-1</f>
        <v>-0.59570809248554912</v>
      </c>
    </row>
    <row r="559" spans="2:11" hidden="1">
      <c r="B559" t="s">
        <v>1220</v>
      </c>
      <c r="C559" t="s">
        <v>1221</v>
      </c>
      <c r="D559">
        <v>785</v>
      </c>
      <c r="E559" s="19">
        <f t="shared" si="40"/>
        <v>26.166666666666668</v>
      </c>
      <c r="F559" s="131">
        <v>622.32000000000005</v>
      </c>
      <c r="I559" s="19">
        <f t="shared" si="37"/>
        <v>1570</v>
      </c>
      <c r="J559" t="b">
        <f t="shared" si="41"/>
        <v>1</v>
      </c>
      <c r="K559" s="4">
        <f t="shared" si="42"/>
        <v>-0.60361783439490435</v>
      </c>
    </row>
    <row r="560" spans="2:11" hidden="1">
      <c r="B560" t="s">
        <v>1247</v>
      </c>
      <c r="C560" t="s">
        <v>1248</v>
      </c>
      <c r="D560">
        <v>0</v>
      </c>
      <c r="E560" s="19">
        <f t="shared" si="40"/>
        <v>0</v>
      </c>
      <c r="F560" s="131">
        <v>0</v>
      </c>
      <c r="I560" s="19">
        <f t="shared" si="37"/>
        <v>0</v>
      </c>
      <c r="J560" t="b">
        <f t="shared" si="41"/>
        <v>1</v>
      </c>
      <c r="K560" s="4" t="e">
        <f t="shared" si="42"/>
        <v>#DIV/0!</v>
      </c>
    </row>
    <row r="561" spans="2:11" hidden="1">
      <c r="B561" t="s">
        <v>1218</v>
      </c>
      <c r="C561" t="s">
        <v>1219</v>
      </c>
      <c r="D561">
        <v>1125</v>
      </c>
      <c r="E561" s="19">
        <f t="shared" si="40"/>
        <v>37.5</v>
      </c>
      <c r="F561" s="131">
        <v>2204.4299999999998</v>
      </c>
      <c r="I561" s="19">
        <f t="shared" si="37"/>
        <v>2250</v>
      </c>
      <c r="J561" t="b">
        <f t="shared" si="41"/>
        <v>1</v>
      </c>
      <c r="K561" s="4">
        <f t="shared" si="42"/>
        <v>-2.0253333333333456E-2</v>
      </c>
    </row>
    <row r="562" spans="2:11" hidden="1">
      <c r="B562" t="s">
        <v>1335</v>
      </c>
      <c r="C562" t="s">
        <v>1336</v>
      </c>
      <c r="D562">
        <v>1009</v>
      </c>
      <c r="E562" s="19">
        <f t="shared" si="40"/>
        <v>33.633333333333333</v>
      </c>
      <c r="F562" s="131">
        <v>1794.25</v>
      </c>
      <c r="I562" s="19">
        <f t="shared" si="37"/>
        <v>2018</v>
      </c>
      <c r="J562" t="b">
        <f t="shared" si="41"/>
        <v>1</v>
      </c>
      <c r="K562" s="4">
        <f t="shared" si="42"/>
        <v>-0.11087710604558965</v>
      </c>
    </row>
    <row r="563" spans="2:11" hidden="1">
      <c r="B563" s="27" t="s">
        <v>1319</v>
      </c>
      <c r="C563" s="27" t="s">
        <v>1320</v>
      </c>
      <c r="D563">
        <v>262</v>
      </c>
      <c r="E563" s="19">
        <f t="shared" si="40"/>
        <v>8.7333333333333325</v>
      </c>
      <c r="F563" s="131">
        <v>130.07</v>
      </c>
      <c r="I563" s="19">
        <f t="shared" si="37"/>
        <v>524</v>
      </c>
      <c r="J563" t="b">
        <f t="shared" si="41"/>
        <v>1</v>
      </c>
      <c r="K563" s="4">
        <f t="shared" si="42"/>
        <v>-0.75177480916030537</v>
      </c>
    </row>
    <row r="564" spans="2:11" hidden="1">
      <c r="B564" s="55" t="s">
        <v>1249</v>
      </c>
      <c r="C564" s="37" t="s">
        <v>1250</v>
      </c>
      <c r="D564">
        <v>0</v>
      </c>
      <c r="E564" s="19">
        <f t="shared" si="40"/>
        <v>0</v>
      </c>
      <c r="F564" s="131">
        <v>0</v>
      </c>
      <c r="I564" s="19">
        <f t="shared" si="37"/>
        <v>0</v>
      </c>
      <c r="J564" t="b">
        <f t="shared" si="41"/>
        <v>1</v>
      </c>
      <c r="K564" s="4" t="e">
        <f t="shared" si="42"/>
        <v>#DIV/0!</v>
      </c>
    </row>
    <row r="565" spans="2:11" hidden="1">
      <c r="B565" s="54" t="s">
        <v>1299</v>
      </c>
      <c r="C565" s="37" t="s">
        <v>1300</v>
      </c>
      <c r="D565">
        <v>1058</v>
      </c>
      <c r="E565" s="19">
        <f t="shared" si="40"/>
        <v>35.266666666666666</v>
      </c>
      <c r="F565" s="131">
        <v>875.73</v>
      </c>
      <c r="I565" s="19">
        <f t="shared" si="37"/>
        <v>2116</v>
      </c>
      <c r="J565" t="b">
        <f t="shared" si="41"/>
        <v>1</v>
      </c>
      <c r="K565" s="4">
        <f t="shared" si="42"/>
        <v>-0.5861389413988658</v>
      </c>
    </row>
    <row r="566" spans="2:11" hidden="1">
      <c r="B566" s="37" t="s">
        <v>1325</v>
      </c>
      <c r="C566" s="37" t="s">
        <v>1326</v>
      </c>
      <c r="D566">
        <v>852</v>
      </c>
      <c r="E566" s="19">
        <f t="shared" si="40"/>
        <v>28.4</v>
      </c>
      <c r="F566" s="131">
        <v>1546.35</v>
      </c>
      <c r="I566" s="19">
        <f t="shared" si="37"/>
        <v>1704</v>
      </c>
      <c r="J566" t="b">
        <f t="shared" si="41"/>
        <v>1</v>
      </c>
      <c r="K566" s="4">
        <f t="shared" si="42"/>
        <v>-9.2517605633802846E-2</v>
      </c>
    </row>
    <row r="567" spans="2:11" hidden="1">
      <c r="B567" t="s">
        <v>1333</v>
      </c>
      <c r="C567" t="s">
        <v>1334</v>
      </c>
      <c r="D567">
        <v>972</v>
      </c>
      <c r="E567" s="19">
        <f t="shared" si="40"/>
        <v>32.4</v>
      </c>
      <c r="F567" s="131">
        <v>617.16999999999996</v>
      </c>
      <c r="I567" s="19">
        <f t="shared" si="37"/>
        <v>1944</v>
      </c>
      <c r="J567" t="b">
        <f t="shared" si="41"/>
        <v>1</v>
      </c>
      <c r="K567" s="4">
        <f t="shared" si="42"/>
        <v>-0.68252572016460911</v>
      </c>
    </row>
    <row r="568" spans="2:11" hidden="1">
      <c r="B568" t="s">
        <v>1262</v>
      </c>
      <c r="C568" t="s">
        <v>1263</v>
      </c>
      <c r="D568">
        <v>0</v>
      </c>
      <c r="E568" s="19">
        <f t="shared" si="40"/>
        <v>0</v>
      </c>
      <c r="F568" s="131">
        <v>0</v>
      </c>
      <c r="I568" s="19">
        <f t="shared" si="37"/>
        <v>0</v>
      </c>
      <c r="J568" t="b">
        <f t="shared" si="41"/>
        <v>1</v>
      </c>
      <c r="K568" s="4" t="e">
        <f t="shared" si="42"/>
        <v>#DIV/0!</v>
      </c>
    </row>
    <row r="569" spans="2:11" hidden="1">
      <c r="B569" t="s">
        <v>1404</v>
      </c>
      <c r="C569" t="s">
        <v>1405</v>
      </c>
      <c r="D569">
        <v>3178</v>
      </c>
      <c r="E569" s="19">
        <f t="shared" si="40"/>
        <v>105.93333333333334</v>
      </c>
      <c r="F569" s="131">
        <v>1083.1600000000001</v>
      </c>
      <c r="I569" s="19">
        <f t="shared" si="37"/>
        <v>6356</v>
      </c>
      <c r="J569" t="b">
        <f t="shared" si="41"/>
        <v>1</v>
      </c>
      <c r="K569" s="4">
        <f t="shared" si="42"/>
        <v>-0.82958464443045943</v>
      </c>
    </row>
    <row r="570" spans="2:11" hidden="1">
      <c r="B570" s="54" t="s">
        <v>1155</v>
      </c>
      <c r="C570" s="37" t="s">
        <v>1156</v>
      </c>
      <c r="D570">
        <v>1737</v>
      </c>
      <c r="E570" s="19">
        <f t="shared" si="40"/>
        <v>57.9</v>
      </c>
      <c r="F570" s="131">
        <v>1937.53</v>
      </c>
      <c r="I570" s="19">
        <f t="shared" si="37"/>
        <v>3474</v>
      </c>
      <c r="J570" t="b">
        <f t="shared" si="41"/>
        <v>1</v>
      </c>
      <c r="K570" s="4">
        <f t="shared" si="42"/>
        <v>-0.44227691421991944</v>
      </c>
    </row>
    <row r="571" spans="2:11" hidden="1">
      <c r="B571" t="s">
        <v>1185</v>
      </c>
      <c r="C571" t="s">
        <v>1186</v>
      </c>
      <c r="D571">
        <v>631</v>
      </c>
      <c r="E571" s="19">
        <f t="shared" si="40"/>
        <v>21.033333333333335</v>
      </c>
      <c r="F571" s="131">
        <v>1034.24</v>
      </c>
      <c r="I571" s="19">
        <f t="shared" si="37"/>
        <v>1262</v>
      </c>
      <c r="J571" t="b">
        <f t="shared" si="41"/>
        <v>1</v>
      </c>
      <c r="K571" s="4">
        <f t="shared" si="42"/>
        <v>-0.18047543581616476</v>
      </c>
    </row>
    <row r="572" spans="2:11" hidden="1">
      <c r="B572" t="s">
        <v>1205</v>
      </c>
      <c r="C572" t="s">
        <v>1206</v>
      </c>
      <c r="D572">
        <v>512</v>
      </c>
      <c r="E572" s="19">
        <f t="shared" si="40"/>
        <v>17.066666666666666</v>
      </c>
      <c r="F572" s="131">
        <v>109.21</v>
      </c>
      <c r="I572" s="19">
        <f t="shared" si="37"/>
        <v>1024</v>
      </c>
      <c r="J572" t="b">
        <f t="shared" si="41"/>
        <v>1</v>
      </c>
      <c r="K572" s="4">
        <f t="shared" si="42"/>
        <v>-0.89334960937499996</v>
      </c>
    </row>
    <row r="573" spans="2:11" hidden="1">
      <c r="B573" t="s">
        <v>1207</v>
      </c>
      <c r="C573" t="s">
        <v>1208</v>
      </c>
      <c r="D573">
        <v>927</v>
      </c>
      <c r="E573" s="19">
        <f t="shared" si="40"/>
        <v>30.9</v>
      </c>
      <c r="F573" s="131">
        <v>608.30999999999995</v>
      </c>
      <c r="I573" s="19">
        <f t="shared" si="37"/>
        <v>1854</v>
      </c>
      <c r="J573" t="b">
        <f t="shared" si="41"/>
        <v>1</v>
      </c>
      <c r="K573" s="4">
        <f t="shared" si="42"/>
        <v>-0.67189320388349516</v>
      </c>
    </row>
    <row r="574" spans="2:11" hidden="1">
      <c r="B574" t="s">
        <v>1349</v>
      </c>
      <c r="C574" t="s">
        <v>1350</v>
      </c>
      <c r="D574">
        <v>994</v>
      </c>
      <c r="E574" s="19">
        <f t="shared" si="40"/>
        <v>33.133333333333333</v>
      </c>
      <c r="F574" s="131">
        <v>446.95</v>
      </c>
      <c r="I574" s="19">
        <f t="shared" si="37"/>
        <v>1988</v>
      </c>
      <c r="J574" t="b">
        <f t="shared" si="41"/>
        <v>1</v>
      </c>
      <c r="K574" s="4">
        <f t="shared" si="42"/>
        <v>-0.77517605633802811</v>
      </c>
    </row>
    <row r="575" spans="2:11" hidden="1">
      <c r="B575" t="s">
        <v>1264</v>
      </c>
      <c r="C575" t="s">
        <v>1265</v>
      </c>
      <c r="D575">
        <v>332</v>
      </c>
      <c r="E575" s="19">
        <f t="shared" si="40"/>
        <v>11.066666666666666</v>
      </c>
      <c r="F575" s="131">
        <v>622.63</v>
      </c>
      <c r="I575" s="19">
        <f t="shared" si="37"/>
        <v>664</v>
      </c>
      <c r="J575" t="b">
        <f t="shared" si="41"/>
        <v>1</v>
      </c>
      <c r="K575" s="4">
        <f t="shared" si="42"/>
        <v>-6.2304216867469897E-2</v>
      </c>
    </row>
    <row r="576" spans="2:11" hidden="1">
      <c r="B576" t="s">
        <v>1222</v>
      </c>
      <c r="C576" t="s">
        <v>1223</v>
      </c>
      <c r="D576">
        <v>332</v>
      </c>
      <c r="E576" s="19">
        <f t="shared" si="40"/>
        <v>11.066666666666666</v>
      </c>
      <c r="F576" s="131">
        <v>0</v>
      </c>
      <c r="I576" s="19">
        <f t="shared" si="37"/>
        <v>664</v>
      </c>
      <c r="J576" t="b">
        <f t="shared" si="41"/>
        <v>1</v>
      </c>
      <c r="K576" s="4">
        <f t="shared" si="42"/>
        <v>-1</v>
      </c>
    </row>
    <row r="577" spans="2:11" hidden="1">
      <c r="B577" t="s">
        <v>1230</v>
      </c>
      <c r="C577" t="s">
        <v>1231</v>
      </c>
      <c r="D577">
        <v>311</v>
      </c>
      <c r="E577" s="19">
        <f t="shared" si="40"/>
        <v>10.366666666666667</v>
      </c>
      <c r="F577" s="131">
        <v>316.22000000000003</v>
      </c>
      <c r="I577" s="19">
        <f t="shared" si="37"/>
        <v>622</v>
      </c>
      <c r="J577" t="b">
        <f t="shared" si="41"/>
        <v>1</v>
      </c>
      <c r="K577" s="4">
        <f t="shared" si="42"/>
        <v>-0.49160771704180062</v>
      </c>
    </row>
    <row r="578" spans="2:11" hidden="1">
      <c r="B578" t="s">
        <v>1174</v>
      </c>
      <c r="C578" t="s">
        <v>1175</v>
      </c>
      <c r="D578">
        <v>784</v>
      </c>
      <c r="E578" s="19">
        <f t="shared" si="40"/>
        <v>26.133333333333333</v>
      </c>
      <c r="F578" s="131">
        <v>291.26</v>
      </c>
      <c r="I578" s="19">
        <f t="shared" si="37"/>
        <v>1568</v>
      </c>
      <c r="J578" t="b">
        <f t="shared" si="41"/>
        <v>1</v>
      </c>
      <c r="K578" s="4">
        <f t="shared" si="42"/>
        <v>-0.81424744897959189</v>
      </c>
    </row>
    <row r="579" spans="2:11" hidden="1">
      <c r="B579" s="54" t="s">
        <v>1161</v>
      </c>
      <c r="C579" t="s">
        <v>1162</v>
      </c>
      <c r="D579">
        <v>878</v>
      </c>
      <c r="E579" s="19">
        <f t="shared" si="40"/>
        <v>29.266666666666666</v>
      </c>
      <c r="F579" s="131">
        <v>1340.34</v>
      </c>
      <c r="I579" s="19">
        <f t="shared" ref="I579:I641" si="43">IF((D579/30)&gt;100,D579*2,D579*2)</f>
        <v>1756</v>
      </c>
      <c r="J579" t="b">
        <f t="shared" si="41"/>
        <v>1</v>
      </c>
      <c r="K579" s="4">
        <f t="shared" si="42"/>
        <v>-0.23670842824601368</v>
      </c>
    </row>
    <row r="580" spans="2:11" hidden="1">
      <c r="B580" t="s">
        <v>1389</v>
      </c>
      <c r="C580" t="s">
        <v>1390</v>
      </c>
      <c r="D580">
        <v>633</v>
      </c>
      <c r="E580" s="19">
        <f t="shared" si="40"/>
        <v>21.1</v>
      </c>
      <c r="F580" s="131">
        <v>466.14</v>
      </c>
      <c r="I580" s="19">
        <f t="shared" si="43"/>
        <v>1266</v>
      </c>
      <c r="J580" t="b">
        <f t="shared" si="41"/>
        <v>1</v>
      </c>
      <c r="K580" s="4">
        <f t="shared" si="42"/>
        <v>-0.63180094786729857</v>
      </c>
    </row>
    <row r="581" spans="2:11" hidden="1">
      <c r="B581" t="s">
        <v>1385</v>
      </c>
      <c r="C581" t="s">
        <v>1386</v>
      </c>
      <c r="D581">
        <v>1037</v>
      </c>
      <c r="E581" s="19">
        <f t="shared" si="40"/>
        <v>34.56666666666667</v>
      </c>
      <c r="F581" s="131">
        <v>1096.8699999999999</v>
      </c>
      <c r="I581" s="19">
        <f t="shared" si="43"/>
        <v>2074</v>
      </c>
      <c r="J581" t="b">
        <f t="shared" si="41"/>
        <v>1</v>
      </c>
      <c r="K581" s="4">
        <f t="shared" si="42"/>
        <v>-0.47113307618129219</v>
      </c>
    </row>
    <row r="582" spans="2:11" hidden="1">
      <c r="B582" t="s">
        <v>1228</v>
      </c>
      <c r="C582" t="s">
        <v>1229</v>
      </c>
      <c r="D582">
        <v>530</v>
      </c>
      <c r="E582" s="19">
        <f t="shared" si="40"/>
        <v>17.666666666666668</v>
      </c>
      <c r="F582" s="131">
        <v>622.34</v>
      </c>
      <c r="I582" s="19">
        <f t="shared" si="43"/>
        <v>1060</v>
      </c>
      <c r="J582" t="b">
        <f t="shared" si="41"/>
        <v>1</v>
      </c>
      <c r="K582" s="4">
        <f t="shared" si="42"/>
        <v>-0.41288679245283011</v>
      </c>
    </row>
    <row r="583" spans="2:11">
      <c r="B583" s="54" t="s">
        <v>1216</v>
      </c>
      <c r="C583" s="37" t="s">
        <v>1217</v>
      </c>
      <c r="D583">
        <v>320</v>
      </c>
      <c r="E583" s="19">
        <f t="shared" si="40"/>
        <v>10.666666666666666</v>
      </c>
      <c r="F583" s="131">
        <v>1257.55</v>
      </c>
      <c r="I583" s="19">
        <f t="shared" si="43"/>
        <v>640</v>
      </c>
      <c r="J583" t="b">
        <f t="shared" si="41"/>
        <v>0</v>
      </c>
      <c r="K583" s="4">
        <f t="shared" si="42"/>
        <v>0.96492187499999993</v>
      </c>
    </row>
    <row r="584" spans="2:11" hidden="1">
      <c r="B584" t="s">
        <v>1200</v>
      </c>
      <c r="C584" t="s">
        <v>1201</v>
      </c>
      <c r="D584">
        <v>889</v>
      </c>
      <c r="E584" s="19">
        <f t="shared" si="40"/>
        <v>29.633333333333333</v>
      </c>
      <c r="F584" s="131">
        <v>800.19</v>
      </c>
      <c r="I584" s="19">
        <f t="shared" si="43"/>
        <v>1778</v>
      </c>
      <c r="J584" t="b">
        <f t="shared" si="41"/>
        <v>1</v>
      </c>
      <c r="K584" s="4">
        <f t="shared" si="42"/>
        <v>-0.54994938132733406</v>
      </c>
    </row>
    <row r="585" spans="2:11" hidden="1">
      <c r="B585" t="s">
        <v>1266</v>
      </c>
      <c r="C585" t="s">
        <v>1267</v>
      </c>
      <c r="D585">
        <v>13</v>
      </c>
      <c r="E585" s="19">
        <f t="shared" si="40"/>
        <v>0.43333333333333335</v>
      </c>
      <c r="F585" s="131">
        <v>25.68</v>
      </c>
      <c r="I585" s="19">
        <f t="shared" si="43"/>
        <v>26</v>
      </c>
      <c r="J585" t="b">
        <f t="shared" si="41"/>
        <v>1</v>
      </c>
      <c r="K585" s="4">
        <f t="shared" si="42"/>
        <v>-1.2307692307692353E-2</v>
      </c>
    </row>
    <row r="586" spans="2:11" hidden="1">
      <c r="B586" t="s">
        <v>1281</v>
      </c>
      <c r="C586" t="s">
        <v>1282</v>
      </c>
      <c r="D586">
        <v>251</v>
      </c>
      <c r="E586" s="19">
        <f t="shared" si="40"/>
        <v>8.3666666666666671</v>
      </c>
      <c r="F586" s="131">
        <v>470.61</v>
      </c>
      <c r="I586" s="19">
        <f t="shared" si="43"/>
        <v>502</v>
      </c>
      <c r="J586" t="b">
        <f t="shared" si="41"/>
        <v>1</v>
      </c>
      <c r="K586" s="4">
        <f t="shared" si="42"/>
        <v>-6.2529880478087607E-2</v>
      </c>
    </row>
    <row r="587" spans="2:11" hidden="1">
      <c r="B587" t="s">
        <v>1307</v>
      </c>
      <c r="C587" t="s">
        <v>1308</v>
      </c>
      <c r="D587">
        <v>506</v>
      </c>
      <c r="E587" s="19">
        <f t="shared" si="40"/>
        <v>16.866666666666667</v>
      </c>
      <c r="F587" s="131">
        <v>379.96</v>
      </c>
      <c r="I587" s="19">
        <f t="shared" si="43"/>
        <v>1012</v>
      </c>
      <c r="J587" t="b">
        <f t="shared" si="41"/>
        <v>1</v>
      </c>
      <c r="K587" s="4">
        <f t="shared" si="42"/>
        <v>-0.62454545454545451</v>
      </c>
    </row>
    <row r="588" spans="2:11" hidden="1">
      <c r="B588" t="s">
        <v>1251</v>
      </c>
      <c r="C588" t="s">
        <v>1252</v>
      </c>
      <c r="D588">
        <v>0</v>
      </c>
      <c r="E588" s="19">
        <f t="shared" si="40"/>
        <v>0</v>
      </c>
      <c r="F588" s="131">
        <v>0</v>
      </c>
      <c r="I588" s="19">
        <f t="shared" si="43"/>
        <v>0</v>
      </c>
      <c r="J588" t="b">
        <f t="shared" si="41"/>
        <v>1</v>
      </c>
      <c r="K588" s="4" t="e">
        <f t="shared" si="42"/>
        <v>#DIV/0!</v>
      </c>
    </row>
    <row r="589" spans="2:11" hidden="1">
      <c r="B589" t="s">
        <v>1253</v>
      </c>
      <c r="C589" t="s">
        <v>1254</v>
      </c>
      <c r="D589">
        <v>0</v>
      </c>
      <c r="E589" s="19">
        <f t="shared" si="40"/>
        <v>0</v>
      </c>
      <c r="F589" s="131">
        <v>0</v>
      </c>
      <c r="I589" s="19">
        <f t="shared" si="43"/>
        <v>0</v>
      </c>
      <c r="J589" t="b">
        <f t="shared" si="41"/>
        <v>1</v>
      </c>
      <c r="K589" s="4" t="e">
        <f t="shared" si="42"/>
        <v>#DIV/0!</v>
      </c>
    </row>
    <row r="590" spans="2:11" hidden="1">
      <c r="B590" t="s">
        <v>1256</v>
      </c>
      <c r="C590" t="s">
        <v>1257</v>
      </c>
      <c r="D590">
        <v>0</v>
      </c>
      <c r="E590" s="19">
        <f t="shared" si="40"/>
        <v>0</v>
      </c>
      <c r="F590" s="131">
        <v>0</v>
      </c>
      <c r="I590" s="19">
        <f t="shared" si="43"/>
        <v>0</v>
      </c>
      <c r="J590" t="b">
        <f t="shared" si="41"/>
        <v>1</v>
      </c>
      <c r="K590" s="4" t="e">
        <f t="shared" si="42"/>
        <v>#DIV/0!</v>
      </c>
    </row>
    <row r="591" spans="2:11" hidden="1">
      <c r="B591" t="s">
        <v>1258</v>
      </c>
      <c r="C591" t="s">
        <v>1259</v>
      </c>
      <c r="D591">
        <v>0</v>
      </c>
      <c r="E591" s="19">
        <f t="shared" si="40"/>
        <v>0</v>
      </c>
      <c r="F591" s="131">
        <v>0</v>
      </c>
      <c r="I591" s="19">
        <f t="shared" si="43"/>
        <v>0</v>
      </c>
      <c r="J591" t="b">
        <f t="shared" si="41"/>
        <v>1</v>
      </c>
      <c r="K591" s="4" t="e">
        <f t="shared" si="42"/>
        <v>#DIV/0!</v>
      </c>
    </row>
    <row r="592" spans="2:11" hidden="1">
      <c r="B592" t="s">
        <v>1260</v>
      </c>
      <c r="C592" t="s">
        <v>1261</v>
      </c>
      <c r="D592">
        <v>0</v>
      </c>
      <c r="E592" s="19">
        <f t="shared" si="40"/>
        <v>0</v>
      </c>
      <c r="F592" s="131">
        <v>0</v>
      </c>
      <c r="I592" s="19">
        <f t="shared" si="43"/>
        <v>0</v>
      </c>
      <c r="J592" t="b">
        <f t="shared" si="41"/>
        <v>1</v>
      </c>
      <c r="K592" s="4" t="e">
        <f t="shared" si="42"/>
        <v>#DIV/0!</v>
      </c>
    </row>
    <row r="593" spans="2:11">
      <c r="B593" s="37" t="s">
        <v>1329</v>
      </c>
      <c r="C593" s="37" t="s">
        <v>1330</v>
      </c>
      <c r="D593">
        <v>374</v>
      </c>
      <c r="E593" s="19">
        <f t="shared" si="40"/>
        <v>12.466666666666667</v>
      </c>
      <c r="F593" s="131">
        <v>1302.0899999999999</v>
      </c>
      <c r="I593" s="19">
        <f t="shared" si="43"/>
        <v>748</v>
      </c>
      <c r="J593" t="b">
        <f t="shared" si="41"/>
        <v>0</v>
      </c>
      <c r="K593" s="4">
        <f t="shared" si="42"/>
        <v>0.74076203208556146</v>
      </c>
    </row>
    <row r="594" spans="2:11" hidden="1">
      <c r="B594" t="s">
        <v>1214</v>
      </c>
      <c r="C594" t="s">
        <v>1215</v>
      </c>
      <c r="D594">
        <v>113</v>
      </c>
      <c r="E594" s="19">
        <f t="shared" si="40"/>
        <v>3.7666666666666666</v>
      </c>
      <c r="F594" s="131">
        <v>116.03</v>
      </c>
      <c r="I594" s="19">
        <f t="shared" si="43"/>
        <v>226</v>
      </c>
      <c r="J594" t="b">
        <f t="shared" si="41"/>
        <v>1</v>
      </c>
      <c r="K594" s="4">
        <f t="shared" si="42"/>
        <v>-0.48659292035398227</v>
      </c>
    </row>
    <row r="595" spans="2:11" hidden="1">
      <c r="B595" t="s">
        <v>1396</v>
      </c>
      <c r="C595" t="s">
        <v>1397</v>
      </c>
      <c r="D595">
        <v>4194</v>
      </c>
      <c r="E595" s="19">
        <f t="shared" si="40"/>
        <v>139.80000000000001</v>
      </c>
      <c r="F595" s="131">
        <v>5060.59</v>
      </c>
      <c r="I595" s="19">
        <f t="shared" si="43"/>
        <v>8388</v>
      </c>
      <c r="J595" t="b">
        <f t="shared" si="41"/>
        <v>1</v>
      </c>
      <c r="K595" s="4">
        <f t="shared" si="42"/>
        <v>-0.39668693371483066</v>
      </c>
    </row>
    <row r="596" spans="2:11" hidden="1">
      <c r="B596" s="27" t="s">
        <v>1165</v>
      </c>
      <c r="C596" t="s">
        <v>1166</v>
      </c>
      <c r="D596">
        <v>829</v>
      </c>
      <c r="E596" s="19">
        <f t="shared" si="40"/>
        <v>27.633333333333333</v>
      </c>
      <c r="F596" s="131">
        <v>1256.1500000000001</v>
      </c>
      <c r="I596" s="19">
        <f t="shared" si="43"/>
        <v>1658</v>
      </c>
      <c r="J596" t="b">
        <f t="shared" si="41"/>
        <v>1</v>
      </c>
      <c r="K596" s="4">
        <f t="shared" si="42"/>
        <v>-0.24237032569360673</v>
      </c>
    </row>
    <row r="597" spans="2:11" hidden="1">
      <c r="B597" s="55" t="s">
        <v>1196</v>
      </c>
      <c r="C597" s="37" t="s">
        <v>1197</v>
      </c>
      <c r="D597">
        <v>832</v>
      </c>
      <c r="E597" s="19">
        <f t="shared" si="40"/>
        <v>27.733333333333334</v>
      </c>
      <c r="F597" s="131">
        <v>1282.0899999999999</v>
      </c>
      <c r="I597" s="19">
        <f t="shared" si="43"/>
        <v>1664</v>
      </c>
      <c r="J597" t="b">
        <f t="shared" si="41"/>
        <v>1</v>
      </c>
      <c r="K597" s="4">
        <f t="shared" si="42"/>
        <v>-0.2295132211538462</v>
      </c>
    </row>
    <row r="598" spans="2:11" hidden="1">
      <c r="B598" t="s">
        <v>1327</v>
      </c>
      <c r="C598" t="s">
        <v>1328</v>
      </c>
      <c r="D598">
        <v>914</v>
      </c>
      <c r="E598" s="19">
        <f t="shared" si="40"/>
        <v>30.466666666666665</v>
      </c>
      <c r="F598" s="131">
        <v>523.5</v>
      </c>
      <c r="I598" s="19">
        <f t="shared" si="43"/>
        <v>1828</v>
      </c>
      <c r="J598" t="b">
        <f t="shared" si="41"/>
        <v>1</v>
      </c>
      <c r="K598" s="4">
        <f t="shared" si="42"/>
        <v>-0.7136214442013129</v>
      </c>
    </row>
    <row r="599" spans="2:11" hidden="1">
      <c r="B599" t="s">
        <v>1365</v>
      </c>
      <c r="C599" t="s">
        <v>1366</v>
      </c>
      <c r="D599">
        <v>1521</v>
      </c>
      <c r="E599" s="19">
        <f t="shared" si="40"/>
        <v>50.7</v>
      </c>
      <c r="F599" s="131">
        <v>2473</v>
      </c>
      <c r="I599" s="19">
        <f t="shared" si="43"/>
        <v>3042</v>
      </c>
      <c r="J599" t="b">
        <f t="shared" si="41"/>
        <v>1</v>
      </c>
      <c r="K599" s="4">
        <f t="shared" si="42"/>
        <v>-0.18704799474030243</v>
      </c>
    </row>
    <row r="600" spans="2:11" hidden="1">
      <c r="B600" t="s">
        <v>1374</v>
      </c>
      <c r="C600" t="s">
        <v>1375</v>
      </c>
      <c r="D600">
        <v>2123</v>
      </c>
      <c r="E600" s="19">
        <f t="shared" si="40"/>
        <v>70.766666666666666</v>
      </c>
      <c r="F600" s="131">
        <v>2207.2600000000002</v>
      </c>
      <c r="I600" s="19">
        <f t="shared" si="43"/>
        <v>4246</v>
      </c>
      <c r="J600" t="b">
        <f t="shared" si="41"/>
        <v>1</v>
      </c>
      <c r="K600" s="4">
        <f t="shared" si="42"/>
        <v>-0.48015544041450775</v>
      </c>
    </row>
    <row r="601" spans="2:11" hidden="1">
      <c r="B601" t="s">
        <v>1367</v>
      </c>
      <c r="C601" t="s">
        <v>1368</v>
      </c>
      <c r="D601">
        <v>1194</v>
      </c>
      <c r="E601" s="19">
        <f t="shared" si="40"/>
        <v>39.799999999999997</v>
      </c>
      <c r="F601" s="131">
        <v>1053.3</v>
      </c>
      <c r="I601" s="19">
        <f t="shared" si="43"/>
        <v>2388</v>
      </c>
      <c r="J601" t="b">
        <f t="shared" si="41"/>
        <v>1</v>
      </c>
      <c r="K601" s="4">
        <f t="shared" si="42"/>
        <v>-0.55891959798994972</v>
      </c>
    </row>
    <row r="602" spans="2:11" hidden="1">
      <c r="B602" s="55" t="s">
        <v>1275</v>
      </c>
      <c r="C602" s="37" t="s">
        <v>1276</v>
      </c>
      <c r="D602">
        <v>1765</v>
      </c>
      <c r="E602" s="19">
        <f t="shared" si="40"/>
        <v>58.833333333333336</v>
      </c>
      <c r="F602" s="131">
        <v>2125.67</v>
      </c>
      <c r="I602" s="19">
        <f t="shared" si="43"/>
        <v>3530</v>
      </c>
      <c r="J602" t="b">
        <f t="shared" si="41"/>
        <v>1</v>
      </c>
      <c r="K602" s="4">
        <f t="shared" si="42"/>
        <v>-0.39782719546742207</v>
      </c>
    </row>
    <row r="603" spans="2:11" hidden="1">
      <c r="B603" t="s">
        <v>1194</v>
      </c>
      <c r="C603" t="s">
        <v>1195</v>
      </c>
      <c r="D603">
        <v>1010</v>
      </c>
      <c r="E603" s="19">
        <f t="shared" si="40"/>
        <v>33.666666666666664</v>
      </c>
      <c r="F603" s="131">
        <v>806.34</v>
      </c>
      <c r="I603" s="19">
        <f t="shared" si="43"/>
        <v>2020</v>
      </c>
      <c r="J603" t="b">
        <f t="shared" si="41"/>
        <v>1</v>
      </c>
      <c r="K603" s="4">
        <f t="shared" si="42"/>
        <v>-0.6008217821782178</v>
      </c>
    </row>
    <row r="604" spans="2:11" hidden="1">
      <c r="B604" t="s">
        <v>1311</v>
      </c>
      <c r="C604" t="s">
        <v>1312</v>
      </c>
      <c r="D604">
        <v>700</v>
      </c>
      <c r="E604" s="19">
        <f t="shared" si="40"/>
        <v>23.333333333333332</v>
      </c>
      <c r="F604" s="131">
        <v>566.41</v>
      </c>
      <c r="I604" s="19">
        <f t="shared" si="43"/>
        <v>1400</v>
      </c>
      <c r="J604" t="b">
        <f t="shared" si="41"/>
        <v>1</v>
      </c>
      <c r="K604" s="4">
        <f t="shared" si="42"/>
        <v>-0.59542142857142855</v>
      </c>
    </row>
    <row r="605" spans="2:11" hidden="1">
      <c r="B605" t="s">
        <v>1171</v>
      </c>
      <c r="C605" t="s">
        <v>1172</v>
      </c>
      <c r="D605">
        <v>1526</v>
      </c>
      <c r="E605" s="19">
        <f t="shared" si="40"/>
        <v>50.866666666666667</v>
      </c>
      <c r="F605" s="131">
        <v>2585.4</v>
      </c>
      <c r="I605" s="19">
        <f t="shared" si="43"/>
        <v>3052</v>
      </c>
      <c r="J605" t="b">
        <f t="shared" si="41"/>
        <v>1</v>
      </c>
      <c r="K605" s="4">
        <f t="shared" si="42"/>
        <v>-0.15288335517693308</v>
      </c>
    </row>
    <row r="606" spans="2:11" hidden="1">
      <c r="B606" t="s">
        <v>1353</v>
      </c>
      <c r="C606" t="s">
        <v>1354</v>
      </c>
      <c r="D606">
        <v>1539</v>
      </c>
      <c r="E606" s="19">
        <f t="shared" si="40"/>
        <v>51.3</v>
      </c>
      <c r="F606" s="131">
        <v>1543.33</v>
      </c>
      <c r="I606" s="19">
        <f t="shared" si="43"/>
        <v>3078</v>
      </c>
      <c r="J606" t="b">
        <f t="shared" si="41"/>
        <v>1</v>
      </c>
      <c r="K606" s="4">
        <f t="shared" si="42"/>
        <v>-0.49859324236517222</v>
      </c>
    </row>
    <row r="607" spans="2:11" hidden="1">
      <c r="B607" t="s">
        <v>1286</v>
      </c>
      <c r="C607" t="s">
        <v>1287</v>
      </c>
      <c r="D607">
        <v>461</v>
      </c>
      <c r="E607" s="19">
        <f t="shared" si="40"/>
        <v>15.366666666666667</v>
      </c>
      <c r="F607" s="131">
        <v>768.33</v>
      </c>
      <c r="I607" s="19">
        <f t="shared" si="43"/>
        <v>922</v>
      </c>
      <c r="J607" t="b">
        <f t="shared" si="41"/>
        <v>1</v>
      </c>
      <c r="K607" s="4">
        <f t="shared" si="42"/>
        <v>-0.16667028199566158</v>
      </c>
    </row>
    <row r="608" spans="2:11" hidden="1">
      <c r="B608" s="54" t="s">
        <v>1277</v>
      </c>
      <c r="C608" s="37" t="s">
        <v>1278</v>
      </c>
      <c r="D608">
        <v>654</v>
      </c>
      <c r="E608" s="19">
        <f t="shared" si="40"/>
        <v>21.8</v>
      </c>
      <c r="F608" s="131">
        <v>604.15</v>
      </c>
      <c r="I608" s="19">
        <f t="shared" si="43"/>
        <v>1308</v>
      </c>
      <c r="J608" t="b">
        <f t="shared" si="41"/>
        <v>1</v>
      </c>
      <c r="K608" s="4">
        <f t="shared" si="42"/>
        <v>-0.5381116207951071</v>
      </c>
    </row>
    <row r="609" spans="2:11" hidden="1">
      <c r="B609" t="s">
        <v>1372</v>
      </c>
      <c r="C609" t="s">
        <v>1373</v>
      </c>
      <c r="D609">
        <v>908</v>
      </c>
      <c r="E609" s="19">
        <f t="shared" si="40"/>
        <v>30.266666666666666</v>
      </c>
      <c r="F609" s="131">
        <v>1112.19</v>
      </c>
      <c r="I609" s="19">
        <f t="shared" si="43"/>
        <v>1816</v>
      </c>
      <c r="J609" t="b">
        <f t="shared" si="41"/>
        <v>1</v>
      </c>
      <c r="K609" s="4">
        <f t="shared" si="42"/>
        <v>-0.38756057268722466</v>
      </c>
    </row>
    <row r="610" spans="2:11" hidden="1">
      <c r="B610" t="s">
        <v>1387</v>
      </c>
      <c r="C610" t="s">
        <v>1388</v>
      </c>
      <c r="D610">
        <v>1321</v>
      </c>
      <c r="E610" s="19">
        <f t="shared" si="40"/>
        <v>44.033333333333331</v>
      </c>
      <c r="F610" s="131">
        <v>818.49</v>
      </c>
      <c r="I610" s="19">
        <f t="shared" si="43"/>
        <v>2642</v>
      </c>
      <c r="J610" t="b">
        <f t="shared" si="41"/>
        <v>1</v>
      </c>
      <c r="K610" s="4">
        <f t="shared" si="42"/>
        <v>-0.69020060560181684</v>
      </c>
    </row>
    <row r="611" spans="2:11" hidden="1">
      <c r="B611" t="s">
        <v>1290</v>
      </c>
      <c r="C611" t="s">
        <v>1291</v>
      </c>
      <c r="D611">
        <v>322</v>
      </c>
      <c r="E611" s="19">
        <f t="shared" si="40"/>
        <v>10.733333333333333</v>
      </c>
      <c r="F611" s="131">
        <v>198</v>
      </c>
      <c r="I611" s="19">
        <f t="shared" si="43"/>
        <v>644</v>
      </c>
      <c r="J611" t="b">
        <f t="shared" si="41"/>
        <v>1</v>
      </c>
      <c r="K611" s="4">
        <f t="shared" si="42"/>
        <v>-0.69254658385093171</v>
      </c>
    </row>
    <row r="612" spans="2:11" hidden="1">
      <c r="B612" t="s">
        <v>1347</v>
      </c>
      <c r="C612" t="s">
        <v>1348</v>
      </c>
      <c r="D612">
        <v>766</v>
      </c>
      <c r="E612" s="19">
        <f t="shared" si="40"/>
        <v>25.533333333333335</v>
      </c>
      <c r="F612" s="131">
        <v>639.82000000000005</v>
      </c>
      <c r="I612" s="19">
        <f t="shared" si="43"/>
        <v>1532</v>
      </c>
      <c r="J612" t="b">
        <f t="shared" si="41"/>
        <v>1</v>
      </c>
      <c r="K612" s="4">
        <f t="shared" si="42"/>
        <v>-0.58236292428198433</v>
      </c>
    </row>
    <row r="613" spans="2:11" hidden="1">
      <c r="B613" t="s">
        <v>1309</v>
      </c>
      <c r="C613" t="s">
        <v>1310</v>
      </c>
      <c r="D613">
        <v>769</v>
      </c>
      <c r="E613" s="19">
        <f t="shared" si="40"/>
        <v>25.633333333333333</v>
      </c>
      <c r="F613" s="131">
        <v>654.6</v>
      </c>
      <c r="I613" s="19">
        <f t="shared" si="43"/>
        <v>1538</v>
      </c>
      <c r="J613" t="b">
        <f t="shared" si="41"/>
        <v>1</v>
      </c>
      <c r="K613" s="4">
        <f t="shared" si="42"/>
        <v>-0.57438231469440826</v>
      </c>
    </row>
    <row r="614" spans="2:11" hidden="1">
      <c r="B614" t="s">
        <v>1317</v>
      </c>
      <c r="C614" t="s">
        <v>1318</v>
      </c>
      <c r="D614">
        <v>1165</v>
      </c>
      <c r="E614" s="19">
        <f t="shared" si="40"/>
        <v>38.833333333333336</v>
      </c>
      <c r="F614" s="131">
        <v>1619.19</v>
      </c>
      <c r="I614" s="19">
        <f t="shared" si="43"/>
        <v>2330</v>
      </c>
      <c r="J614" t="b">
        <f t="shared" si="41"/>
        <v>1</v>
      </c>
      <c r="K614" s="4">
        <f t="shared" si="42"/>
        <v>-0.30506866952789702</v>
      </c>
    </row>
    <row r="615" spans="2:11" hidden="1">
      <c r="B615" s="27" t="s">
        <v>1355</v>
      </c>
      <c r="C615" s="27" t="s">
        <v>1356</v>
      </c>
      <c r="D615">
        <v>1299</v>
      </c>
      <c r="E615" s="19">
        <f t="shared" si="40"/>
        <v>43.3</v>
      </c>
      <c r="F615" s="131">
        <v>1951.04</v>
      </c>
      <c r="I615" s="19">
        <f t="shared" si="43"/>
        <v>2598</v>
      </c>
      <c r="J615" t="b">
        <f t="shared" si="41"/>
        <v>1</v>
      </c>
      <c r="K615" s="4">
        <f t="shared" si="42"/>
        <v>-0.24902232486528098</v>
      </c>
    </row>
    <row r="616" spans="2:11" hidden="1">
      <c r="B616" t="s">
        <v>1294</v>
      </c>
      <c r="C616" t="s">
        <v>1295</v>
      </c>
      <c r="D616">
        <v>1611</v>
      </c>
      <c r="E616" s="19">
        <f t="shared" si="40"/>
        <v>53.7</v>
      </c>
      <c r="F616" s="131">
        <v>1605.86</v>
      </c>
      <c r="I616" s="19">
        <f t="shared" si="43"/>
        <v>3222</v>
      </c>
      <c r="J616" t="b">
        <f t="shared" si="41"/>
        <v>1</v>
      </c>
      <c r="K616" s="4">
        <f t="shared" si="42"/>
        <v>-0.50159528243327123</v>
      </c>
    </row>
    <row r="617" spans="2:11" hidden="1">
      <c r="B617" t="s">
        <v>1303</v>
      </c>
      <c r="C617" t="s">
        <v>1304</v>
      </c>
      <c r="D617">
        <v>1539</v>
      </c>
      <c r="E617" s="19">
        <f t="shared" si="40"/>
        <v>51.3</v>
      </c>
      <c r="F617" s="131">
        <v>1417.31</v>
      </c>
      <c r="I617" s="19">
        <f t="shared" si="43"/>
        <v>3078</v>
      </c>
      <c r="J617" t="b">
        <f t="shared" si="41"/>
        <v>1</v>
      </c>
      <c r="K617" s="4">
        <f t="shared" si="42"/>
        <v>-0.53953541260558802</v>
      </c>
    </row>
    <row r="618" spans="2:11" hidden="1">
      <c r="B618" t="s">
        <v>1292</v>
      </c>
      <c r="C618" t="s">
        <v>1293</v>
      </c>
      <c r="D618">
        <v>1024</v>
      </c>
      <c r="E618" s="19">
        <f t="shared" si="40"/>
        <v>34.133333333333333</v>
      </c>
      <c r="F618" s="131">
        <v>706.23</v>
      </c>
      <c r="I618" s="19">
        <f t="shared" si="43"/>
        <v>2048</v>
      </c>
      <c r="J618" t="b">
        <f t="shared" si="41"/>
        <v>1</v>
      </c>
      <c r="K618" s="4">
        <f t="shared" si="42"/>
        <v>-0.65516113281249999</v>
      </c>
    </row>
    <row r="619" spans="2:11" hidden="1">
      <c r="B619" t="s">
        <v>1234</v>
      </c>
      <c r="C619" t="s">
        <v>1235</v>
      </c>
      <c r="D619">
        <v>1050</v>
      </c>
      <c r="E619" s="19">
        <f t="shared" si="40"/>
        <v>35</v>
      </c>
      <c r="F619" s="131">
        <v>795.94</v>
      </c>
      <c r="I619" s="19">
        <f t="shared" si="43"/>
        <v>2100</v>
      </c>
      <c r="J619" t="b">
        <f t="shared" si="41"/>
        <v>1</v>
      </c>
      <c r="K619" s="4">
        <f t="shared" si="42"/>
        <v>-0.62098095238095241</v>
      </c>
    </row>
    <row r="620" spans="2:11" hidden="1">
      <c r="B620" t="s">
        <v>1370</v>
      </c>
      <c r="C620" t="s">
        <v>1371</v>
      </c>
      <c r="D620">
        <v>826</v>
      </c>
      <c r="E620" s="19">
        <f t="shared" si="40"/>
        <v>27.533333333333335</v>
      </c>
      <c r="F620" s="131">
        <v>1235.43</v>
      </c>
      <c r="I620" s="19">
        <f t="shared" si="43"/>
        <v>1652</v>
      </c>
      <c r="J620" t="b">
        <f t="shared" si="41"/>
        <v>1</v>
      </c>
      <c r="K620" s="4">
        <f t="shared" si="42"/>
        <v>-0.25216101694915249</v>
      </c>
    </row>
    <row r="621" spans="2:11" hidden="1">
      <c r="B621" t="s">
        <v>1192</v>
      </c>
      <c r="C621" t="s">
        <v>1193</v>
      </c>
      <c r="D621">
        <v>681</v>
      </c>
      <c r="E621" s="19">
        <f t="shared" si="40"/>
        <v>22.7</v>
      </c>
      <c r="F621" s="131">
        <v>877.89</v>
      </c>
      <c r="I621" s="19">
        <f t="shared" si="43"/>
        <v>1362</v>
      </c>
      <c r="J621" t="b">
        <f t="shared" si="41"/>
        <v>1</v>
      </c>
      <c r="K621" s="4">
        <f t="shared" si="42"/>
        <v>-0.35544052863436126</v>
      </c>
    </row>
    <row r="622" spans="2:11" hidden="1">
      <c r="B622" t="s">
        <v>1202</v>
      </c>
      <c r="C622" t="s">
        <v>1203</v>
      </c>
      <c r="D622">
        <v>3443</v>
      </c>
      <c r="E622" s="19">
        <f t="shared" ref="E622:E640" si="44">D622/30</f>
        <v>114.76666666666667</v>
      </c>
      <c r="F622" s="131">
        <v>1445.06</v>
      </c>
      <c r="I622" s="19">
        <f t="shared" si="43"/>
        <v>6886</v>
      </c>
      <c r="J622" t="b">
        <f t="shared" ref="J622:J641" si="45">IF(F622&gt;1.2*I622,FALSE,TRUE)</f>
        <v>1</v>
      </c>
      <c r="K622" s="4">
        <f t="shared" ref="K622:K641" si="46">F622/I622-1</f>
        <v>-0.79014522218995065</v>
      </c>
    </row>
    <row r="623" spans="2:11" hidden="1">
      <c r="B623" s="54" t="s">
        <v>1163</v>
      </c>
      <c r="C623" s="141" t="s">
        <v>1164</v>
      </c>
      <c r="D623">
        <v>955</v>
      </c>
      <c r="E623" s="19">
        <f t="shared" si="44"/>
        <v>31.833333333333332</v>
      </c>
      <c r="F623" s="131">
        <v>1388.77</v>
      </c>
      <c r="I623" s="19">
        <f t="shared" si="43"/>
        <v>1910</v>
      </c>
      <c r="J623" t="b">
        <f t="shared" si="45"/>
        <v>1</v>
      </c>
      <c r="K623" s="4">
        <f t="shared" si="46"/>
        <v>-0.27289528795811524</v>
      </c>
    </row>
    <row r="624" spans="2:11" hidden="1">
      <c r="B624" s="54" t="s">
        <v>1157</v>
      </c>
      <c r="C624" s="37" t="s">
        <v>1158</v>
      </c>
      <c r="D624">
        <v>1498</v>
      </c>
      <c r="E624" s="19">
        <f t="shared" si="44"/>
        <v>49.93333333333333</v>
      </c>
      <c r="F624" s="131">
        <v>1655.56</v>
      </c>
      <c r="I624" s="19">
        <f t="shared" si="43"/>
        <v>2996</v>
      </c>
      <c r="J624" t="b">
        <f t="shared" si="45"/>
        <v>1</v>
      </c>
      <c r="K624" s="4">
        <f t="shared" si="46"/>
        <v>-0.44740987983978642</v>
      </c>
    </row>
    <row r="625" spans="2:11" hidden="1">
      <c r="B625" t="s">
        <v>1321</v>
      </c>
      <c r="C625" t="s">
        <v>1322</v>
      </c>
      <c r="D625">
        <v>724</v>
      </c>
      <c r="E625" s="19">
        <f t="shared" si="44"/>
        <v>24.133333333333333</v>
      </c>
      <c r="F625" s="131">
        <v>649.39</v>
      </c>
      <c r="I625" s="19">
        <f t="shared" si="43"/>
        <v>1448</v>
      </c>
      <c r="J625" t="b">
        <f t="shared" si="45"/>
        <v>1</v>
      </c>
      <c r="K625" s="4">
        <f t="shared" si="46"/>
        <v>-0.55152624309392273</v>
      </c>
    </row>
    <row r="626" spans="2:11" hidden="1">
      <c r="B626" t="s">
        <v>1411</v>
      </c>
      <c r="C626" t="s">
        <v>1412</v>
      </c>
      <c r="D626">
        <v>3000</v>
      </c>
      <c r="E626" s="19">
        <f t="shared" si="44"/>
        <v>100</v>
      </c>
      <c r="F626" s="131">
        <v>1859.26</v>
      </c>
      <c r="I626" s="19">
        <f t="shared" si="43"/>
        <v>6000</v>
      </c>
      <c r="J626" t="b">
        <f t="shared" si="45"/>
        <v>1</v>
      </c>
      <c r="K626" s="4">
        <f t="shared" si="46"/>
        <v>-0.69012333333333331</v>
      </c>
    </row>
    <row r="627" spans="2:11">
      <c r="B627" s="54" t="s">
        <v>1099</v>
      </c>
      <c r="C627" s="37" t="s">
        <v>1391</v>
      </c>
      <c r="D627">
        <v>655</v>
      </c>
      <c r="E627" s="19">
        <f t="shared" si="44"/>
        <v>21.833333333333332</v>
      </c>
      <c r="F627" s="131">
        <v>1865.38</v>
      </c>
      <c r="I627" s="19">
        <f t="shared" si="43"/>
        <v>1310</v>
      </c>
      <c r="J627" t="b">
        <f t="shared" si="45"/>
        <v>0</v>
      </c>
      <c r="K627" s="4">
        <f t="shared" si="46"/>
        <v>0.42395419847328242</v>
      </c>
    </row>
    <row r="628" spans="2:11" hidden="1">
      <c r="B628" t="s">
        <v>1363</v>
      </c>
      <c r="C628" t="s">
        <v>1364</v>
      </c>
      <c r="D628">
        <v>5225</v>
      </c>
      <c r="E628" s="19">
        <f t="shared" si="44"/>
        <v>174.16666666666666</v>
      </c>
      <c r="F628" s="131">
        <v>4217.04</v>
      </c>
      <c r="I628" s="19">
        <f t="shared" si="43"/>
        <v>10450</v>
      </c>
      <c r="J628" t="b">
        <f t="shared" si="45"/>
        <v>1</v>
      </c>
      <c r="K628" s="4">
        <f t="shared" si="46"/>
        <v>-0.59645550239234457</v>
      </c>
    </row>
    <row r="629" spans="2:11">
      <c r="B629" s="54" t="s">
        <v>1393</v>
      </c>
      <c r="C629" s="37" t="s">
        <v>1394</v>
      </c>
      <c r="D629">
        <v>645</v>
      </c>
      <c r="E629" s="19">
        <f t="shared" si="44"/>
        <v>21.5</v>
      </c>
      <c r="F629" s="131">
        <v>1808.17</v>
      </c>
      <c r="I629" s="19">
        <f t="shared" si="43"/>
        <v>1290</v>
      </c>
      <c r="J629" t="b">
        <f t="shared" si="45"/>
        <v>0</v>
      </c>
      <c r="K629" s="4">
        <f t="shared" si="46"/>
        <v>0.40168217054263566</v>
      </c>
    </row>
    <row r="630" spans="2:11" hidden="1">
      <c r="B630" t="s">
        <v>1153</v>
      </c>
      <c r="C630" t="s">
        <v>1154</v>
      </c>
      <c r="D630">
        <v>2339</v>
      </c>
      <c r="E630" s="19">
        <f t="shared" si="44"/>
        <v>77.966666666666669</v>
      </c>
      <c r="F630" s="131">
        <v>2659.41</v>
      </c>
      <c r="I630" s="19">
        <f t="shared" si="43"/>
        <v>4678</v>
      </c>
      <c r="J630" t="b">
        <f t="shared" si="45"/>
        <v>1</v>
      </c>
      <c r="K630" s="4">
        <f t="shared" si="46"/>
        <v>-0.43150705429670799</v>
      </c>
    </row>
    <row r="631" spans="2:11" hidden="1">
      <c r="B631" t="s">
        <v>1147</v>
      </c>
      <c r="C631" t="s">
        <v>1148</v>
      </c>
      <c r="D631">
        <v>6047</v>
      </c>
      <c r="E631" s="19">
        <f t="shared" si="44"/>
        <v>201.56666666666666</v>
      </c>
      <c r="F631" s="131">
        <v>4573.09</v>
      </c>
      <c r="I631" s="19">
        <f t="shared" si="43"/>
        <v>12094</v>
      </c>
      <c r="J631" t="b">
        <f t="shared" si="45"/>
        <v>1</v>
      </c>
      <c r="K631" s="4">
        <f t="shared" si="46"/>
        <v>-0.62187117578964779</v>
      </c>
    </row>
    <row r="632" spans="2:11" hidden="1">
      <c r="B632" t="s">
        <v>1182</v>
      </c>
      <c r="C632" t="s">
        <v>1183</v>
      </c>
      <c r="D632">
        <v>5667</v>
      </c>
      <c r="E632" s="19">
        <f t="shared" si="44"/>
        <v>188.9</v>
      </c>
      <c r="F632" s="131">
        <v>3545.1099999999997</v>
      </c>
      <c r="I632" s="19">
        <f t="shared" si="43"/>
        <v>11334</v>
      </c>
      <c r="J632" t="b">
        <f t="shared" si="45"/>
        <v>1</v>
      </c>
      <c r="K632" s="4">
        <f t="shared" si="46"/>
        <v>-0.68721457561319932</v>
      </c>
    </row>
    <row r="633" spans="2:11" hidden="1">
      <c r="B633" s="54" t="s">
        <v>1238</v>
      </c>
      <c r="C633" t="s">
        <v>1239</v>
      </c>
      <c r="D633">
        <v>3351</v>
      </c>
      <c r="E633" s="19">
        <f t="shared" si="44"/>
        <v>111.7</v>
      </c>
      <c r="F633" s="131">
        <v>5511.04</v>
      </c>
      <c r="I633" s="19">
        <f t="shared" si="43"/>
        <v>6702</v>
      </c>
      <c r="J633" t="b">
        <f t="shared" si="45"/>
        <v>1</v>
      </c>
      <c r="K633" s="4">
        <f t="shared" si="46"/>
        <v>-0.17770217845419278</v>
      </c>
    </row>
    <row r="634" spans="2:11" hidden="1">
      <c r="B634" t="s">
        <v>1151</v>
      </c>
      <c r="C634" t="s">
        <v>1152</v>
      </c>
      <c r="D634">
        <v>5201</v>
      </c>
      <c r="E634" s="19">
        <f t="shared" si="44"/>
        <v>173.36666666666667</v>
      </c>
      <c r="F634" s="131">
        <v>3254.87</v>
      </c>
      <c r="I634" s="19">
        <f t="shared" si="43"/>
        <v>10402</v>
      </c>
      <c r="J634" t="b">
        <f t="shared" si="45"/>
        <v>1</v>
      </c>
      <c r="K634" s="4">
        <f t="shared" si="46"/>
        <v>-0.68709190540280718</v>
      </c>
    </row>
    <row r="635" spans="2:11" hidden="1">
      <c r="B635" t="s">
        <v>1144</v>
      </c>
      <c r="C635" t="s">
        <v>1145</v>
      </c>
      <c r="D635">
        <v>15628</v>
      </c>
      <c r="E635" s="19">
        <f t="shared" si="44"/>
        <v>520.93333333333328</v>
      </c>
      <c r="F635" s="131">
        <v>12773.37</v>
      </c>
      <c r="I635" s="19">
        <f t="shared" si="43"/>
        <v>31256</v>
      </c>
      <c r="J635" t="b">
        <f t="shared" si="45"/>
        <v>1</v>
      </c>
      <c r="K635" s="4">
        <f t="shared" si="46"/>
        <v>-0.59133062452009211</v>
      </c>
    </row>
    <row r="636" spans="2:11">
      <c r="B636" s="142" t="s">
        <v>1401</v>
      </c>
      <c r="C636" s="37" t="s">
        <v>1402</v>
      </c>
      <c r="D636">
        <v>161</v>
      </c>
      <c r="E636" s="19">
        <f t="shared" si="44"/>
        <v>5.3666666666666663</v>
      </c>
      <c r="F636" s="131">
        <v>740.37</v>
      </c>
      <c r="I636" s="19">
        <f t="shared" si="43"/>
        <v>322</v>
      </c>
      <c r="J636" t="b">
        <f t="shared" si="45"/>
        <v>0</v>
      </c>
      <c r="K636" s="4">
        <f t="shared" si="46"/>
        <v>1.2992857142857144</v>
      </c>
    </row>
    <row r="637" spans="2:11" hidden="1">
      <c r="B637" s="142" t="s">
        <v>1315</v>
      </c>
      <c r="C637" s="37" t="s">
        <v>1316</v>
      </c>
      <c r="D637">
        <v>364</v>
      </c>
      <c r="E637" s="19">
        <f t="shared" si="44"/>
        <v>12.133333333333333</v>
      </c>
      <c r="F637" s="131">
        <v>722.7</v>
      </c>
      <c r="I637" s="19">
        <f t="shared" si="43"/>
        <v>728</v>
      </c>
      <c r="J637" t="b">
        <f t="shared" si="45"/>
        <v>1</v>
      </c>
      <c r="K637" s="4">
        <f t="shared" si="46"/>
        <v>-7.2802197802197544E-3</v>
      </c>
    </row>
    <row r="638" spans="2:11" hidden="1">
      <c r="B638" s="144" t="s">
        <v>1167</v>
      </c>
      <c r="C638" s="144" t="s">
        <v>1168</v>
      </c>
      <c r="D638">
        <v>1118</v>
      </c>
      <c r="E638" s="19">
        <f t="shared" si="44"/>
        <v>37.266666666666666</v>
      </c>
      <c r="F638" s="131">
        <v>1980.41</v>
      </c>
      <c r="I638" s="19">
        <f t="shared" si="43"/>
        <v>2236</v>
      </c>
      <c r="J638" t="b">
        <f t="shared" si="45"/>
        <v>1</v>
      </c>
      <c r="K638" s="4">
        <f t="shared" si="46"/>
        <v>-0.11430679785330944</v>
      </c>
    </row>
    <row r="639" spans="2:11" hidden="1">
      <c r="B639" s="144" t="s">
        <v>1176</v>
      </c>
      <c r="C639" s="144" t="s">
        <v>1177</v>
      </c>
      <c r="D639">
        <v>632</v>
      </c>
      <c r="E639" s="19">
        <f t="shared" si="44"/>
        <v>21.066666666666666</v>
      </c>
      <c r="F639" s="131">
        <v>65.48</v>
      </c>
      <c r="I639" s="19">
        <f t="shared" si="43"/>
        <v>1264</v>
      </c>
      <c r="J639" t="b">
        <f t="shared" si="45"/>
        <v>1</v>
      </c>
      <c r="K639" s="4">
        <f t="shared" si="46"/>
        <v>-0.9481962025316456</v>
      </c>
    </row>
    <row r="640" spans="2:11" hidden="1">
      <c r="B640" s="54" t="s">
        <v>1169</v>
      </c>
      <c r="C640" s="37" t="s">
        <v>1170</v>
      </c>
      <c r="D640">
        <v>427</v>
      </c>
      <c r="E640" s="19">
        <f t="shared" si="44"/>
        <v>14.233333333333333</v>
      </c>
      <c r="F640" s="131">
        <v>445.09</v>
      </c>
      <c r="I640" s="19">
        <f t="shared" si="43"/>
        <v>854</v>
      </c>
      <c r="J640" t="b">
        <f t="shared" si="45"/>
        <v>1</v>
      </c>
      <c r="K640" s="4">
        <f t="shared" si="46"/>
        <v>-0.47881733021077288</v>
      </c>
    </row>
    <row r="641" spans="9:11">
      <c r="I641" s="19">
        <f t="shared" si="43"/>
        <v>0</v>
      </c>
      <c r="J641" t="b">
        <f t="shared" si="45"/>
        <v>1</v>
      </c>
      <c r="K641" s="4" t="e">
        <f t="shared" si="46"/>
        <v>#DIV/0!</v>
      </c>
    </row>
  </sheetData>
  <autoFilter ref="A1:N640" xr:uid="{EAD0D377-3820-4DB4-B8D5-8AE187021F68}">
    <filterColumn colId="9">
      <filters>
        <filter val="FALSE"/>
      </filters>
    </filterColumn>
  </autoFilter>
  <sortState xmlns:xlrd2="http://schemas.microsoft.com/office/spreadsheetml/2017/richdata2" ref="A2:F361">
    <sortCondition descending="1" ref="E1:E3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Kris -BH</cp:lastModifiedBy>
  <cp:revision/>
  <dcterms:created xsi:type="dcterms:W3CDTF">2015-06-05T18:17:20Z</dcterms:created>
  <dcterms:modified xsi:type="dcterms:W3CDTF">2025-12-24T01:06:32Z</dcterms:modified>
  <cp:category/>
  <cp:contentStatus/>
</cp:coreProperties>
</file>