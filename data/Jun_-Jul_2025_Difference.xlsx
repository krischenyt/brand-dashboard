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446" documentId="8_{03AF40AA-98A0-4CB0-8ED5-03EB79879F44}" xr6:coauthVersionLast="47" xr6:coauthVersionMax="47" xr10:uidLastSave="{4838CD6E-7BC2-4E6B-B6BE-F9D01F1F16DA}"/>
  <bookViews>
    <workbookView xWindow="-120" yWindow="-120" windowWidth="29040" windowHeight="15720" firstSheet="2" xr2:uid="{00000000-000D-0000-FFFF-FFFF00000000}"/>
  </bookViews>
  <sheets>
    <sheet name="Micro Difference" sheetId="1" r:id="rId1"/>
    <sheet name="NB Difference" sheetId="2" r:id="rId2"/>
    <sheet name="DS Difference" sheetId="3" r:id="rId3"/>
    <sheet name="ACOS &amp; TCOS" sheetId="7" r:id="rId4"/>
    <sheet name="CVR" sheetId="9" r:id="rId5"/>
    <sheet name="Sales &amp; Budget OOB" sheetId="5" r:id="rId6"/>
    <sheet name="All Products" sheetId="4" state="hidden" r:id="rId7"/>
  </sheets>
  <definedNames>
    <definedName name="_xlnm._FilterDatabase" localSheetId="4" hidden="1">CVR!$AG$1:$AG$488</definedName>
    <definedName name="_xlnm._FilterDatabase" localSheetId="2" hidden="1">'DS Difference'!$A$2:$AD$121</definedName>
    <definedName name="_xlnm._FilterDatabase" localSheetId="0" hidden="1">'Micro Difference'!$A$2:$AA$295</definedName>
    <definedName name="_xlnm._FilterDatabase" localSheetId="1" hidden="1">'NB Difference'!$A$2:$AC$140</definedName>
    <definedName name="_xlnm._FilterDatabase" localSheetId="5" hidden="1">'Sales &amp; Budget OOB'!$A$1:$N$557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2" i="1" l="1"/>
  <c r="Q322" i="1"/>
  <c r="Q324" i="1" s="1"/>
  <c r="O126" i="3"/>
  <c r="F144" i="2"/>
  <c r="C144" i="2"/>
  <c r="AB144" i="2"/>
  <c r="AA144" i="2"/>
  <c r="T144" i="2"/>
  <c r="Q144" i="2"/>
  <c r="N144" i="2"/>
  <c r="M144" i="2"/>
  <c r="W322" i="1"/>
  <c r="C322" i="1"/>
  <c r="F322" i="1"/>
  <c r="M322" i="1"/>
  <c r="N126" i="3"/>
  <c r="AC126" i="3"/>
  <c r="AB126" i="3"/>
  <c r="T126" i="3"/>
  <c r="Q126" i="3"/>
  <c r="J126" i="3"/>
  <c r="F126" i="3"/>
  <c r="C126" i="3"/>
  <c r="F146" i="2"/>
  <c r="AB147" i="2"/>
  <c r="AA147" i="2"/>
  <c r="Q146" i="2"/>
  <c r="J144" i="2"/>
  <c r="X322" i="1"/>
  <c r="U322" i="1"/>
  <c r="V322" i="1"/>
  <c r="AF5" i="7"/>
  <c r="AF19" i="7"/>
  <c r="AF12" i="7"/>
  <c r="AF40" i="7"/>
  <c r="AF41" i="7" s="1"/>
  <c r="AF32" i="7"/>
  <c r="AF31" i="7"/>
  <c r="AF30" i="7"/>
  <c r="AF25" i="7"/>
  <c r="AF24" i="7"/>
  <c r="AF23" i="7"/>
  <c r="AD126" i="3"/>
  <c r="AC129" i="3"/>
  <c r="AB129" i="3"/>
  <c r="F129" i="3"/>
  <c r="AC144" i="2"/>
  <c r="V47" i="1"/>
  <c r="V9" i="1"/>
  <c r="V22" i="1"/>
  <c r="V51" i="1"/>
  <c r="V145" i="1"/>
  <c r="V153" i="1"/>
  <c r="V110" i="1"/>
  <c r="V155" i="1"/>
  <c r="V144" i="1"/>
  <c r="V188" i="1"/>
  <c r="V179" i="1"/>
  <c r="V174" i="1"/>
  <c r="V181" i="1"/>
  <c r="V184" i="1"/>
  <c r="V185" i="1"/>
  <c r="V189" i="1"/>
  <c r="V190" i="1"/>
  <c r="V186" i="1"/>
  <c r="V191" i="1"/>
  <c r="V192" i="1"/>
  <c r="V193" i="1"/>
  <c r="V194" i="1"/>
  <c r="U47" i="1"/>
  <c r="U22" i="1"/>
  <c r="U51" i="1"/>
  <c r="U145" i="1"/>
  <c r="U153" i="1"/>
  <c r="U110" i="1"/>
  <c r="U155" i="1"/>
  <c r="U144" i="1"/>
  <c r="U188" i="1"/>
  <c r="U179" i="1"/>
  <c r="U174" i="1"/>
  <c r="U181" i="1"/>
  <c r="U184" i="1"/>
  <c r="U185" i="1"/>
  <c r="U189" i="1"/>
  <c r="U190" i="1"/>
  <c r="U186" i="1"/>
  <c r="U191" i="1"/>
  <c r="U192" i="1"/>
  <c r="U193" i="1"/>
  <c r="U194" i="1"/>
  <c r="AD122" i="3"/>
  <c r="J122" i="3"/>
  <c r="K122" i="3"/>
  <c r="G122" i="3"/>
  <c r="Y47" i="1"/>
  <c r="Y22" i="1"/>
  <c r="Y51" i="1"/>
  <c r="Y145" i="1"/>
  <c r="Y153" i="1"/>
  <c r="Y110" i="1"/>
  <c r="Y155" i="1"/>
  <c r="Y144" i="1"/>
  <c r="Y188" i="1"/>
  <c r="Y179" i="1"/>
  <c r="Y174" i="1"/>
  <c r="Y181" i="1"/>
  <c r="Y184" i="1"/>
  <c r="Y185" i="1"/>
  <c r="Y189" i="1"/>
  <c r="Y190" i="1"/>
  <c r="Y186" i="1"/>
  <c r="Y191" i="1"/>
  <c r="Y192" i="1"/>
  <c r="Y193" i="1"/>
  <c r="Y194" i="1"/>
  <c r="Y195" i="1"/>
  <c r="Y319" i="1"/>
  <c r="Y34" i="1"/>
  <c r="U34" i="1"/>
  <c r="V34" i="1"/>
  <c r="K47" i="1"/>
  <c r="K22" i="1"/>
  <c r="K51" i="1"/>
  <c r="K145" i="1"/>
  <c r="K153" i="1"/>
  <c r="K110" i="1"/>
  <c r="K155" i="1"/>
  <c r="K144" i="1"/>
  <c r="K188" i="1"/>
  <c r="K179" i="1"/>
  <c r="K174" i="1"/>
  <c r="K181" i="1"/>
  <c r="K184" i="1"/>
  <c r="K185" i="1"/>
  <c r="K189" i="1"/>
  <c r="K190" i="1"/>
  <c r="K186" i="1"/>
  <c r="K191" i="1"/>
  <c r="K192" i="1"/>
  <c r="K193" i="1"/>
  <c r="K194" i="1"/>
  <c r="K195" i="1"/>
  <c r="J47" i="1"/>
  <c r="J22" i="1"/>
  <c r="J51" i="1"/>
  <c r="J145" i="1"/>
  <c r="J153" i="1"/>
  <c r="J110" i="1"/>
  <c r="J155" i="1"/>
  <c r="J144" i="1"/>
  <c r="J188" i="1"/>
  <c r="J179" i="1"/>
  <c r="J174" i="1"/>
  <c r="J181" i="1"/>
  <c r="J184" i="1"/>
  <c r="J185" i="1"/>
  <c r="J189" i="1"/>
  <c r="J190" i="1"/>
  <c r="J186" i="1"/>
  <c r="J191" i="1"/>
  <c r="J192" i="1"/>
  <c r="J193" i="1"/>
  <c r="J194" i="1"/>
  <c r="J195" i="1"/>
  <c r="J34" i="1"/>
  <c r="K34" i="1"/>
  <c r="G34" i="1"/>
  <c r="G47" i="1"/>
  <c r="G22" i="1"/>
  <c r="G51" i="1"/>
  <c r="G145" i="1"/>
  <c r="G153" i="1"/>
  <c r="G110" i="1"/>
  <c r="G155" i="1"/>
  <c r="G144" i="1"/>
  <c r="G188" i="1"/>
  <c r="G179" i="1"/>
  <c r="G174" i="1"/>
  <c r="G181" i="1"/>
  <c r="G184" i="1"/>
  <c r="G185" i="1"/>
  <c r="G189" i="1"/>
  <c r="G190" i="1"/>
  <c r="G186" i="1"/>
  <c r="G191" i="1"/>
  <c r="G192" i="1"/>
  <c r="G193" i="1"/>
  <c r="G194" i="1"/>
  <c r="G195" i="1"/>
  <c r="AE25" i="7"/>
  <c r="J23" i="3"/>
  <c r="J21" i="3"/>
  <c r="J8" i="3"/>
  <c r="J43" i="3"/>
  <c r="J78" i="3"/>
  <c r="J57" i="3"/>
  <c r="J112" i="3"/>
  <c r="J110" i="3"/>
  <c r="J116" i="3"/>
  <c r="J71" i="3"/>
  <c r="J102" i="3"/>
  <c r="J68" i="3"/>
  <c r="J115" i="3"/>
  <c r="J32" i="3"/>
  <c r="J98" i="3"/>
  <c r="J16" i="3"/>
  <c r="J120" i="3"/>
  <c r="J44" i="3"/>
  <c r="J26" i="3"/>
  <c r="J29" i="3"/>
  <c r="J107" i="3"/>
  <c r="J22" i="3"/>
  <c r="J66" i="3"/>
  <c r="J48" i="3"/>
  <c r="J47" i="3"/>
  <c r="J96" i="3"/>
  <c r="J54" i="3"/>
  <c r="J49" i="3"/>
  <c r="J35" i="3"/>
  <c r="J114" i="3"/>
  <c r="J52" i="3"/>
  <c r="J81" i="3"/>
  <c r="J46" i="3"/>
  <c r="J85" i="3"/>
  <c r="J121" i="3"/>
  <c r="J15" i="3"/>
  <c r="J89" i="3"/>
  <c r="J99" i="3"/>
  <c r="J64" i="3"/>
  <c r="J18" i="3"/>
  <c r="J38" i="3"/>
  <c r="J34" i="3"/>
  <c r="J39" i="3"/>
  <c r="J9" i="3"/>
  <c r="J75" i="3"/>
  <c r="J42" i="3"/>
  <c r="J93" i="3"/>
  <c r="J10" i="3"/>
  <c r="J100" i="3"/>
  <c r="J117" i="3"/>
  <c r="J20" i="3"/>
  <c r="J119" i="3"/>
  <c r="J51" i="3"/>
  <c r="J40" i="3"/>
  <c r="J36" i="3"/>
  <c r="J111" i="3"/>
  <c r="J31" i="3"/>
  <c r="J109" i="3"/>
  <c r="J105" i="3"/>
  <c r="J97" i="3"/>
  <c r="J50" i="3"/>
  <c r="J14" i="3"/>
  <c r="J80" i="3"/>
  <c r="J92" i="3"/>
  <c r="J95" i="3"/>
  <c r="J94" i="3"/>
  <c r="J82" i="3"/>
  <c r="J76" i="3"/>
  <c r="J65" i="3"/>
  <c r="J103" i="3"/>
  <c r="J70" i="3"/>
  <c r="J67" i="3"/>
  <c r="J62" i="3"/>
  <c r="J59" i="3"/>
  <c r="J55" i="3"/>
  <c r="J63" i="3"/>
  <c r="J27" i="3"/>
  <c r="J87" i="3"/>
  <c r="J88" i="3"/>
  <c r="J12" i="3"/>
  <c r="J74" i="3"/>
  <c r="J28" i="3"/>
  <c r="J83" i="3"/>
  <c r="J86" i="3"/>
  <c r="J108" i="3"/>
  <c r="J104" i="3"/>
  <c r="J7" i="3"/>
  <c r="J79" i="3"/>
  <c r="J91" i="3"/>
  <c r="J17" i="3"/>
  <c r="J30" i="3"/>
  <c r="J4" i="3"/>
  <c r="J24" i="3"/>
  <c r="J69" i="3"/>
  <c r="J90" i="3"/>
  <c r="J84" i="3"/>
  <c r="J19" i="3"/>
  <c r="J113" i="3"/>
  <c r="J41" i="3"/>
  <c r="J33" i="3"/>
  <c r="J56" i="3"/>
  <c r="J106" i="3"/>
  <c r="J37" i="3"/>
  <c r="J72" i="3"/>
  <c r="J13" i="3"/>
  <c r="J118" i="3"/>
  <c r="J73" i="3"/>
  <c r="J53" i="3"/>
  <c r="J6" i="3"/>
  <c r="J25" i="3"/>
  <c r="J77" i="3"/>
  <c r="J101" i="3"/>
  <c r="J11" i="3"/>
  <c r="J5" i="3"/>
  <c r="J45" i="3"/>
  <c r="J60" i="3"/>
  <c r="J58" i="3"/>
  <c r="J61" i="3"/>
  <c r="J3" i="3"/>
  <c r="J3" i="2"/>
  <c r="J5" i="2"/>
  <c r="J6" i="2"/>
  <c r="J7" i="2"/>
  <c r="J8" i="2"/>
  <c r="J9" i="2"/>
  <c r="J10" i="2"/>
  <c r="J11" i="2"/>
  <c r="J12" i="2"/>
  <c r="J13" i="2"/>
  <c r="J14"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7" i="2"/>
  <c r="J48" i="2"/>
  <c r="J49" i="2"/>
  <c r="J50" i="2"/>
  <c r="J51" i="2"/>
  <c r="J52" i="2"/>
  <c r="J53" i="2"/>
  <c r="J54" i="2"/>
  <c r="J55" i="2"/>
  <c r="J56" i="2"/>
  <c r="J57" i="2"/>
  <c r="J58" i="2"/>
  <c r="J59" i="2"/>
  <c r="J60" i="2"/>
  <c r="J62" i="2"/>
  <c r="J63" i="2"/>
  <c r="J15" i="2"/>
  <c r="J64" i="2"/>
  <c r="J46"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4" i="2"/>
  <c r="J61" i="2"/>
  <c r="J9" i="1"/>
  <c r="J3" i="1"/>
  <c r="J5" i="1"/>
  <c r="J4" i="1"/>
  <c r="J40" i="1"/>
  <c r="J8" i="1"/>
  <c r="J311" i="1"/>
  <c r="J78" i="1"/>
  <c r="J12" i="1"/>
  <c r="J7" i="1"/>
  <c r="J21" i="1"/>
  <c r="J295" i="1"/>
  <c r="J33" i="1"/>
  <c r="J55" i="1"/>
  <c r="J61" i="1"/>
  <c r="J10" i="1"/>
  <c r="J39" i="1"/>
  <c r="J278" i="1"/>
  <c r="J103" i="1"/>
  <c r="J272" i="1"/>
  <c r="J35" i="1"/>
  <c r="J292" i="1"/>
  <c r="J291" i="1"/>
  <c r="J50" i="1"/>
  <c r="J43" i="1"/>
  <c r="J301" i="1"/>
  <c r="J281" i="1"/>
  <c r="J13" i="1"/>
  <c r="J69" i="1"/>
  <c r="J76" i="1"/>
  <c r="J29" i="1"/>
  <c r="J37" i="1"/>
  <c r="J85" i="1"/>
  <c r="J206" i="1"/>
  <c r="J101" i="1"/>
  <c r="J107" i="1"/>
  <c r="J59" i="1"/>
  <c r="J308" i="1"/>
  <c r="J170" i="1"/>
  <c r="J41" i="1"/>
  <c r="J97" i="1"/>
  <c r="J254" i="1"/>
  <c r="J183" i="1"/>
  <c r="J28" i="1"/>
  <c r="J15" i="1"/>
  <c r="J279" i="1"/>
  <c r="J312" i="1"/>
  <c r="J81" i="1"/>
  <c r="J60" i="1"/>
  <c r="J232" i="1"/>
  <c r="J289" i="1"/>
  <c r="J164" i="1"/>
  <c r="J114" i="1"/>
  <c r="J131" i="1"/>
  <c r="J104" i="1"/>
  <c r="J275" i="1"/>
  <c r="J303" i="1"/>
  <c r="J80" i="1"/>
  <c r="J178" i="1"/>
  <c r="J161" i="1"/>
  <c r="J221" i="1"/>
  <c r="J24" i="1"/>
  <c r="J52" i="1"/>
  <c r="J133" i="1"/>
  <c r="J67" i="1"/>
  <c r="J96" i="1"/>
  <c r="J280" i="1"/>
  <c r="J83" i="1"/>
  <c r="J77" i="1"/>
  <c r="J253" i="1"/>
  <c r="J173" i="1"/>
  <c r="J124" i="1"/>
  <c r="J86" i="1"/>
  <c r="J287" i="1"/>
  <c r="J88" i="1"/>
  <c r="J99" i="1"/>
  <c r="J151" i="1"/>
  <c r="J75" i="1"/>
  <c r="J53" i="1"/>
  <c r="J182" i="1"/>
  <c r="J199" i="1"/>
  <c r="J222" i="1"/>
  <c r="J115" i="1"/>
  <c r="J258" i="1"/>
  <c r="J288" i="1"/>
  <c r="J240" i="1"/>
  <c r="J203" i="1"/>
  <c r="J205" i="1"/>
  <c r="J260" i="1"/>
  <c r="J129" i="1"/>
  <c r="J100" i="1"/>
  <c r="J23" i="1"/>
  <c r="J227" i="1"/>
  <c r="J245" i="1"/>
  <c r="J177" i="1"/>
  <c r="J284" i="1"/>
  <c r="J269" i="1"/>
  <c r="J169" i="1"/>
  <c r="J251" i="1"/>
  <c r="J167" i="1"/>
  <c r="J226" i="1"/>
  <c r="J234" i="1"/>
  <c r="J233" i="1"/>
  <c r="J220" i="1"/>
  <c r="J215" i="1"/>
  <c r="J105" i="1"/>
  <c r="J127" i="1"/>
  <c r="J216" i="1"/>
  <c r="J57" i="1"/>
  <c r="J64" i="1"/>
  <c r="J270" i="1"/>
  <c r="J89" i="1"/>
  <c r="J36" i="1"/>
  <c r="J271" i="1"/>
  <c r="J302" i="1"/>
  <c r="J79" i="1"/>
  <c r="J247" i="1"/>
  <c r="J134" i="1"/>
  <c r="J237" i="1"/>
  <c r="J238" i="1"/>
  <c r="J154" i="1"/>
  <c r="J90" i="1"/>
  <c r="J87" i="1"/>
  <c r="J197" i="1"/>
  <c r="J141" i="1"/>
  <c r="J117" i="1"/>
  <c r="J277" i="1"/>
  <c r="J46" i="1"/>
  <c r="J102" i="1"/>
  <c r="J38" i="1"/>
  <c r="J208" i="1"/>
  <c r="J202" i="1"/>
  <c r="J168" i="1"/>
  <c r="J137" i="1"/>
  <c r="J264" i="1"/>
  <c r="J201" i="1"/>
  <c r="J187" i="1"/>
  <c r="J256" i="1"/>
  <c r="J143" i="1"/>
  <c r="J130" i="1"/>
  <c r="J74" i="1"/>
  <c r="J210" i="1"/>
  <c r="J200" i="1"/>
  <c r="J236" i="1"/>
  <c r="J126" i="1"/>
  <c r="J108" i="1"/>
  <c r="J66" i="1"/>
  <c r="J214" i="1"/>
  <c r="J68" i="1"/>
  <c r="J246" i="1"/>
  <c r="J176" i="1"/>
  <c r="J307" i="1"/>
  <c r="J166" i="1"/>
  <c r="J296" i="1"/>
  <c r="J160" i="1"/>
  <c r="J139" i="1"/>
  <c r="J49" i="1"/>
  <c r="J229" i="1"/>
  <c r="J225" i="1"/>
  <c r="J223" i="1"/>
  <c r="J180" i="1"/>
  <c r="J235" i="1"/>
  <c r="J244" i="1"/>
  <c r="J142" i="1"/>
  <c r="J266" i="1"/>
  <c r="J243" i="1"/>
  <c r="J136" i="1"/>
  <c r="J159" i="1"/>
  <c r="J219" i="1"/>
  <c r="J93" i="1"/>
  <c r="J106" i="1"/>
  <c r="J218" i="1"/>
  <c r="J250" i="1"/>
  <c r="J175" i="1"/>
  <c r="J95" i="1"/>
  <c r="J207" i="1"/>
  <c r="J242" i="1"/>
  <c r="J282" i="1"/>
  <c r="J122" i="1"/>
  <c r="J149" i="1"/>
  <c r="J217" i="1"/>
  <c r="J112" i="1"/>
  <c r="J162" i="1"/>
  <c r="J109" i="1"/>
  <c r="J45" i="1"/>
  <c r="J148" i="1"/>
  <c r="J150" i="1"/>
  <c r="J152" i="1"/>
  <c r="J265" i="1"/>
  <c r="J212" i="1"/>
  <c r="J20" i="1"/>
  <c r="J172" i="1"/>
  <c r="J274" i="1"/>
  <c r="J16" i="1"/>
  <c r="J273" i="1"/>
  <c r="J267" i="1"/>
  <c r="J239" i="1"/>
  <c r="J294" i="1"/>
  <c r="J293" i="1"/>
  <c r="J54" i="1"/>
  <c r="J140" i="1"/>
  <c r="J84" i="1"/>
  <c r="J158" i="1"/>
  <c r="J231" i="1"/>
  <c r="J286" i="1"/>
  <c r="J262" i="1"/>
  <c r="J163" i="1"/>
  <c r="J165" i="1"/>
  <c r="J305" i="1"/>
  <c r="J196" i="1"/>
  <c r="J147" i="1"/>
  <c r="J213" i="1"/>
  <c r="J121" i="1"/>
  <c r="J241" i="1"/>
  <c r="J255" i="1"/>
  <c r="J285" i="1"/>
  <c r="J171" i="1"/>
  <c r="J259" i="1"/>
  <c r="J257" i="1"/>
  <c r="J230" i="1"/>
  <c r="J300" i="1"/>
  <c r="J228" i="1"/>
  <c r="J32" i="1"/>
  <c r="J27" i="1"/>
  <c r="J204" i="1"/>
  <c r="J48" i="1"/>
  <c r="J91" i="1"/>
  <c r="J298" i="1"/>
  <c r="J297" i="1"/>
  <c r="J211" i="1"/>
  <c r="J123" i="1"/>
  <c r="J135" i="1"/>
  <c r="J73" i="1"/>
  <c r="J138" i="1"/>
  <c r="J146" i="1"/>
  <c r="J111" i="1"/>
  <c r="J125" i="1"/>
  <c r="J31" i="1"/>
  <c r="J71" i="1"/>
  <c r="J62" i="1"/>
  <c r="J309" i="1"/>
  <c r="J198" i="1"/>
  <c r="J113" i="1"/>
  <c r="J268" i="1"/>
  <c r="J30" i="1"/>
  <c r="J249" i="1"/>
  <c r="J299" i="1"/>
  <c r="J92" i="1"/>
  <c r="J18" i="1"/>
  <c r="J63" i="1"/>
  <c r="J316" i="1"/>
  <c r="J306" i="1"/>
  <c r="J283" i="1"/>
  <c r="J58" i="1"/>
  <c r="J118" i="1"/>
  <c r="J290" i="1"/>
  <c r="J263" i="1"/>
  <c r="J98" i="1"/>
  <c r="J261" i="1"/>
  <c r="J42" i="1"/>
  <c r="J25" i="1"/>
  <c r="J14" i="1"/>
  <c r="J132" i="1"/>
  <c r="J128" i="1"/>
  <c r="J70" i="1"/>
  <c r="J248" i="1"/>
  <c r="J252" i="1"/>
  <c r="J276" i="1"/>
  <c r="J116" i="1"/>
  <c r="J26" i="1"/>
  <c r="J313" i="1"/>
  <c r="J304" i="1"/>
  <c r="J120" i="1"/>
  <c r="J17" i="1"/>
  <c r="J56" i="1"/>
  <c r="J44" i="1"/>
  <c r="J157" i="1"/>
  <c r="J315" i="1"/>
  <c r="J224" i="1"/>
  <c r="J65" i="1"/>
  <c r="J119" i="1"/>
  <c r="J94" i="1"/>
  <c r="J156" i="1"/>
  <c r="J209" i="1"/>
  <c r="J72" i="1"/>
  <c r="J82" i="1"/>
  <c r="J317" i="1"/>
  <c r="J314" i="1"/>
  <c r="J11" i="1"/>
  <c r="J19" i="1"/>
  <c r="J310" i="1"/>
  <c r="J6" i="1"/>
  <c r="J318" i="1"/>
  <c r="J322" i="1" s="1"/>
  <c r="I542" i="5"/>
  <c r="J542" i="5" s="1"/>
  <c r="I363" i="5"/>
  <c r="J363" i="5" s="1"/>
  <c r="I364" i="5"/>
  <c r="J364" i="5" s="1"/>
  <c r="I365" i="5"/>
  <c r="J365" i="5" s="1"/>
  <c r="I366" i="5"/>
  <c r="J366" i="5" s="1"/>
  <c r="I367" i="5"/>
  <c r="J367" i="5" s="1"/>
  <c r="I368" i="5"/>
  <c r="J368" i="5" s="1"/>
  <c r="I369" i="5"/>
  <c r="J369" i="5" s="1"/>
  <c r="I370" i="5"/>
  <c r="J370" i="5" s="1"/>
  <c r="I371" i="5"/>
  <c r="J371" i="5" s="1"/>
  <c r="I372" i="5"/>
  <c r="J372" i="5" s="1"/>
  <c r="I373" i="5"/>
  <c r="J373" i="5" s="1"/>
  <c r="I374" i="5"/>
  <c r="J374"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458" i="5"/>
  <c r="J458"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474" i="5"/>
  <c r="J474" i="5" s="1"/>
  <c r="I475" i="5"/>
  <c r="J475" i="5" s="1"/>
  <c r="I476" i="5"/>
  <c r="J476" i="5" s="1"/>
  <c r="I477" i="5"/>
  <c r="J477" i="5" s="1"/>
  <c r="I478" i="5"/>
  <c r="J478" i="5" s="1"/>
  <c r="I479" i="5"/>
  <c r="J479" i="5" s="1"/>
  <c r="I480" i="5"/>
  <c r="J480" i="5" s="1"/>
  <c r="I481" i="5"/>
  <c r="J481" i="5" s="1"/>
  <c r="I482" i="5"/>
  <c r="J482" i="5" s="1"/>
  <c r="I483" i="5"/>
  <c r="J483" i="5" s="1"/>
  <c r="I484" i="5"/>
  <c r="J484" i="5" s="1"/>
  <c r="I485" i="5"/>
  <c r="J485" i="5" s="1"/>
  <c r="I486" i="5"/>
  <c r="J486" i="5" s="1"/>
  <c r="I487" i="5"/>
  <c r="J487" i="5" s="1"/>
  <c r="I488" i="5"/>
  <c r="J488"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I502" i="5"/>
  <c r="J502" i="5" s="1"/>
  <c r="I503" i="5"/>
  <c r="J503" i="5" s="1"/>
  <c r="I504" i="5"/>
  <c r="J504" i="5" s="1"/>
  <c r="I505" i="5"/>
  <c r="J505" i="5" s="1"/>
  <c r="I506" i="5"/>
  <c r="J506" i="5" s="1"/>
  <c r="I507" i="5"/>
  <c r="J507" i="5" s="1"/>
  <c r="I508" i="5"/>
  <c r="J508" i="5" s="1"/>
  <c r="I509" i="5"/>
  <c r="J509" i="5" s="1"/>
  <c r="I510" i="5"/>
  <c r="J510" i="5" s="1"/>
  <c r="I511" i="5"/>
  <c r="J511" i="5" s="1"/>
  <c r="I512" i="5"/>
  <c r="J512" i="5" s="1"/>
  <c r="I513" i="5"/>
  <c r="J513" i="5" s="1"/>
  <c r="I514" i="5"/>
  <c r="J514" i="5" s="1"/>
  <c r="I515" i="5"/>
  <c r="J515" i="5" s="1"/>
  <c r="I516" i="5"/>
  <c r="J516" i="5" s="1"/>
  <c r="I517" i="5"/>
  <c r="J517" i="5" s="1"/>
  <c r="I518" i="5"/>
  <c r="J518" i="5" s="1"/>
  <c r="I519" i="5"/>
  <c r="J519" i="5" s="1"/>
  <c r="I520" i="5"/>
  <c r="J520" i="5" s="1"/>
  <c r="I521" i="5"/>
  <c r="J521" i="5" s="1"/>
  <c r="I522" i="5"/>
  <c r="J522" i="5" s="1"/>
  <c r="I523" i="5"/>
  <c r="J523" i="5" s="1"/>
  <c r="I524" i="5"/>
  <c r="J524" i="5" s="1"/>
  <c r="I525" i="5"/>
  <c r="J525" i="5" s="1"/>
  <c r="I526" i="5"/>
  <c r="J526" i="5" s="1"/>
  <c r="I527" i="5"/>
  <c r="J527" i="5" s="1"/>
  <c r="I528" i="5"/>
  <c r="J528" i="5" s="1"/>
  <c r="I529" i="5"/>
  <c r="J529" i="5" s="1"/>
  <c r="I530" i="5"/>
  <c r="J530" i="5" s="1"/>
  <c r="I531" i="5"/>
  <c r="J531" i="5" s="1"/>
  <c r="I532" i="5"/>
  <c r="J532" i="5" s="1"/>
  <c r="I533" i="5"/>
  <c r="J533" i="5" s="1"/>
  <c r="I534" i="5"/>
  <c r="J534" i="5" s="1"/>
  <c r="I535" i="5"/>
  <c r="J535" i="5" s="1"/>
  <c r="I536" i="5"/>
  <c r="J536" i="5" s="1"/>
  <c r="I537" i="5"/>
  <c r="J537" i="5" s="1"/>
  <c r="I538" i="5"/>
  <c r="J538" i="5" s="1"/>
  <c r="I539" i="5"/>
  <c r="J539" i="5" s="1"/>
  <c r="I540" i="5"/>
  <c r="J540" i="5" s="1"/>
  <c r="I541" i="5"/>
  <c r="J541" i="5" s="1"/>
  <c r="I543" i="5"/>
  <c r="J543" i="5" s="1"/>
  <c r="I544" i="5"/>
  <c r="J544" i="5" s="1"/>
  <c r="I545" i="5"/>
  <c r="J545" i="5" s="1"/>
  <c r="I546" i="5"/>
  <c r="J546" i="5" s="1"/>
  <c r="I547" i="5"/>
  <c r="J547" i="5" s="1"/>
  <c r="I548" i="5"/>
  <c r="J548" i="5" s="1"/>
  <c r="I549" i="5"/>
  <c r="J549" i="5" s="1"/>
  <c r="I550" i="5"/>
  <c r="J550" i="5" s="1"/>
  <c r="I551" i="5"/>
  <c r="J551" i="5" s="1"/>
  <c r="I552" i="5"/>
  <c r="J552" i="5" s="1"/>
  <c r="I553" i="5"/>
  <c r="J553" i="5" s="1"/>
  <c r="I554" i="5"/>
  <c r="J554" i="5" s="1"/>
  <c r="I555" i="5"/>
  <c r="J555" i="5" s="1"/>
  <c r="I556" i="5"/>
  <c r="J556" i="5" s="1"/>
  <c r="I557" i="5"/>
  <c r="J557" i="5" s="1"/>
  <c r="I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362" i="5"/>
  <c r="E2" i="5"/>
  <c r="AE40" i="7"/>
  <c r="K11" i="3"/>
  <c r="K5" i="3"/>
  <c r="K45" i="3"/>
  <c r="K60" i="3"/>
  <c r="K58" i="3"/>
  <c r="K61" i="3"/>
  <c r="AD11" i="3"/>
  <c r="AD5" i="3"/>
  <c r="AD45" i="3"/>
  <c r="AD60" i="3"/>
  <c r="AD58" i="3"/>
  <c r="AD61" i="3"/>
  <c r="AC46" i="2"/>
  <c r="AC65" i="2"/>
  <c r="AC61" i="2"/>
  <c r="K46" i="2"/>
  <c r="K65" i="2"/>
  <c r="K61" i="2"/>
  <c r="Y72" i="1"/>
  <c r="Y248" i="1"/>
  <c r="Y120" i="1"/>
  <c r="Y156" i="1"/>
  <c r="Y56" i="1"/>
  <c r="Y42" i="1"/>
  <c r="Y48" i="1"/>
  <c r="Y62" i="1"/>
  <c r="Y73" i="1"/>
  <c r="Y25" i="1"/>
  <c r="Y27" i="1"/>
  <c r="Y152" i="1"/>
  <c r="Y122" i="1"/>
  <c r="Y16" i="1"/>
  <c r="Y45" i="1"/>
  <c r="V248" i="1"/>
  <c r="V120" i="1"/>
  <c r="V156" i="1"/>
  <c r="V56" i="1"/>
  <c r="V42" i="1"/>
  <c r="V48" i="1"/>
  <c r="V62" i="1"/>
  <c r="V73" i="1"/>
  <c r="V25" i="1"/>
  <c r="V27" i="1"/>
  <c r="V152" i="1"/>
  <c r="V122" i="1"/>
  <c r="V16" i="1"/>
  <c r="V45" i="1"/>
  <c r="U248" i="1"/>
  <c r="U120" i="1"/>
  <c r="U156" i="1"/>
  <c r="U56" i="1"/>
  <c r="U42" i="1"/>
  <c r="U48" i="1"/>
  <c r="U62" i="1"/>
  <c r="U73" i="1"/>
  <c r="U25" i="1"/>
  <c r="U27" i="1"/>
  <c r="U152" i="1"/>
  <c r="U122" i="1"/>
  <c r="U16" i="1"/>
  <c r="U45" i="1"/>
  <c r="U72" i="1"/>
  <c r="V72" i="1"/>
  <c r="K72" i="1"/>
  <c r="K248" i="1"/>
  <c r="K120" i="1"/>
  <c r="K156" i="1"/>
  <c r="K56" i="1"/>
  <c r="K42" i="1"/>
  <c r="K48" i="1"/>
  <c r="K62" i="1"/>
  <c r="K73" i="1"/>
  <c r="K25" i="1"/>
  <c r="K27" i="1"/>
  <c r="K152" i="1"/>
  <c r="K122" i="1"/>
  <c r="K16" i="1"/>
  <c r="K45" i="1"/>
  <c r="AE32" i="7"/>
  <c r="AE31" i="7"/>
  <c r="AE30" i="7"/>
  <c r="AE24" i="7"/>
  <c r="AE23" i="7"/>
  <c r="AE19" i="7"/>
  <c r="AE12" i="7"/>
  <c r="AE5" i="7"/>
  <c r="U101" i="3"/>
  <c r="U11" i="3"/>
  <c r="U5" i="3"/>
  <c r="U45" i="3"/>
  <c r="U60" i="3"/>
  <c r="U58" i="3"/>
  <c r="U61" i="3"/>
  <c r="T11" i="3"/>
  <c r="T5" i="3"/>
  <c r="T45" i="3"/>
  <c r="T60" i="3"/>
  <c r="T58" i="3"/>
  <c r="T61" i="3"/>
  <c r="G11" i="3"/>
  <c r="G5" i="3"/>
  <c r="G45" i="3"/>
  <c r="G60" i="3"/>
  <c r="G58" i="3"/>
  <c r="G61" i="3"/>
  <c r="G46" i="2"/>
  <c r="G65" i="2"/>
  <c r="G61" i="2"/>
  <c r="G72" i="1"/>
  <c r="G248" i="1"/>
  <c r="G120" i="1"/>
  <c r="G156" i="1"/>
  <c r="G56" i="1"/>
  <c r="G42" i="1"/>
  <c r="G48" i="1"/>
  <c r="G62" i="1"/>
  <c r="G73" i="1"/>
  <c r="G25" i="1"/>
  <c r="G27" i="1"/>
  <c r="G152" i="1"/>
  <c r="G122" i="1"/>
  <c r="G16" i="1"/>
  <c r="G45" i="1"/>
  <c r="I362" i="5"/>
  <c r="J362" i="5" s="1"/>
  <c r="G252" i="1"/>
  <c r="Q433" i="9"/>
  <c r="AD40" i="7"/>
  <c r="AD30" i="7"/>
  <c r="AD23" i="7"/>
  <c r="AD19" i="7"/>
  <c r="AD26" i="7" s="1"/>
  <c r="AD32" i="7"/>
  <c r="AD31" i="7"/>
  <c r="AD25" i="7"/>
  <c r="AD24" i="7"/>
  <c r="AD12" i="7"/>
  <c r="AD5" i="7"/>
  <c r="U6" i="3"/>
  <c r="U7" i="3"/>
  <c r="T6" i="3"/>
  <c r="T7" i="3"/>
  <c r="T12" i="2"/>
  <c r="U12" i="2"/>
  <c r="T132" i="2"/>
  <c r="U132" i="2"/>
  <c r="V116" i="1"/>
  <c r="V19" i="1"/>
  <c r="V44" i="1"/>
  <c r="V11" i="1"/>
  <c r="V65" i="1"/>
  <c r="V317" i="1"/>
  <c r="V118" i="1"/>
  <c r="V157" i="1"/>
  <c r="V71" i="1"/>
  <c r="V132" i="1"/>
  <c r="V50" i="1"/>
  <c r="U116" i="1"/>
  <c r="U19" i="1"/>
  <c r="U44" i="1"/>
  <c r="U11" i="1"/>
  <c r="U65" i="1"/>
  <c r="U317" i="1"/>
  <c r="U118" i="1"/>
  <c r="U157" i="1"/>
  <c r="U71" i="1"/>
  <c r="U132" i="1"/>
  <c r="U50" i="1"/>
  <c r="AD7" i="3"/>
  <c r="AD6" i="3"/>
  <c r="G6" i="3"/>
  <c r="G7" i="3"/>
  <c r="K7" i="3"/>
  <c r="K6" i="3"/>
  <c r="AC12" i="2"/>
  <c r="AC132" i="2"/>
  <c r="K12" i="2"/>
  <c r="K132" i="2"/>
  <c r="G132" i="2"/>
  <c r="G12" i="2"/>
  <c r="U31" i="1"/>
  <c r="V31" i="1"/>
  <c r="Y116" i="1"/>
  <c r="Y19" i="1"/>
  <c r="Y44" i="1"/>
  <c r="Y11" i="1"/>
  <c r="Y65" i="1"/>
  <c r="Y317" i="1"/>
  <c r="Y118" i="1"/>
  <c r="Y157" i="1"/>
  <c r="Y71" i="1"/>
  <c r="Y132" i="1"/>
  <c r="Y50" i="1"/>
  <c r="Y31" i="1"/>
  <c r="K50" i="1"/>
  <c r="K116" i="1"/>
  <c r="K19" i="1"/>
  <c r="K44" i="1"/>
  <c r="K11" i="1"/>
  <c r="K65" i="1"/>
  <c r="K317" i="1"/>
  <c r="K118" i="1"/>
  <c r="K157" i="1"/>
  <c r="K71" i="1"/>
  <c r="K132" i="1"/>
  <c r="G31" i="1"/>
  <c r="G116" i="1"/>
  <c r="G19" i="1"/>
  <c r="G44" i="1"/>
  <c r="G11" i="1"/>
  <c r="G65" i="1"/>
  <c r="G317" i="1"/>
  <c r="G118" i="1"/>
  <c r="G157" i="1"/>
  <c r="G71" i="1"/>
  <c r="G132" i="1"/>
  <c r="G50" i="1"/>
  <c r="K31" i="1"/>
  <c r="G21" i="1"/>
  <c r="G40" i="1"/>
  <c r="Y201" i="1"/>
  <c r="Y266" i="1"/>
  <c r="Y147" i="1"/>
  <c r="Y49" i="1"/>
  <c r="Y221" i="1"/>
  <c r="Y318" i="1"/>
  <c r="Y123" i="1"/>
  <c r="Y6" i="1"/>
  <c r="Y29" i="1"/>
  <c r="Y18" i="1"/>
  <c r="Y262" i="1"/>
  <c r="Y140" i="1"/>
  <c r="Y315" i="1"/>
  <c r="Y98" i="1"/>
  <c r="Y261" i="1"/>
  <c r="Y209" i="1"/>
  <c r="Y276" i="1"/>
  <c r="Y304" i="1"/>
  <c r="Y20" i="1"/>
  <c r="Y252" i="1"/>
  <c r="P433" i="9"/>
  <c r="AC40" i="7"/>
  <c r="AB40" i="7"/>
  <c r="AC5" i="7"/>
  <c r="AC12" i="7"/>
  <c r="AC19" i="7"/>
  <c r="AC23" i="7"/>
  <c r="AC24" i="7"/>
  <c r="AC25" i="7"/>
  <c r="AC30" i="7"/>
  <c r="AC31" i="7"/>
  <c r="AC32" i="7"/>
  <c r="AD101" i="3"/>
  <c r="T101" i="3"/>
  <c r="K15" i="2"/>
  <c r="AC15" i="2"/>
  <c r="T15" i="2"/>
  <c r="U15" i="2"/>
  <c r="V201" i="1"/>
  <c r="V266" i="1"/>
  <c r="V147" i="1"/>
  <c r="V49" i="1"/>
  <c r="V221" i="1"/>
  <c r="V318" i="1"/>
  <c r="V123" i="1"/>
  <c r="V6" i="1"/>
  <c r="V29" i="1"/>
  <c r="V18" i="1"/>
  <c r="V262" i="1"/>
  <c r="V140" i="1"/>
  <c r="V315" i="1"/>
  <c r="V98" i="1"/>
  <c r="V261" i="1"/>
  <c r="V209" i="1"/>
  <c r="V276" i="1"/>
  <c r="V304" i="1"/>
  <c r="V20" i="1"/>
  <c r="V252" i="1"/>
  <c r="U201" i="1"/>
  <c r="U266" i="1"/>
  <c r="U147" i="1"/>
  <c r="U49" i="1"/>
  <c r="U221" i="1"/>
  <c r="U318" i="1"/>
  <c r="U123" i="1"/>
  <c r="U6" i="1"/>
  <c r="U29" i="1"/>
  <c r="U18" i="1"/>
  <c r="U262" i="1"/>
  <c r="U140" i="1"/>
  <c r="U315" i="1"/>
  <c r="U98" i="1"/>
  <c r="U261" i="1"/>
  <c r="U209" i="1"/>
  <c r="U276" i="1"/>
  <c r="U304" i="1"/>
  <c r="U20" i="1"/>
  <c r="U252" i="1"/>
  <c r="K101" i="3"/>
  <c r="G101" i="3"/>
  <c r="K110" i="2"/>
  <c r="G15" i="2"/>
  <c r="K201" i="1"/>
  <c r="K266" i="1"/>
  <c r="K147" i="1"/>
  <c r="K49" i="1"/>
  <c r="K221" i="1"/>
  <c r="K318" i="1"/>
  <c r="K123" i="1"/>
  <c r="K6" i="1"/>
  <c r="K29" i="1"/>
  <c r="K18" i="1"/>
  <c r="K262" i="1"/>
  <c r="K140" i="1"/>
  <c r="K315" i="1"/>
  <c r="K98" i="1"/>
  <c r="K261" i="1"/>
  <c r="K209" i="1"/>
  <c r="K276" i="1"/>
  <c r="K304" i="1"/>
  <c r="K20" i="1"/>
  <c r="K252" i="1"/>
  <c r="G201" i="1"/>
  <c r="G266" i="1"/>
  <c r="G147" i="1"/>
  <c r="G49" i="1"/>
  <c r="G221" i="1"/>
  <c r="G318" i="1"/>
  <c r="G123" i="1"/>
  <c r="G6" i="1"/>
  <c r="G29" i="1"/>
  <c r="G18" i="1"/>
  <c r="G262" i="1"/>
  <c r="G140" i="1"/>
  <c r="G315" i="1"/>
  <c r="G98" i="1"/>
  <c r="G261" i="1"/>
  <c r="G209" i="1"/>
  <c r="G276" i="1"/>
  <c r="G304" i="1"/>
  <c r="G20" i="1"/>
  <c r="E3" i="5"/>
  <c r="AG488" i="9"/>
  <c r="AH488" i="9"/>
  <c r="AF488" i="9"/>
  <c r="F324" i="1" l="1"/>
  <c r="K505" i="5"/>
  <c r="K425" i="5"/>
  <c r="K517" i="5"/>
  <c r="K537" i="5"/>
  <c r="K453" i="5"/>
  <c r="K521" i="5"/>
  <c r="K441" i="5"/>
  <c r="K489" i="5"/>
  <c r="K409" i="5"/>
  <c r="K421" i="5"/>
  <c r="K485" i="5"/>
  <c r="K393" i="5"/>
  <c r="K473" i="5"/>
  <c r="K389" i="5"/>
  <c r="K549" i="5"/>
  <c r="K457" i="5"/>
  <c r="K377" i="5"/>
  <c r="AF26" i="7"/>
  <c r="AF33" i="7"/>
  <c r="X325" i="1"/>
  <c r="F325" i="1"/>
  <c r="U144" i="2"/>
  <c r="K542" i="5"/>
  <c r="K513" i="5"/>
  <c r="K481" i="5"/>
  <c r="K449" i="5"/>
  <c r="K417" i="5"/>
  <c r="K385" i="5"/>
  <c r="K541" i="5"/>
  <c r="K509" i="5"/>
  <c r="K477" i="5"/>
  <c r="K445" i="5"/>
  <c r="K413" i="5"/>
  <c r="K381" i="5"/>
  <c r="K545" i="5"/>
  <c r="K533" i="5"/>
  <c r="K501" i="5"/>
  <c r="K469" i="5"/>
  <c r="K437" i="5"/>
  <c r="K405" i="5"/>
  <c r="K373" i="5"/>
  <c r="K529" i="5"/>
  <c r="K497" i="5"/>
  <c r="K465" i="5"/>
  <c r="K433" i="5"/>
  <c r="K401" i="5"/>
  <c r="K369" i="5"/>
  <c r="K553" i="5"/>
  <c r="K525" i="5"/>
  <c r="K493" i="5"/>
  <c r="K461" i="5"/>
  <c r="K429" i="5"/>
  <c r="K397" i="5"/>
  <c r="K365" i="5"/>
  <c r="K556" i="5"/>
  <c r="K552" i="5"/>
  <c r="K548" i="5"/>
  <c r="K544" i="5"/>
  <c r="K540" i="5"/>
  <c r="K536" i="5"/>
  <c r="K532" i="5"/>
  <c r="K528" i="5"/>
  <c r="K524" i="5"/>
  <c r="K520" i="5"/>
  <c r="K516" i="5"/>
  <c r="K512" i="5"/>
  <c r="K508" i="5"/>
  <c r="K504" i="5"/>
  <c r="K500" i="5"/>
  <c r="K496" i="5"/>
  <c r="K492" i="5"/>
  <c r="K488" i="5"/>
  <c r="K484" i="5"/>
  <c r="K480" i="5"/>
  <c r="K476" i="5"/>
  <c r="K472" i="5"/>
  <c r="K468" i="5"/>
  <c r="K464" i="5"/>
  <c r="K460" i="5"/>
  <c r="K456" i="5"/>
  <c r="K452" i="5"/>
  <c r="K448" i="5"/>
  <c r="K444" i="5"/>
  <c r="K440" i="5"/>
  <c r="K436" i="5"/>
  <c r="K432" i="5"/>
  <c r="K428" i="5"/>
  <c r="K424" i="5"/>
  <c r="K420" i="5"/>
  <c r="K416" i="5"/>
  <c r="K412" i="5"/>
  <c r="K408" i="5"/>
  <c r="K404" i="5"/>
  <c r="K400" i="5"/>
  <c r="K396" i="5"/>
  <c r="K392" i="5"/>
  <c r="K388" i="5"/>
  <c r="K384" i="5"/>
  <c r="K380" i="5"/>
  <c r="K376" i="5"/>
  <c r="K372" i="5"/>
  <c r="K368" i="5"/>
  <c r="K364" i="5"/>
  <c r="K555" i="5"/>
  <c r="K551" i="5"/>
  <c r="K547" i="5"/>
  <c r="K543" i="5"/>
  <c r="K539" i="5"/>
  <c r="K535" i="5"/>
  <c r="K531" i="5"/>
  <c r="K527" i="5"/>
  <c r="K523" i="5"/>
  <c r="K519" i="5"/>
  <c r="K515" i="5"/>
  <c r="K511" i="5"/>
  <c r="K507" i="5"/>
  <c r="K50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554" i="5"/>
  <c r="K550" i="5"/>
  <c r="K546" i="5"/>
  <c r="K538" i="5"/>
  <c r="K534" i="5"/>
  <c r="K530" i="5"/>
  <c r="K526" i="5"/>
  <c r="K522" i="5"/>
  <c r="K518" i="5"/>
  <c r="K514" i="5"/>
  <c r="K510" i="5"/>
  <c r="K506" i="5"/>
  <c r="K502" i="5"/>
  <c r="K498" i="5"/>
  <c r="K494" i="5"/>
  <c r="K490" i="5"/>
  <c r="K486" i="5"/>
  <c r="K482" i="5"/>
  <c r="K478" i="5"/>
  <c r="K474" i="5"/>
  <c r="K470" i="5"/>
  <c r="K466" i="5"/>
  <c r="K462" i="5"/>
  <c r="K458" i="5"/>
  <c r="K454" i="5"/>
  <c r="K450" i="5"/>
  <c r="K446" i="5"/>
  <c r="K442" i="5"/>
  <c r="K438" i="5"/>
  <c r="K434" i="5"/>
  <c r="K430" i="5"/>
  <c r="K426" i="5"/>
  <c r="K422" i="5"/>
  <c r="K418" i="5"/>
  <c r="K414" i="5"/>
  <c r="K410" i="5"/>
  <c r="K406" i="5"/>
  <c r="K402" i="5"/>
  <c r="K398" i="5"/>
  <c r="K394" i="5"/>
  <c r="K390" i="5"/>
  <c r="K386" i="5"/>
  <c r="K382" i="5"/>
  <c r="K378" i="5"/>
  <c r="K374" i="5"/>
  <c r="K370" i="5"/>
  <c r="K366" i="5"/>
  <c r="K557" i="5"/>
  <c r="AE41" i="7"/>
  <c r="AD41" i="7"/>
  <c r="AE26" i="7"/>
  <c r="Q128" i="3"/>
  <c r="F128" i="3"/>
  <c r="AE33" i="7"/>
  <c r="F147" i="2"/>
  <c r="K362" i="5"/>
  <c r="O433" i="9"/>
  <c r="AD33" i="7"/>
  <c r="AC26" i="7"/>
  <c r="AC33" i="7"/>
  <c r="AB30" i="7"/>
  <c r="AB23" i="7"/>
  <c r="AB5" i="7"/>
  <c r="AB12" i="7"/>
  <c r="AB19" i="7"/>
  <c r="AB24" i="7"/>
  <c r="AB25" i="7"/>
  <c r="AB31" i="7"/>
  <c r="AB32" i="7"/>
  <c r="AC41" i="7"/>
  <c r="Y322" i="1"/>
  <c r="U257" i="1"/>
  <c r="V257" i="1"/>
  <c r="U294" i="1"/>
  <c r="V294" i="1"/>
  <c r="U224" i="1"/>
  <c r="V224" i="1"/>
  <c r="U282" i="1"/>
  <c r="V282" i="1"/>
  <c r="U176" i="1"/>
  <c r="V176" i="1"/>
  <c r="U273" i="1"/>
  <c r="V273" i="1"/>
  <c r="U117" i="1"/>
  <c r="V117" i="1"/>
  <c r="U148" i="1"/>
  <c r="V148" i="1"/>
  <c r="U313" i="1"/>
  <c r="V313" i="1"/>
  <c r="U280" i="1"/>
  <c r="V280" i="1"/>
  <c r="U146" i="1"/>
  <c r="V146" i="1"/>
  <c r="U63" i="1"/>
  <c r="V63" i="1"/>
  <c r="U75" i="1"/>
  <c r="V75" i="1"/>
  <c r="U15" i="1"/>
  <c r="V15" i="1"/>
  <c r="U54" i="1"/>
  <c r="V54" i="1"/>
  <c r="U291" i="1"/>
  <c r="V291" i="1"/>
  <c r="U307" i="1"/>
  <c r="V307" i="1"/>
  <c r="U198" i="1"/>
  <c r="V198" i="1"/>
  <c r="U241" i="1"/>
  <c r="V241" i="1"/>
  <c r="U159" i="1"/>
  <c r="V159" i="1"/>
  <c r="U137" i="1"/>
  <c r="V137" i="1"/>
  <c r="U53" i="1"/>
  <c r="V53" i="1"/>
  <c r="U12" i="1"/>
  <c r="V12" i="1"/>
  <c r="U290" i="1"/>
  <c r="V290" i="1"/>
  <c r="U125" i="1"/>
  <c r="V125" i="1"/>
  <c r="U231" i="1"/>
  <c r="V231" i="1"/>
  <c r="U8" i="1"/>
  <c r="V8" i="1"/>
  <c r="K294" i="1"/>
  <c r="K224" i="1"/>
  <c r="K282" i="1"/>
  <c r="K176" i="1"/>
  <c r="K273" i="1"/>
  <c r="K117" i="1"/>
  <c r="K148" i="1"/>
  <c r="K313" i="1"/>
  <c r="K280" i="1"/>
  <c r="K146" i="1"/>
  <c r="K63" i="1"/>
  <c r="K75" i="1"/>
  <c r="K15" i="1"/>
  <c r="K54" i="1"/>
  <c r="K291" i="1"/>
  <c r="K307" i="1"/>
  <c r="K198" i="1"/>
  <c r="K241" i="1"/>
  <c r="K159" i="1"/>
  <c r="K137" i="1"/>
  <c r="K53" i="1"/>
  <c r="K12" i="1"/>
  <c r="K290" i="1"/>
  <c r="K125" i="1"/>
  <c r="K231" i="1"/>
  <c r="K8" i="1"/>
  <c r="K257" i="1"/>
  <c r="AD112" i="3"/>
  <c r="AD43" i="3"/>
  <c r="AD20" i="3"/>
  <c r="AD78" i="3"/>
  <c r="AD10" i="3"/>
  <c r="AD13" i="3"/>
  <c r="AC75" i="2"/>
  <c r="AC5" i="2"/>
  <c r="AC11" i="2"/>
  <c r="AC125" i="2"/>
  <c r="AC111" i="2"/>
  <c r="AC133" i="2"/>
  <c r="AC110" i="2"/>
  <c r="U75" i="2"/>
  <c r="U5" i="2"/>
  <c r="U11" i="2"/>
  <c r="U125" i="2"/>
  <c r="U111" i="2"/>
  <c r="U133" i="2"/>
  <c r="U110" i="2"/>
  <c r="T75" i="2"/>
  <c r="T5" i="2"/>
  <c r="T11" i="2"/>
  <c r="T125" i="2"/>
  <c r="T111" i="2"/>
  <c r="T133" i="2"/>
  <c r="T110" i="2"/>
  <c r="T112" i="3"/>
  <c r="U112" i="3"/>
  <c r="T43" i="3"/>
  <c r="U43" i="3"/>
  <c r="T20" i="3"/>
  <c r="U20" i="3"/>
  <c r="T78" i="3"/>
  <c r="U78" i="3"/>
  <c r="T10" i="3"/>
  <c r="U10" i="3"/>
  <c r="T13" i="3"/>
  <c r="U13" i="3"/>
  <c r="T38" i="3"/>
  <c r="K112" i="3"/>
  <c r="K43" i="3"/>
  <c r="K20" i="3"/>
  <c r="K78" i="3"/>
  <c r="K10" i="3"/>
  <c r="K13" i="3"/>
  <c r="K75" i="2"/>
  <c r="K5" i="2"/>
  <c r="K11" i="2"/>
  <c r="K125" i="2"/>
  <c r="K111" i="2"/>
  <c r="K133" i="2"/>
  <c r="Y294" i="1"/>
  <c r="Y224" i="1"/>
  <c r="Y282" i="1"/>
  <c r="Y176" i="1"/>
  <c r="Y273" i="1"/>
  <c r="Y117" i="1"/>
  <c r="Y148" i="1"/>
  <c r="Y313" i="1"/>
  <c r="Y280" i="1"/>
  <c r="Y146" i="1"/>
  <c r="Y63" i="1"/>
  <c r="Y75" i="1"/>
  <c r="Y15" i="1"/>
  <c r="Y54" i="1"/>
  <c r="Y291" i="1"/>
  <c r="Y307" i="1"/>
  <c r="Y198" i="1"/>
  <c r="Y241" i="1"/>
  <c r="Y159" i="1"/>
  <c r="Y137" i="1"/>
  <c r="Y53" i="1"/>
  <c r="Y12" i="1"/>
  <c r="Y290" i="1"/>
  <c r="Y125" i="1"/>
  <c r="Y231" i="1"/>
  <c r="Y8" i="1"/>
  <c r="Y257" i="1"/>
  <c r="G112" i="3"/>
  <c r="G43" i="3"/>
  <c r="G20" i="3"/>
  <c r="G78" i="3"/>
  <c r="G10" i="3"/>
  <c r="G13" i="3"/>
  <c r="G75" i="2"/>
  <c r="G5" i="2"/>
  <c r="G11" i="2"/>
  <c r="G125" i="2"/>
  <c r="G111" i="2"/>
  <c r="G133" i="2"/>
  <c r="G110" i="2"/>
  <c r="G24" i="2"/>
  <c r="AA5" i="7"/>
  <c r="G294" i="1"/>
  <c r="G224" i="1"/>
  <c r="G282" i="1"/>
  <c r="G176" i="1"/>
  <c r="G273" i="1"/>
  <c r="G117" i="1"/>
  <c r="G148" i="1"/>
  <c r="G313" i="1"/>
  <c r="G280" i="1"/>
  <c r="G146" i="1"/>
  <c r="G63" i="1"/>
  <c r="G75" i="1"/>
  <c r="G15" i="1"/>
  <c r="G54" i="1"/>
  <c r="G291" i="1"/>
  <c r="G307" i="1"/>
  <c r="G198" i="1"/>
  <c r="G241" i="1"/>
  <c r="G159" i="1"/>
  <c r="G137" i="1"/>
  <c r="G53" i="1"/>
  <c r="G12" i="1"/>
  <c r="G290" i="1"/>
  <c r="G125" i="1"/>
  <c r="G231" i="1"/>
  <c r="G8" i="1"/>
  <c r="G257" i="1"/>
  <c r="I319" i="5"/>
  <c r="E215" i="5"/>
  <c r="AE488" i="9"/>
  <c r="AA19" i="7"/>
  <c r="AA40" i="7"/>
  <c r="AA32" i="7"/>
  <c r="AA31" i="7"/>
  <c r="AA30" i="7"/>
  <c r="AA25" i="7"/>
  <c r="AA24" i="7"/>
  <c r="AA23" i="7"/>
  <c r="AA12" i="7"/>
  <c r="T23" i="3"/>
  <c r="U136" i="2"/>
  <c r="T136" i="2"/>
  <c r="Y5" i="7"/>
  <c r="Y40" i="7"/>
  <c r="K136" i="2"/>
  <c r="K19" i="2"/>
  <c r="K103" i="2"/>
  <c r="K89" i="2"/>
  <c r="K3" i="2"/>
  <c r="K58" i="2"/>
  <c r="K79" i="2"/>
  <c r="K90" i="2"/>
  <c r="K54" i="2"/>
  <c r="K73" i="2"/>
  <c r="K123" i="2"/>
  <c r="K108" i="2"/>
  <c r="K83" i="2"/>
  <c r="K84" i="2"/>
  <c r="K43" i="2"/>
  <c r="K66" i="2"/>
  <c r="K87" i="2"/>
  <c r="K126" i="2"/>
  <c r="K57" i="2"/>
  <c r="K104" i="2"/>
  <c r="K135" i="2"/>
  <c r="K101" i="2"/>
  <c r="K53" i="2"/>
  <c r="K69" i="2"/>
  <c r="K139" i="2"/>
  <c r="K35" i="2"/>
  <c r="K22" i="2"/>
  <c r="K94" i="2"/>
  <c r="K4" i="2"/>
  <c r="K138" i="2"/>
  <c r="K140" i="2"/>
  <c r="K119" i="2"/>
  <c r="K76" i="2"/>
  <c r="K7" i="2"/>
  <c r="K95" i="2"/>
  <c r="K17" i="2"/>
  <c r="K67" i="2"/>
  <c r="K14" i="2"/>
  <c r="K117" i="2"/>
  <c r="K102" i="2"/>
  <c r="K122" i="2"/>
  <c r="K105" i="2"/>
  <c r="K113" i="2"/>
  <c r="K30" i="2"/>
  <c r="K27" i="2"/>
  <c r="K121" i="2"/>
  <c r="K44" i="2"/>
  <c r="K40" i="2"/>
  <c r="K74" i="2"/>
  <c r="K23" i="2"/>
  <c r="K62" i="2"/>
  <c r="K78" i="2"/>
  <c r="K86" i="2"/>
  <c r="K55" i="2"/>
  <c r="K51" i="2"/>
  <c r="K100" i="2"/>
  <c r="K48" i="2"/>
  <c r="K107" i="2"/>
  <c r="K124" i="2"/>
  <c r="K127" i="2"/>
  <c r="K25" i="2"/>
  <c r="K38" i="2"/>
  <c r="K37" i="2"/>
  <c r="K49" i="2"/>
  <c r="K97" i="2"/>
  <c r="K88" i="2"/>
  <c r="K64" i="2"/>
  <c r="K91" i="2"/>
  <c r="K98" i="2"/>
  <c r="K50" i="2"/>
  <c r="K47" i="2"/>
  <c r="K59" i="2"/>
  <c r="K8" i="2"/>
  <c r="K99" i="2"/>
  <c r="K116" i="2"/>
  <c r="K77" i="2"/>
  <c r="K81" i="2"/>
  <c r="K10" i="2"/>
  <c r="K41" i="2"/>
  <c r="K20" i="2"/>
  <c r="K16" i="2"/>
  <c r="K68" i="2"/>
  <c r="K9" i="2"/>
  <c r="K82" i="2"/>
  <c r="K96" i="2"/>
  <c r="K109" i="2"/>
  <c r="K120" i="2"/>
  <c r="K39" i="2"/>
  <c r="K60" i="2"/>
  <c r="K29" i="2"/>
  <c r="K33" i="2"/>
  <c r="K80" i="2"/>
  <c r="K106" i="2"/>
  <c r="K137" i="2"/>
  <c r="K45" i="2"/>
  <c r="K85" i="2"/>
  <c r="K115" i="2"/>
  <c r="K28" i="2"/>
  <c r="K114" i="2"/>
  <c r="K70" i="2"/>
  <c r="K32" i="2"/>
  <c r="K71" i="2"/>
  <c r="K112" i="2"/>
  <c r="K21" i="2"/>
  <c r="K72" i="2"/>
  <c r="K130" i="2"/>
  <c r="K34" i="2"/>
  <c r="K56" i="2"/>
  <c r="K118" i="2"/>
  <c r="K131" i="2"/>
  <c r="K129" i="2"/>
  <c r="K52" i="2"/>
  <c r="K6" i="2"/>
  <c r="K134" i="2"/>
  <c r="K92" i="2"/>
  <c r="K18" i="2"/>
  <c r="K63" i="2"/>
  <c r="K42" i="2"/>
  <c r="K128" i="2"/>
  <c r="K24" i="2"/>
  <c r="K26" i="2"/>
  <c r="K13" i="2"/>
  <c r="K31" i="2"/>
  <c r="K93" i="2"/>
  <c r="K36" i="2"/>
  <c r="G7" i="1"/>
  <c r="G292" i="1"/>
  <c r="AA425" i="9"/>
  <c r="N425" i="9"/>
  <c r="Z32" i="7"/>
  <c r="Z31" i="7"/>
  <c r="Z30" i="7"/>
  <c r="Z23" i="7"/>
  <c r="Z25" i="7"/>
  <c r="Z24" i="7"/>
  <c r="Z19" i="7"/>
  <c r="Z12" i="7"/>
  <c r="Z5" i="7"/>
  <c r="Z40" i="7"/>
  <c r="G96" i="2"/>
  <c r="G25" i="2"/>
  <c r="G39" i="2"/>
  <c r="G18" i="2"/>
  <c r="G47" i="2"/>
  <c r="G116" i="2"/>
  <c r="G23" i="2"/>
  <c r="G30" i="2"/>
  <c r="G20" i="2"/>
  <c r="G41" i="2"/>
  <c r="G134" i="2"/>
  <c r="G70" i="2"/>
  <c r="G64" i="2"/>
  <c r="G86" i="2"/>
  <c r="G81" i="2"/>
  <c r="G6" i="2"/>
  <c r="G34" i="2"/>
  <c r="G40" i="2"/>
  <c r="G74" i="2"/>
  <c r="G50" i="2"/>
  <c r="G45" i="2"/>
  <c r="G48" i="2"/>
  <c r="G102" i="2"/>
  <c r="G71" i="2"/>
  <c r="G101" i="2"/>
  <c r="G95" i="2"/>
  <c r="G33" i="2"/>
  <c r="G98" i="2"/>
  <c r="G59" i="2"/>
  <c r="G16" i="2"/>
  <c r="G72" i="2"/>
  <c r="G117" i="2"/>
  <c r="G49" i="2"/>
  <c r="G100" i="2"/>
  <c r="G38" i="2"/>
  <c r="G68" i="2"/>
  <c r="G99" i="2"/>
  <c r="G77" i="2"/>
  <c r="G109" i="2"/>
  <c r="G88" i="2"/>
  <c r="G92" i="2"/>
  <c r="G113" i="2"/>
  <c r="G28" i="2"/>
  <c r="G10" i="2"/>
  <c r="G43" i="2"/>
  <c r="G35" i="2"/>
  <c r="G7" i="2"/>
  <c r="G114" i="2"/>
  <c r="G56" i="2"/>
  <c r="G63" i="2"/>
  <c r="G121" i="2"/>
  <c r="G140" i="2"/>
  <c r="G76" i="2"/>
  <c r="G123" i="2"/>
  <c r="G106" i="2"/>
  <c r="G78" i="2"/>
  <c r="G55" i="2"/>
  <c r="G85" i="2"/>
  <c r="G62" i="2"/>
  <c r="G82" i="2"/>
  <c r="G128" i="2"/>
  <c r="G120" i="2"/>
  <c r="G122" i="2"/>
  <c r="G91" i="2"/>
  <c r="G93" i="2"/>
  <c r="G80" i="2"/>
  <c r="G57" i="2"/>
  <c r="G139" i="2"/>
  <c r="G52" i="2"/>
  <c r="G129" i="2"/>
  <c r="G105" i="2"/>
  <c r="G60" i="2"/>
  <c r="G119" i="2"/>
  <c r="G53" i="2"/>
  <c r="G112" i="2"/>
  <c r="G3" i="2"/>
  <c r="G27" i="2"/>
  <c r="G130" i="2"/>
  <c r="G32" i="2"/>
  <c r="G137" i="2"/>
  <c r="G9" i="2"/>
  <c r="Z425" i="9"/>
  <c r="M425" i="9"/>
  <c r="U79" i="3"/>
  <c r="U84" i="3"/>
  <c r="U116" i="3"/>
  <c r="T79" i="3"/>
  <c r="T84" i="3"/>
  <c r="T116" i="3"/>
  <c r="U42" i="2"/>
  <c r="U31" i="2"/>
  <c r="U39" i="2"/>
  <c r="U41" i="2"/>
  <c r="U134" i="2"/>
  <c r="T42" i="2"/>
  <c r="T31" i="2"/>
  <c r="T39" i="2"/>
  <c r="T41" i="2"/>
  <c r="T134" i="2"/>
  <c r="V232" i="1"/>
  <c r="U129" i="1"/>
  <c r="V129" i="1"/>
  <c r="U314" i="1"/>
  <c r="V314" i="1"/>
  <c r="U277" i="1"/>
  <c r="V277" i="1"/>
  <c r="U69" i="1"/>
  <c r="V69" i="1"/>
  <c r="U275" i="1"/>
  <c r="V275" i="1"/>
  <c r="U283" i="1"/>
  <c r="V283" i="1"/>
  <c r="U249" i="1"/>
  <c r="V249" i="1"/>
  <c r="U293" i="1"/>
  <c r="V293" i="1"/>
  <c r="AD24" i="3"/>
  <c r="AD90" i="3"/>
  <c r="AD19" i="3"/>
  <c r="AD30" i="3"/>
  <c r="AD27" i="3"/>
  <c r="AD104" i="3"/>
  <c r="AD79" i="3"/>
  <c r="AD84" i="3"/>
  <c r="AD116" i="3"/>
  <c r="T104" i="3"/>
  <c r="U104" i="3"/>
  <c r="K104" i="3"/>
  <c r="K79" i="3"/>
  <c r="K84" i="3"/>
  <c r="K116" i="3"/>
  <c r="G104" i="3"/>
  <c r="G79" i="3"/>
  <c r="G84" i="3"/>
  <c r="G116" i="3"/>
  <c r="AC93" i="2"/>
  <c r="AC128" i="2"/>
  <c r="AC136" i="2"/>
  <c r="AC36" i="2"/>
  <c r="AC124" i="2"/>
  <c r="T17" i="2"/>
  <c r="U17" i="2"/>
  <c r="G17" i="2"/>
  <c r="G42" i="2"/>
  <c r="G31" i="2"/>
  <c r="Y232" i="1"/>
  <c r="Y129" i="1"/>
  <c r="Y314" i="1"/>
  <c r="Y277" i="1"/>
  <c r="Y69" i="1"/>
  <c r="Y275" i="1"/>
  <c r="Y283" i="1"/>
  <c r="Y249" i="1"/>
  <c r="Y293" i="1"/>
  <c r="Y292" i="1"/>
  <c r="U232" i="1"/>
  <c r="K158" i="1"/>
  <c r="K223" i="1"/>
  <c r="K310" i="1"/>
  <c r="K279" i="1"/>
  <c r="K119" i="1"/>
  <c r="K135" i="1"/>
  <c r="K287" i="1"/>
  <c r="K52" i="1"/>
  <c r="K106" i="1"/>
  <c r="G232" i="1"/>
  <c r="G129" i="1"/>
  <c r="G314" i="1"/>
  <c r="G277" i="1"/>
  <c r="G69" i="1"/>
  <c r="G275" i="1"/>
  <c r="G283" i="1"/>
  <c r="G249" i="1"/>
  <c r="G293" i="1"/>
  <c r="G112" i="1"/>
  <c r="L425" i="9"/>
  <c r="Y425" i="9"/>
  <c r="X425" i="9"/>
  <c r="W425" i="9"/>
  <c r="V425" i="9"/>
  <c r="U425" i="9"/>
  <c r="T425" i="9"/>
  <c r="S425" i="9"/>
  <c r="R425" i="9"/>
  <c r="Q425" i="9"/>
  <c r="P425" i="9"/>
  <c r="O425" i="9"/>
  <c r="K425" i="9"/>
  <c r="J425" i="9"/>
  <c r="I425" i="9"/>
  <c r="H425" i="9"/>
  <c r="G425" i="9"/>
  <c r="F425" i="9"/>
  <c r="E425" i="9"/>
  <c r="D425" i="9"/>
  <c r="C425" i="9"/>
  <c r="B425" i="9"/>
  <c r="Z41" i="7" l="1"/>
  <c r="N433" i="9"/>
  <c r="M433" i="9"/>
  <c r="AB41" i="7"/>
  <c r="AB26" i="7"/>
  <c r="AA41" i="7"/>
  <c r="AB33" i="7"/>
  <c r="E319" i="5"/>
  <c r="J319" i="5"/>
  <c r="K433" i="9"/>
  <c r="AA33" i="7"/>
  <c r="AA26" i="7"/>
  <c r="Z33" i="7"/>
  <c r="Z26" i="7"/>
  <c r="L433" i="9"/>
  <c r="W325" i="1"/>
  <c r="U126" i="3"/>
  <c r="K319" i="5"/>
  <c r="I433" i="9"/>
  <c r="J433" i="9"/>
  <c r="C433" i="9"/>
  <c r="D433" i="9"/>
  <c r="A433" i="9"/>
  <c r="B433" i="9"/>
  <c r="E433" i="9"/>
  <c r="F433" i="9"/>
  <c r="H433" i="9"/>
  <c r="G433" i="9"/>
  <c r="U36" i="2"/>
  <c r="U115" i="2"/>
  <c r="U13" i="2"/>
  <c r="U127" i="2"/>
  <c r="T36" i="2"/>
  <c r="T115" i="2"/>
  <c r="T13" i="2"/>
  <c r="T127" i="2"/>
  <c r="V111" i="1"/>
  <c r="V93" i="1"/>
  <c r="V245" i="1"/>
  <c r="V119" i="1"/>
  <c r="V234" i="1"/>
  <c r="V178" i="1"/>
  <c r="V36" i="1"/>
  <c r="V82" i="1"/>
  <c r="V112" i="1"/>
  <c r="U111" i="1"/>
  <c r="U93" i="1"/>
  <c r="U245" i="1"/>
  <c r="U119" i="1"/>
  <c r="U234" i="1"/>
  <c r="U178" i="1"/>
  <c r="U36" i="1"/>
  <c r="U82" i="1"/>
  <c r="U112" i="1"/>
  <c r="U3" i="1"/>
  <c r="AC80" i="2"/>
  <c r="AC72" i="2"/>
  <c r="AC45" i="2"/>
  <c r="AC18" i="2"/>
  <c r="AC44" i="2"/>
  <c r="AC63" i="2"/>
  <c r="AC109" i="2"/>
  <c r="AC112" i="2"/>
  <c r="AC92" i="2"/>
  <c r="AC21" i="2"/>
  <c r="AC34" i="2"/>
  <c r="G127" i="2"/>
  <c r="G13" i="2"/>
  <c r="G115" i="2"/>
  <c r="G36" i="2"/>
  <c r="K256" i="1"/>
  <c r="K100" i="1"/>
  <c r="K229" i="1"/>
  <c r="K245" i="1"/>
  <c r="K131" i="1"/>
  <c r="K237" i="1"/>
  <c r="Y119" i="1"/>
  <c r="Y234" i="1"/>
  <c r="Y178" i="1"/>
  <c r="Y36" i="1"/>
  <c r="Y82" i="1"/>
  <c r="Y112" i="1"/>
  <c r="Y245" i="1"/>
  <c r="Y4" i="1"/>
  <c r="Y5" i="1"/>
  <c r="Y52" i="1"/>
  <c r="Y253" i="1"/>
  <c r="Y35" i="1"/>
  <c r="Y33" i="1"/>
  <c r="Y81" i="1"/>
  <c r="Y297" i="1"/>
  <c r="Y206" i="1"/>
  <c r="Y91" i="1"/>
  <c r="Y67" i="1"/>
  <c r="Y60" i="1"/>
  <c r="Y30" i="1"/>
  <c r="Y97" i="1"/>
  <c r="Y158" i="1"/>
  <c r="Y298" i="1"/>
  <c r="Y13" i="1"/>
  <c r="Y311" i="1"/>
  <c r="Y79" i="1"/>
  <c r="Y102" i="1"/>
  <c r="Y254" i="1"/>
  <c r="Y141" i="1"/>
  <c r="Y86" i="1"/>
  <c r="Y85" i="1"/>
  <c r="Y58" i="1"/>
  <c r="Y269" i="1"/>
  <c r="Y89" i="1"/>
  <c r="Y76" i="1"/>
  <c r="Y300" i="1"/>
  <c r="Y124" i="1"/>
  <c r="Y161" i="1"/>
  <c r="Y203" i="1"/>
  <c r="Y222" i="1"/>
  <c r="Y104" i="1"/>
  <c r="Y160" i="1"/>
  <c r="Y237" i="1"/>
  <c r="Y212" i="1"/>
  <c r="Y131" i="1"/>
  <c r="Y108" i="1"/>
  <c r="Y139" i="1"/>
  <c r="Y177" i="1"/>
  <c r="Y134" i="1"/>
  <c r="Y17" i="1"/>
  <c r="Y251" i="1"/>
  <c r="Y244" i="1"/>
  <c r="Y175" i="1"/>
  <c r="Y285" i="1"/>
  <c r="Y258" i="1"/>
  <c r="Y170" i="1"/>
  <c r="Y164" i="1"/>
  <c r="Y263" i="1"/>
  <c r="Y142" i="1"/>
  <c r="Y289" i="1"/>
  <c r="Y105" i="1"/>
  <c r="Y78" i="1"/>
  <c r="Y305" i="1"/>
  <c r="Y64" i="1"/>
  <c r="Y246" i="1"/>
  <c r="Y243" i="1"/>
  <c r="Y38" i="1"/>
  <c r="Y196" i="1"/>
  <c r="Y74" i="1"/>
  <c r="Y163" i="1"/>
  <c r="Y233" i="1"/>
  <c r="Y87" i="1"/>
  <c r="Y166" i="1"/>
  <c r="Y227" i="1"/>
  <c r="Y100" i="1"/>
  <c r="Y230" i="1"/>
  <c r="Y284" i="1"/>
  <c r="Y80" i="1"/>
  <c r="Y197" i="1"/>
  <c r="Y202" i="1"/>
  <c r="Y235" i="1"/>
  <c r="Y204" i="1"/>
  <c r="Y162" i="1"/>
  <c r="Y136" i="1"/>
  <c r="Y220" i="1"/>
  <c r="Y215" i="1"/>
  <c r="Y57" i="1"/>
  <c r="Y250" i="1"/>
  <c r="Y171" i="1"/>
  <c r="Y306" i="1"/>
  <c r="Y127" i="1"/>
  <c r="Y96" i="1"/>
  <c r="Y41" i="1"/>
  <c r="Y217" i="1"/>
  <c r="Y229" i="1"/>
  <c r="Y165" i="1"/>
  <c r="Y199" i="1"/>
  <c r="Y23" i="1"/>
  <c r="Y303" i="1"/>
  <c r="Y84" i="1"/>
  <c r="Y270" i="1"/>
  <c r="Y168" i="1"/>
  <c r="Y151" i="1"/>
  <c r="Y172" i="1"/>
  <c r="Y296" i="1"/>
  <c r="Y299" i="1"/>
  <c r="Y239" i="1"/>
  <c r="Y255" i="1"/>
  <c r="Y210" i="1"/>
  <c r="Y169" i="1"/>
  <c r="Y83" i="1"/>
  <c r="Y242" i="1"/>
  <c r="Y24" i="1"/>
  <c r="Y259" i="1"/>
  <c r="Y238" i="1"/>
  <c r="Y200" i="1"/>
  <c r="Y228" i="1"/>
  <c r="Y99" i="1"/>
  <c r="Y95" i="1"/>
  <c r="Y182" i="1"/>
  <c r="Y187" i="1"/>
  <c r="Y219" i="1"/>
  <c r="Y128" i="1"/>
  <c r="Y236" i="1"/>
  <c r="Y130" i="1"/>
  <c r="Y288" i="1"/>
  <c r="Y214" i="1"/>
  <c r="Y260" i="1"/>
  <c r="Y223" i="1"/>
  <c r="Y271" i="1"/>
  <c r="Y310" i="1"/>
  <c r="Y21" i="1"/>
  <c r="Y173" i="1"/>
  <c r="Y180" i="1"/>
  <c r="Y309" i="1"/>
  <c r="Y154" i="1"/>
  <c r="Y208" i="1"/>
  <c r="Y66" i="1"/>
  <c r="Y70" i="1"/>
  <c r="Y77" i="1"/>
  <c r="Y264" i="1"/>
  <c r="Y312" i="1"/>
  <c r="Y114" i="1"/>
  <c r="Y115" i="1"/>
  <c r="Y150" i="1"/>
  <c r="Y226" i="1"/>
  <c r="Y126" i="1"/>
  <c r="Y265" i="1"/>
  <c r="Y267" i="1"/>
  <c r="Y207" i="1"/>
  <c r="Y68" i="1"/>
  <c r="Y281" i="1"/>
  <c r="Y183" i="1"/>
  <c r="Y218" i="1"/>
  <c r="Y88" i="1"/>
  <c r="Y149" i="1"/>
  <c r="Y10" i="1"/>
  <c r="Y133" i="1"/>
  <c r="Y225" i="1"/>
  <c r="Y107" i="1"/>
  <c r="Y247" i="1"/>
  <c r="Y167" i="1"/>
  <c r="Y106" i="1"/>
  <c r="Y90" i="1"/>
  <c r="Y121" i="1"/>
  <c r="Y101" i="1"/>
  <c r="Y216" i="1"/>
  <c r="Y287" i="1"/>
  <c r="Y211" i="1"/>
  <c r="Y302" i="1"/>
  <c r="Y279" i="1"/>
  <c r="Y240" i="1"/>
  <c r="Y143" i="1"/>
  <c r="Y61" i="1"/>
  <c r="Y103" i="1"/>
  <c r="Y295" i="1"/>
  <c r="Y256" i="1"/>
  <c r="Y138" i="1"/>
  <c r="Y274" i="1"/>
  <c r="Y301" i="1"/>
  <c r="Y316" i="1"/>
  <c r="Y40" i="1"/>
  <c r="Y55" i="1"/>
  <c r="Y59" i="1"/>
  <c r="Y92" i="1"/>
  <c r="Y28" i="1"/>
  <c r="Y94" i="1"/>
  <c r="Y113" i="1"/>
  <c r="Y135" i="1"/>
  <c r="Y272" i="1"/>
  <c r="Y109" i="1"/>
  <c r="Y268" i="1"/>
  <c r="Y43" i="1"/>
  <c r="Y213" i="1"/>
  <c r="Y32" i="1"/>
  <c r="Y37" i="1"/>
  <c r="Y286" i="1"/>
  <c r="Y205" i="1"/>
  <c r="Y26" i="1"/>
  <c r="Y278" i="1"/>
  <c r="Y14" i="1"/>
  <c r="Y39" i="1"/>
  <c r="Y46" i="1"/>
  <c r="Y308" i="1"/>
  <c r="Y7" i="1"/>
  <c r="Y9" i="1"/>
  <c r="Y111" i="1"/>
  <c r="Y93" i="1"/>
  <c r="Y3" i="1"/>
  <c r="G82" i="1"/>
  <c r="G36" i="1"/>
  <c r="G178" i="1"/>
  <c r="G234" i="1"/>
  <c r="G119" i="1"/>
  <c r="U62" i="2"/>
  <c r="U88" i="2"/>
  <c r="U38" i="2"/>
  <c r="U124" i="2"/>
  <c r="U138" i="2"/>
  <c r="U24" i="2"/>
  <c r="U44" i="2"/>
  <c r="T62" i="2"/>
  <c r="T88" i="2"/>
  <c r="T38" i="2"/>
  <c r="T124" i="2"/>
  <c r="T138" i="2"/>
  <c r="T24" i="2"/>
  <c r="T44" i="2"/>
  <c r="U24" i="3"/>
  <c r="U90" i="3"/>
  <c r="U19" i="3"/>
  <c r="U30" i="3"/>
  <c r="U27" i="3"/>
  <c r="T24" i="3"/>
  <c r="T90" i="3"/>
  <c r="T19" i="3"/>
  <c r="T30" i="3"/>
  <c r="T27" i="3"/>
  <c r="G19" i="3"/>
  <c r="G30" i="3"/>
  <c r="G27" i="3"/>
  <c r="G90" i="3"/>
  <c r="G24" i="3"/>
  <c r="AC4" i="2"/>
  <c r="G124" i="2"/>
  <c r="G138" i="2"/>
  <c r="G44" i="2"/>
  <c r="K275" i="1"/>
  <c r="K308" i="1"/>
  <c r="K60" i="1"/>
  <c r="G93" i="1"/>
  <c r="G245" i="1"/>
  <c r="G111" i="1"/>
  <c r="AD4" i="3"/>
  <c r="AD44" i="3"/>
  <c r="AD54" i="3"/>
  <c r="AD114" i="3"/>
  <c r="AD17" i="3"/>
  <c r="AD64" i="3"/>
  <c r="AD14" i="3"/>
  <c r="AD109" i="3"/>
  <c r="AD66" i="3"/>
  <c r="AD108" i="3"/>
  <c r="AD34" i="3"/>
  <c r="AD8" i="3"/>
  <c r="AD95" i="3"/>
  <c r="AD23" i="3"/>
  <c r="AD107" i="3"/>
  <c r="AD53" i="3"/>
  <c r="AD50" i="3"/>
  <c r="AD65" i="3"/>
  <c r="AD62" i="3"/>
  <c r="AD69" i="3"/>
  <c r="AD37" i="3"/>
  <c r="AD81" i="3"/>
  <c r="AD113" i="3"/>
  <c r="AD76" i="3"/>
  <c r="AD22" i="3"/>
  <c r="AD71" i="3"/>
  <c r="AD103" i="3"/>
  <c r="AD46" i="3"/>
  <c r="AD74" i="3"/>
  <c r="AD26" i="3"/>
  <c r="AD99" i="3"/>
  <c r="AD63" i="3"/>
  <c r="AD117" i="3"/>
  <c r="AD106" i="3"/>
  <c r="AD57" i="3"/>
  <c r="AD18" i="3"/>
  <c r="AD88" i="3"/>
  <c r="AD35" i="3"/>
  <c r="AD55" i="3"/>
  <c r="AD82" i="3"/>
  <c r="AD67" i="3"/>
  <c r="AD87" i="3"/>
  <c r="AD105" i="3"/>
  <c r="AD80" i="3"/>
  <c r="AD52" i="3"/>
  <c r="AD94" i="3"/>
  <c r="AD77" i="3"/>
  <c r="AD70" i="3"/>
  <c r="AD73" i="3"/>
  <c r="AD48" i="3"/>
  <c r="AD85" i="3"/>
  <c r="AD21" i="3"/>
  <c r="AD39" i="3"/>
  <c r="AD97" i="3"/>
  <c r="AD120" i="3"/>
  <c r="AD33" i="3"/>
  <c r="AD51" i="3"/>
  <c r="AD102" i="3"/>
  <c r="AD83" i="3"/>
  <c r="AD47" i="3"/>
  <c r="AD121" i="3"/>
  <c r="AD40" i="3"/>
  <c r="AD42" i="3"/>
  <c r="AD29" i="3"/>
  <c r="AD38" i="3"/>
  <c r="AD91" i="3"/>
  <c r="AD12" i="3"/>
  <c r="AD89" i="3"/>
  <c r="AD28" i="3"/>
  <c r="AD93" i="3"/>
  <c r="AD36" i="3"/>
  <c r="AD75" i="3"/>
  <c r="AD72" i="3"/>
  <c r="AD118" i="3"/>
  <c r="AD86" i="3"/>
  <c r="AD111" i="3"/>
  <c r="AD41" i="3"/>
  <c r="AD115" i="3"/>
  <c r="AD56" i="3"/>
  <c r="AD32" i="3"/>
  <c r="AD49" i="3"/>
  <c r="AD9" i="3"/>
  <c r="AD16" i="3"/>
  <c r="AD31" i="3"/>
  <c r="AD96" i="3"/>
  <c r="AD119" i="3"/>
  <c r="AD92" i="3"/>
  <c r="AD100" i="3"/>
  <c r="AD25" i="3"/>
  <c r="AD59" i="3"/>
  <c r="AD110" i="3"/>
  <c r="AD68" i="3"/>
  <c r="AD15" i="3"/>
  <c r="AD3" i="3"/>
  <c r="AD98" i="3"/>
  <c r="AC3" i="2"/>
  <c r="AC43" i="2"/>
  <c r="AC27" i="2"/>
  <c r="AC57" i="2"/>
  <c r="AC14" i="2"/>
  <c r="AC8" i="2"/>
  <c r="AC126" i="2"/>
  <c r="AC139" i="2"/>
  <c r="AC94" i="2"/>
  <c r="AC127" i="2"/>
  <c r="AC123" i="2"/>
  <c r="AC41" i="2"/>
  <c r="AC32" i="2"/>
  <c r="AC53" i="2"/>
  <c r="AC7" i="2"/>
  <c r="AC135" i="2"/>
  <c r="AC17" i="2"/>
  <c r="AC39" i="2"/>
  <c r="AC134" i="2"/>
  <c r="AC51" i="2"/>
  <c r="AC9" i="2"/>
  <c r="AC35" i="2"/>
  <c r="AC31" i="2"/>
  <c r="AC60" i="2"/>
  <c r="AC117" i="2"/>
  <c r="AC19" i="2"/>
  <c r="AC103" i="2"/>
  <c r="AC95" i="2"/>
  <c r="AC42" i="2"/>
  <c r="AC102" i="2"/>
  <c r="AC121" i="2"/>
  <c r="AC38" i="2"/>
  <c r="AC119" i="2"/>
  <c r="AC62" i="2"/>
  <c r="AC101" i="2"/>
  <c r="AC83" i="2"/>
  <c r="AC59" i="2"/>
  <c r="AC37" i="2"/>
  <c r="AC40" i="2"/>
  <c r="AC122" i="2"/>
  <c r="AC74" i="2"/>
  <c r="AC107" i="2"/>
  <c r="AC113" i="2"/>
  <c r="AC89" i="2"/>
  <c r="AC52" i="2"/>
  <c r="AC10" i="2"/>
  <c r="AC24" i="2"/>
  <c r="AC13" i="2"/>
  <c r="AC58" i="2"/>
  <c r="AC97" i="2"/>
  <c r="AC96" i="2"/>
  <c r="AC105" i="2"/>
  <c r="AC22" i="2"/>
  <c r="AC137" i="2"/>
  <c r="AC115" i="2"/>
  <c r="AC50" i="2"/>
  <c r="AC23" i="2"/>
  <c r="AC26" i="2"/>
  <c r="AC47" i="2"/>
  <c r="AC54" i="2"/>
  <c r="AC78" i="2"/>
  <c r="AC108" i="2"/>
  <c r="AC91" i="2"/>
  <c r="AC86" i="2"/>
  <c r="AC84" i="2"/>
  <c r="AC55" i="2"/>
  <c r="AC99" i="2"/>
  <c r="AC66" i="2"/>
  <c r="AC79" i="2"/>
  <c r="AC82" i="2"/>
  <c r="AC114" i="2"/>
  <c r="AC76" i="2"/>
  <c r="AC100" i="2"/>
  <c r="AC98" i="2"/>
  <c r="AC130" i="2"/>
  <c r="AC16" i="2"/>
  <c r="AC129" i="2"/>
  <c r="AC85" i="2"/>
  <c r="AC77" i="2"/>
  <c r="AC87" i="2"/>
  <c r="AC48" i="2"/>
  <c r="AC106" i="2"/>
  <c r="AC29" i="2"/>
  <c r="AC69" i="2"/>
  <c r="AC104" i="2"/>
  <c r="AC90" i="2"/>
  <c r="AC73" i="2"/>
  <c r="AC67" i="2"/>
  <c r="AC116" i="2"/>
  <c r="AC118" i="2"/>
  <c r="AC28" i="2"/>
  <c r="AC20" i="2"/>
  <c r="AC64" i="2"/>
  <c r="AC49" i="2"/>
  <c r="AC68" i="2"/>
  <c r="AC33" i="2"/>
  <c r="AC131" i="2"/>
  <c r="AC120" i="2"/>
  <c r="AC30" i="2"/>
  <c r="AC88" i="2"/>
  <c r="AC81" i="2"/>
  <c r="AC138" i="2"/>
  <c r="AC70" i="2"/>
  <c r="AC56" i="2"/>
  <c r="AC6" i="2"/>
  <c r="AC71" i="2"/>
  <c r="AC25" i="2"/>
  <c r="K9" i="1"/>
  <c r="V3" i="1"/>
  <c r="I3" i="5"/>
  <c r="T85" i="2"/>
  <c r="U85" i="2"/>
  <c r="T118" i="2"/>
  <c r="U118" i="2"/>
  <c r="T126" i="2"/>
  <c r="U126" i="2"/>
  <c r="V7" i="1"/>
  <c r="V150" i="1"/>
  <c r="V316" i="1"/>
  <c r="V92" i="1"/>
  <c r="U94" i="1"/>
  <c r="U7" i="1"/>
  <c r="U150" i="1"/>
  <c r="U316" i="1"/>
  <c r="U92" i="1"/>
  <c r="G126" i="2"/>
  <c r="G118" i="2"/>
  <c r="V94" i="1"/>
  <c r="K57" i="1"/>
  <c r="K7" i="1"/>
  <c r="K30" i="1"/>
  <c r="K227" i="1"/>
  <c r="K87" i="1"/>
  <c r="G94" i="1"/>
  <c r="G150" i="1"/>
  <c r="G316" i="1"/>
  <c r="G92" i="1"/>
  <c r="U120" i="3"/>
  <c r="T46" i="3"/>
  <c r="T44" i="3"/>
  <c r="U44" i="3"/>
  <c r="T64" i="3"/>
  <c r="U16" i="3"/>
  <c r="T16" i="3"/>
  <c r="U110" i="3"/>
  <c r="U109" i="3"/>
  <c r="U8" i="3"/>
  <c r="U100" i="3"/>
  <c r="U22" i="3"/>
  <c r="U95" i="3"/>
  <c r="U103" i="3"/>
  <c r="U113" i="3"/>
  <c r="U102" i="3"/>
  <c r="U94" i="3"/>
  <c r="U47" i="3"/>
  <c r="U25" i="3"/>
  <c r="U31" i="3"/>
  <c r="U89" i="3"/>
  <c r="U9" i="3"/>
  <c r="U107" i="3"/>
  <c r="U87" i="3"/>
  <c r="U36" i="3"/>
  <c r="U41" i="3"/>
  <c r="U117" i="3"/>
  <c r="U74" i="3"/>
  <c r="U51" i="3"/>
  <c r="U49" i="3"/>
  <c r="U92" i="3"/>
  <c r="U28" i="3"/>
  <c r="U67" i="3"/>
  <c r="U55" i="3"/>
  <c r="U77" i="3"/>
  <c r="U72" i="3"/>
  <c r="U76" i="3"/>
  <c r="U70" i="3"/>
  <c r="U39" i="3"/>
  <c r="U80" i="3"/>
  <c r="U73" i="3"/>
  <c r="U12" i="3"/>
  <c r="U40" i="3"/>
  <c r="U56" i="3"/>
  <c r="U82" i="3"/>
  <c r="U63" i="3"/>
  <c r="U65" i="3"/>
  <c r="U71" i="3"/>
  <c r="U35" i="3"/>
  <c r="U32" i="3"/>
  <c r="U52" i="3"/>
  <c r="U86" i="3"/>
  <c r="U93" i="3"/>
  <c r="U83" i="3"/>
  <c r="U111" i="3"/>
  <c r="U88" i="3"/>
  <c r="U54" i="3"/>
  <c r="U53" i="3"/>
  <c r="U75" i="3"/>
  <c r="U33" i="3"/>
  <c r="U85" i="3"/>
  <c r="U37" i="3"/>
  <c r="U4" i="3"/>
  <c r="U118" i="3"/>
  <c r="U18" i="3"/>
  <c r="U105" i="3"/>
  <c r="U59" i="3"/>
  <c r="U97" i="3"/>
  <c r="U81" i="3"/>
  <c r="U26" i="3"/>
  <c r="U50" i="3"/>
  <c r="U108" i="3"/>
  <c r="U98" i="3"/>
  <c r="U91" i="3"/>
  <c r="U106" i="3"/>
  <c r="U57" i="3"/>
  <c r="U99" i="3"/>
  <c r="U68" i="3"/>
  <c r="U115" i="3"/>
  <c r="U14" i="3"/>
  <c r="U96" i="3"/>
  <c r="U62" i="3"/>
  <c r="U119" i="3"/>
  <c r="U48" i="3"/>
  <c r="U69" i="3"/>
  <c r="U17" i="3"/>
  <c r="U34" i="3"/>
  <c r="U121" i="3"/>
  <c r="U46" i="3"/>
  <c r="U3" i="3"/>
  <c r="U15" i="3"/>
  <c r="U66" i="3"/>
  <c r="T120" i="3"/>
  <c r="T110" i="3"/>
  <c r="T109" i="3"/>
  <c r="T8" i="3"/>
  <c r="T100" i="3"/>
  <c r="T22" i="3"/>
  <c r="T95" i="3"/>
  <c r="T103" i="3"/>
  <c r="T113" i="3"/>
  <c r="T102" i="3"/>
  <c r="T94" i="3"/>
  <c r="T47" i="3"/>
  <c r="T25" i="3"/>
  <c r="T31" i="3"/>
  <c r="T89" i="3"/>
  <c r="T9" i="3"/>
  <c r="T107" i="3"/>
  <c r="T87" i="3"/>
  <c r="T36" i="3"/>
  <c r="T41" i="3"/>
  <c r="T117" i="3"/>
  <c r="T74" i="3"/>
  <c r="T51" i="3"/>
  <c r="T49" i="3"/>
  <c r="T92" i="3"/>
  <c r="T28" i="3"/>
  <c r="T67" i="3"/>
  <c r="T55" i="3"/>
  <c r="T77" i="3"/>
  <c r="T72" i="3"/>
  <c r="T76" i="3"/>
  <c r="T70" i="3"/>
  <c r="T39" i="3"/>
  <c r="T80" i="3"/>
  <c r="T73" i="3"/>
  <c r="T12" i="3"/>
  <c r="T40" i="3"/>
  <c r="T56" i="3"/>
  <c r="T82" i="3"/>
  <c r="T63" i="3"/>
  <c r="T65" i="3"/>
  <c r="T71" i="3"/>
  <c r="T35" i="3"/>
  <c r="T32" i="3"/>
  <c r="T52" i="3"/>
  <c r="T86" i="3"/>
  <c r="T93" i="3"/>
  <c r="T83" i="3"/>
  <c r="T111" i="3"/>
  <c r="T88" i="3"/>
  <c r="T54" i="3"/>
  <c r="T53" i="3"/>
  <c r="T75" i="3"/>
  <c r="T33" i="3"/>
  <c r="T85" i="3"/>
  <c r="T37" i="3"/>
  <c r="T4" i="3"/>
  <c r="T118" i="3"/>
  <c r="T18" i="3"/>
  <c r="T105" i="3"/>
  <c r="T59" i="3"/>
  <c r="T97" i="3"/>
  <c r="T81" i="3"/>
  <c r="T26" i="3"/>
  <c r="T50" i="3"/>
  <c r="T108" i="3"/>
  <c r="T98" i="3"/>
  <c r="T91" i="3"/>
  <c r="T106" i="3"/>
  <c r="T57" i="3"/>
  <c r="T99" i="3"/>
  <c r="T68" i="3"/>
  <c r="T115" i="3"/>
  <c r="T14" i="3"/>
  <c r="T96" i="3"/>
  <c r="T62" i="3"/>
  <c r="T119" i="3"/>
  <c r="T48" i="3"/>
  <c r="T69" i="3"/>
  <c r="T17" i="3"/>
  <c r="T34" i="3"/>
  <c r="T121" i="3"/>
  <c r="T3" i="3"/>
  <c r="T15" i="3"/>
  <c r="T66" i="3"/>
  <c r="T21" i="3"/>
  <c r="U131" i="2"/>
  <c r="U130" i="2"/>
  <c r="U128" i="2"/>
  <c r="T131" i="2"/>
  <c r="T130" i="2"/>
  <c r="T128" i="2"/>
  <c r="V281" i="1"/>
  <c r="V108" i="1"/>
  <c r="V13" i="1"/>
  <c r="V26" i="1"/>
  <c r="V30" i="1"/>
  <c r="V253" i="1"/>
  <c r="V102" i="1"/>
  <c r="V310" i="1"/>
  <c r="V43" i="1"/>
  <c r="V59" i="1"/>
  <c r="V68" i="1"/>
  <c r="V292" i="1"/>
  <c r="V107" i="1"/>
  <c r="V97" i="1"/>
  <c r="V28" i="1"/>
  <c r="V40" i="1"/>
  <c r="V14" i="1"/>
  <c r="V35" i="1"/>
  <c r="V52" i="1"/>
  <c r="V254" i="1"/>
  <c r="V301" i="1"/>
  <c r="V60" i="1"/>
  <c r="V133" i="1"/>
  <c r="V211" i="1"/>
  <c r="V127" i="1"/>
  <c r="V286" i="1"/>
  <c r="V113" i="1"/>
  <c r="V308" i="1"/>
  <c r="U281" i="1"/>
  <c r="U108" i="1"/>
  <c r="U13" i="1"/>
  <c r="U26" i="1"/>
  <c r="U30" i="1"/>
  <c r="U253" i="1"/>
  <c r="U102" i="1"/>
  <c r="U310" i="1"/>
  <c r="U43" i="1"/>
  <c r="U59" i="1"/>
  <c r="U68" i="1"/>
  <c r="U292" i="1"/>
  <c r="U107" i="1"/>
  <c r="U97" i="1"/>
  <c r="U28" i="1"/>
  <c r="U40" i="1"/>
  <c r="U14" i="1"/>
  <c r="U35" i="1"/>
  <c r="U52" i="1"/>
  <c r="U254" i="1"/>
  <c r="U301" i="1"/>
  <c r="U60" i="1"/>
  <c r="U133" i="1"/>
  <c r="U211" i="1"/>
  <c r="U127" i="1"/>
  <c r="U286" i="1"/>
  <c r="U113" i="1"/>
  <c r="U308" i="1"/>
  <c r="V287" i="1"/>
  <c r="U287" i="1"/>
  <c r="U10" i="1"/>
  <c r="V33" i="1"/>
  <c r="V4" i="1"/>
  <c r="V251" i="1"/>
  <c r="V272" i="1"/>
  <c r="V96" i="1"/>
  <c r="V256" i="1"/>
  <c r="V302" i="1"/>
  <c r="V279" i="1"/>
  <c r="V55" i="1"/>
  <c r="V78" i="1"/>
  <c r="V165" i="1"/>
  <c r="V164" i="1"/>
  <c r="V17" i="1"/>
  <c r="V109" i="1"/>
  <c r="V175" i="1"/>
  <c r="V142" i="1"/>
  <c r="V258" i="1"/>
  <c r="V250" i="1"/>
  <c r="V177" i="1"/>
  <c r="V180" i="1"/>
  <c r="V270" i="1"/>
  <c r="V222" i="1"/>
  <c r="V215" i="1"/>
  <c r="V187" i="1"/>
  <c r="V70" i="1"/>
  <c r="V207" i="1"/>
  <c r="V264" i="1"/>
  <c r="V267" i="1"/>
  <c r="V230" i="1"/>
  <c r="V161" i="1"/>
  <c r="V208" i="1"/>
  <c r="V259" i="1"/>
  <c r="V226" i="1"/>
  <c r="V255" i="1"/>
  <c r="V163" i="1"/>
  <c r="V100" i="1"/>
  <c r="V141" i="1"/>
  <c r="V244" i="1"/>
  <c r="V285" i="1"/>
  <c r="V37" i="1"/>
  <c r="V204" i="1"/>
  <c r="V128" i="1"/>
  <c r="V246" i="1"/>
  <c r="V87" i="1"/>
  <c r="V67" i="1"/>
  <c r="V220" i="1"/>
  <c r="V306" i="1"/>
  <c r="V200" i="1"/>
  <c r="V202" i="1"/>
  <c r="V214" i="1"/>
  <c r="V271" i="1"/>
  <c r="V197" i="1"/>
  <c r="V260" i="1"/>
  <c r="V269" i="1"/>
  <c r="V247" i="1"/>
  <c r="V199" i="1"/>
  <c r="V124" i="1"/>
  <c r="V210" i="1"/>
  <c r="V162" i="1"/>
  <c r="V217" i="1"/>
  <c r="V240" i="1"/>
  <c r="V309" i="1"/>
  <c r="V136" i="1"/>
  <c r="V242" i="1"/>
  <c r="V170" i="1"/>
  <c r="V169" i="1"/>
  <c r="V233" i="1"/>
  <c r="V235" i="1"/>
  <c r="V167" i="1"/>
  <c r="V172" i="1"/>
  <c r="V131" i="1"/>
  <c r="V219" i="1"/>
  <c r="V99" i="1"/>
  <c r="V196" i="1"/>
  <c r="V312" i="1"/>
  <c r="V299" i="1"/>
  <c r="V303" i="1"/>
  <c r="V236" i="1"/>
  <c r="V218" i="1"/>
  <c r="V115" i="1"/>
  <c r="V134" i="1"/>
  <c r="V46" i="1"/>
  <c r="V139" i="1"/>
  <c r="V83" i="1"/>
  <c r="V203" i="1"/>
  <c r="V296" i="1"/>
  <c r="V101" i="1"/>
  <c r="V166" i="1"/>
  <c r="V243" i="1"/>
  <c r="V238" i="1"/>
  <c r="V143" i="1"/>
  <c r="V149" i="1"/>
  <c r="V288" i="1"/>
  <c r="V239" i="1"/>
  <c r="V81" i="1"/>
  <c r="V171" i="1"/>
  <c r="V223" i="1"/>
  <c r="V225" i="1"/>
  <c r="V284" i="1"/>
  <c r="V295" i="1"/>
  <c r="V263" i="1"/>
  <c r="V216" i="1"/>
  <c r="V213" i="1"/>
  <c r="V168" i="1"/>
  <c r="V91" i="1"/>
  <c r="V135" i="1"/>
  <c r="V130" i="1"/>
  <c r="V206" i="1"/>
  <c r="V84" i="1"/>
  <c r="V228" i="1"/>
  <c r="V38" i="1"/>
  <c r="V126" i="1"/>
  <c r="V227" i="1"/>
  <c r="V77" i="1"/>
  <c r="V265" i="1"/>
  <c r="V229" i="1"/>
  <c r="V173" i="1"/>
  <c r="V154" i="1"/>
  <c r="V311" i="1"/>
  <c r="V160" i="1"/>
  <c r="V89" i="1"/>
  <c r="V76" i="1"/>
  <c r="V79" i="1"/>
  <c r="V74" i="1"/>
  <c r="V298" i="1"/>
  <c r="V182" i="1"/>
  <c r="V95" i="1"/>
  <c r="V88" i="1"/>
  <c r="V86" i="1"/>
  <c r="V305" i="1"/>
  <c r="V237" i="1"/>
  <c r="V21" i="1"/>
  <c r="V57" i="1"/>
  <c r="V300" i="1"/>
  <c r="V105" i="1"/>
  <c r="V41" i="1"/>
  <c r="V158" i="1"/>
  <c r="V268" i="1"/>
  <c r="V80" i="1"/>
  <c r="V183" i="1"/>
  <c r="V39" i="1"/>
  <c r="V114" i="1"/>
  <c r="V24" i="1"/>
  <c r="V274" i="1"/>
  <c r="V289" i="1"/>
  <c r="V32" i="1"/>
  <c r="V212" i="1"/>
  <c r="V61" i="1"/>
  <c r="V90" i="1"/>
  <c r="V23" i="1"/>
  <c r="V104" i="1"/>
  <c r="V85" i="1"/>
  <c r="V66" i="1"/>
  <c r="V278" i="1"/>
  <c r="V106" i="1"/>
  <c r="V205" i="1"/>
  <c r="V58" i="1"/>
  <c r="V103" i="1"/>
  <c r="V121" i="1"/>
  <c r="V64" i="1"/>
  <c r="V151" i="1"/>
  <c r="V138" i="1"/>
  <c r="V297" i="1"/>
  <c r="V10" i="1"/>
  <c r="V5" i="1"/>
  <c r="U57" i="2"/>
  <c r="U4" i="1"/>
  <c r="U9" i="1"/>
  <c r="U251" i="1"/>
  <c r="U272" i="1"/>
  <c r="U96" i="1"/>
  <c r="U256" i="1"/>
  <c r="U302" i="1"/>
  <c r="U279" i="1"/>
  <c r="U55" i="1"/>
  <c r="U78" i="1"/>
  <c r="U165" i="1"/>
  <c r="U164" i="1"/>
  <c r="U17" i="1"/>
  <c r="U109" i="1"/>
  <c r="U175" i="1"/>
  <c r="U142" i="1"/>
  <c r="U258" i="1"/>
  <c r="U250" i="1"/>
  <c r="U177" i="1"/>
  <c r="U180" i="1"/>
  <c r="U270" i="1"/>
  <c r="U222" i="1"/>
  <c r="U215" i="1"/>
  <c r="U187" i="1"/>
  <c r="U70" i="1"/>
  <c r="U207" i="1"/>
  <c r="U264" i="1"/>
  <c r="U267" i="1"/>
  <c r="U230" i="1"/>
  <c r="U161" i="1"/>
  <c r="U208" i="1"/>
  <c r="U259" i="1"/>
  <c r="U226" i="1"/>
  <c r="U255" i="1"/>
  <c r="U163" i="1"/>
  <c r="U100" i="1"/>
  <c r="U141" i="1"/>
  <c r="U244" i="1"/>
  <c r="U285" i="1"/>
  <c r="U37" i="1"/>
  <c r="U204" i="1"/>
  <c r="U128" i="1"/>
  <c r="U246" i="1"/>
  <c r="U87" i="1"/>
  <c r="U67" i="1"/>
  <c r="U220" i="1"/>
  <c r="U306" i="1"/>
  <c r="U200" i="1"/>
  <c r="U202" i="1"/>
  <c r="U214" i="1"/>
  <c r="U271" i="1"/>
  <c r="U197" i="1"/>
  <c r="U260" i="1"/>
  <c r="U269" i="1"/>
  <c r="U247" i="1"/>
  <c r="U199" i="1"/>
  <c r="U124" i="1"/>
  <c r="U210" i="1"/>
  <c r="U162" i="1"/>
  <c r="U217" i="1"/>
  <c r="U33" i="1"/>
  <c r="U240" i="1"/>
  <c r="U309" i="1"/>
  <c r="U136" i="1"/>
  <c r="U242" i="1"/>
  <c r="U170" i="1"/>
  <c r="U169" i="1"/>
  <c r="U233" i="1"/>
  <c r="U235" i="1"/>
  <c r="U167" i="1"/>
  <c r="U172" i="1"/>
  <c r="U131" i="1"/>
  <c r="U219" i="1"/>
  <c r="U99" i="1"/>
  <c r="U196" i="1"/>
  <c r="U312" i="1"/>
  <c r="U299" i="1"/>
  <c r="U303" i="1"/>
  <c r="U236" i="1"/>
  <c r="U218" i="1"/>
  <c r="U115" i="1"/>
  <c r="U134" i="1"/>
  <c r="U46" i="1"/>
  <c r="U139" i="1"/>
  <c r="U83" i="1"/>
  <c r="U203" i="1"/>
  <c r="U296" i="1"/>
  <c r="U101" i="1"/>
  <c r="U166" i="1"/>
  <c r="U243" i="1"/>
  <c r="U238" i="1"/>
  <c r="U143" i="1"/>
  <c r="U149" i="1"/>
  <c r="U288" i="1"/>
  <c r="U239" i="1"/>
  <c r="U81" i="1"/>
  <c r="U171" i="1"/>
  <c r="U223" i="1"/>
  <c r="U225" i="1"/>
  <c r="U284" i="1"/>
  <c r="U295" i="1"/>
  <c r="U263" i="1"/>
  <c r="U216" i="1"/>
  <c r="U213" i="1"/>
  <c r="U168" i="1"/>
  <c r="U91" i="1"/>
  <c r="U135" i="1"/>
  <c r="U130" i="1"/>
  <c r="U206" i="1"/>
  <c r="U84" i="1"/>
  <c r="U228" i="1"/>
  <c r="U38" i="1"/>
  <c r="U126" i="1"/>
  <c r="U227" i="1"/>
  <c r="U77" i="1"/>
  <c r="U265" i="1"/>
  <c r="U229" i="1"/>
  <c r="U173" i="1"/>
  <c r="U154" i="1"/>
  <c r="U311" i="1"/>
  <c r="U160" i="1"/>
  <c r="U89" i="1"/>
  <c r="U76" i="1"/>
  <c r="U79" i="1"/>
  <c r="U74" i="1"/>
  <c r="U298" i="1"/>
  <c r="U182" i="1"/>
  <c r="U95" i="1"/>
  <c r="U88" i="1"/>
  <c r="U86" i="1"/>
  <c r="U305" i="1"/>
  <c r="U237" i="1"/>
  <c r="U21" i="1"/>
  <c r="U57" i="1"/>
  <c r="U300" i="1"/>
  <c r="U105" i="1"/>
  <c r="U41" i="1"/>
  <c r="U158" i="1"/>
  <c r="U268" i="1"/>
  <c r="U80" i="1"/>
  <c r="U183" i="1"/>
  <c r="U39" i="1"/>
  <c r="U114" i="1"/>
  <c r="U24" i="1"/>
  <c r="U274" i="1"/>
  <c r="U289" i="1"/>
  <c r="U32" i="1"/>
  <c r="U212" i="1"/>
  <c r="U61" i="1"/>
  <c r="U90" i="1"/>
  <c r="U23" i="1"/>
  <c r="U104" i="1"/>
  <c r="U85" i="1"/>
  <c r="U66" i="1"/>
  <c r="U278" i="1"/>
  <c r="U106" i="1"/>
  <c r="U205" i="1"/>
  <c r="U58" i="1"/>
  <c r="U103" i="1"/>
  <c r="U121" i="1"/>
  <c r="U64" i="1"/>
  <c r="U151" i="1"/>
  <c r="U138" i="1"/>
  <c r="U297" i="1"/>
  <c r="U5" i="1"/>
  <c r="K296" i="1"/>
  <c r="K207" i="1"/>
  <c r="K114" i="1"/>
  <c r="K85" i="1"/>
  <c r="K67" i="1"/>
  <c r="K134" i="1"/>
  <c r="K13" i="1"/>
  <c r="K64" i="1"/>
  <c r="K309" i="1"/>
  <c r="G211" i="1"/>
  <c r="G127" i="1"/>
  <c r="G286" i="1"/>
  <c r="G113" i="1"/>
  <c r="G308" i="1"/>
  <c r="G60" i="1"/>
  <c r="G133" i="1"/>
  <c r="K27" i="3" l="1"/>
  <c r="K30" i="3"/>
  <c r="K19" i="3"/>
  <c r="K90" i="3"/>
  <c r="K24" i="3"/>
  <c r="G66" i="3"/>
  <c r="G44" i="3"/>
  <c r="G131" i="2"/>
  <c r="G254" i="1"/>
  <c r="G301" i="1"/>
  <c r="G21" i="3"/>
  <c r="K57" i="3"/>
  <c r="K29" i="3"/>
  <c r="K80" i="3"/>
  <c r="U21" i="3"/>
  <c r="G120" i="3"/>
  <c r="K55" i="3"/>
  <c r="G110" i="3"/>
  <c r="K31" i="3"/>
  <c r="G109" i="3"/>
  <c r="K81" i="3"/>
  <c r="G8" i="3"/>
  <c r="K85" i="3"/>
  <c r="K53" i="3"/>
  <c r="G100" i="3"/>
  <c r="G22" i="3"/>
  <c r="K83" i="3"/>
  <c r="G95" i="3"/>
  <c r="K105" i="3"/>
  <c r="K107" i="3"/>
  <c r="G113" i="3"/>
  <c r="K56" i="3"/>
  <c r="G103" i="3"/>
  <c r="K98" i="3"/>
  <c r="G102" i="3"/>
  <c r="K77" i="3"/>
  <c r="G94" i="3"/>
  <c r="K39" i="3"/>
  <c r="G47" i="3"/>
  <c r="K82" i="3"/>
  <c r="G89" i="3"/>
  <c r="G31" i="3"/>
  <c r="K92" i="3"/>
  <c r="G9" i="3"/>
  <c r="K4" i="3"/>
  <c r="G107" i="3"/>
  <c r="G87" i="3"/>
  <c r="K47" i="3"/>
  <c r="G36" i="3"/>
  <c r="K41" i="3"/>
  <c r="G74" i="3"/>
  <c r="K102" i="3"/>
  <c r="G117" i="3"/>
  <c r="K93" i="3"/>
  <c r="K91" i="3"/>
  <c r="G51" i="3"/>
  <c r="G49" i="3"/>
  <c r="K109" i="3"/>
  <c r="K16" i="3"/>
  <c r="G92" i="3"/>
  <c r="K52" i="3"/>
  <c r="K63" i="3"/>
  <c r="K111" i="3"/>
  <c r="G72" i="3"/>
  <c r="K70" i="3"/>
  <c r="G67" i="3"/>
  <c r="K50" i="3"/>
  <c r="K35" i="3"/>
  <c r="G77" i="3"/>
  <c r="K73" i="3"/>
  <c r="G55" i="3"/>
  <c r="G70" i="3"/>
  <c r="K95" i="3"/>
  <c r="K68" i="3"/>
  <c r="G28" i="3"/>
  <c r="K97" i="3"/>
  <c r="G76" i="3"/>
  <c r="K14" i="3"/>
  <c r="G80" i="3"/>
  <c r="K37" i="3"/>
  <c r="G32" i="3"/>
  <c r="K115" i="3"/>
  <c r="G73" i="3"/>
  <c r="K40" i="3"/>
  <c r="G12" i="3"/>
  <c r="K28" i="3"/>
  <c r="G39" i="3"/>
  <c r="G56" i="3"/>
  <c r="K76" i="3"/>
  <c r="G40" i="3"/>
  <c r="K75" i="3"/>
  <c r="K17" i="3"/>
  <c r="G63" i="3"/>
  <c r="K33" i="3"/>
  <c r="K48" i="3"/>
  <c r="G35" i="3"/>
  <c r="K49" i="3"/>
  <c r="G65" i="3"/>
  <c r="K113" i="3"/>
  <c r="G52" i="3"/>
  <c r="G71" i="3"/>
  <c r="K74" i="3"/>
  <c r="G86" i="3"/>
  <c r="K72" i="3"/>
  <c r="G93" i="3"/>
  <c r="K96" i="3"/>
  <c r="G83" i="3"/>
  <c r="K26" i="3"/>
  <c r="G88" i="3"/>
  <c r="G54" i="3"/>
  <c r="K120" i="3"/>
  <c r="G111" i="3"/>
  <c r="K100" i="3"/>
  <c r="G33" i="3"/>
  <c r="K65" i="3"/>
  <c r="G85" i="3"/>
  <c r="K12" i="3"/>
  <c r="G53" i="3"/>
  <c r="K99" i="3"/>
  <c r="G75" i="3"/>
  <c r="K117" i="3"/>
  <c r="G37" i="3"/>
  <c r="K54" i="3"/>
  <c r="G4" i="3"/>
  <c r="K8" i="3"/>
  <c r="K69" i="3"/>
  <c r="G25" i="3"/>
  <c r="K51" i="3"/>
  <c r="G118" i="3"/>
  <c r="K22" i="3"/>
  <c r="K103" i="3"/>
  <c r="G18" i="3"/>
  <c r="K106" i="3"/>
  <c r="G105" i="3"/>
  <c r="K71" i="3"/>
  <c r="G59" i="3"/>
  <c r="K66" i="3"/>
  <c r="G26" i="3"/>
  <c r="K88" i="3"/>
  <c r="G81" i="3"/>
  <c r="K18" i="3"/>
  <c r="G98" i="3"/>
  <c r="K3" i="3"/>
  <c r="G97" i="3"/>
  <c r="G91" i="3"/>
  <c r="K86" i="3"/>
  <c r="G50" i="3"/>
  <c r="K15" i="3"/>
  <c r="G108" i="3"/>
  <c r="K32" i="3"/>
  <c r="G106" i="3"/>
  <c r="K59" i="3"/>
  <c r="G57" i="3"/>
  <c r="K67" i="3"/>
  <c r="G68" i="3"/>
  <c r="K44" i="3"/>
  <c r="G99" i="3"/>
  <c r="K89" i="3"/>
  <c r="G96" i="3"/>
  <c r="K119" i="3"/>
  <c r="G115" i="3"/>
  <c r="K25" i="3"/>
  <c r="G14" i="3"/>
  <c r="K42" i="3"/>
  <c r="G82" i="3"/>
  <c r="K94" i="3"/>
  <c r="G48" i="3"/>
  <c r="G62" i="3"/>
  <c r="K46" i="3"/>
  <c r="G119" i="3"/>
  <c r="K34" i="3"/>
  <c r="G17" i="3"/>
  <c r="K114" i="3"/>
  <c r="G69" i="3"/>
  <c r="K118" i="3"/>
  <c r="G34" i="3"/>
  <c r="K62" i="3"/>
  <c r="G121" i="3"/>
  <c r="K87" i="3"/>
  <c r="G46" i="3"/>
  <c r="K36" i="3"/>
  <c r="G15" i="3"/>
  <c r="K38" i="3"/>
  <c r="G42" i="3"/>
  <c r="T42" i="3"/>
  <c r="U42" i="3"/>
  <c r="G114" i="3"/>
  <c r="K23" i="3"/>
  <c r="T114" i="3"/>
  <c r="U114" i="3"/>
  <c r="G3" i="3"/>
  <c r="K21" i="3"/>
  <c r="G29" i="3"/>
  <c r="K9" i="3"/>
  <c r="T29" i="3"/>
  <c r="U29" i="3"/>
  <c r="G38" i="3"/>
  <c r="U38" i="3"/>
  <c r="G41" i="3"/>
  <c r="K121" i="3"/>
  <c r="G64" i="3"/>
  <c r="K110" i="3"/>
  <c r="U64" i="3"/>
  <c r="G16" i="3"/>
  <c r="K108" i="3"/>
  <c r="G23" i="3"/>
  <c r="K64" i="3"/>
  <c r="U23" i="3"/>
  <c r="E165" i="5"/>
  <c r="J2" i="5"/>
  <c r="T92" i="2" l="1"/>
  <c r="U92" i="2"/>
  <c r="T109" i="2"/>
  <c r="U109" i="2"/>
  <c r="T22" i="2"/>
  <c r="U22" i="2"/>
  <c r="T135" i="2"/>
  <c r="U135" i="2"/>
  <c r="G135" i="2"/>
  <c r="G22" i="2"/>
  <c r="K270" i="1"/>
  <c r="K107" i="1"/>
  <c r="K37" i="1"/>
  <c r="K281" i="1"/>
  <c r="K211" i="1"/>
  <c r="K88" i="1"/>
  <c r="K55" i="1"/>
  <c r="K101" i="1"/>
  <c r="K94" i="1"/>
  <c r="K46" i="1"/>
  <c r="K40" i="1"/>
  <c r="K26" i="1"/>
  <c r="K68" i="1"/>
  <c r="K126" i="1"/>
  <c r="K3" i="1"/>
  <c r="K180" i="1"/>
  <c r="K111" i="1"/>
  <c r="K178" i="1"/>
  <c r="K312" i="1"/>
  <c r="K240" i="1"/>
  <c r="K272" i="1"/>
  <c r="K58" i="1"/>
  <c r="K197" i="1"/>
  <c r="K217" i="1"/>
  <c r="K222" i="1"/>
  <c r="K264" i="1"/>
  <c r="K163" i="1"/>
  <c r="K89" i="1"/>
  <c r="K230" i="1"/>
  <c r="K278" i="1"/>
  <c r="K316" i="1"/>
  <c r="K95" i="1"/>
  <c r="K277" i="1"/>
  <c r="K292" i="1"/>
  <c r="K302" i="1"/>
  <c r="K305" i="1"/>
  <c r="K175" i="1"/>
  <c r="K226" i="1"/>
  <c r="K212" i="1"/>
  <c r="K33" i="1"/>
  <c r="K274" i="1"/>
  <c r="K297" i="1"/>
  <c r="K112" i="1"/>
  <c r="K61" i="1"/>
  <c r="K220" i="1"/>
  <c r="K38" i="1"/>
  <c r="K166" i="1"/>
  <c r="K127" i="1"/>
  <c r="K160" i="1"/>
  <c r="K74" i="1"/>
  <c r="K66" i="1"/>
  <c r="K182" i="1"/>
  <c r="K129" i="1"/>
  <c r="K143" i="1"/>
  <c r="K5" i="1"/>
  <c r="K243" i="1"/>
  <c r="K283" i="1"/>
  <c r="K23" i="1"/>
  <c r="K271" i="1"/>
  <c r="K306" i="1"/>
  <c r="K255" i="1"/>
  <c r="K102" i="1"/>
  <c r="K167" i="1"/>
  <c r="K303" i="1"/>
  <c r="K81" i="1"/>
  <c r="K92" i="1"/>
  <c r="K136" i="1"/>
  <c r="K244" i="1"/>
  <c r="K96" i="1"/>
  <c r="K161" i="1"/>
  <c r="K14" i="1"/>
  <c r="K183" i="1"/>
  <c r="K108" i="1"/>
  <c r="K254" i="1"/>
  <c r="K263" i="1"/>
  <c r="K86" i="1"/>
  <c r="K234" i="1"/>
  <c r="K128" i="1"/>
  <c r="K104" i="1"/>
  <c r="K246" i="1"/>
  <c r="K28" i="1"/>
  <c r="K82" i="1"/>
  <c r="K249" i="1"/>
  <c r="K196" i="1"/>
  <c r="K314" i="1"/>
  <c r="K70" i="1"/>
  <c r="K36" i="1"/>
  <c r="K84" i="1"/>
  <c r="K208" i="1"/>
  <c r="K90" i="1"/>
  <c r="K162" i="1"/>
  <c r="K151" i="1"/>
  <c r="K228" i="1"/>
  <c r="K164" i="1"/>
  <c r="K173" i="1"/>
  <c r="K121" i="1"/>
  <c r="K202" i="1"/>
  <c r="K199" i="1"/>
  <c r="K258" i="1"/>
  <c r="K76" i="1"/>
  <c r="K141" i="1"/>
  <c r="K187" i="1"/>
  <c r="K203" i="1"/>
  <c r="K268" i="1"/>
  <c r="K35" i="1"/>
  <c r="K260" i="1"/>
  <c r="K93" i="1"/>
  <c r="K215" i="1"/>
  <c r="K99" i="1"/>
  <c r="K216" i="1"/>
  <c r="K251" i="1"/>
  <c r="K289" i="1"/>
  <c r="K80" i="1"/>
  <c r="K242" i="1"/>
  <c r="K219" i="1"/>
  <c r="K77" i="1"/>
  <c r="K247" i="1"/>
  <c r="K83" i="1"/>
  <c r="K4" i="1"/>
  <c r="K21" i="1"/>
  <c r="K172" i="1"/>
  <c r="K293" i="1"/>
  <c r="K288" i="1"/>
  <c r="K259" i="1"/>
  <c r="K24" i="1"/>
  <c r="K238" i="1"/>
  <c r="K204" i="1"/>
  <c r="K236" i="1"/>
  <c r="K239" i="1"/>
  <c r="K298" i="1"/>
  <c r="K149" i="1"/>
  <c r="K97" i="1"/>
  <c r="K265" i="1"/>
  <c r="K139" i="1"/>
  <c r="K233" i="1"/>
  <c r="K200" i="1"/>
  <c r="K41" i="1"/>
  <c r="K130" i="1"/>
  <c r="K267" i="1"/>
  <c r="K170" i="1"/>
  <c r="K269" i="1"/>
  <c r="K232" i="1"/>
  <c r="K214" i="1"/>
  <c r="K206" i="1"/>
  <c r="K142" i="1"/>
  <c r="K299" i="1"/>
  <c r="K235" i="1"/>
  <c r="K109" i="1"/>
  <c r="K165" i="1"/>
  <c r="K210" i="1"/>
  <c r="K171" i="1"/>
  <c r="K133" i="1"/>
  <c r="K105" i="1"/>
  <c r="K138" i="1"/>
  <c r="K113" i="1"/>
  <c r="K79" i="1"/>
  <c r="K150" i="1"/>
  <c r="K285" i="1"/>
  <c r="K69" i="1"/>
  <c r="K300" i="1"/>
  <c r="K295" i="1"/>
  <c r="K78" i="1"/>
  <c r="K154" i="1"/>
  <c r="K17" i="1"/>
  <c r="K213" i="1"/>
  <c r="K168" i="1"/>
  <c r="K103" i="1"/>
  <c r="K59" i="1"/>
  <c r="K253" i="1"/>
  <c r="K124" i="1"/>
  <c r="K115" i="1"/>
  <c r="K218" i="1"/>
  <c r="K169" i="1"/>
  <c r="K43" i="1"/>
  <c r="K225" i="1"/>
  <c r="K177" i="1"/>
  <c r="K10" i="1"/>
  <c r="K301" i="1"/>
  <c r="K250" i="1"/>
  <c r="K284" i="1"/>
  <c r="K91" i="1"/>
  <c r="K205" i="1"/>
  <c r="K311" i="1"/>
  <c r="K286" i="1"/>
  <c r="K39" i="1"/>
  <c r="G87" i="1"/>
  <c r="G23" i="1"/>
  <c r="G33" i="1"/>
  <c r="G81" i="1"/>
  <c r="G205" i="1"/>
  <c r="G168" i="1"/>
  <c r="G237" i="1"/>
  <c r="G167" i="1"/>
  <c r="G149" i="1"/>
  <c r="G138" i="1"/>
  <c r="I18" i="5"/>
  <c r="J18" i="5" s="1"/>
  <c r="I80" i="5"/>
  <c r="K80" i="5" s="1"/>
  <c r="E194" i="5"/>
  <c r="E80" i="5"/>
  <c r="G161" i="1"/>
  <c r="G287" i="1"/>
  <c r="G158" i="1"/>
  <c r="G303"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I134" i="5"/>
  <c r="I135" i="5"/>
  <c r="I136" i="5"/>
  <c r="I137" i="5"/>
  <c r="I138" i="5"/>
  <c r="K138" i="5" s="1"/>
  <c r="I139" i="5"/>
  <c r="J139" i="5" s="1"/>
  <c r="I140" i="5"/>
  <c r="I141" i="5"/>
  <c r="I142" i="5"/>
  <c r="I143" i="5"/>
  <c r="K143" i="5" s="1"/>
  <c r="I144" i="5"/>
  <c r="I145" i="5"/>
  <c r="I146" i="5"/>
  <c r="K146" i="5" s="1"/>
  <c r="I147" i="5"/>
  <c r="I148" i="5"/>
  <c r="I149" i="5"/>
  <c r="I150" i="5"/>
  <c r="K150" i="5" s="1"/>
  <c r="I151" i="5"/>
  <c r="I152" i="5"/>
  <c r="I153" i="5"/>
  <c r="J153" i="5" s="1"/>
  <c r="I154" i="5"/>
  <c r="K154" i="5" s="1"/>
  <c r="I155" i="5"/>
  <c r="K155" i="5" s="1"/>
  <c r="I156" i="5"/>
  <c r="I157" i="5"/>
  <c r="I158" i="5"/>
  <c r="I159" i="5"/>
  <c r="I160" i="5"/>
  <c r="I161" i="5"/>
  <c r="J161" i="5" s="1"/>
  <c r="I162" i="5"/>
  <c r="K162" i="5" s="1"/>
  <c r="I163" i="5"/>
  <c r="K163" i="5" s="1"/>
  <c r="I164" i="5"/>
  <c r="J164" i="5" s="1"/>
  <c r="I165" i="5"/>
  <c r="K165" i="5" s="1"/>
  <c r="I166" i="5"/>
  <c r="I167" i="5"/>
  <c r="I168" i="5"/>
  <c r="K168" i="5" s="1"/>
  <c r="I169" i="5"/>
  <c r="K169" i="5" s="1"/>
  <c r="I170" i="5"/>
  <c r="I171" i="5"/>
  <c r="I172" i="5"/>
  <c r="I173" i="5"/>
  <c r="K173" i="5" s="1"/>
  <c r="I174" i="5"/>
  <c r="I175" i="5"/>
  <c r="K175" i="5" s="1"/>
  <c r="I176" i="5"/>
  <c r="J176" i="5" s="1"/>
  <c r="I177" i="5"/>
  <c r="K177" i="5" s="1"/>
  <c r="I178" i="5"/>
  <c r="I179" i="5"/>
  <c r="I180" i="5"/>
  <c r="K180" i="5" s="1"/>
  <c r="I181" i="5"/>
  <c r="K181" i="5" s="1"/>
  <c r="I182" i="5"/>
  <c r="I183" i="5"/>
  <c r="I184" i="5"/>
  <c r="J184" i="5" s="1"/>
  <c r="I185" i="5"/>
  <c r="K185" i="5" s="1"/>
  <c r="I186" i="5"/>
  <c r="I187" i="5"/>
  <c r="I188" i="5"/>
  <c r="I189" i="5"/>
  <c r="I190" i="5"/>
  <c r="I191" i="5"/>
  <c r="K191" i="5" s="1"/>
  <c r="I192" i="5"/>
  <c r="K192" i="5" s="1"/>
  <c r="I193" i="5"/>
  <c r="K193" i="5" s="1"/>
  <c r="I194" i="5"/>
  <c r="I195" i="5"/>
  <c r="I196" i="5"/>
  <c r="K196" i="5" s="1"/>
  <c r="I197" i="5"/>
  <c r="I198" i="5"/>
  <c r="I199" i="5"/>
  <c r="K199" i="5" s="1"/>
  <c r="I200" i="5"/>
  <c r="K200" i="5" s="1"/>
  <c r="I201" i="5"/>
  <c r="I202" i="5"/>
  <c r="K202" i="5" s="1"/>
  <c r="I203" i="5"/>
  <c r="I204" i="5"/>
  <c r="I205" i="5"/>
  <c r="I206" i="5"/>
  <c r="K206" i="5" s="1"/>
  <c r="I207" i="5"/>
  <c r="K207" i="5" s="1"/>
  <c r="I208" i="5"/>
  <c r="I209" i="5"/>
  <c r="K209" i="5" s="1"/>
  <c r="I210" i="5"/>
  <c r="K210" i="5" s="1"/>
  <c r="I211" i="5"/>
  <c r="I212" i="5"/>
  <c r="I213" i="5"/>
  <c r="K213" i="5" s="1"/>
  <c r="I214" i="5"/>
  <c r="J214" i="5" s="1"/>
  <c r="I215" i="5"/>
  <c r="I216" i="5"/>
  <c r="I217" i="5"/>
  <c r="K217" i="5" s="1"/>
  <c r="I218" i="5"/>
  <c r="I219" i="5"/>
  <c r="I220" i="5"/>
  <c r="I221" i="5"/>
  <c r="K221" i="5" s="1"/>
  <c r="I222" i="5"/>
  <c r="K222" i="5" s="1"/>
  <c r="I223" i="5"/>
  <c r="K223" i="5" s="1"/>
  <c r="I224" i="5"/>
  <c r="I225" i="5"/>
  <c r="I226" i="5"/>
  <c r="K226" i="5" s="1"/>
  <c r="I227" i="5"/>
  <c r="I228" i="5"/>
  <c r="K228" i="5" s="1"/>
  <c r="I229" i="5"/>
  <c r="I230" i="5"/>
  <c r="K230" i="5" s="1"/>
  <c r="I231" i="5"/>
  <c r="K231" i="5" s="1"/>
  <c r="I232" i="5"/>
  <c r="I233" i="5"/>
  <c r="I234" i="5"/>
  <c r="I235" i="5"/>
  <c r="J235" i="5" s="1"/>
  <c r="I236" i="5"/>
  <c r="K236" i="5" s="1"/>
  <c r="I237" i="5"/>
  <c r="I238" i="5"/>
  <c r="K238" i="5" s="1"/>
  <c r="I239" i="5"/>
  <c r="K239" i="5" s="1"/>
  <c r="I240" i="5"/>
  <c r="I241" i="5"/>
  <c r="I242" i="5"/>
  <c r="K242" i="5" s="1"/>
  <c r="I243" i="5"/>
  <c r="J243" i="5" s="1"/>
  <c r="I244" i="5"/>
  <c r="I245" i="5"/>
  <c r="I246" i="5"/>
  <c r="K246" i="5" s="1"/>
  <c r="I247" i="5"/>
  <c r="I248" i="5"/>
  <c r="I249" i="5"/>
  <c r="K249" i="5" s="1"/>
  <c r="I250" i="5"/>
  <c r="I251" i="5"/>
  <c r="I252" i="5"/>
  <c r="K252" i="5" s="1"/>
  <c r="I253" i="5"/>
  <c r="I254" i="5"/>
  <c r="K254" i="5" s="1"/>
  <c r="I255" i="5"/>
  <c r="J255" i="5" s="1"/>
  <c r="I256" i="5"/>
  <c r="I257" i="5"/>
  <c r="I258" i="5"/>
  <c r="K258" i="5" s="1"/>
  <c r="I259" i="5"/>
  <c r="I260" i="5"/>
  <c r="K260" i="5" s="1"/>
  <c r="I261" i="5"/>
  <c r="I262" i="5"/>
  <c r="I263" i="5"/>
  <c r="I264" i="5"/>
  <c r="I265" i="5"/>
  <c r="I266" i="5"/>
  <c r="J266" i="5" s="1"/>
  <c r="I267" i="5"/>
  <c r="J267" i="5" s="1"/>
  <c r="I268" i="5"/>
  <c r="I269" i="5"/>
  <c r="I270" i="5"/>
  <c r="I271" i="5"/>
  <c r="I272" i="5"/>
  <c r="I273" i="5"/>
  <c r="J273" i="5" s="1"/>
  <c r="I274" i="5"/>
  <c r="I275" i="5"/>
  <c r="I276" i="5"/>
  <c r="I277" i="5"/>
  <c r="I278" i="5"/>
  <c r="K278" i="5" s="1"/>
  <c r="I279" i="5"/>
  <c r="I280" i="5"/>
  <c r="I281" i="5"/>
  <c r="K281" i="5" s="1"/>
  <c r="I282" i="5"/>
  <c r="I283" i="5"/>
  <c r="I284" i="5"/>
  <c r="K284" i="5" s="1"/>
  <c r="I285" i="5"/>
  <c r="J285" i="5" s="1"/>
  <c r="I286" i="5"/>
  <c r="I287" i="5"/>
  <c r="I288" i="5"/>
  <c r="K288" i="5" s="1"/>
  <c r="I289" i="5"/>
  <c r="I290" i="5"/>
  <c r="I291" i="5"/>
  <c r="I292" i="5"/>
  <c r="J292" i="5" s="1"/>
  <c r="I293" i="5"/>
  <c r="I294" i="5"/>
  <c r="I295" i="5"/>
  <c r="K295" i="5" s="1"/>
  <c r="I296" i="5"/>
  <c r="I297" i="5"/>
  <c r="I298" i="5"/>
  <c r="I299" i="5"/>
  <c r="K299" i="5" s="1"/>
  <c r="I300" i="5"/>
  <c r="I301" i="5"/>
  <c r="I302" i="5"/>
  <c r="I303" i="5"/>
  <c r="I304" i="5"/>
  <c r="I305" i="5"/>
  <c r="I306" i="5"/>
  <c r="I307" i="5"/>
  <c r="I308" i="5"/>
  <c r="K308" i="5" s="1"/>
  <c r="I309" i="5"/>
  <c r="I310" i="5"/>
  <c r="I311" i="5"/>
  <c r="I312" i="5"/>
  <c r="I313" i="5"/>
  <c r="I314" i="5"/>
  <c r="I315" i="5"/>
  <c r="I316" i="5"/>
  <c r="K316" i="5" s="1"/>
  <c r="I317" i="5"/>
  <c r="J317" i="5" s="1"/>
  <c r="I318" i="5"/>
  <c r="K318" i="5" s="1"/>
  <c r="I320" i="5"/>
  <c r="I321" i="5"/>
  <c r="K321" i="5" s="1"/>
  <c r="I322" i="5"/>
  <c r="I323" i="5"/>
  <c r="J323" i="5" s="1"/>
  <c r="I324" i="5"/>
  <c r="K324" i="5" s="1"/>
  <c r="I325" i="5"/>
  <c r="K325" i="5" s="1"/>
  <c r="I326" i="5"/>
  <c r="I327" i="5"/>
  <c r="J327" i="5" s="1"/>
  <c r="I328" i="5"/>
  <c r="K328" i="5" s="1"/>
  <c r="I329" i="5"/>
  <c r="I330" i="5"/>
  <c r="I331" i="5"/>
  <c r="J331" i="5" s="1"/>
  <c r="I332" i="5"/>
  <c r="I333" i="5"/>
  <c r="J333" i="5" s="1"/>
  <c r="I334" i="5"/>
  <c r="K334" i="5" s="1"/>
  <c r="I335" i="5"/>
  <c r="I336" i="5"/>
  <c r="K336" i="5" s="1"/>
  <c r="I337" i="5"/>
  <c r="K337" i="5" s="1"/>
  <c r="I338" i="5"/>
  <c r="I339" i="5"/>
  <c r="I340" i="5"/>
  <c r="K340" i="5" s="1"/>
  <c r="I341" i="5"/>
  <c r="J341" i="5" s="1"/>
  <c r="I342" i="5"/>
  <c r="I343" i="5"/>
  <c r="K343" i="5" s="1"/>
  <c r="I344" i="5"/>
  <c r="I345" i="5"/>
  <c r="K345" i="5" s="1"/>
  <c r="I346" i="5"/>
  <c r="I347" i="5"/>
  <c r="J347" i="5" s="1"/>
  <c r="I348" i="5"/>
  <c r="I349" i="5"/>
  <c r="K349" i="5" s="1"/>
  <c r="I350" i="5"/>
  <c r="J350" i="5" s="1"/>
  <c r="I351" i="5"/>
  <c r="I352" i="5"/>
  <c r="J352" i="5" s="1"/>
  <c r="I353" i="5"/>
  <c r="K353" i="5" s="1"/>
  <c r="I354" i="5"/>
  <c r="K354" i="5" s="1"/>
  <c r="I355" i="5"/>
  <c r="J355" i="5" s="1"/>
  <c r="I356" i="5"/>
  <c r="J356" i="5" s="1"/>
  <c r="I357" i="5"/>
  <c r="I358" i="5"/>
  <c r="K358" i="5" s="1"/>
  <c r="I359" i="5"/>
  <c r="J359" i="5" s="1"/>
  <c r="I360" i="5"/>
  <c r="K360" i="5" s="1"/>
  <c r="I361" i="5"/>
  <c r="K36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59" i="5"/>
  <c r="E127" i="5"/>
  <c r="E172" i="5"/>
  <c r="E23" i="5"/>
  <c r="E288" i="5"/>
  <c r="E153" i="5"/>
  <c r="E231" i="5"/>
  <c r="E168" i="5"/>
  <c r="E112" i="5"/>
  <c r="E271" i="5"/>
  <c r="E71" i="5"/>
  <c r="E218" i="5"/>
  <c r="E88" i="5"/>
  <c r="E117" i="5"/>
  <c r="E102" i="5"/>
  <c r="E164" i="5"/>
  <c r="E280" i="5"/>
  <c r="E166" i="5"/>
  <c r="E78" i="5"/>
  <c r="E255" i="5"/>
  <c r="E171" i="5"/>
  <c r="E220" i="5"/>
  <c r="E247" i="5"/>
  <c r="E304" i="5"/>
  <c r="E338" i="5"/>
  <c r="E135" i="5"/>
  <c r="E335" i="5"/>
  <c r="E332" i="5"/>
  <c r="E336" i="5"/>
  <c r="E197" i="5"/>
  <c r="E249" i="5"/>
  <c r="E132" i="5"/>
  <c r="E138" i="5"/>
  <c r="E361" i="5"/>
  <c r="E360" i="5"/>
  <c r="E226" i="5"/>
  <c r="E313" i="5"/>
  <c r="E147" i="5"/>
  <c r="E121" i="5"/>
  <c r="E235" i="5"/>
  <c r="E141" i="5"/>
  <c r="E300" i="5"/>
  <c r="E209" i="5"/>
  <c r="E256" i="5"/>
  <c r="E352" i="5"/>
  <c r="E315" i="5"/>
  <c r="E205" i="5"/>
  <c r="E282" i="5"/>
  <c r="E170" i="5"/>
  <c r="E268" i="5"/>
  <c r="E321" i="5"/>
  <c r="E160" i="5"/>
  <c r="E122" i="5"/>
  <c r="E20" i="5"/>
  <c r="E346" i="5"/>
  <c r="E308" i="5"/>
  <c r="E155" i="5"/>
  <c r="E258" i="5"/>
  <c r="E188" i="5"/>
  <c r="E259" i="5"/>
  <c r="E134" i="5"/>
  <c r="E359" i="5"/>
  <c r="E94" i="5"/>
  <c r="E179" i="5"/>
  <c r="E167" i="5"/>
  <c r="E289" i="5"/>
  <c r="E66" i="5"/>
  <c r="E181" i="5"/>
  <c r="E103" i="5"/>
  <c r="E39" i="5"/>
  <c r="E201" i="5"/>
  <c r="E223" i="5"/>
  <c r="E237" i="5"/>
  <c r="E311" i="5"/>
  <c r="E96" i="5"/>
  <c r="E12" i="5"/>
  <c r="E242" i="5"/>
  <c r="E42" i="5"/>
  <c r="E41" i="5"/>
  <c r="E342" i="5"/>
  <c r="E193" i="5"/>
  <c r="E75" i="5"/>
  <c r="E86" i="5"/>
  <c r="E10" i="5"/>
  <c r="E72" i="5"/>
  <c r="E118" i="5"/>
  <c r="E81" i="5"/>
  <c r="E187" i="5"/>
  <c r="E91" i="5"/>
  <c r="E144" i="5"/>
  <c r="E25" i="5"/>
  <c r="E174" i="5"/>
  <c r="E293" i="5"/>
  <c r="E128" i="5"/>
  <c r="E22" i="5"/>
  <c r="E126" i="5"/>
  <c r="E109" i="5"/>
  <c r="E114" i="5"/>
  <c r="E186" i="5"/>
  <c r="E207" i="5"/>
  <c r="E240" i="5"/>
  <c r="E154" i="5"/>
  <c r="E62" i="5"/>
  <c r="E98" i="5"/>
  <c r="E190" i="5"/>
  <c r="E93" i="5"/>
  <c r="E106" i="5"/>
  <c r="E110" i="5"/>
  <c r="E107" i="5"/>
  <c r="E262" i="5"/>
  <c r="E221" i="5"/>
  <c r="E284" i="5"/>
  <c r="E95" i="5"/>
  <c r="E265" i="5"/>
  <c r="E216" i="5"/>
  <c r="E286" i="5"/>
  <c r="E243" i="5"/>
  <c r="E44" i="5"/>
  <c r="E90" i="5"/>
  <c r="E148" i="5"/>
  <c r="E101" i="5"/>
  <c r="E99" i="5"/>
  <c r="E196" i="5"/>
  <c r="E173" i="5"/>
  <c r="E105" i="5"/>
  <c r="E299" i="5"/>
  <c r="E140" i="5"/>
  <c r="E238" i="5"/>
  <c r="E274" i="5"/>
  <c r="E89" i="5"/>
  <c r="E139" i="5"/>
  <c r="E124" i="5"/>
  <c r="E260" i="5"/>
  <c r="E232" i="5"/>
  <c r="E302" i="5"/>
  <c r="E279" i="5"/>
  <c r="E290" i="5"/>
  <c r="E330" i="5"/>
  <c r="E341" i="5"/>
  <c r="E351" i="5"/>
  <c r="E254" i="5"/>
  <c r="E339" i="5"/>
  <c r="E283" i="5"/>
  <c r="E326" i="5"/>
  <c r="E309" i="5"/>
  <c r="E317" i="5"/>
  <c r="E120" i="5"/>
  <c r="E264" i="5"/>
  <c r="E210" i="5"/>
  <c r="E324" i="5"/>
  <c r="E149" i="5"/>
  <c r="E325" i="5"/>
  <c r="E295" i="5"/>
  <c r="E230" i="5"/>
  <c r="E211" i="5"/>
  <c r="E301" i="5"/>
  <c r="E333" i="5"/>
  <c r="E348" i="5"/>
  <c r="E234" i="5"/>
  <c r="E334" i="5"/>
  <c r="E246" i="5"/>
  <c r="E316" i="5"/>
  <c r="E306" i="5"/>
  <c r="E327" i="5"/>
  <c r="E248" i="5"/>
  <c r="E111" i="5"/>
  <c r="E331" i="5"/>
  <c r="E236" i="5"/>
  <c r="E345" i="5"/>
  <c r="E47" i="5"/>
  <c r="E329" i="5"/>
  <c r="E291" i="5"/>
  <c r="E108" i="5"/>
  <c r="E33" i="5"/>
  <c r="E123" i="5"/>
  <c r="E318" i="5"/>
  <c r="E200" i="5"/>
  <c r="E129" i="5"/>
  <c r="E156" i="5"/>
  <c r="E225" i="5"/>
  <c r="E278" i="5"/>
  <c r="E202" i="5"/>
  <c r="E251" i="5"/>
  <c r="E195" i="5"/>
  <c r="E37" i="5"/>
  <c r="E125" i="5"/>
  <c r="E136" i="5"/>
  <c r="E58" i="5"/>
  <c r="E133" i="5"/>
  <c r="E214" i="5"/>
  <c r="E48" i="5"/>
  <c r="E266" i="5"/>
  <c r="E145" i="5"/>
  <c r="E267" i="5"/>
  <c r="E85" i="5"/>
  <c r="E227" i="5"/>
  <c r="E175" i="5"/>
  <c r="E49" i="5"/>
  <c r="E192" i="5"/>
  <c r="E314" i="5"/>
  <c r="E137" i="5"/>
  <c r="E180" i="5"/>
  <c r="E204" i="5"/>
  <c r="E322" i="5"/>
  <c r="E228" i="5"/>
  <c r="E97" i="5"/>
  <c r="E161" i="5"/>
  <c r="E115" i="5"/>
  <c r="E328" i="5"/>
  <c r="E224" i="5"/>
  <c r="E60" i="5"/>
  <c r="E191" i="5"/>
  <c r="E272" i="5"/>
  <c r="E269" i="5"/>
  <c r="E150" i="5"/>
  <c r="E305" i="5"/>
  <c r="E32" i="5"/>
  <c r="E59" i="5"/>
  <c r="E151" i="5"/>
  <c r="E13" i="5"/>
  <c r="E354" i="5"/>
  <c r="E219" i="5"/>
  <c r="E69" i="5"/>
  <c r="E19" i="5"/>
  <c r="E54" i="5"/>
  <c r="E63" i="5"/>
  <c r="E82" i="5"/>
  <c r="E169" i="5"/>
  <c r="E26" i="5"/>
  <c r="E38" i="5"/>
  <c r="E350" i="5"/>
  <c r="E203" i="5"/>
  <c r="E296" i="5"/>
  <c r="E355" i="5"/>
  <c r="E358" i="5"/>
  <c r="E18" i="5"/>
  <c r="E79" i="5"/>
  <c r="E53" i="5"/>
  <c r="E35" i="5"/>
  <c r="E87" i="5"/>
  <c r="E34" i="5"/>
  <c r="E5" i="5"/>
  <c r="E146" i="5"/>
  <c r="E182" i="5"/>
  <c r="E65" i="5"/>
  <c r="E76" i="5"/>
  <c r="E17" i="5"/>
  <c r="E52" i="5"/>
  <c r="E157" i="5"/>
  <c r="E176" i="5"/>
  <c r="E152" i="5"/>
  <c r="E46" i="5"/>
  <c r="E113" i="5"/>
  <c r="E55" i="5"/>
  <c r="E275" i="5"/>
  <c r="E212" i="5"/>
  <c r="E261" i="5"/>
  <c r="E312" i="5"/>
  <c r="E213" i="5"/>
  <c r="E303" i="5"/>
  <c r="E30" i="5"/>
  <c r="E285" i="5"/>
  <c r="E130" i="5"/>
  <c r="E276" i="5"/>
  <c r="E252" i="5"/>
  <c r="E270" i="5"/>
  <c r="E177" i="5"/>
  <c r="E353" i="5"/>
  <c r="E73" i="5"/>
  <c r="E222" i="5"/>
  <c r="E337" i="5"/>
  <c r="E287" i="5"/>
  <c r="E253" i="5"/>
  <c r="E77" i="5"/>
  <c r="E51" i="5"/>
  <c r="E356" i="5"/>
  <c r="E343" i="5"/>
  <c r="E263" i="5"/>
  <c r="E310" i="5"/>
  <c r="E229" i="5"/>
  <c r="E297" i="5"/>
  <c r="E298" i="5"/>
  <c r="E344" i="5"/>
  <c r="E273" i="5"/>
  <c r="E294" i="5"/>
  <c r="E281" i="5"/>
  <c r="E239" i="5"/>
  <c r="E245" i="5"/>
  <c r="E189" i="5"/>
  <c r="E163" i="5"/>
  <c r="E292" i="5"/>
  <c r="E323" i="5"/>
  <c r="E198" i="5"/>
  <c r="E320" i="5"/>
  <c r="E340" i="5"/>
  <c r="E217" i="5"/>
  <c r="E92" i="5"/>
  <c r="E257" i="5"/>
  <c r="E68" i="5"/>
  <c r="E158" i="5"/>
  <c r="E178" i="5"/>
  <c r="E250" i="5"/>
  <c r="E347" i="5"/>
  <c r="E307" i="5"/>
  <c r="E199" i="5"/>
  <c r="E57" i="5"/>
  <c r="E100" i="5"/>
  <c r="E277" i="5"/>
  <c r="E185" i="5"/>
  <c r="E45" i="5"/>
  <c r="E83" i="5"/>
  <c r="E67" i="5"/>
  <c r="E183" i="5"/>
  <c r="E206" i="5"/>
  <c r="E357" i="5"/>
  <c r="E24" i="5"/>
  <c r="E29" i="5"/>
  <c r="E143" i="5"/>
  <c r="E131" i="5"/>
  <c r="E184" i="5"/>
  <c r="E241" i="5"/>
  <c r="E233" i="5"/>
  <c r="E142" i="5"/>
  <c r="E244" i="5"/>
  <c r="E119" i="5"/>
  <c r="E208" i="5"/>
  <c r="E8" i="5"/>
  <c r="E28" i="5"/>
  <c r="E84" i="5"/>
  <c r="E104" i="5"/>
  <c r="E162" i="5"/>
  <c r="E116" i="5"/>
  <c r="E349" i="5"/>
  <c r="E4" i="5"/>
  <c r="E6" i="5"/>
  <c r="E11" i="5"/>
  <c r="E40" i="5"/>
  <c r="E16" i="5"/>
  <c r="E50" i="5"/>
  <c r="E56" i="5"/>
  <c r="E36" i="5"/>
  <c r="E21" i="5"/>
  <c r="E14" i="5"/>
  <c r="E70" i="5"/>
  <c r="E27" i="5"/>
  <c r="E31" i="5"/>
  <c r="E61" i="5"/>
  <c r="E64" i="5"/>
  <c r="K3" i="5" l="1"/>
  <c r="J3" i="5"/>
  <c r="K269" i="5"/>
  <c r="K78" i="5"/>
  <c r="J55" i="5"/>
  <c r="J47" i="5"/>
  <c r="K302" i="5"/>
  <c r="K276" i="5"/>
  <c r="J257" i="5"/>
  <c r="K148" i="5"/>
  <c r="K141" i="5"/>
  <c r="J70" i="5"/>
  <c r="J39" i="5"/>
  <c r="K294" i="5"/>
  <c r="J262" i="5"/>
  <c r="K245" i="5"/>
  <c r="K216" i="5"/>
  <c r="K178" i="5"/>
  <c r="J287" i="5"/>
  <c r="J237" i="5"/>
  <c r="K156"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2"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50" i="5"/>
  <c r="J305" i="5"/>
  <c r="J252" i="5"/>
  <c r="J94" i="5"/>
  <c r="K247" i="5"/>
  <c r="K90" i="5"/>
  <c r="J303" i="5"/>
  <c r="J226" i="5"/>
  <c r="J44" i="5"/>
  <c r="K66" i="5"/>
  <c r="J299" i="5"/>
  <c r="J210" i="5"/>
  <c r="K212" i="5"/>
  <c r="K65" i="5"/>
  <c r="J272" i="5"/>
  <c r="J209" i="5"/>
  <c r="K153" i="5"/>
  <c r="K55" i="5"/>
  <c r="J271" i="5"/>
  <c r="J196" i="5"/>
  <c r="K297" i="5"/>
  <c r="K144" i="5"/>
  <c r="J276" i="5"/>
  <c r="J156" i="5"/>
  <c r="K262" i="5"/>
  <c r="K164" i="5"/>
  <c r="J358" i="5"/>
  <c r="J216" i="5"/>
  <c r="J100" i="5"/>
  <c r="J52" i="5"/>
  <c r="K257" i="5"/>
  <c r="K224" i="5"/>
  <c r="K161"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80" i="5"/>
  <c r="J118" i="5"/>
  <c r="J63" i="5"/>
  <c r="K311" i="5"/>
  <c r="K273" i="5"/>
  <c r="K235" i="5"/>
  <c r="K189" i="5"/>
  <c r="K74" i="5"/>
  <c r="K28" i="5"/>
  <c r="J318" i="5"/>
  <c r="K208" i="5"/>
  <c r="J349" i="5"/>
  <c r="J228" i="5"/>
  <c r="J175"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9" i="5"/>
  <c r="K179" i="5"/>
  <c r="J172" i="5"/>
  <c r="K172" i="5"/>
  <c r="J157" i="5"/>
  <c r="K157" i="5"/>
  <c r="J149" i="5"/>
  <c r="K149"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8" i="5"/>
  <c r="J162"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4"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5" i="5"/>
  <c r="J117" i="5"/>
  <c r="J76" i="5"/>
  <c r="J37" i="5"/>
  <c r="K22" i="5"/>
  <c r="J22" i="5"/>
  <c r="J241" i="5"/>
  <c r="K241" i="5"/>
  <c r="J234" i="5"/>
  <c r="K234" i="5"/>
  <c r="J205" i="5"/>
  <c r="K205" i="5"/>
  <c r="J182" i="5"/>
  <c r="K182" i="5"/>
  <c r="J160" i="5"/>
  <c r="K160" i="5"/>
  <c r="J145" i="5"/>
  <c r="K145" i="5"/>
  <c r="J122" i="5"/>
  <c r="K122" i="5"/>
  <c r="J114" i="5"/>
  <c r="K114" i="5"/>
  <c r="J98" i="5"/>
  <c r="K98" i="5"/>
  <c r="J82" i="5"/>
  <c r="K82" i="5"/>
  <c r="J334" i="5"/>
  <c r="J288" i="5"/>
  <c r="J222" i="5"/>
  <c r="J206" i="5"/>
  <c r="J169" i="5"/>
  <c r="J69" i="5"/>
  <c r="J30" i="5"/>
  <c r="K355" i="5"/>
  <c r="K176" i="5"/>
  <c r="K130" i="5"/>
  <c r="K53" i="5"/>
  <c r="K326" i="5"/>
  <c r="J326" i="5"/>
  <c r="K293" i="5"/>
  <c r="J293" i="5"/>
  <c r="K250" i="5"/>
  <c r="J250" i="5"/>
  <c r="J177" i="5"/>
  <c r="J21" i="5"/>
  <c r="K21" i="5"/>
  <c r="J240" i="5"/>
  <c r="K240" i="5"/>
  <c r="J219" i="5"/>
  <c r="K219" i="5"/>
  <c r="J211" i="5"/>
  <c r="K211" i="5"/>
  <c r="J197" i="5"/>
  <c r="K197" i="5"/>
  <c r="J181" i="5"/>
  <c r="J159" i="5"/>
  <c r="K159" i="5"/>
  <c r="J151" i="5"/>
  <c r="K151" i="5"/>
  <c r="J136" i="5"/>
  <c r="K136" i="5"/>
  <c r="J121" i="5"/>
  <c r="K121" i="5"/>
  <c r="J97" i="5"/>
  <c r="K97" i="5"/>
  <c r="J89" i="5"/>
  <c r="K89" i="5"/>
  <c r="J73" i="5"/>
  <c r="K73" i="5"/>
  <c r="J58" i="5"/>
  <c r="K58" i="5"/>
  <c r="J34" i="5"/>
  <c r="K34" i="5"/>
  <c r="J343" i="5"/>
  <c r="J316" i="5"/>
  <c r="J308" i="5"/>
  <c r="J258" i="5"/>
  <c r="J236" i="5"/>
  <c r="J221" i="5"/>
  <c r="J202" i="5"/>
  <c r="J186" i="5"/>
  <c r="J168" i="5"/>
  <c r="J148" i="5"/>
  <c r="J108" i="5"/>
  <c r="J88" i="5"/>
  <c r="J68" i="5"/>
  <c r="J49" i="5"/>
  <c r="K331" i="5"/>
  <c r="K317" i="5"/>
  <c r="K285" i="5"/>
  <c r="K255" i="5"/>
  <c r="K237" i="5"/>
  <c r="K152"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8" i="5"/>
  <c r="J158"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51" i="2" l="1"/>
  <c r="T51" i="2"/>
  <c r="U51" i="2"/>
  <c r="T116" i="2"/>
  <c r="U116" i="2"/>
  <c r="T105" i="2"/>
  <c r="U105" i="2"/>
  <c r="T112" i="2"/>
  <c r="U112" i="2"/>
  <c r="T4" i="2"/>
  <c r="G43" i="1"/>
  <c r="G5" i="1"/>
  <c r="G3" i="1"/>
  <c r="T76" i="2"/>
  <c r="U72" i="2"/>
  <c r="T60" i="2"/>
  <c r="T43" i="2"/>
  <c r="T117" i="2"/>
  <c r="T23" i="2"/>
  <c r="T33" i="2"/>
  <c r="T123" i="2"/>
  <c r="T67" i="2"/>
  <c r="T74" i="2"/>
  <c r="T77" i="2"/>
  <c r="T32" i="2"/>
  <c r="T93" i="2"/>
  <c r="T10" i="2"/>
  <c r="T86" i="2"/>
  <c r="T34" i="2"/>
  <c r="T66" i="2"/>
  <c r="T104" i="2"/>
  <c r="T87" i="2"/>
  <c r="T27" i="2"/>
  <c r="T26" i="2"/>
  <c r="T69" i="2"/>
  <c r="T140" i="2"/>
  <c r="T106" i="2"/>
  <c r="T16" i="2"/>
  <c r="T63" i="2"/>
  <c r="T68" i="2"/>
  <c r="T137" i="2"/>
  <c r="T99" i="2"/>
  <c r="T100" i="2"/>
  <c r="T83" i="2"/>
  <c r="T70" i="2"/>
  <c r="T97" i="2"/>
  <c r="T58" i="2"/>
  <c r="T89" i="2"/>
  <c r="T28" i="2"/>
  <c r="T84" i="2"/>
  <c r="T6" i="2"/>
  <c r="T40" i="2"/>
  <c r="T64" i="2"/>
  <c r="T19" i="2"/>
  <c r="T52" i="2"/>
  <c r="T35" i="2"/>
  <c r="T73" i="2"/>
  <c r="T79" i="2"/>
  <c r="T90" i="2"/>
  <c r="T103" i="2"/>
  <c r="T50" i="2"/>
  <c r="T53" i="2"/>
  <c r="T9" i="2"/>
  <c r="T48" i="2"/>
  <c r="T14" i="2"/>
  <c r="T108" i="2"/>
  <c r="T54" i="2"/>
  <c r="T98" i="2"/>
  <c r="U82" i="2"/>
  <c r="T29" i="2"/>
  <c r="T37" i="2"/>
  <c r="T59" i="2"/>
  <c r="T101" i="2"/>
  <c r="T71" i="2"/>
  <c r="T129" i="2"/>
  <c r="T81" i="2"/>
  <c r="T55" i="2"/>
  <c r="T139" i="2"/>
  <c r="T25" i="2"/>
  <c r="T18" i="2"/>
  <c r="T114" i="2"/>
  <c r="T94" i="2"/>
  <c r="T78" i="2"/>
  <c r="T3" i="2"/>
  <c r="T57" i="2"/>
  <c r="T47" i="2"/>
  <c r="T56" i="2"/>
  <c r="T91" i="2"/>
  <c r="T119" i="2"/>
  <c r="T80" i="2"/>
  <c r="T7" i="2"/>
  <c r="T96" i="2"/>
  <c r="T45" i="2"/>
  <c r="T120" i="2"/>
  <c r="T121" i="2"/>
  <c r="T21" i="2"/>
  <c r="T113" i="2"/>
  <c r="T107" i="2"/>
  <c r="T95" i="2"/>
  <c r="T122" i="2"/>
  <c r="T30" i="2"/>
  <c r="T8" i="2"/>
  <c r="T102" i="2"/>
  <c r="G8" i="2"/>
  <c r="G21" i="2"/>
  <c r="G107" i="2"/>
  <c r="G4" i="2"/>
  <c r="G94" i="2"/>
  <c r="G37" i="2"/>
  <c r="G29" i="2"/>
  <c r="G54" i="2"/>
  <c r="G108" i="2"/>
  <c r="G14" i="2"/>
  <c r="G103" i="2"/>
  <c r="G90" i="2"/>
  <c r="G79" i="2"/>
  <c r="G73" i="2"/>
  <c r="G19" i="2"/>
  <c r="G84" i="2"/>
  <c r="G67" i="2"/>
  <c r="G66" i="2"/>
  <c r="G104" i="2"/>
  <c r="G87" i="2"/>
  <c r="G26" i="2"/>
  <c r="G69" i="2"/>
  <c r="G83" i="2"/>
  <c r="G97" i="2"/>
  <c r="G58" i="2"/>
  <c r="G89" i="2"/>
  <c r="G226" i="1"/>
  <c r="U4" i="2" l="1"/>
  <c r="U83" i="2"/>
  <c r="U117" i="2"/>
  <c r="U122" i="2"/>
  <c r="U139" i="2"/>
  <c r="U74" i="2"/>
  <c r="U101" i="2"/>
  <c r="U96" i="2"/>
  <c r="U98" i="2"/>
  <c r="U29" i="2"/>
  <c r="U18" i="2"/>
  <c r="U6" i="2"/>
  <c r="U77" i="2"/>
  <c r="U14" i="2"/>
  <c r="U23" i="2"/>
  <c r="U16" i="2"/>
  <c r="U137" i="2"/>
  <c r="U19" i="2"/>
  <c r="U47" i="2"/>
  <c r="U27" i="2"/>
  <c r="U102" i="2"/>
  <c r="U8" i="2"/>
  <c r="U123" i="2"/>
  <c r="T72" i="2"/>
  <c r="U89" i="2"/>
  <c r="U97" i="2"/>
  <c r="U91" i="2"/>
  <c r="U35" i="2"/>
  <c r="U84" i="2"/>
  <c r="U49" i="2"/>
  <c r="U66" i="2"/>
  <c r="U69" i="2"/>
  <c r="U59" i="2"/>
  <c r="U50" i="2"/>
  <c r="U58" i="2"/>
  <c r="U67" i="2"/>
  <c r="U129" i="2"/>
  <c r="U54" i="2"/>
  <c r="U10" i="2"/>
  <c r="U140" i="2"/>
  <c r="U106" i="2"/>
  <c r="U3" i="2"/>
  <c r="U37" i="2"/>
  <c r="U60" i="2"/>
  <c r="U95" i="2"/>
  <c r="U114" i="2"/>
  <c r="U30" i="2"/>
  <c r="U90" i="2"/>
  <c r="U34" i="2"/>
  <c r="U45" i="2"/>
  <c r="U80" i="2"/>
  <c r="U26" i="2"/>
  <c r="U56" i="2"/>
  <c r="U104" i="2"/>
  <c r="U21" i="2"/>
  <c r="U33" i="2"/>
  <c r="U119" i="2"/>
  <c r="U87" i="2"/>
  <c r="U71" i="2"/>
  <c r="U86" i="2"/>
  <c r="U7" i="2"/>
  <c r="U9" i="2"/>
  <c r="U32" i="2"/>
  <c r="U53" i="2"/>
  <c r="U43" i="2"/>
  <c r="T82" i="2"/>
  <c r="U76" i="2"/>
  <c r="U94" i="2"/>
  <c r="U73" i="2"/>
  <c r="U20" i="2"/>
  <c r="U121" i="2"/>
  <c r="U40" i="2"/>
  <c r="U99" i="2"/>
  <c r="U68" i="2"/>
  <c r="U103" i="2"/>
  <c r="U93" i="2"/>
  <c r="U64" i="2"/>
  <c r="U79" i="2"/>
  <c r="U28" i="2"/>
  <c r="U52" i="2"/>
  <c r="U70" i="2"/>
  <c r="U107" i="2"/>
  <c r="U78" i="2"/>
  <c r="U55" i="2"/>
  <c r="U108" i="2"/>
  <c r="U100" i="2"/>
  <c r="U63" i="2"/>
  <c r="U48" i="2"/>
  <c r="U25" i="2"/>
  <c r="U81" i="2"/>
  <c r="U120" i="2"/>
  <c r="U113" i="2"/>
  <c r="G267" i="1"/>
  <c r="G230" i="1"/>
  <c r="G83" i="1"/>
  <c r="G101" i="1"/>
  <c r="G251" i="1"/>
  <c r="G70" i="1"/>
  <c r="G183" i="1"/>
  <c r="G136" i="1"/>
  <c r="G79" i="1"/>
  <c r="G100" i="1"/>
  <c r="G80" i="1"/>
  <c r="G187" i="1"/>
  <c r="G162" i="1"/>
  <c r="G263" i="1"/>
  <c r="G285" i="1"/>
  <c r="G10" i="1"/>
  <c r="G240" i="1"/>
  <c r="G264" i="1"/>
  <c r="G175" i="1"/>
  <c r="G114" i="1"/>
  <c r="G108" i="1"/>
  <c r="G258" i="1"/>
  <c r="G215" i="1"/>
  <c r="G128" i="1"/>
  <c r="G223" i="1"/>
  <c r="G99" i="1"/>
  <c r="G124" i="1"/>
  <c r="G89" i="1"/>
  <c r="G253" i="1"/>
  <c r="G26" i="1"/>
  <c r="G202" i="1"/>
  <c r="G163" i="1"/>
  <c r="G206" i="1"/>
  <c r="G246" i="1"/>
  <c r="G115" i="1"/>
  <c r="G52" i="1"/>
  <c r="G143" i="1"/>
  <c r="G104" i="1"/>
  <c r="G197" i="1"/>
  <c r="G260" i="1"/>
  <c r="G57" i="1"/>
  <c r="G37" i="1"/>
  <c r="G214" i="1"/>
  <c r="G105" i="1"/>
  <c r="G131" i="1"/>
  <c r="G180" i="1"/>
  <c r="G298" i="1"/>
  <c r="G300" i="1"/>
  <c r="G28" i="1"/>
  <c r="G59" i="1"/>
  <c r="G177" i="1"/>
  <c r="G208" i="1"/>
  <c r="G271" i="1"/>
  <c r="G281" i="1"/>
  <c r="G296" i="1"/>
  <c r="G154" i="1"/>
  <c r="G270" i="1"/>
  <c r="G243" i="1"/>
  <c r="G166" i="1"/>
  <c r="G312" i="1"/>
  <c r="G109" i="1"/>
  <c r="G64" i="1"/>
  <c r="G74" i="1"/>
  <c r="G139" i="1"/>
  <c r="G265" i="1"/>
  <c r="G84" i="1"/>
  <c r="G225" i="1"/>
  <c r="G103" i="1"/>
  <c r="G247" i="1"/>
  <c r="G95" i="1"/>
  <c r="G259" i="1"/>
  <c r="G182" i="1"/>
  <c r="G310" i="1"/>
  <c r="G196" i="1"/>
  <c r="G90" i="1"/>
  <c r="G58" i="1"/>
  <c r="G199" i="1"/>
  <c r="G85" i="1"/>
  <c r="G235" i="1"/>
  <c r="G306" i="1"/>
  <c r="G200" i="1"/>
  <c r="G210" i="1"/>
  <c r="G46" i="1"/>
  <c r="G302" i="1"/>
  <c r="G173" i="1"/>
  <c r="G102" i="1"/>
  <c r="G250" i="1"/>
  <c r="G222" i="1"/>
  <c r="G86" i="1"/>
  <c r="G17" i="1"/>
  <c r="G77" i="1"/>
  <c r="G32" i="1"/>
  <c r="G219" i="1"/>
  <c r="G107" i="1"/>
  <c r="G106" i="1"/>
  <c r="G39" i="1"/>
  <c r="G268" i="1"/>
  <c r="G244" i="1"/>
  <c r="G134" i="1"/>
  <c r="G256" i="1"/>
  <c r="G170" i="1"/>
  <c r="G288" i="1"/>
  <c r="G68" i="1"/>
  <c r="G135" i="1"/>
  <c r="G61" i="1"/>
  <c r="G9" i="1"/>
  <c r="G38" i="1"/>
  <c r="G24" i="1"/>
  <c r="G96" i="1"/>
  <c r="G274" i="1"/>
  <c r="G97" i="1"/>
  <c r="G305" i="1"/>
  <c r="G160" i="1"/>
  <c r="G227" i="1"/>
  <c r="G218" i="1"/>
  <c r="G289" i="1"/>
  <c r="G279" i="1"/>
  <c r="G297" i="1"/>
  <c r="G212" i="1"/>
  <c r="G309" i="1"/>
  <c r="G165" i="1"/>
  <c r="G35" i="1"/>
  <c r="G14" i="1"/>
  <c r="G126" i="1"/>
  <c r="G213" i="1"/>
  <c r="G272" i="1"/>
  <c r="G278" i="1"/>
  <c r="G295" i="1"/>
  <c r="G311" i="1"/>
  <c r="G4" i="1"/>
  <c r="G78" i="1"/>
  <c r="G30" i="1"/>
  <c r="G269" i="1"/>
  <c r="G171" i="1"/>
  <c r="G284" i="1"/>
  <c r="G41" i="1"/>
  <c r="G204" i="1"/>
  <c r="G220" i="1"/>
  <c r="G13" i="1"/>
  <c r="G142" i="1"/>
  <c r="G239" i="1"/>
  <c r="G172" i="1"/>
  <c r="G164" i="1"/>
  <c r="G91" i="1"/>
  <c r="G169" i="1"/>
  <c r="G217" i="1"/>
  <c r="G238" i="1"/>
  <c r="G76" i="1"/>
  <c r="G67" i="1"/>
  <c r="G151" i="1"/>
  <c r="G121" i="1"/>
  <c r="G228" i="1"/>
  <c r="G255" i="1"/>
  <c r="G216" i="1"/>
  <c r="G66" i="1"/>
  <c r="G233" i="1"/>
  <c r="G55" i="1"/>
  <c r="G130" i="1"/>
  <c r="G88" i="1"/>
  <c r="G207" i="1"/>
  <c r="G203" i="1"/>
  <c r="G242" i="1"/>
  <c r="G236" i="1"/>
  <c r="G141" i="1"/>
  <c r="G229" i="1"/>
  <c r="G299" i="1"/>
  <c r="G136" i="2" l="1"/>
  <c r="K32" i="1"/>
  <c r="AC140" i="2"/>
</calcChain>
</file>

<file path=xl/sharedStrings.xml><?xml version="1.0" encoding="utf-8"?>
<sst xmlns="http://schemas.openxmlformats.org/spreadsheetml/2006/main" count="5594" uniqueCount="1448">
  <si>
    <t>Spend</t>
  </si>
  <si>
    <t>Ad Sales</t>
  </si>
  <si>
    <t>Spend Difference</t>
  </si>
  <si>
    <t>Total Sales</t>
  </si>
  <si>
    <t>Title</t>
  </si>
  <si>
    <t>Row Labels</t>
  </si>
  <si>
    <t>Sum of Units Ordered</t>
  </si>
  <si>
    <t>Consistency</t>
  </si>
  <si>
    <t>Diff 06-07</t>
  </si>
  <si>
    <t>Diff %</t>
  </si>
  <si>
    <t>June</t>
  </si>
  <si>
    <t>Ad Sales 07</t>
  </si>
  <si>
    <t>Diff</t>
  </si>
  <si>
    <t>July</t>
  </si>
  <si>
    <t>Vitamin D3 10000 iu Plus K2 (MK-7) 200 mcg, 180 Virgin Coconut Oil Softgels| 2 in 1 Vitamins D &amp; K Complex | Supports Calcium Absorption, Bone, Immune, &amp; Heart Health – Easy to Swallow</t>
  </si>
  <si>
    <t>B07YMJLTR6</t>
  </si>
  <si>
    <t>Multi Collagen Protein Powder, 2 Pounds – Type I,II,III,V,X with Biotin 10000mcg, Hyaluronic Acid, Vitamin C – Unflavored Collagen Peptides – Keto &amp; Paleo Friendly, Easy Dissolve, Non-GMO</t>
  </si>
  <si>
    <t>B01BHF3OMW</t>
  </si>
  <si>
    <t>Micro Ingredients Vitamin D3 5000 IU with K2 100 mcg, 300 Soft-Gels | K2 MK-7 with D3 Vitamin Supplement, 2 in 1 Support Immune, Heart, Joint, Teeth &amp; Bone Health - Easy to Swallow</t>
  </si>
  <si>
    <t>B07RX4P4RL</t>
  </si>
  <si>
    <t xml:space="preserve">Pure Turmeric Curcumin 95% 1000mg </t>
  </si>
  <si>
    <t>B0DS6LCFRH</t>
  </si>
  <si>
    <t>Multi-Collagen Capsules</t>
  </si>
  <si>
    <t>B0D16FNPY5</t>
  </si>
  <si>
    <t>Pure Methylated Multivitamin 240 count</t>
  </si>
  <si>
    <t>B0DLLG833V</t>
  </si>
  <si>
    <t>Micro Ingredients Oil of Oregano Softgels 6000mg Per Serving, 300 Count | with Black Seed Oil, 4X Strength Carvacrol &amp; Thymoquinone | Plant Based, Non-GMO | Antioxidant &amp; Immune Support</t>
  </si>
  <si>
    <t>B0BXYKQBDC</t>
  </si>
  <si>
    <t>Organic Inulin FOS Powder (Jerusalem Artichoke), 2.2 Pounds (35 Ounce), Quick Water Soluble, Prebiotic Intestinal Support for Colon and Gut Health, Natural Fibers for Smoothie &amp; Drinks, Vegan Friendly</t>
  </si>
  <si>
    <t>B074WKCPS4</t>
  </si>
  <si>
    <t xml:space="preserve">Pumpkin Seed Oil Softgels 150 count </t>
  </si>
  <si>
    <t>B0F3B84SDQ</t>
  </si>
  <si>
    <t>Ashwagandha 6000mg with MCT Oil Softgels</t>
  </si>
  <si>
    <t>B0DK6596L8</t>
  </si>
  <si>
    <t>Organic Chlorella Spirulina Tablets, 3000mg Per Serving, 720 Counts, 4 Months Supply, 50/50 Blend Superfood, No Filler, No Additives, Cracked Cell Wall, Rich in Vegan Protein &amp; Chlorophyll</t>
  </si>
  <si>
    <t>B01DPW5JSW</t>
  </si>
  <si>
    <t>Microingredients Hydration Electrolyte Powder, Lemon Raspberry, 2 Lbs - High Potassium (1000mg), 0 Calorie, Sugar-Free, Hydration Drink Mix with Real Lemon Juice - Keto, Paleo, Non-GMO</t>
  </si>
  <si>
    <t>B0CG7TB55T</t>
  </si>
  <si>
    <t>Pure Methylated B Complex with Vitamin C</t>
  </si>
  <si>
    <t>B0DLLHRVLY</t>
  </si>
  <si>
    <t xml:space="preserve">Organic Ceremonial Matcha Powder 100g </t>
  </si>
  <si>
    <t>B0F3GD9TWT</t>
  </si>
  <si>
    <t>Organic Matcha Green Tea Powder, 2 Pound (32 Ounce), Culinary Grade - Unflavored - First Harvest Authentic Japanese Origin, 100% Pure Matcha for Smoothies, Latte and Baking, Non-GMO, Non-Irradiation</t>
  </si>
  <si>
    <t>B09TG3RDGS</t>
  </si>
  <si>
    <t xml:space="preserve">Premium Vital Wheat Gluten Powder 6lb </t>
  </si>
  <si>
    <t>B0DK7WV3MS</t>
  </si>
  <si>
    <t xml:space="preserve">Vitamin D3K2 10,000IU 180 count </t>
  </si>
  <si>
    <t>B0D2SRGD76</t>
  </si>
  <si>
    <t>Apple Cider Vinegar Capsules</t>
  </si>
  <si>
    <t>B0DX4GZDW9</t>
  </si>
  <si>
    <t>Organic Soluble Prebiotics Fiber Supplement (Inulin, Acacia, Psyllium Husk), 2 Pounds, 3 in 1 Fiber Formula, Daily Fiber, Unflavored, for Digestive Health, Hunger Control, Vegan</t>
  </si>
  <si>
    <t>B07RG8M2XB</t>
  </si>
  <si>
    <t xml:space="preserve">Black Seed Oil 3000mg with Oregano Oil </t>
  </si>
  <si>
    <t>B0F3G35G6W</t>
  </si>
  <si>
    <t>Marine Collagen Protein Powder, 1lb</t>
  </si>
  <si>
    <t>B0CVTQ4G5Z</t>
  </si>
  <si>
    <t>Micro Ingredients Antarctic Krill Oil Supplement, 2,000mg Per Serving, 240 Softgels, Triple Strength, Rich in Omega-3s EPA, DHA &amp; Natural Astaxanthin, Supports Immune System &amp; Brain Health</t>
  </si>
  <si>
    <t>B0C35GYDV3</t>
  </si>
  <si>
    <t xml:space="preserve">Pure Vitamin C 2000mg vegetarian capsules 240 count </t>
  </si>
  <si>
    <t>B0F3GV9QWR</t>
  </si>
  <si>
    <t>Triple Strength Omega 3 Fish Oil Supplements 3000mg, 200 Softgels - Lemon Flavored - Burpless (Enteric-Coated) | EPA 1200mg + DHA 900mg | Deep Sea Fish, Wild Caught from Norwegian Waters</t>
  </si>
  <si>
    <t>B07L45XQBR</t>
  </si>
  <si>
    <t xml:space="preserve">Mega Omega-3 Krill &amp; Fish Oil 2000mg (350mg EPA + 230mg DHA) Complex Softgels 240 count </t>
  </si>
  <si>
    <t>B0F4HPY7D5</t>
  </si>
  <si>
    <t>Organic MCT Oil Powder with Prebiotic Fiber,1 Pound(16 Ounce), Fast Fuel for Body and Brain, C8 MCT Oil for Coffee Creamer, Delicious for Tea, Smoothie, Drink and Beverage, No GMOs, Keto Diet, Vegan</t>
  </si>
  <si>
    <t>B07T5X85N9</t>
  </si>
  <si>
    <t xml:space="preserve">Turmeric Curcumin 3000mg with MCT Oil </t>
  </si>
  <si>
    <t>B0DK66NCWL</t>
  </si>
  <si>
    <t>Micro Ingredients Organic Spirulina Supplement, 3000MG Per Serving, 720 Tablets (4 Month Supply), No Filler &amp; Non-GMO, Rich in Vegan Protein, Vitamins &amp; Prebiotics, Premium Spirulina Pills Organic</t>
  </si>
  <si>
    <t>B01DPW5DC4</t>
  </si>
  <si>
    <t>Pure Saffron Extract 88.5mg</t>
  </si>
  <si>
    <t>B0DWDGKDMC</t>
  </si>
  <si>
    <t>Creatine Monohydrate Powder 1 kg (2.2 Lbs), 5000mg Per Serv, Micronized Creatine Powder, Unflavored, Pure, No Filler, Keto &amp; Vegan Friendly, Easy Dissolve Pre Workout Creatine for Women and Men</t>
  </si>
  <si>
    <t>B09YFHGK3F</t>
  </si>
  <si>
    <t>Vitamin D3 2,000 iu Plus K2 (MK-7) 50 mcg, 300 Virgin Coconut Oil Softgels</t>
  </si>
  <si>
    <t>B0CVTDBXW5</t>
  </si>
  <si>
    <t>2 Pack Pure Turmeric Curcumin</t>
  </si>
  <si>
    <t>B0FBP4NMKK</t>
  </si>
  <si>
    <t>Vitamin D3 5000 iu Plus K2 (MK-7) 100 mcg, 300 Virgin Coconut Oil Softgels | 2 in 1 Vitamins D &amp; K Complex | Supports Calcium Absorption, Bone, Immune, &amp; Heart Health – Easy to Swallow</t>
  </si>
  <si>
    <t>B0CG7M9HWP</t>
  </si>
  <si>
    <t xml:space="preserve">Multi Collagen Peptides Packets 40-count </t>
  </si>
  <si>
    <t>B0D3FQWRV4</t>
  </si>
  <si>
    <t>Sustainably US Grown, Organic Mega Mushroom 10 in 1 Complex Formula Powder for Immune System Booster, 10 Ounce (284 Days Supply), Chaga, Lions Mane, Cordyceps, Reishi &amp; More, Filler Free, Vegan</t>
  </si>
  <si>
    <t>B07RG8MMXW</t>
  </si>
  <si>
    <t>Beef Gelatin Powder | Grass Fed, 2lbs | Unflavored Thickening Agent, Pasture Raised Source, Rich in Natural Protein | Great for Cooking &amp; Baking | Non-GMO</t>
  </si>
  <si>
    <t>B0C35DQQM9</t>
  </si>
  <si>
    <t>Organic Instant 10 in 1 Mushroom Coffee Powder, 28 Ounce (317 Servings) | Premium Arabica Coffee with Lion’s Mane, Chaga, Reishi, &amp; More | Smooth Medium Roast, Clean Energy, &amp; Immune Support</t>
  </si>
  <si>
    <t>B0BCMKNMZB</t>
  </si>
  <si>
    <t>Organic Matcha Green Tea Powder, 1 Pound (16 Ounce), Culinary Grade, First Harvest Authentic Japanese Origin, 100% Pure Matcha for Smoothies, Latte and Baking, Unflavored, Non-Irradiation</t>
  </si>
  <si>
    <t>B08PY3Q8XS</t>
  </si>
  <si>
    <t>Pure Organic Stevia Powder, 8 Ounces, 1418 Serving, High Grade Stevia Green Leaf Extract Reb-A, Reduced Bitter Aftertaste, 0 Calorie, Natural Sweetener, Sugar Alternative, Keto Friendly</t>
  </si>
  <si>
    <t>B01DPW5H84</t>
  </si>
  <si>
    <t>Alpha Lipoic Acid (ALA) 600mg</t>
  </si>
  <si>
    <t>B0DVMNZ1HR</t>
  </si>
  <si>
    <t>Micro Ingredients Organic Spirulina Powder, 16 Ounce, Raw Spirulina (Arthrospira Platensis), The Richest Sources of 70% Vegan Protein, Containers Minerals, Vitamins, Non-GMO &amp; Non-Irradiation</t>
  </si>
  <si>
    <t>B01DPW5FWW</t>
  </si>
  <si>
    <t xml:space="preserve">Hyaluronic Acid Powder 50g </t>
  </si>
  <si>
    <t>B0F3BH66BZ</t>
  </si>
  <si>
    <t xml:space="preserve">Organic Spirulina Chlorella Mixed Mini-Tablets 2500 count </t>
  </si>
  <si>
    <t>B0F3GG32FF</t>
  </si>
  <si>
    <t>Allulose Sweetener, 3 Pounds (48 Ounces), Zero Calorie, Plant Based Sugar Alternative, No After Taste, Best for Coffee, Drinks, Tea, Cooking and Baking, Keto Diet and Vegan Friendly</t>
  </si>
  <si>
    <t>B08PY5ZJTX</t>
  </si>
  <si>
    <t xml:space="preserve">Vitamin E 400IU Softgels 300 count </t>
  </si>
  <si>
    <t>B0F3G6VH73</t>
  </si>
  <si>
    <t xml:space="preserve">Super Enzymes+ with Prebiotics + Probiotics vegetarian capsules 240 count </t>
  </si>
  <si>
    <t>B0DX44RL58</t>
  </si>
  <si>
    <t>Super greens Superfood Powder 1lb</t>
  </si>
  <si>
    <t>B0DK7WVQQY</t>
  </si>
  <si>
    <t>Berberine 3000mg vegetarian capsules 240 count</t>
  </si>
  <si>
    <t>B0DW192P2Z</t>
  </si>
  <si>
    <t xml:space="preserve">Selenium 200mcg with coconut oil 500 count </t>
  </si>
  <si>
    <t>B0F3GKVDHY</t>
  </si>
  <si>
    <t>Micro Ingredients Organic Lions Mane Mushroom Supplement Powder, 16 Ounce | Sustainably US Grown, Nootropic for Mental Clarity, Energy, &amp; Immune Support | Non-GMO, Vegan</t>
  </si>
  <si>
    <t>B07P2CWWVV</t>
  </si>
  <si>
    <t>CoQ10 200mg with MCT Oil</t>
  </si>
  <si>
    <t>B0DGRK52HZ</t>
  </si>
  <si>
    <t xml:space="preserve">NAC+NAD with MCT Oil softgels </t>
  </si>
  <si>
    <t>B0DK65J8YX</t>
  </si>
  <si>
    <t>Moringa Powder Organic (Moringa Oleifera Leaf Powder), 2 Pounds, Rich in Antioxidants and Immune Vitamin, Great Superfoods for Moringa Tea, Moringa Drink, Moringa Powder for Hair, India Grown, Vegan</t>
  </si>
  <si>
    <t>B01L2TGLTG</t>
  </si>
  <si>
    <t>Vitamin D3K2 5000IU with sunflower oil 180 count</t>
  </si>
  <si>
    <t>B0D2S6DMDS</t>
  </si>
  <si>
    <t>Ultra Omega 3-6-9 3600mg Perserv, 300 Burpless Softgels | Lemon Flavor – Blend of Fish, Flaxseed, Borage Oils | Bioavailable Source, Non-GMO, No Gluten, Mercury Free</t>
  </si>
  <si>
    <t>B07RD8T952</t>
  </si>
  <si>
    <t>Micro Ingredients Vitamin B12 5000mcg | Methyl B12 Active Form – 180 Chewable Tablets | Fast Dissolve, Natural Strawberry Flavor, Support Energy, Metabolism Health | Vegan, Non-GMO, &amp; No Gluten</t>
  </si>
  <si>
    <t>B08MX1ZWB4</t>
  </si>
  <si>
    <t>2 Pack Vitamin D3 5000IU Plus K2, 2 in 1 Formula, Vitamin D3 Liquid with Vitamin K2, 300 Soft-Gels, Immune Vitamin Complex with Virgin Sunflower Seed Oil, Support Your Heart, Teeth &amp; Joint Health</t>
  </si>
  <si>
    <t>B07VF2S2LC</t>
  </si>
  <si>
    <t>Electrolyte Powder 1lb</t>
  </si>
  <si>
    <t>B0CS4VV8MD</t>
  </si>
  <si>
    <t>Goat Milk Powder, 2lbs | Grass Fed Source, Australian Farm Derived, Unadulterated Formula, Easily Digested | Rich in Protein, Calcium, &amp; Probiotics | Non-GMO, Gluten Free, Pet Friendly</t>
  </si>
  <si>
    <t>B0BXYDSGC4</t>
  </si>
  <si>
    <t xml:space="preserve">CoQ10 400mg with MCT Oil Softgels 240 count </t>
  </si>
  <si>
    <t>B0F3FXTP4V</t>
  </si>
  <si>
    <t>Triple Magnesium Complex (Glycinate + Malate + Taurate) 400mg capsules 300 count</t>
  </si>
  <si>
    <t>B0DLLHGKDM</t>
  </si>
  <si>
    <t>Micro Ingredients Lutein &amp; Zeaxanthin 40mg Softgels, 240 Count, with Astaxanthin, Omega-3s, &amp; Phospholipids | Eye + Vision Health Vitamins | Third Party Tested, Non-GMO, Gluten Free</t>
  </si>
  <si>
    <t>B0812QPT4J</t>
  </si>
  <si>
    <t xml:space="preserve">2pack Multi-Collagen Complex Capsules 240 count </t>
  </si>
  <si>
    <t>B0F6ZJ1NXP</t>
  </si>
  <si>
    <t>D Mannose Powder, 8.8 Ounce, Pure Mannose Supplement, Quick Water Soluble, Support Urinary Tract Cleanse &amp; Bladder Health, Premium Mannose for Women and Men, Vegan Friendly</t>
  </si>
  <si>
    <t>B01L2TFP1Q</t>
  </si>
  <si>
    <t>Pure D Ribose Powder, 1 KG (2.2 Pound and 200 Servings), Natural Simple Sugar, Dissolves Clear, Pharmaceutical Grade, Filler Free, No GMOs, No Gluten. and Water Soluble</t>
  </si>
  <si>
    <t>B01JNFGDUI</t>
  </si>
  <si>
    <t>Organic Goji Berries 2lbs, Large Whole Sun-Dried Berries | Sulfate Free, Natural Antioxidant | Raw Superfood Berry for Energy, Eye, &amp; Immune Health | Non-GMO</t>
  </si>
  <si>
    <t>B0BXYB91BJ</t>
  </si>
  <si>
    <t>Vitamin B12 1000mcg</t>
  </si>
  <si>
    <t>B0DK64ZGK4</t>
  </si>
  <si>
    <t>Micro Ingredients Organic Beet Root Juice Powder, 1 Pound -Superfood Drink Mix | Non-GMO</t>
  </si>
  <si>
    <t>B01N32M7BR</t>
  </si>
  <si>
    <t>L-Arginine1600mg + L-Citrulline 800mg bisected tablets 240 count </t>
  </si>
  <si>
    <t>B0DWD26MMF</t>
  </si>
  <si>
    <t xml:space="preserve">Ginkgo Ginseng Complex 5600mg </t>
  </si>
  <si>
    <t>B0DVMLWR97</t>
  </si>
  <si>
    <t xml:space="preserve">TUDCA 2000mg Complex capsules 240 count </t>
  </si>
  <si>
    <t>B0F4HH894D</t>
  </si>
  <si>
    <t>Micro Ingredients Vitamin E 1000 IU, 240 Softgels | Pure Vitamin E Oil Pills | Antioxidant Supplements for Skin, Face, &amp; Immune Health | Non-GMO, Gluten Free</t>
  </si>
  <si>
    <t>B0845QRGV5</t>
  </si>
  <si>
    <t>Pure Magnesium Glycinate 1000mg with Vitamin C</t>
  </si>
  <si>
    <t>B0DLLLZD5K</t>
  </si>
  <si>
    <t>Organic Pomegranate Juice Powder, 1 Pound (91 Serving), Freeze Dried &amp; Cold Pressed, Natural Vitamin C (Immune Vitamin), Support Immune System, Organic Flavor for Smoothie &amp; Beverage, Vegan Friendly</t>
  </si>
  <si>
    <t>B01HN63W4Y</t>
  </si>
  <si>
    <t>Creatine Monohydrate Powder 500 Grams (1.1 LBS), 5000mg Per Serv, Micronized Creatine Powder, Unflavored, Pure, No Filler, Keto &amp; Vegan, Easy Dissolve Pre Workout Creatine for Women and Men</t>
  </si>
  <si>
    <t>B09TNMZBQ5</t>
  </si>
  <si>
    <t>Hyaluronic Acid Serum Powder, High Molecular Weight, Cosmetics Grade, 30 Gram, Support Hydration and Moisture, Water Soluble (Within 2 Hours), Vegan Friendly</t>
  </si>
  <si>
    <t>B01DPW5C5W</t>
  </si>
  <si>
    <t>Micro Ingredients Organic Chlorella Powder, 20 Ounces | Broken Cell Wall for Complete Absorption | Raw Superfood Supplement, Rich in Protein &amp; Vitamins | Non-GMO, Vegan, Non-Irradiated</t>
  </si>
  <si>
    <t>B01NCTZSPF</t>
  </si>
  <si>
    <t>Pure Acerola Cherry Powder Organic, Natural Organic Vitamin C for Immune System Booster, 8 Ounce, Best Superfoods for Beverage, Smoothie and Drinks, Vegan Friendly, Brazil Origin</t>
  </si>
  <si>
    <t>B06XC72G8G</t>
  </si>
  <si>
    <t>Vitamin D3 1,000 iu Plus K2 (MK-7) 25 mcg, 300 Virgin Coconut Oil Softgels</t>
  </si>
  <si>
    <t>B0CVTRSWQ1</t>
  </si>
  <si>
    <t xml:space="preserve">Myo &amp; D-Chiro Inositol Powder 1lb </t>
  </si>
  <si>
    <t>B0DGRG846L</t>
  </si>
  <si>
    <t>Micro Ingredients Organic Barley Grass Juice Powder, 10 Ounce, Cold Pressed, US Grown, Rich in Immune Vitamin, Fibers, Minerals, Antioxidants and Protein, Support Immune System and Digestion, Vegan</t>
  </si>
  <si>
    <t>B01MT7T5XX</t>
  </si>
  <si>
    <t>Micro Ingredients Full Spectrum Vitamin K2 MK-4 + MK-7 Supplement, 150 mcg, 300 Coconut Oil Softgles | Easily Absorbed, Active Menaquinone Complex | Immune, Joint, &amp; Heart Support | Non-GMO</t>
  </si>
  <si>
    <t>B087DZKHVW</t>
  </si>
  <si>
    <t>Micro Ingredients Biotin 10,000mcg w/Hyaluronic Acid 25mg | 360 Virgin Coconut Oil Softgels, Fast Release, One Year Supply, Supports Healthy Hair, Skin &amp; Nails, Non-GMO &amp; No Gluten</t>
  </si>
  <si>
    <t>B08MX3DD8G</t>
  </si>
  <si>
    <t>Organic Freeze-Dried Acai Powder 8oz, Sustainably Grown in Brazilian Amazon, 100% Pure Berry Pulp, Raw, Bulk, No Filler, No additives, Great for Acai Bowls, Yogurt, Smoothies, and More</t>
  </si>
  <si>
    <t>B09TG36LYR</t>
  </si>
  <si>
    <t>Pure Organic Stevia Powder, 1lb</t>
  </si>
  <si>
    <t>B0D2LYMLJT</t>
  </si>
  <si>
    <t>Micro Ingredients Organic Camu Camu Powder, 12 oz | High Natural Vitamin C Level | Fresh Freeze-Dried Berries Source | Supports Energy and Immune Health | No GMOs, Vegan Friendly</t>
  </si>
  <si>
    <t>B01L2TGRFO</t>
  </si>
  <si>
    <t>Sustainably US Grown, Organic Cranberry Juice Powder (Wild Cranberry Supplements Cold Pressed), 8 Ounce, Enhance Urinary Tract Cleanse &amp; Prostate Health, Water Soluble and Pet Friendly</t>
  </si>
  <si>
    <t>B07G3L5SX7</t>
  </si>
  <si>
    <t>Omega 3 Fish Oil DHA Supplements 1000mg with EPA 500mg, 200 Softgels – Lemon Flavored, Burpless (Enteric Coated) | Deep Sea Fresh Fish, Wild Caught from Norwegian Waters | Mercury Free</t>
  </si>
  <si>
    <t>B08MX16TYC</t>
  </si>
  <si>
    <t>Organic Chlorella Tablets, 500mg Per Tablet, 720 Tabs (360 Grams), 4 Months Supply, Broken Cell Wall, Rich in Vegan Protein &amp; Vitamins, No Filler, No Additives &amp; Non-GMO | Pure Green Algae Superfood</t>
  </si>
  <si>
    <t>B01FMWFG86</t>
  </si>
  <si>
    <t xml:space="preserve">Organic Instant Mushroom Coffee 14oz </t>
  </si>
  <si>
    <t>B0CWN8C5KR</t>
  </si>
  <si>
    <t>Vegan omega 3</t>
  </si>
  <si>
    <t>B0D3T51D3C</t>
  </si>
  <si>
    <t xml:space="preserve">Electrolyte Powder Grape Flavor 2lb </t>
  </si>
  <si>
    <t>B0D3T248FJ</t>
  </si>
  <si>
    <t>Micro Ingredients Quercetin with Vitamin C and Zinc, 240 Capsules | Quercetin 500mg, Vitamin C 500mg, Zinc 50mg (Picolinate, Citrate, Glycinate, Gluconate) | Complete Immune Support Supplements</t>
  </si>
  <si>
    <t>B087Z8PSW6</t>
  </si>
  <si>
    <t>Agar Agar Powder, 1lb | Vegan Substitute for Beef Gelatin, Unflavored Thickening Agent, Plant Based Red Algae | Great for Desserts or Baked Plates | Non-GMO, Sugar Free</t>
  </si>
  <si>
    <t>B0C35H321V</t>
  </si>
  <si>
    <t>Vitamin D3 50,000 IU Plus K2 (MK-7) 200 mcg, 240 Virgin Coconut Oil Softgels | 2 in 1 Vitamins D &amp; K Complex | Supports Calcium Absorption, Bone, Immune, &amp; Heart Health | Easy to Swallow</t>
  </si>
  <si>
    <t>B0C35N273V</t>
  </si>
  <si>
    <t>Magnesium Glycinate 350mg</t>
  </si>
  <si>
    <t>B0DWDHJZ4T</t>
  </si>
  <si>
    <t>Sustainably Canada Grown, Organic Blueberry Extract 50:1 Concentrated Powder, 6 Ounce, Wild Grown and Freeze Dried, Natural Flavor for Beverage, Smoothie and Baking, No GMOs</t>
  </si>
  <si>
    <t>B07CY1TLH2</t>
  </si>
  <si>
    <t>Micro Ingredients Sustainably US Grown, Organic Wheat Grass Powder (100% Whole-Leaf), 16 Ounce, Rich in Immune Vitamins, Fibers and Minerals, Support Digestion Function, Vegan Friendly</t>
  </si>
  <si>
    <t>B01NH4ZI46</t>
  </si>
  <si>
    <t>Sustainably US Grown, Organic Sunflower Lecithin Powder, 1 Pound, Sustainable Farmed, Cold Pressed, Rich in Phosphatidyl Choline and Protein, Making Liposomal Vitamin C, Lactation Supplement, Non-GMO</t>
  </si>
  <si>
    <t>B01N02YNF5</t>
  </si>
  <si>
    <t>Organic Ground Ginger Powder, 2 Pounds (32 Ounce), Great Flavor and Highly Aromatic, Fine Loose Powder for Better Mixing without Settling, Best for Cooking, Baking, Tea &amp; More, Product of India</t>
  </si>
  <si>
    <t>B08TBBBJK8</t>
  </si>
  <si>
    <t>Magnesium Glycinate 400mg with Vitamin C - 200 Capsules, Elemental Magnesium 400mg Supplement, 100% Chelated, Support Healthy Muscle, Bones &amp; Mood</t>
  </si>
  <si>
    <t>B087F4HLJ3</t>
  </si>
  <si>
    <t>Organic Freeze-Dried Dragon Fruit Powder (Pink Pitaya/Pitahaya), 10 Ounce, Perfect for Shakes, Baking &amp; Smoothie, Non-GMO, No Gluten, Vegan Friendly</t>
  </si>
  <si>
    <t>B07P4M1YGN</t>
  </si>
  <si>
    <t>Micro Ingredients Melatonin 20mg Tablets, 400 Counts, Natural Strawberry Flavor, Fast Dissolve | No Drug, Vegetarian Friendly, Non-GMO &amp; No Gluten</t>
  </si>
  <si>
    <t>B07RY554K5</t>
  </si>
  <si>
    <t>Creatine Monohydrate 5,000mg, 500 Capsules | Pure Creatine Pills – Micronized + Unflavored Powder Source, Easy Absorption | Pre Workout &amp; Muscle Health Support | Keto, Non-GMO</t>
  </si>
  <si>
    <t>B0B9289VLY</t>
  </si>
  <si>
    <t>Organic Blue Spirulina Powder (Phycocyanin Extract), 50 Servings - No Fishy Smell, 100% Vegan Protein from Blue-Green Algae, Natural Luminous Blue Food Coloring for Smoothies, Baking, Drinks &amp; Cooking</t>
  </si>
  <si>
    <t>B0B2379WMW</t>
  </si>
  <si>
    <t>Micro Ingredients Sustainably US Grown, Organic Dandelion Root Tea Powder, Pure Dandelion Supplement, 1 Pound (16 Ounce, 1 Year Supply)</t>
  </si>
  <si>
    <t>B079MTDMK8</t>
  </si>
  <si>
    <t>Pure Trans-Resveratrol Powder with Natural Vitamin E, 5 Ounce, 2 in 1 Formula, Micronized Powder for Better Absorption, Premium Resveratrol Supplement, Super Antioxidant, Vegan Friendly</t>
  </si>
  <si>
    <t>B0812F3JGG</t>
  </si>
  <si>
    <t xml:space="preserve">Oregano Oil with Black Seed Oil Drop 4 fl oz (118mL) </t>
  </si>
  <si>
    <t>B0DS6MGRHD</t>
  </si>
  <si>
    <t>Electrolyte Powder Pineapple Flavor 2lb</t>
  </si>
  <si>
    <t>B0D3T8WHH4</t>
  </si>
  <si>
    <t xml:space="preserve">Peanut Powder 4lb </t>
  </si>
  <si>
    <t>B0DGRPBBZY</t>
  </si>
  <si>
    <t>Instant Bovine Colostrum Powder 8oz</t>
  </si>
  <si>
    <t>B0D3SNSJ47</t>
  </si>
  <si>
    <t>Micro Ingredients Maximum Strength Organic Korean Ginseng Root 200:1 Powder, 4 Ounce, Red Panax Ginseng Powder, Active Ginsenosides, Vegan Friendly</t>
  </si>
  <si>
    <t>B079MNQXLF</t>
  </si>
  <si>
    <t>Organic Turkey Tail Mushroom Powder (50:1 Extract), 8 Ounce | Sustainably US Grown, Freeze Dried with Active Polysaccharides, Supports Immune Response &amp; Cellular Level, Pet Friendly</t>
  </si>
  <si>
    <t>B07P2BWC78</t>
  </si>
  <si>
    <t xml:space="preserve">Green Tea 9000mg capsules 300 count </t>
  </si>
  <si>
    <t>B0DVMFPFJ1</t>
  </si>
  <si>
    <t>Multi-Collagen Powder Chocolate Flavor 2lb</t>
  </si>
  <si>
    <t>B0D68JXS1L</t>
  </si>
  <si>
    <t>Grape Seed Extract 36000mg with Resveratrol</t>
  </si>
  <si>
    <t>B0DX3W24CJ</t>
  </si>
  <si>
    <t>Organic Ceylon Cinnamon Powder 1lb</t>
  </si>
  <si>
    <t>B0D2S665WK</t>
  </si>
  <si>
    <t>Goat Milk Powder 1lb</t>
  </si>
  <si>
    <t>B0D2S64JP2</t>
  </si>
  <si>
    <t>Micro Ingredients Antarctic Krill Oil Supplement, 1000mg Per Serving, 300 Soft-Gels, Rich in Omega-3s EPA, DHA &amp; Natural Astaxanthin, Supports Immune System &amp; Brain Health, Easy to Swallow</t>
  </si>
  <si>
    <t>B01JNNAN4C</t>
  </si>
  <si>
    <t>Myo + D-Chiro Inositol Blend Powder 2lb</t>
  </si>
  <si>
    <t>B0F1QXFLBK</t>
  </si>
  <si>
    <t xml:space="preserve">Glycine 2000mg 240 count </t>
  </si>
  <si>
    <t>B0DW1BXPMV</t>
  </si>
  <si>
    <t>Micro Ingredients Organic Tart Cherry Powder, 4 Ounce, Sustainably US Grown, Uric Acid Cleanse, Antioxidant and Flavonoids, Enhance Joint Health, Sleep Cycles &amp; Immune System</t>
  </si>
  <si>
    <t>B07G3KLNM7</t>
  </si>
  <si>
    <t xml:space="preserve">Organic Whole Psyllium Husks Powder 3lb </t>
  </si>
  <si>
    <t>B0DS6MHM6Z</t>
  </si>
  <si>
    <t>Organic French Chicory Root, 2lbs | Roasted Chicory Granule for Chicory Coffee | Brews like Regular Coffee | Caffeine Free Coffee Substitute | Rich in Prebiotic Fiber | Non-GMO</t>
  </si>
  <si>
    <t>B0CG7VSS1Z</t>
  </si>
  <si>
    <t>Organic Collagen Peptides Powder 12oz</t>
  </si>
  <si>
    <t>B0D3SH3DVW</t>
  </si>
  <si>
    <t>Organic Strawberry Freeze Dried Powder, 12 Ounce (56 Serving), Strawberry Powder for Baking, Best Super Foods for Smoothie &amp; Beverage Blend, Non-GMO, Vegan</t>
  </si>
  <si>
    <t>B07CXZBRZP</t>
  </si>
  <si>
    <t>Magnesium Glycinate 400mg</t>
  </si>
  <si>
    <t>B0DGRNP1ZL</t>
  </si>
  <si>
    <t>Micro Ingredients Organic Chlorella Powder, 10 Ounce, Broken Cell Wall, Rich in Vegan Proteins &amp; Vitamins, Raw, Bulk Premium Chlorella Supplement, Vegan Friendly, Non-Irradiation</t>
  </si>
  <si>
    <t>B01L2TGOEI</t>
  </si>
  <si>
    <t>Micro Ingredients Red Panax Ginseng 1200mg Per Serving, 200 Softgels | High Potency Korean Ginseng Extract with Active Ginsenosides, Non-GMO &amp; No Gluten</t>
  </si>
  <si>
    <t>B07S17DJS3</t>
  </si>
  <si>
    <t>Organic Moringa Powder 1lb</t>
  </si>
  <si>
    <t>B0DW17X7XS</t>
  </si>
  <si>
    <t>Vitamin K Complex with coconut oil softgels</t>
  </si>
  <si>
    <t>B0C9PNMGR3</t>
  </si>
  <si>
    <t>Monk Fruit Sweetener with Allulose, 2 lbs | No Erythritol | No Aftertaste, 1:1 White Sugar Substitute, Keto &amp; Vegan Friendly, Zero Calorie | Great for Drinks, Coffee, Tea, Cookies | Non-GMO</t>
  </si>
  <si>
    <t>B0BR4N7C2F</t>
  </si>
  <si>
    <t>Citric Acid 6 Pounds, Food Grade, Fine Granular Powder | 100% Pure, Concentrated Anhydrous Form | Natural Preservative + Great for Cooking, Cleaning, &amp; DIY Bath Bombs | Non-GMO</t>
  </si>
  <si>
    <t>B0BXYCL8KP</t>
  </si>
  <si>
    <t>Organic Barley Grass Powder, 16 Ounces | US Grown | Rich in Vitamins, Minerals, Fibers, &amp; Antioxidants | Superfood Greens Mix for Immune Health and Digestion Support | Non-GMO</t>
  </si>
  <si>
    <t>B01NCTM200</t>
  </si>
  <si>
    <t>Pure Potassium Magnesium with Vitamin C</t>
  </si>
  <si>
    <t>B0DLLLB5TL</t>
  </si>
  <si>
    <t>Omega 3 Fish Oil 4200mg 120 Softgels</t>
  </si>
  <si>
    <t>B0CS56P75L</t>
  </si>
  <si>
    <t>Organic Celery Juice Powder, 20 Ounce (1.25 Pound), 71 Serving, Celery Detox and Cold Pressed, Boosts Immune System, Energy and Supports Gut Health, Rich in Immune Vitamin C and Minerals, Vegan</t>
  </si>
  <si>
    <t>B0846SDQZG</t>
  </si>
  <si>
    <t>Vegan Omega-7 Sea Buckthorn Oil 6000mg</t>
  </si>
  <si>
    <t>B0DS6MT295</t>
  </si>
  <si>
    <t>Micro Ingredients Organic Triphala Powder, 2 Pounds (Amla + Haritaki + Bibhitaki) | India Origin, Herbal Adaptogen Supplement, Supports Colon &amp; Immune Health | Vegan, No GMOS</t>
  </si>
  <si>
    <t>B01L2U1RHG</t>
  </si>
  <si>
    <t>Micro Ingredients Organic Rhodiola Rosea Root Extract, 50g Powder | Adaptogenic Herb Based Supplement with Active Rosavins &amp; Salidrosides | Supports Energy &amp; Relaxation | No GMOs, Filler Free</t>
  </si>
  <si>
    <t>B01DPW5LN0</t>
  </si>
  <si>
    <t>Organic Daily Prebiotic Dietary Fiber Supplement Powder, (Inulin Fiber from Chicory Root), 10 Ounce, Highly Promote Intestinal Colon, Gut Health and Digestive Function, Vegan Friendly</t>
  </si>
  <si>
    <t>B07P3GKXKK</t>
  </si>
  <si>
    <t>Vitamin B2 Riboflavin 400mg</t>
  </si>
  <si>
    <t>B0F5M2GGC3</t>
  </si>
  <si>
    <t>KSM-66 Ashwagandha Gummies</t>
  </si>
  <si>
    <t>B0F3B3Y86P</t>
  </si>
  <si>
    <t>Omega-3 Fish Oil 1200mg</t>
  </si>
  <si>
    <t>B0DGRNC1VW</t>
  </si>
  <si>
    <t xml:space="preserve">Maca Root Complex 5000mg </t>
  </si>
  <si>
    <t>B0DW1M7VQK</t>
  </si>
  <si>
    <t>Nitric Oxide Booster 3600mg 240 tablets</t>
  </si>
  <si>
    <t>B0DK6684NK</t>
  </si>
  <si>
    <t>Sunflower Lecithin 1,600mg Per Serving, 300 Softgels</t>
  </si>
  <si>
    <t>B0CVTMQBGR</t>
  </si>
  <si>
    <t>Organic Dandelion Root Powder 8oz</t>
  </si>
  <si>
    <t>B0D2S4DZ7L</t>
  </si>
  <si>
    <t>Organic Maca Root Powder, 2 Pound, Gelatinized for Better Absorption, Rich in Antioxidants, Help Energy, Stamina, Endurance, Strength and Immune System, No GMOs, Vegan Friendly and Peru Origin</t>
  </si>
  <si>
    <t>B01JNM6NTW</t>
  </si>
  <si>
    <t>NAC 600mg with NAD+ with coconut oil softgels 150 count</t>
  </si>
  <si>
    <t>B0F6J2MW5T</t>
  </si>
  <si>
    <t xml:space="preserve">HMB 1000mg with coconut oil softgels 240 count </t>
  </si>
  <si>
    <t>B0F5M5HXC3</t>
  </si>
  <si>
    <t>2 Pack Micro Ingredients Organic Lemon Juice Powder, 10 Ounce, Rich in Natural Vitamin C (Immune Vitamins) for Immune System, Great Flavor for Drinks, Smoothie &amp; Beverages, Vegan</t>
  </si>
  <si>
    <t>B07XGDGNH9</t>
  </si>
  <si>
    <t>Pure Myo &amp; D-Chiro Inositol 2050mg caps</t>
  </si>
  <si>
    <t>B0F4HQ6C1C</t>
  </si>
  <si>
    <t xml:space="preserve">Pure L-Lysine 2000mg </t>
  </si>
  <si>
    <t>B0DVM9M4DS</t>
  </si>
  <si>
    <t xml:space="preserve">Melatonin 10mg tablets strawberry flavor 400 count </t>
  </si>
  <si>
    <t>B0DX4D8Q84</t>
  </si>
  <si>
    <t>Organic Whole Yellow Mustard Seed, 4lbs</t>
  </si>
  <si>
    <t>B0CLFJ81NC</t>
  </si>
  <si>
    <t>Pure Magnesium Citrate 500mg with Vitamin C</t>
  </si>
  <si>
    <t>B0DLLJ7HTQ</t>
  </si>
  <si>
    <t>Organic Hibiscus Tea Bags, 200 Count | Caffeine Free, Loose Leaf Flower Source | Eco-Friendly Hemp Paper Bags | Great for Iced or Hot Brewed Tea | Non-GMO, No Sugar</t>
  </si>
  <si>
    <t>B0C35TKL3M</t>
  </si>
  <si>
    <t>Organic Arrowroot Powder, 5lbs | Food Grade, All Purpose Flour, Corn Starch Substitute</t>
  </si>
  <si>
    <t>B0CLFXD4XS</t>
  </si>
  <si>
    <t>Organic He Shou Wu, Pure Fo Ti Extract Powder, 6 Ounce, Prepared Foti Steaming with Black Bean, Traditional Anti Aging Herb, Promotes Hair Health and Antioxidant, Filler Free and No GMOs</t>
  </si>
  <si>
    <t>B06XKV2PK3</t>
  </si>
  <si>
    <t>Sustainably US Grown, Kale Powder Organic, 1 Pound (454 Servings), Freeze Dried, Most Nutrient-Dense Food on the Planet, Green Superfood for Kale Tea and Kale Drink, No GMOs and Vegan Friendly</t>
  </si>
  <si>
    <t>B07L46RH6P</t>
  </si>
  <si>
    <t>North America Grown, Organic Pea Protein Powder, 1KG (2.2 Pounds), Plant-Based Vegan Protein Organic, Rich in Branched Chain Amino Acids, Flavonoids and Minerals, No GMOs &amp; Vegan Friendly</t>
  </si>
  <si>
    <t>B01DWUEQ7C</t>
  </si>
  <si>
    <t>Organic 10 in 1 Ground Mushroom Coffee Powder, 24 Ounce | Premium Arabica Coffee with Lion’s Mane, Chaga, Reishi, &amp; More | Smooth Medium Roast, Clean Energy, &amp; Immune Support</t>
  </si>
  <si>
    <t>B0C9PNDL22</t>
  </si>
  <si>
    <t>Glutathione Supplement, Pure Glutathione Reduced Powder with Inositol, 5 Ounce (9 Months Supply), 2 in 1 Formula, Powerful Ingredients for Antioxidants, Supports Liver Function, Vegan</t>
  </si>
  <si>
    <t>B0812D49XG</t>
  </si>
  <si>
    <t>Lutein &amp; Zeaxanthin 20mg Softgels, 400 Coun</t>
  </si>
  <si>
    <t>B0CVTTDTP9</t>
  </si>
  <si>
    <t>Organic Bamboo Fiber Powder, 2lbs</t>
  </si>
  <si>
    <t>B0CVTJKVFQ</t>
  </si>
  <si>
    <t>L Glutamine Powder Gut Health, 1Kg, 100% Pure, Free Form - Unflavored- Vegan Friendly, No Filler, No additives, Supports Muscle Recovery, Post Workout | Non-GMO &amp; Gluten-Free</t>
  </si>
  <si>
    <t>B01HFN37MC</t>
  </si>
  <si>
    <t>Xanthan Gum Powder 2lb - Premium Food Grade for Cooking, Keto Baking, Thickening Soups &amp; Sauces, Dressings, Vegan Friendly, Non-GMO, Gluten Free</t>
  </si>
  <si>
    <t>B0BXY6BMHQ</t>
  </si>
  <si>
    <t>Pure L-Theanine Powder, 100 Grams (1 Year Supply), Filler Free, No GMOs and Vegan Friendly</t>
  </si>
  <si>
    <t>B01DPW5F5O</t>
  </si>
  <si>
    <t>Flaxseed Oil 1400mg Softgels, 300 Counts | w/ 700mg ALA Omega 3, Cold Pressed, Rich in Fatty Acids, Alpha Linolenic Acid, Support Heart Health &amp; Immune System | Non-GMO, No Gluten - 300 Servings</t>
  </si>
  <si>
    <t>B01DPW5TXW</t>
  </si>
  <si>
    <t>Micro Ingredients Black Seed Oil 2000 mg with Vitamin D3 1000 IU, 240 Softgels | Cold Pressed - Nigella Sativa Pills from Egypt, Virgin Oil, Odorless, Non-GMO &amp; No Gluten</t>
  </si>
  <si>
    <t>B08TB8VX8P</t>
  </si>
  <si>
    <t>Liposomal NAD+ Ultimate 1000mg</t>
  </si>
  <si>
    <t>B0F8FZSPTY</t>
  </si>
  <si>
    <t>Micro Ingredients Sustainably US Grown, Organic Slippery Elm Bark Powder, 1 Pound (645 Servings), Helps Soothe The Throat and Coughing, No Irradiated, No Contaminated, No GMOs, Pet Friendly</t>
  </si>
  <si>
    <t>B075VFCQBC</t>
  </si>
  <si>
    <t>Hair Vitamins Complex 240 capsules</t>
  </si>
  <si>
    <t>B0DLDXLQ4B</t>
  </si>
  <si>
    <t>Micro Ingredients Organic Pineapple Powder, 8 Ounce, Freeze Dried, Rich in Bromelain and Immune Vitamin C for Immune System Booster, Great Flavor for Drinks, Baking and Cooking, Non-GMO</t>
  </si>
  <si>
    <t>B07W9B5K1R</t>
  </si>
  <si>
    <t xml:space="preserve">Organic Butterfly Pea Powder 8oz </t>
  </si>
  <si>
    <t>B0D3ST21FG</t>
  </si>
  <si>
    <t>Organic Pumpkin Seeds 4lb</t>
  </si>
  <si>
    <t>B0CLFY72DS</t>
  </si>
  <si>
    <t>Erythritol Granules, 6 Pounds (96 Ounce), 1:1 Sugar Substitute, No After Taste, 0 Calorie, Natural Sweetener, Erythritol Keto Sugar Substitute, Non-GMO, Vegan</t>
  </si>
  <si>
    <t>B07SZHV7RN</t>
  </si>
  <si>
    <t>Organic Chia Seeds 4lb</t>
  </si>
  <si>
    <t>B0F3GFTM5J</t>
  </si>
  <si>
    <t>Micro Ingredients Vitamin B3 Nicotinamide 1,000mg Per Serving, 400 Capsules | Flush Free Niacin, Essential B Vitamin Supplement | Skin Care Health &amp; Energy Support | Non-GMO, Gluten Free</t>
  </si>
  <si>
    <t>B08C9MWZD9</t>
  </si>
  <si>
    <t>Micro Ingredients Organic Ashwagandha Root Powder | 2 Pound, No Filler, No Additives, Highly Purified | Active Withanolides, Adaptogenic Ayurvedic Herbal Supplements, No GMO, Gluten Free, India Origin</t>
  </si>
  <si>
    <t>B01N3U3WO4</t>
  </si>
  <si>
    <t>Organic Spirulina Powder 2lb</t>
  </si>
  <si>
    <t>B0F3G992L6</t>
  </si>
  <si>
    <t>Hair, Skin &amp; Nails softgels 400 Count</t>
  </si>
  <si>
    <t>B0F4HSLBW8</t>
  </si>
  <si>
    <t xml:space="preserve">Saw Palmetto 4800mg with Pumpkin Seed Oil softgels 240 count </t>
  </si>
  <si>
    <t>B0F5M6PZSY</t>
  </si>
  <si>
    <t>Organic Goji Powder, Freeze Dried Goji Berry Powder, 1 Pound (16 Ounce), Sulfate Free, Pure Goji Supplement, Natural Booster for Energy, Eye Health, and Super Immune Vitamin C for Antioxidant, Non-GMO</t>
  </si>
  <si>
    <t>B06XKJQVZ8</t>
  </si>
  <si>
    <t>Organic Sunflower Seeds (Kernels) 4lb</t>
  </si>
  <si>
    <t>B0CLFLQ8DJ</t>
  </si>
  <si>
    <t xml:space="preserve">Multi-Collagen Peptides Powder 8oz </t>
  </si>
  <si>
    <t>B0D2S5S6D7</t>
  </si>
  <si>
    <t>Pure Methylated Multivitamin for Women</t>
  </si>
  <si>
    <t>B0F8FWJN2Q</t>
  </si>
  <si>
    <t xml:space="preserve">Milk Thistle 6000mg with Grape Seed Oil softgels 360 count </t>
  </si>
  <si>
    <t>B0F5S4X7L6</t>
  </si>
  <si>
    <t xml:space="preserve">Astaxanthin 24mg Softgels 60 count </t>
  </si>
  <si>
    <t>B0F4M8Y6V6</t>
  </si>
  <si>
    <t>Beet Root 300mg with MCT Oil 360 softgels</t>
  </si>
  <si>
    <t>B0F5LZYS78</t>
  </si>
  <si>
    <t>Cranbery 400mg Vitamin C &amp; MCT 300 Softgel</t>
  </si>
  <si>
    <t>B0F5RKBCJJ</t>
  </si>
  <si>
    <t xml:space="preserve">Ceylon Cinnamon 600mg  300 count </t>
  </si>
  <si>
    <t>B0F5RHY51V</t>
  </si>
  <si>
    <t>DIM Active Supplement, DIM 300mg, 240 Veggie Capsules (8-Month Supply), 2 in 1 Formula, Estrogen Metabolism, Premium DIM-Plus Broccoli Extract Supplement With Black Pepper for Better Absorption</t>
  </si>
  <si>
    <t>B08MX153BT</t>
  </si>
  <si>
    <t>Organic Broccoli Powder, 1 Pound, Freeze Dried, Contains Natural DIM (Diindolylmethane), and Rich in Fiber and Immune Vitamin C, Green Superfood for Smoothie &amp; Drinks, Vegan Friendly</t>
  </si>
  <si>
    <t>B07QQ3HTM5</t>
  </si>
  <si>
    <t>Organic Black Seed Oil Bottle 16 fl oz (473mL)</t>
  </si>
  <si>
    <t>B0CVR6MX33</t>
  </si>
  <si>
    <t>Micro Ingredients 5-HTP 200mg with Chamomile Flower Extract, 180 Capsules, 2 in 1 Formula, 98% Griffonia Seed Extract, Enhanced with Chamomile | Highly Bioavailable for Mood, Sleep &amp; Relaxation</t>
  </si>
  <si>
    <t>B08MX256RL</t>
  </si>
  <si>
    <t>Micro Ingredients L Citrulline Capsules, 1500mg Per Serving, 360 Counts, Citrulline Pre-Workout Supplement, Non-GMO</t>
  </si>
  <si>
    <t>B08N3BG2SR</t>
  </si>
  <si>
    <t>Electrolyte tablets tubes 40 tablets</t>
  </si>
  <si>
    <t>B0DK68J877</t>
  </si>
  <si>
    <t>Sustainably US Grown, Organic Freeze Dried Raspberry Juice Powder, 8 Ounce, Contains Immune Vitamin C for Immune System Booster, Rich in Raspberry Ketones, Fatty Acids, Minerals and Antioxidant, Vegan</t>
  </si>
  <si>
    <t>B07L466GW8</t>
  </si>
  <si>
    <t>Maximum Strength Organic Pure Horny Goat Weed with Active Icariins for Men and Women, 100 Grams, Organic Epimedium Powder for Energy and Immune System Booster, Filler Free and Vegan Friendly</t>
  </si>
  <si>
    <t>B01L2TGSVM</t>
  </si>
  <si>
    <t>Micro Ingredients Organic Boswellia Serrata Extract Powder, 8 Ounce, Pure Boswellia Supplement with 65% Boswellic Acid, Supports Joints, Knees and Bones Health, Non-GMO, Pet Friendly, India Origin</t>
  </si>
  <si>
    <t>B01DPW5I6U</t>
  </si>
  <si>
    <t>Bovine Collagen Protein Powder, 1 Pound</t>
  </si>
  <si>
    <t>B0D16G8C8P</t>
  </si>
  <si>
    <t>Micro Ingredients Organic Lemon Juice Powder, 10 Ounce, Cold Pressed Concentrated Powder, Filler Free, Rich in Natural Vitamin C for Immune System Booster, Great Flavor for Soda, Baking and Cooking, Vegan Friendly</t>
  </si>
  <si>
    <t>B07NY4MF5Y</t>
  </si>
  <si>
    <t>Organic Milk Thistle Extract, 3.5 Ounces, Pure Milk Thistle Powder Organic, Milk Thistle Tea, Contains 80% Active Silymarin, Strongly Supports Liver Health and Antioxidant, Vegan Friendly</t>
  </si>
  <si>
    <t>B01L2TGS30</t>
  </si>
  <si>
    <t>Micro Ingredients Sustainably US Grown, Organic Spinach Powder, 1 Pound, Freeze Dried from Whole Leaf, Rich in Beneficial Thylakoids and Chlorophyll, Contains Multivitamins, Non-GMO, Vegan Friendly</t>
  </si>
  <si>
    <t>B07WH4DXVX</t>
  </si>
  <si>
    <t>Mega Probiotics 40 strains 200 billion CFU</t>
  </si>
  <si>
    <t>B0DVN41167</t>
  </si>
  <si>
    <t>Sustainably US Grown, Organic Shiitake Mushrooms Powder, 8 Ounce, Made from The Finest Dried Shiitake Mushroom, Stronger Umami Flavor Than Fresh Mushrooms, Great for Sauce, Soup and Pasta</t>
  </si>
  <si>
    <t>B08PXYB6RH</t>
  </si>
  <si>
    <t>Organic Tomato Powder 2lb</t>
  </si>
  <si>
    <t>B0CLFZXMRB</t>
  </si>
  <si>
    <t>Organic Hibiscus Flowers, 2lbs | Loose Leaf Flower Source for Tea Bags | Cut &amp; Sifted Dried Leaves | Great for Iced or Hot Brewed Herbal Tea | Caffeine Free, Non-GMO, No Sugar</t>
  </si>
  <si>
    <t>B0C9PGR822</t>
  </si>
  <si>
    <t>Vitamin B1 Benfotiamine 600mg Per Serving, 240 Coconut Oil Softgels | Essential B Vitamins Supplement, Fat Soluble | Supports Metabolism &amp; Healthy Nervous System | Non-GMO, Easy to Swallow</t>
  </si>
  <si>
    <t>B0CG7ZTT7B</t>
  </si>
  <si>
    <t>Micro Ingredients Water Soluble COQ10 Supplement (COQ10 200mg Per Serving in Powder Form), 50 Grams (8 Months Supply), Extra Absorption, Support Heart Health and Energy Production, Vegan Friendly</t>
  </si>
  <si>
    <t>B07RH9L848</t>
  </si>
  <si>
    <t>Micro Ingredients Organic Bamboo Extract Powder, 8 Ounce (1 Year Supply), Rich in Silica and Minerals, Supports Healthy Skin, Nail, Hair, Joints and Bones, Non-GMO and Vegan Friendly</t>
  </si>
  <si>
    <t>B07CXK6M1G</t>
  </si>
  <si>
    <t>US Origin Potassium Citrate Powder, 1 KG (35 Ounce), Essential Electrolyte Supplement, Supports Mineral Balance, Heart Health and Immune System, Vegan Friendly</t>
  </si>
  <si>
    <t>B01KFALQ34</t>
  </si>
  <si>
    <t>Pure L Citrulline Malate 2:1 Powder, 500 Grams, Filler Free, Vegan Citrulline Supplement and Citrulline Nitrate, Supports Muscle Performance, Endurance and Strength, Unflavored, Dissolve Easily</t>
  </si>
  <si>
    <t>B01HFOBO7Q</t>
  </si>
  <si>
    <t>Golden Monk Fruit Sweetener with Allulose, 2 lbs | No Erythritol, No Aftertaste, 1:1 Brown Sugar Substitute | Zero Calorie, Great for Drinks, Coffee, Tea, Cookies | Keto, Vegan, Non-GMO</t>
  </si>
  <si>
    <t>B0C9P7L7YJ</t>
  </si>
  <si>
    <t>Fadogia Agrestis 600mg Per Serving, 50:1 Extract Powder, 4 Ounce, Highly Purified and Bioavailable, USA Third Party Tested, Maximum Strength, No Filler, No Additives, Non-GMO &amp; No Gluten</t>
  </si>
  <si>
    <t>B0B22T88RH</t>
  </si>
  <si>
    <t>Pure Quercetin Dihydrate Powder, Quercetin 500mg Per Serving, 100 Grams, Most Bioavailable Grade and Filler Free, Powerful Antioxidant Supports Energy, Immune System , No GMOs and Vegan</t>
  </si>
  <si>
    <t>B01DPW5IWY</t>
  </si>
  <si>
    <t xml:space="preserve">Glucosamine Chondroitin 4000mg </t>
  </si>
  <si>
    <t>B0DK683WHV</t>
  </si>
  <si>
    <t>Stevia Sweetener Powder with Plant-based Erythritol, 4 Pounds (64 Ounces) | Keto, 0 Calorie, Low Carb, 4:1 Sugar Substitute, Natural Sweetener, Bitterless, Reb-A Stevia Leaf Extract, Non-GMO, Vegan</t>
  </si>
  <si>
    <t>B09NQXJHYQ</t>
  </si>
  <si>
    <t>Micro Ingredients Organic Chaga Mushroom Extract 100:1 Powder, 6 Ounce | Sustainably Maine Grown, Wild Harvest, Chaga Tea, Superfood for Beverage and Smoothie, Vegan Friendly</t>
  </si>
  <si>
    <t>B07CY1LGVZ</t>
  </si>
  <si>
    <t>Multi-Collagen Gummies 120 count</t>
  </si>
  <si>
    <t>B0DDWNGRKL</t>
  </si>
  <si>
    <t>Folic Acid 1,000 mcg, 500 Coconut Oil Softgels (1mg) | Essential Prenatal Vitamins (Vitamin B9) | 1,667 mcg DFE | Third Party Tested, No Artificial Colors or Flavors | Non-GMO, Gluten Free</t>
  </si>
  <si>
    <t>B087F3WYNW</t>
  </si>
  <si>
    <t>US Origin Pure Magnesium Citrate Powder, 2 Pounds (32 Ounce), Pure and Filler Free, Relaxation and Nutrient Utilization, Vegan</t>
  </si>
  <si>
    <t>B01BHF3GMK</t>
  </si>
  <si>
    <t>Taurine Powder Supplement | 1 KG, 2000mg Per Serving | Unflavored | 100% Pure, Easily Absorbed Free Form | Essential Amino Acids for Exercise, Energy, &amp; Heart Support</t>
  </si>
  <si>
    <t>B0C88H675D</t>
  </si>
  <si>
    <t>Micro Ingredients Sustainably US Grown, Organic Reishi Mushroom Powder, 8 Ounce, Pure Reishi Supplement 100:1 Extract (Reishi Mushroom)</t>
  </si>
  <si>
    <t>B01JNNAQVW</t>
  </si>
  <si>
    <t>Smoked Paprika Powder, 4lbs | Spanish Origin, Fine Ground, Oak Wood Smoked, Raw Sweet &amp; Spicy Flavor | Spice Rack Seasoning | Great for Chicken, Steak, or Vegetables | Additive Free, Non-GMO</t>
  </si>
  <si>
    <t>B0CLFZ81GG</t>
  </si>
  <si>
    <t>Organic Kelp Powder Supplement, 2lbs | Sustainably US Grown, Raw Ascophyllum Nodosum Source | Rich in Iodine for Thyroid Support, Body Scrubs, &amp; Skin Care | Non-GMO, Vegan</t>
  </si>
  <si>
    <t>B01LFPNJ8S</t>
  </si>
  <si>
    <t xml:space="preserve">Niacin (Vitamin B3) 500mg capsules 400 count </t>
  </si>
  <si>
    <t>B0DLLJLMKD</t>
  </si>
  <si>
    <t>Indian Healing Clay Powder 2lb</t>
  </si>
  <si>
    <t>B0DDWH3NNX</t>
  </si>
  <si>
    <t>Micro Ingredients Tongkat Ali Extract 200:1 (Longjack) Powder, 100 Grams, Grown in Indonesia, 100% Pure Eurycoma Longifolia Root Extract, Bitter Taste - No Filler, No Additive, Non-GMO</t>
  </si>
  <si>
    <t>B01L2TFQHY</t>
  </si>
  <si>
    <t>Moringa 6000mg capsules</t>
  </si>
  <si>
    <t>B0DDWPH39G</t>
  </si>
  <si>
    <t>Micro Ingredients Pantothenic Acid Vitamin B5 Supplement, Vitamin B5 500mg Per Count, 365 Capsules (1 Year Supply), B-Complex Vitamin, Support Energy Production and Nervous System, Non-GMO</t>
  </si>
  <si>
    <t>B08MX59VV3</t>
  </si>
  <si>
    <t>Micro Ingredients Raw Organic Ginkgo Biloba Powder, 8 Ounce (18 Months Supply), Filler Free, Supports Brain Function and Mental Alertness, No GMOs and Vegan Friendly</t>
  </si>
  <si>
    <t>B01L2TGUHO</t>
  </si>
  <si>
    <t>MiracleMag Magnesium Supplement, 2lbs</t>
  </si>
  <si>
    <t>B0CVT7ZLLH</t>
  </si>
  <si>
    <t>Micro Ingredients Pure Vitamin C Crystal Powder (Water Soluble Vitamin C 1000mg Per Serving), 1 KG (2.2 Pounds), Immune Vitamins and Strong Antioxidant, Pure Ascorbic Acid Powder Supplement</t>
  </si>
  <si>
    <t>B01HFOJBG2</t>
  </si>
  <si>
    <t>Micro Ingredients Evening Primrose Oil 1300mg Perserving, 240 Softgels | Enhanced with 40mg Black Cohosh Extract, Cold Pressed – 10% Active GLA, Non-GMO, No Gluten, Easy to Swallow</t>
  </si>
  <si>
    <t>B01DPW5LR6</t>
  </si>
  <si>
    <t>Sustainably US Grown, Organic Cordyceps Mushroom Extract Powder 100:1 | 6 Ounce, 30% Polysaccharides and Cordycepic Acid, From Fruit Body and Mycelium, Supports Energy &amp; Immune Health</t>
  </si>
  <si>
    <t>B074WL37DN</t>
  </si>
  <si>
    <t xml:space="preserve">Organic MCT Liquid Oil 32 fl oz (946mL) </t>
  </si>
  <si>
    <t>B0C325P6Z4</t>
  </si>
  <si>
    <t>2 Pack of Pure USDA Organic Acerola Cherry Powder, Natural and Organic Vitamin C for Immune System, 8 Ounce, No GMO, No Gluten, Brazil Origin</t>
  </si>
  <si>
    <t>B01L2TGTK2</t>
  </si>
  <si>
    <t>Organic Dried Lavender Flowers, 2lbs | Raw from France, Extra Grade Loose Lavender Buds | Great for Herbal Tea or Culinary Baking | Rich in Antioxidants &amp; Essential Oil | Non-GMO</t>
  </si>
  <si>
    <t>B07YQCX5WR</t>
  </si>
  <si>
    <t>Golden Monk Fruit Sweetener with Erythritol, 4 Pounds - No After Taste - Brown Sugar Substitute, Keto Diet Friendly, Zero Calorie, Natural Sweetener for Drinks, Coffee, Tea, Cookies, No-GMO, Vegan</t>
  </si>
  <si>
    <t>B0BCN5XPBX</t>
  </si>
  <si>
    <t>Lions Mane Capsules</t>
  </si>
  <si>
    <t>B0D68FCQVT</t>
  </si>
  <si>
    <t>Micro Ingredients Organic Papaya Fruit Powder, 8 Ounce, Freeze Dried, Naturally Rich in Papaya Enzyme, Supports Antioxidant and Digestive Function, No GMOs &amp; Vegan Friendly</t>
  </si>
  <si>
    <t>B07NY5GKYG</t>
  </si>
  <si>
    <t>Magnesium Citrate 400mg with Vitamin D3 1000IU &amp; B6, 240 Capsules | Elemental Mineral &amp; Vitamins Complex | Combats Constipation, Supports Muscle, Heart, &amp; Bone Health – Non-GMO</t>
  </si>
  <si>
    <t>B087F7DTR7</t>
  </si>
  <si>
    <t>Psyllium Husk 3000mg veg caps</t>
  </si>
  <si>
    <t>B0DWDVSHZW</t>
  </si>
  <si>
    <t>Vitamin D3 5000IU with coconut oil</t>
  </si>
  <si>
    <t>B0DGRWCTN8</t>
  </si>
  <si>
    <t>Micro Ingredients Organic Acacia Senegal Powder, 2 Pounds (32 Ounce), Instant Soluble Fiber Powder, Plant-Based Prebiotic Superfood for Gut Health, Non-GMO, No Gluten, Vegan</t>
  </si>
  <si>
    <t>B09NQVBGQK</t>
  </si>
  <si>
    <t>Organic Beet Root Powder, 4 Pounds | Cold Pressed, Water Soluble, High Concentrated Raw Beet Supplement | Superfood Drink Mix | Non-GMO, Vegan Friendly, Plant Based</t>
  </si>
  <si>
    <t>B01N20ON39</t>
  </si>
  <si>
    <t>Glutathione reduced 1000mg</t>
  </si>
  <si>
    <t>B0DWD6PXP2</t>
  </si>
  <si>
    <t>Organic Schisandra Extract Powder, 8 Ounce, Traditional Adaptogen and Filler Free, Pure Schisandra Supplement, Supports Liver Detox and Cognitive Health, No GMOs</t>
  </si>
  <si>
    <t>B07GF4QLJJ</t>
  </si>
  <si>
    <t xml:space="preserve">Organic Butterfly Pea Flowers, 8oz </t>
  </si>
  <si>
    <t>B0CLFQJ9V2</t>
  </si>
  <si>
    <t>Turmeric Extract 95% Curcuminoids (Natural Turmeric Extract and Turmeric Supplements), 100 Grams, Rich in Antioxidants for Joint &amp; Immune Support, No GMOs, Vegan Friendly, India Origin</t>
  </si>
  <si>
    <t>B01JNPEPOE</t>
  </si>
  <si>
    <t>Micro Ingredients Pure Bee Pollen Granules, 2lbs | Fresh Harvest, Natural Superfood, Raw Sweet Flavor | Rich in B Vitamins, Minerals, Protein, &amp; Antioxidants | Keto, Non-GMO</t>
  </si>
  <si>
    <t>B0BV3DFDK5</t>
  </si>
  <si>
    <t xml:space="preserve">Organic Instant Coffee 1lb </t>
  </si>
  <si>
    <t>B0DGSDQ2XG</t>
  </si>
  <si>
    <t>Pure Pine Pollen Powder, 6 Ounce, Wild Harvest an Broken Cell Wall, Supports Immune System Health, Boosts Energy, Antioxidant &amp; Androgenic, No GMOs, Vegan Friendly</t>
  </si>
  <si>
    <t>B079N44L9C</t>
  </si>
  <si>
    <t>Micro Ingredients Riboflavin Vitamin B2, 400mg Per Serving, 180 Mini Tablets, Premium Vitamin B2 400mg Riboflavin Supplements, Easy to Swallow, Non-GMO</t>
  </si>
  <si>
    <t>B08C7BCJPM</t>
  </si>
  <si>
    <t>Micro Ingredients Organic European Black Elderberry Juice Powder, 4 Ounce, Cold Pressed, Flash Pasteurized for Safety, Supports Immune System, Energy and Vascular Health, No GMOs, Vegan Friendly</t>
  </si>
  <si>
    <t>B07QTCDMBW</t>
  </si>
  <si>
    <t>Liposomal Vitamin C 2500mg</t>
  </si>
  <si>
    <t>B0DW142NNT</t>
  </si>
  <si>
    <t>Vitamin D3 2000IU with coconut oil softgels</t>
  </si>
  <si>
    <t>B0DS6L2MFW</t>
  </si>
  <si>
    <t>Organic Amla Powder (Amalaki) | 32oz, India Origin Gooseberry Powder | Rich in Vitamin C, Antioxidants, Supports Immune, Digestive &amp; Skin Health, Non-GMO, Vegan &amp; Keto Friendly</t>
  </si>
  <si>
    <t>B06XKYNFY1</t>
  </si>
  <si>
    <t>Micro Ingredients Organic Marshmallow Root Powder, 8 Ounce, Filler Free and Traditionally Used, Supports Digestive Gastrointestinal Health, Non-Irradiated and No GMOs, Vegan Friendly</t>
  </si>
  <si>
    <t>B074WLN3WN</t>
  </si>
  <si>
    <t>Micro Ingredients Maximum Strength Vitamin A 25000 IU | 500 Softgels with Coconut Oil for Better Absorption | Essential Vitamins for Vision, Growth, &amp; Reproduction | Non-GMO, Easy to Swallow</t>
  </si>
  <si>
    <t>B087DVF12V</t>
  </si>
  <si>
    <t xml:space="preserve">Vitality Fiber Prebiotic Powder 1lb </t>
  </si>
  <si>
    <t>B0DK69WWNQ</t>
  </si>
  <si>
    <t>Micro Ingredients Glycine Powder, 1KG (2.2 Pounds), Glycine 1000mg Per Serving, Supports Restful Sleep and Neurotransmitter, Water Soluble and Products of USA</t>
  </si>
  <si>
    <t>B01LBILPCG</t>
  </si>
  <si>
    <t>Organic Non-Fortified Nutritional Yeast Flakes, 2 Pounds | Rich in Vegan Protein, B Vitamins &amp; Beta-glucans | Keto Friendly, Dairy Free Cheese Substitute, Non-GMO, Gluten Free</t>
  </si>
  <si>
    <t>B0BCMNBZPR</t>
  </si>
  <si>
    <t>Pure Inositol Powder, Myo-Inositol B8 Powder, 1KG (2.2 Pounds), Strongly Supports Liver Health &amp; Antioxidant, Super Inositol for Hair and Inositol for Sleep, Non-GMO and Vegan Friendly</t>
  </si>
  <si>
    <t>B01DPW5E46</t>
  </si>
  <si>
    <t>Organic Dried Red Raspberry Leaf, 2lbs | Raw from Germany, Cut &amp; Sifted Whole Leaves | Makes Traditional Herbal Tea | Great for Refilling Tea Bags | Non-GMO, Vegan, Gluten Free</t>
  </si>
  <si>
    <t>B07YQBYZ75</t>
  </si>
  <si>
    <t>Sustainably US Grown, Organic Saw Palmetto Powder, 4 Ounce, with Active Fatty Acid, Pure Saw Palmetto Prostate &amp; Hair Growth Supplement, Healthy Urination Frequency &amp; Hair Loss Blocker Supplement</t>
  </si>
  <si>
    <t>B07WLMT9FS</t>
  </si>
  <si>
    <t>Organic Bee Pollen Granules, 1lb | Pure Fresh Harvest, Natural Superfood, Raw Sweet Flavor | Rich in B Vitamins, Minerals, Protein, &amp; Antioxidants | Keto, Non-GMO</t>
  </si>
  <si>
    <t>B0CLFGBK2B</t>
  </si>
  <si>
    <t>Biotin 5000mcg with coconut oil</t>
  </si>
  <si>
    <t>B0DK64NZS8</t>
  </si>
  <si>
    <t>Micro Ingredients North American Grown, Pea Protein Powder, 5 Pounds | Plant Based, Unflavored | Complete Vegan Protein Source – 27g Serving | Rich in BCAAs &amp; EAAs | Non-GMO, Keto Friendly</t>
  </si>
  <si>
    <t>B0C35LNMRF</t>
  </si>
  <si>
    <t>CoQ10 100mg with MCT Oil</t>
  </si>
  <si>
    <t>B0DK69D35M</t>
  </si>
  <si>
    <t>Women’s Probiotics 40 strains 100 bullion CFU</t>
  </si>
  <si>
    <t>B0DW1K3367</t>
  </si>
  <si>
    <t>Magnesium Oxide 400mg</t>
  </si>
  <si>
    <t>B0DDWD83GF</t>
  </si>
  <si>
    <t>Whole Milk Powder, 4lbs | rBST Hormone Free, Pasture Raised Source, Premium Grade Dry Powdered Form | Great for Baking | Rich in Protein | Non-GMO</t>
  </si>
  <si>
    <t>B0CLFXDX4Z</t>
  </si>
  <si>
    <t>Organic Whole Cinnamon Stick, 2lbs | 2 ¾” Stick Size | Raw Cinnamon Spice Flavor &amp; Aroma | Great for Tea, Desserts, or Cooking | Non-GMO, Vegan Friendly, Bulk Supply</t>
  </si>
  <si>
    <t>B0C9PGM2LW</t>
  </si>
  <si>
    <t>Organic Turmeric Powder 5lb</t>
  </si>
  <si>
    <t>B0DGYLR7W1</t>
  </si>
  <si>
    <t>Micro Ingredients Organic Coconut Milk Powder, 2 Pound (32 Ounce), Plant-Based Creamer, Perfect for Coffee, Tea and Smoothie, Non-GMO and Keto Friendly</t>
  </si>
  <si>
    <t>B07X37D16H</t>
  </si>
  <si>
    <t>Psyllium Husk 500mg capsules 500 count</t>
  </si>
  <si>
    <t>B0DF425DGX</t>
  </si>
  <si>
    <t>Omega-3 Fish Oil 1000mg 300 count</t>
  </si>
  <si>
    <t>B0DK69SLY9</t>
  </si>
  <si>
    <t>Pure Organic Stevia Powder, 4 Ounces, 706 Serving, Highest Grade Stevia Green Leaf Extract Reb-A, Reduced Bitter Aftertaste, 0 Calorie, Natural Sweetener, Sugar Alternative, Keto Friendly</t>
  </si>
  <si>
    <t>B01DPW5GRG</t>
  </si>
  <si>
    <t>Pure Green Coffee Bean Extract, 4 Ounce, Filler Free with Natural Caffeine, Green Coffee Bean Fat Burn Supplement with 50% Chlorogenic Acid, Supports Metabolism and Weight Management, Vegan Friendly</t>
  </si>
  <si>
    <t>B074WGLHFM</t>
  </si>
  <si>
    <t xml:space="preserve">Cod Liver Oil 2000mg </t>
  </si>
  <si>
    <t>B0D3T12XYP</t>
  </si>
  <si>
    <t>Brewers Yeast Powder for Lactation, 3lbs</t>
  </si>
  <si>
    <t>B0CLFRYPPT</t>
  </si>
  <si>
    <t>Organic Garlic Powder, 3lbs | Culinary Grade | Freshly Harvested Raw Allium Sativum Bulb | Natural Herbal Spice | Great for Seasonings, Meats, or Vegetables | Non-GMO</t>
  </si>
  <si>
    <t>B0BXYB635P</t>
  </si>
  <si>
    <t>Organic Whole Rainbow Peppercorn Blend, 2lbs | Black, Green, Pink, &amp; White Fresh Peppercorns for Easy Grinder Refill | Multi Purpose Seasoning for Cooking or Baking | Non-GMO</t>
  </si>
  <si>
    <t>B0C9PGG2WV</t>
  </si>
  <si>
    <t>Pure D-Mannose 1300mg with cranberry</t>
  </si>
  <si>
    <t>B0DLLMC7DS</t>
  </si>
  <si>
    <t>L-Theanine + Magnesium Glycinate</t>
  </si>
  <si>
    <t>B0DK65BMV7</t>
  </si>
  <si>
    <t>Multi Collagen Peptides Powder, 16 Oz - Hydrolyzed Protein Peptides | Type I,II,III,V,X with Hyaluronic Acid, Biotin 10,000mcg &amp; Vitamin C - Unflavored - Keto &amp; Paleo Friendly, Ez Mix in Drinks</t>
  </si>
  <si>
    <t>B0BKK4X56L</t>
  </si>
  <si>
    <t>Calcium 1200mg with Vitamin D3K2 1000IU</t>
  </si>
  <si>
    <t>B0DDWNT45S</t>
  </si>
  <si>
    <t>Organic Ceylon Cinnamon Powder | 2 Lb - [Sourced from Sri Lanka] - Inner Bark Cinnamomum Verum, Delicate Flavor and Aroma, Third Party Tested for Purity, Vegan, Non-GMO &amp; Gluten Free</t>
  </si>
  <si>
    <t>B01BHF3IXM</t>
  </si>
  <si>
    <t>Monk Fruit Sweetener with Erythritol Granules, 4 Pounds, No After Taste, 1:1 White Sugar Substitute, Keto Diet Friendly, Zero Calorie, Natural Sweetener for Drinks, Coffee, Tea, Cookies, No-GMO, Vegan</t>
  </si>
  <si>
    <t>B07X4BL4GC</t>
  </si>
  <si>
    <t>Pure Magnesium Flakes, 6lbs | Great for Foot &amp; Body Bath Soaks | Natural Magnesium Chloride Minerals | Better Absorption Over Epsom Salt | Relaxation &amp; Skin Hydration Support</t>
  </si>
  <si>
    <t>B0C9PGM325</t>
  </si>
  <si>
    <t>Potassium Chloride Powder, 1 Kg (2.2 Pounds), Salt Substitute &amp; Electrolyte Powder, Pure Potassium Chloride Supplement, Essential Mineral, Filler Free and Dissolve Easily</t>
  </si>
  <si>
    <t>B07T1LZ4D2</t>
  </si>
  <si>
    <t>Organic Black Cumin Seed (Nigella Sativa), 2lbs | Premium Grade Whole Black Seed from Egypt | Rich in Healthy Black Seed Oil | Raw Seeds for Baking, Seasoning, and Cooking | Non-GMO</t>
  </si>
  <si>
    <t>B0CG7S11B6</t>
  </si>
  <si>
    <t>Pure Birch Xylitol Sweetener (Xylitol Sugar Crystal Powder), 6 Pounds (96 Ounce &amp; 680 Serving), Natural Sweetener, 1:1 Brown Sugar Substitute and Low Calorie, Best for Baking and Cooking, No After Taste, Keto Friendly and Product of USA</t>
  </si>
  <si>
    <t>B07T5WW8LF</t>
  </si>
  <si>
    <t>Hair Vitamins Complex, 120 Capsules</t>
  </si>
  <si>
    <t>B0CVTRS7KJ</t>
  </si>
  <si>
    <t>Micro Ingredients Ground Cayenne Pepper Powder Bulk, 6 Pounds - 60,000 Heat Units, Spicy and Filler Free, Garden Protection from Wildlife, No Gluten, No GMOs, Vegan Friendly</t>
  </si>
  <si>
    <t>B08TB8F5LL</t>
  </si>
  <si>
    <t>Organic Shredded Coconut Flakes, 4lbs</t>
  </si>
  <si>
    <t>B0CLFYHSV2</t>
  </si>
  <si>
    <t>NAD+ with resveratrol</t>
  </si>
  <si>
    <t>B0DS6NNCP9</t>
  </si>
  <si>
    <t>Organic Fortified Nutritional Yeast Flakes, 2LB | Rich in Vegan Protein, B Vitamins, &amp; Beta-Glucans | Keto Friendly, Dairy Free Cheese Substitute, Non-GMO, Gluten Free</t>
  </si>
  <si>
    <t>B0C35PK9GJ</t>
  </si>
  <si>
    <t>Double Strength Yohimbine Supplements for Men and Women, 10mg Per Serving, 300 Softgels, Yohimbine HCL with Virgin Sunflower Seed Oil for Better Absorption, Supports Energy Production, African Raw</t>
  </si>
  <si>
    <t>B08MX72C55</t>
  </si>
  <si>
    <t>Magnesium Glycinate Powder 12oz</t>
  </si>
  <si>
    <t>B0DG3QT3M2</t>
  </si>
  <si>
    <t>Organic Lion's Mane Powder 8oz</t>
  </si>
  <si>
    <t>B0D2S6H23L</t>
  </si>
  <si>
    <t>Organic Freeze Dried Strawberries Sliced, 6.4oz | Fresh Raw Fruit Slices, Great Healthy Snacks or as a Garnish for Chocolate, Shortcake, and Smoothies | Non-GMO, 0 Sugar Added</t>
  </si>
  <si>
    <t>B0C9PLML31</t>
  </si>
  <si>
    <t>Natural Astaxanthin 12mg, 90 Softgels, 3 Month Supply, Premium Astaxanthin Supplements (MicroAlgae), Supports Eye, Joint, Internal Circulation Health and Antioxidant, Easy to Swallow</t>
  </si>
  <si>
    <t>B08MWZQ4S6</t>
  </si>
  <si>
    <t>Pumpkin Seed Oil with Saw Palmetto, 3,000mg Per Serving, 300 Softgels | Cold Pressed, Pure Virgin Oil, Herbal Supplement | Supports Urinary, Bladder &amp; Prostate Health | Non-GMO</t>
  </si>
  <si>
    <t>B01BHF3KRG</t>
  </si>
  <si>
    <t>Micro Ingredients Odorless Garlic 7500mg Per Servings, 300 Softgels | 2 Years Aged Garlic Extract, Grown Allium Sativum Bulb | Potent Antioxidant Supplement, Immune Support, and Heart Health</t>
  </si>
  <si>
    <t>B0812DJRSK</t>
  </si>
  <si>
    <t>Beet Root 3000mg with grape seed &amp; CoQ10</t>
  </si>
  <si>
    <t>B0DK65FRV2</t>
  </si>
  <si>
    <t>Organic Blue Spirulina 30g</t>
  </si>
  <si>
    <t>B0DDW2L4YM</t>
  </si>
  <si>
    <t xml:space="preserve">Resveratrol Complex 3000mg </t>
  </si>
  <si>
    <t>B0DVMN2XB5</t>
  </si>
  <si>
    <t>Organic Mega 10 Mushroom Powder 5oz</t>
  </si>
  <si>
    <t>B0D2S5M4DK</t>
  </si>
  <si>
    <t>Chlorophyll Complex 2000mg 240 Veg Caps</t>
  </si>
  <si>
    <t>B0DX44D7FF</t>
  </si>
  <si>
    <t>Oil of Oregano 6000mg 150 count</t>
  </si>
  <si>
    <t>B0DK7XKTM6</t>
  </si>
  <si>
    <t>Total Unit</t>
  </si>
  <si>
    <t>Diff Unit</t>
  </si>
  <si>
    <t>Total Spend</t>
  </si>
  <si>
    <t>Total Ad Sales</t>
  </si>
  <si>
    <t>Total Diff</t>
  </si>
  <si>
    <t>ACOS</t>
  </si>
  <si>
    <t>Tcos</t>
  </si>
  <si>
    <t>November</t>
  </si>
  <si>
    <t>Diff 05-06</t>
  </si>
  <si>
    <t>JC</t>
  </si>
  <si>
    <t>CL</t>
  </si>
  <si>
    <t>HL</t>
  </si>
  <si>
    <t>GP</t>
  </si>
  <si>
    <t>Magnesium Complex Supplement 500mg, 300 Capsules | 10 Active Forms – Glycinate, Citrate, Taurate, Plus More | 100% Chelated &amp; Purified | Bone, Heart, &amp; Muscle Support | Non-GMO</t>
  </si>
  <si>
    <t>B0C2SLBPRK</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</si>
  <si>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</si>
  <si>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</si>
  <si>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</si>
  <si>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Creatine Monohydrate Jar 1kg</t>
  </si>
  <si>
    <t>B0DJWVMRR9</t>
  </si>
  <si>
    <t>NatureBell 2 Pack Ceylon Cinnamon 9000mg Per Serving, 480 Capsules, Made with Organic Ceylon Cinnamon Plus Bitter Melon, Non-GMO</t>
  </si>
  <si>
    <t>B08DK1M6FL</t>
  </si>
  <si>
    <t>Berberine Supplement 500mg | 300 Veggie Capsules, 97% Pure Berberine HCL, 5:1 Root Extract – Healthy Glucose Metabolism &amp; Immune Support – Plant Based, Vegan, Non-GMO</t>
  </si>
  <si>
    <t>B0C7FF131K</t>
  </si>
  <si>
    <t>NatureBell Oregano Oil with Black Seed Oil 7,500mg, 360 Softgels | Wild Harvested, 50:1 Fresh Oregano Extract – Retains Carvacrol &amp; Thymoquinone – Essential Oils for Immune Health – Non-GMO</t>
  </si>
  <si>
    <t>B0CFPQN4J1</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</si>
  <si>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</si>
  <si>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</si>
  <si>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</si>
  <si>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</si>
  <si>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Antarctic Krill Oil 1000mg Supplement, 180 Softgels, Natural Source of Omega-3s, EPA, DHA and Astaxanthin - No Aftertaste - Support Heart Health, Mercury Free &amp; Non-GMO</t>
  </si>
  <si>
    <t>B07BKN8S81</t>
  </si>
  <si>
    <t>Creatine Monohydrate 5000mg capsules</t>
  </si>
  <si>
    <t>B0DDB5BWYP</t>
  </si>
  <si>
    <t xml:space="preserve">Psyllium Husk 2000mg capsules 360 counts </t>
  </si>
  <si>
    <t>B0F11QQ8ND</t>
  </si>
  <si>
    <t xml:space="preserve">Colostrum 1000mg capsules 240 count </t>
  </si>
  <si>
    <t>B0DJTVL9H4</t>
  </si>
  <si>
    <t>NatureBell Psyllium Husk Powder, 3 Lbs(48 Oz), 9000mg Per Serving - Unflavored | No Fillers, No Additives, Gluten Free, Soluble Fiber, Great for Gut Health, Keto Baking, Mixing Shakes, Juices &amp; More</t>
  </si>
  <si>
    <t>B09ZPVMQ9F</t>
  </si>
  <si>
    <t xml:space="preserve">Multi Collagen Complex capsules 300 count </t>
  </si>
  <si>
    <t>B0F11WDDHF</t>
  </si>
  <si>
    <t>NatureBell D-Mannose 2000mg with Cranberry Extract 400mg, 240 Veggie Capsules, Double Strength | Fast Acting Urinary Tract Health Pills, Flush Impurities, Ultra UTI Support for Women &amp; Men</t>
  </si>
  <si>
    <t>B07QBVHK8H</t>
  </si>
  <si>
    <t>Dihydroberberine 500mg</t>
  </si>
  <si>
    <t>B0DDMM94BF</t>
  </si>
  <si>
    <t>NatureBell 2 Pack Creatine Monohydrate Powder 500 Grams, 5000mg Per Serving, Pure Unflavored Creatine Powder - Micronized - Pre Workout | Keto | Vegan | Dissolves Easy | Filler Free</t>
  </si>
  <si>
    <t>B0BT2V8YK4</t>
  </si>
  <si>
    <t>NatureBell Astaxanthin 12mg, 240 Softgels, Made with Astax (Max Strength from MicroAlgae), Natural Antioxidant for Skin &amp; Eye Health – Non-GMO &amp; No Gluten, 4 Month Supply</t>
  </si>
  <si>
    <t>B0923B4XLX</t>
  </si>
  <si>
    <t>2 Pack Berberine Supplement 1500mg Per Serving, 480 Veggie Capsules | Plus 1200mg True Ceylon Cinnamon, 97% Berberine HCL, Plant-Based, Vegan, Non-GMO, Gluten Free</t>
  </si>
  <si>
    <t>B01L2TFPNE</t>
  </si>
  <si>
    <t>Nattokinase Supplement 8,000 FU Per Serving, 240 Veggie Capsules | Traditional Natto Extract Source – Max Strength Enzyme &amp; Heart Health Support – Non-GMO</t>
  </si>
  <si>
    <t>B0CJK4JF1V</t>
  </si>
  <si>
    <t xml:space="preserve">Magnesium Taurate 1500mg 240 Capsules </t>
  </si>
  <si>
    <t>B0CWK143JD</t>
  </si>
  <si>
    <t>Ultra Strength Phosphatidylserine Supplement 500mg Per Serving, 240 Capsules | Soy Free, Derived from Sunflower Lecithin – Supports Cognitive Health and Brain Function – Non-GMO</t>
  </si>
  <si>
    <t>B074R8XH2Q</t>
  </si>
  <si>
    <t>Citrus Bergamot 5000mg</t>
  </si>
  <si>
    <t>B0CFPBNWCF</t>
  </si>
  <si>
    <t>Antarctic Krill Oil 2000mg Supplement, 240 Softgels, 3X Strength Natural Source of Omega-3s, EPA 240mg + DHA 160mg + Astaxanthin 800mcg – No Fishy Aftertaste – Mercury Free &amp; Non-GMO</t>
  </si>
  <si>
    <t>B0BSP5TBP3</t>
  </si>
  <si>
    <t>NatureBell Virgin Pumpkin Seed Oil 3,000mg Per Serving with Saw Palmetto, 240 Softgel Capsules | Cold Pressed – Rich in Omega 6 &amp; 9 Essential Fatty Acids – Prostate &amp; Bladder Supplements, Non-GMO</t>
  </si>
  <si>
    <t>B07K6XGYPL</t>
  </si>
  <si>
    <t>NatureBell Quercetin 1000mg Per Serving | 240 Capsules, Ultra Strength Quercetin Supplement | Bioflavonoids for Healthy Immune Support, Third Party Tested, Non-GMO &amp; No Gluten</t>
  </si>
  <si>
    <t>B07H9LGDPM</t>
  </si>
  <si>
    <t>2 Pack NAC Supplement (N-Acetyl Cysteine) with Quercetin, 1,200mg Per Serving, 480 Capsules | Double Strength Antioxidant Support for Immune, Liver, &amp; Lung Health – Non-GMO</t>
  </si>
  <si>
    <t>B086QBQ7X4</t>
  </si>
  <si>
    <t>NatureBell Magnesium Glycinate 400mg (Elemental), 270 Capsules – 100% Chelated for Max Absorption | Non-GMO &amp; No Gluten, Bioavailable Mineral Supplement for Muscle, Joint, Enzyme, &amp; Heart Health</t>
  </si>
  <si>
    <t>B0BJ198K28</t>
  </si>
  <si>
    <t>NatureBell CoQ10 (Ubiquinone) 200mg with PQQ, 240 Veggie Capsules | Stable High Absorption Form – Antioxidant Support for Brain, Heart, &amp; Energy Health – Extra Strength Coenzyme Q10 Supplement</t>
  </si>
  <si>
    <t>B0CFPMHB25</t>
  </si>
  <si>
    <t>L-Theanine 400mg capsules 400 count</t>
  </si>
  <si>
    <t>B0DDCW97QV</t>
  </si>
  <si>
    <t>NatureBell Hyaluronic Acid Supplements 250mg | 240 Capsules, with Biotin 5000mcg &amp; Vitamin C 25mg, 3 in 1 Support - Skin Hydration, Joint Lubrication, Hair and Eye Health</t>
  </si>
  <si>
    <t>B076FH7639</t>
  </si>
  <si>
    <t>NatureBell D Mannose Powder, 12oz | Instantized for Max Absorption – Fast Acting Cleanse – Urinary Tract &amp; Bladder Health Support – Flush UTI Impurities – Non-GMO, Vegan</t>
  </si>
  <si>
    <t>B075G4N2K1</t>
  </si>
  <si>
    <t>NatureBell 2 Pack Plant Based Hyaluronic Acid Supplements 250mg with 25mg Vitamin C &amp; Biotin 5000mcg, 480 Total Capsules | Essential for Hair Growth, Joint Support, &amp; Hydrating Skin | Non-GMO</t>
  </si>
  <si>
    <t>B07GBMPZKD</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</si>
  <si>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</si>
  <si>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</si>
  <si>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</si>
  <si>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</si>
  <si>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Liposomal Vitamin C 2000mg capsules</t>
  </si>
  <si>
    <t>B0D85XBLCH</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</si>
  <si>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</si>
  <si>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</si>
  <si>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</si>
  <si>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TMG (Trimethylglycine) 1500mg capsules</t>
  </si>
  <si>
    <t>B0D883PXW4</t>
  </si>
  <si>
    <t>R-Alpha Lipoic Acid (R-ALA) 1200mg</t>
  </si>
  <si>
    <t>B0DJWWQSPX</t>
  </si>
  <si>
    <t>L Tyrosine Supplement, 1,500mg Per Serving, 240 Capsules | Essential Amino Acids – Brain Health Support for Memory, Cognitive Health, and Mental Alertness – Non-GMO</t>
  </si>
  <si>
    <t>B08X6JSZ69</t>
  </si>
  <si>
    <t xml:space="preserve">Potassium Citrate 99mg capsules 500 count </t>
  </si>
  <si>
    <t>B0DDCTG43B</t>
  </si>
  <si>
    <t xml:space="preserve">Advanced Electrolyte hydration capsules </t>
  </si>
  <si>
    <t>B0DDCW84F6</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</si>
  <si>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</si>
  <si>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</si>
  <si>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</si>
  <si>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 xml:space="preserve">Advanced Glucosamine </t>
  </si>
  <si>
    <t>B0D85XVGMQ</t>
  </si>
  <si>
    <t>Xylitol Sweetener, 5lbs | Natural Birch Crystal Source – 1:1 Sugar Substitute – Sweet Flavor with No Erythritol – Low Calorie &amp; Glycemic Impact – Sugar Free, No Aftertaste, Non-GMO</t>
  </si>
  <si>
    <t>B0CFPJ5BRM</t>
  </si>
  <si>
    <t xml:space="preserve">Magnesium Oxide 400mg capsules 400 counts </t>
  </si>
  <si>
    <t>B0F11PGHN9</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</si>
  <si>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</si>
  <si>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</si>
  <si>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</si>
  <si>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Fadogia Agrestis 600mg Complexed with Tongkat Ali 400mg, 180 Capsules, Optimal Dosage for Enhanced Bioavailability, 20:1 Fadogia Argrestis Extract Indonesia Tongkat-Ali (Longjack)</t>
  </si>
  <si>
    <t>B09WJV9D1Y</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</si>
  <si>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</si>
  <si>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</si>
  <si>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</si>
  <si>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</si>
  <si>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</si>
  <si>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NatureBell PQQ 40mg with CoQ10, 180 Veggie Capsules | Active Pyrroloquinoline Quinone, Highly Bioavailable ZenPQQ+ Formula – Promotes Heart, Brain, &amp; Mitochondrial Health – Non-GMO</t>
  </si>
  <si>
    <t>B09KTDRCYD</t>
  </si>
  <si>
    <t>NatureBell Everyday Fruits and Vegetables Supplements, 480 Total Vegetarian Capsules</t>
  </si>
  <si>
    <t>B0CMK41YYD</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</si>
  <si>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</si>
  <si>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</si>
  <si>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</si>
  <si>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</si>
  <si>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</si>
  <si>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NatureBell Vitamin D3 5000 K2 (MK7) with Virgin Coconut Oil, 240 Softgels, 100mcg, 2 in 1 Support, Duo-Ack | 8 Months Supply | Third Party Tested, Non GMO &amp; No Gluten</t>
  </si>
  <si>
    <t>B09MJYVXX9</t>
  </si>
  <si>
    <t>NatureBell Quercetin 500mg Per Serving | 300 Capsules, Ultra Strength Quercetin Supplement | Bioflavonoids for Healthy Immune Support, Third Party Tested, Non-GMO &amp; No Gluten</t>
  </si>
  <si>
    <t>B0B8TJLSSP</t>
  </si>
  <si>
    <t>Omega 3 Fish Oil 4,200mg, 180 Burpless Softgels, Highly Purified EPA 1,200mg &amp; DHA 900mg | Lemon Flavored | Premium Wild Caught Fish from Deep Sea – Heart &amp; Brain Support – Mercury Free &amp; Non-GMO</t>
  </si>
  <si>
    <t>B0BSP4P38R</t>
  </si>
  <si>
    <t>NatureBell Evening Primrose Oil with Black Cohosh, 1,300mg Per Serving, 300 Mini-Softgels | Cold Pressed Seeds, Retains 130mg GLA for Womens Health &amp; Skin Care Support – Hexane Free, Non-GMO</t>
  </si>
  <si>
    <t>B0C6WN52Q9</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</si>
  <si>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</si>
  <si>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</si>
  <si>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</si>
  <si>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Zinc Quercetin 1300mg with Vitamin D3 5000IU, 120 Capsules, 4 in 1 Formula, Zinc 50mg, Vitamin C 250mg, Vitamin D3 5000 IU - Advanced Immune Defense, Non-GMO</t>
  </si>
  <si>
    <t>B085WGFPYS</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</si>
  <si>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</si>
  <si>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</si>
  <si>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</si>
  <si>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</si>
  <si>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</si>
  <si>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Triple Complex Magnesium Supplement, 240 Capsules | Magnesium Glycinate 500mg with Citrate &amp; Malate | Chelated &amp; Purified | Bone, Heart, &amp; Muscle Support | Non-GMO</t>
  </si>
  <si>
    <t>B0CMK2Z12X</t>
  </si>
  <si>
    <t xml:space="preserve">Boron 10mg with MCT Oil softgels 300 counts </t>
  </si>
  <si>
    <t>B0F11Z2BLQ</t>
  </si>
  <si>
    <t>Organic Hibiscus Tea Bags</t>
  </si>
  <si>
    <t>B0C6WP15YQ</t>
  </si>
  <si>
    <t>NatureBell Full Spectrum Vitamin K2 Supplement with MK-7 &amp; MK-4, 200 mcg, 240 Capsules | 2 in 1 Formula, K Vitamins Complex – Supports Bone, Joint, and Heart Health – Non-GMO</t>
  </si>
  <si>
    <t>B07R8JTQSZ</t>
  </si>
  <si>
    <t>NatureBell Cold Pressed Black Seed Oil 3,000mg Per Serving with Vitamin D3 2,000IU, 180 Softgels | Egyptian Nigella Sativa, Odorless Black Cumin Seed, Virgin Liquid Oil Capsules – Non-GMO</t>
  </si>
  <si>
    <t>B09238QQ52</t>
  </si>
  <si>
    <t xml:space="preserve">Electrolyte Jar Grape Flavor 500g </t>
  </si>
  <si>
    <t>B0DJWX4ZNQ</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</si>
  <si>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</si>
  <si>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</si>
  <si>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</si>
  <si>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Double Strength Triphala Supplement (Made with Organic Amla, Bibhitaki, Haritaki Fruit Complex), 1200mg Per Serving, 180 Capsules, 3 in 1 Formula, Supports Digestive Health, Non-GMO</t>
  </si>
  <si>
    <t>B076B5V4RQ</t>
  </si>
  <si>
    <t>NatureBell 2 Pack Cranberry Pills 36,000mg with Acerola, 480 Veggie Capsules | 100:1 Fresh Cranberries Extract – Organic Ingredients – Supports Urinary Tract Health – Sugar Free</t>
  </si>
  <si>
    <t>B07RD4CKP4</t>
  </si>
  <si>
    <t>Mucuna Pruriens Capsules, Triple Strength 1500mg Per Serving, 2 in 1 Formula, Made with Mucuna and Ashwagandha, 240 Capsules, Potent Seed Extract, Positive Mood, Relaxation &amp; Restoration Support</t>
  </si>
  <si>
    <t>B07K6Z195K</t>
  </si>
  <si>
    <t>2 Pack Olive Leaf Extract 30000mg, 480 Total Capsules | 40% Active Oleuropein, 50:1 Herbal Equivalent – Rich in Polyphenol &amp; Flavonoid Antioxidants for Immune &amp; Heart Health – Non-GMO</t>
  </si>
  <si>
    <t>B07VNJ97G1</t>
  </si>
  <si>
    <t>Tongkat Ali 200:1 (Longjack) Extract for Men, 2000mg Per Serving, Indonesia Origin, Eurycoma Longifolia | with Panax Ginseng for Energy, Stamina, &amp; Male Health Support (150 Count (Pack of 2))</t>
  </si>
  <si>
    <t>B0BMF3TMWZ</t>
  </si>
  <si>
    <t>NatureBell 2 Pack Hyaluronic Acid Supplements 2000mg | 480 Total Capsules, with MSM &amp; Multi Collagen – 3 in 1 Support – Skin Hydration, Joint Lubrication, Hair, and Eye Health</t>
  </si>
  <si>
    <t>B01FL9DFR4</t>
  </si>
  <si>
    <t>L-Lysine 1000mg + Quercetin 250mg Supplement, 240 Capsules, Free Form, 4-in-1 Lysine Complex, Quercetin with Vitamin C and Zinc | Immune Support | Promote Lips &amp; Skin Health</t>
  </si>
  <si>
    <t>B09F4GYTDQ</t>
  </si>
  <si>
    <t>Olive Leaf Extract 30000mg, 240 Capsules | 40% Active Oleuropein, 50:1 Herbal Equivalent – Rich in Polyphenol &amp; Flavonoid Antioxidants for Immune &amp; Heart Health – Non-GMO</t>
  </si>
  <si>
    <t>B076B7TYL7</t>
  </si>
  <si>
    <t>Magnesium Glycinate 500mg vegetarian</t>
  </si>
  <si>
    <t>B0DNVCPMYW</t>
  </si>
  <si>
    <t>Lutein 40mg and Zeaxanthin 1,600mcg Per Serving, 360 Softgels | 4 in 1 with Omega-3s, Astaxanthin, &amp; Phospholipids – Marigold Flower Extract – Eye Antioxidant Vitamins – Non-GMO</t>
  </si>
  <si>
    <t>B0C2S5MC6J</t>
  </si>
  <si>
    <t>NatureBell Cranberry Pills 36,000mg with Acerola, 240 Veggie Capsules | 100:1 Fresh Cranberries Extract – Made with Organic Ingredients – Supports Urinary Tract Health – Sugar Free</t>
  </si>
  <si>
    <t>B076BFRPNS</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</si>
  <si>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</si>
  <si>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</si>
  <si>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</si>
  <si>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</si>
  <si>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Ginkgo Biloba Extract 500mg Per Serving, 300 Capsules | GinkoVida | Extra Strength Ginko Biloba Supplement - Promote Memory, Focus and Brain Health</t>
  </si>
  <si>
    <t>B09F4ML3FF</t>
  </si>
  <si>
    <t>Benfotiamine 300mg with Thiamine 100mg Per Serving | 240 Veggie Capsules, Essential Vitamin B1 Benfotiamine Supplement, Bioavailable Fat &amp; Water Soluble Forms – Energy &amp; Nerve Support – Non-GMO</t>
  </si>
  <si>
    <t>B0C6YKYN2B</t>
  </si>
  <si>
    <t>NatureBell Vitamin B2 Riboflavin 400mg Per Serving, 240 Capsules | Essential Daily B Vitamin, Easily Absorbed Form – Supports Energy, Skin, and Cellular Health – Non-GMO, Gluten Free</t>
  </si>
  <si>
    <t>B0BSP461K1</t>
  </si>
  <si>
    <t>NatureBell Alpha Lipoic Acid 600mg Per Serving | 300 Capsules - with Vitamin B1 Complex | 4 in 1 - [R-ALA | S-ALA | Thiamine | Benfotiamine] - High Bioavailability, Third Party Tested | Non-GMO</t>
  </si>
  <si>
    <t>B0BB53JDMF</t>
  </si>
  <si>
    <t>High Potency Zinc Picolinate 100mg - 240 Capsules, Bioavailable Form of Zinc for Immune Support and Skin Health - Non-GMO and Gluten- Zinc Supplements</t>
  </si>
  <si>
    <t>B07VC1M3S3</t>
  </si>
  <si>
    <t>Pregnenolone 100mg, 200 Capsules | 99%+ Purity, Micronized Grade for Higher Absorption, Plant Based – Hormone*, Cognitive, &amp; Immune Health Supplement – Non-GMO, Soy Free</t>
  </si>
  <si>
    <t>B087CMV1PD</t>
  </si>
  <si>
    <t>Organic Lion's Mane Powder</t>
  </si>
  <si>
    <t>B0CFP9DF3C</t>
  </si>
  <si>
    <t>Huperzine A 400mcg Per Serving, 180 Capsules, (Huperzine A Supplement), Supports Focus, Cognition, Memory and Learning Ability, Premium Brain Health Supplement, No GMOs</t>
  </si>
  <si>
    <t>B07BKSH9GW</t>
  </si>
  <si>
    <t>St John's Wort Supplement, 1500mg Per Serving with 2250mcg Hypericin, 2 in 1 Formula St John's Wort Complex, 200 Capsules, Promote Emotional Balance, Joyful Mood &amp; Stress Response</t>
  </si>
  <si>
    <t>B07H9JTLWY</t>
  </si>
  <si>
    <t>Organic Mushroom Coffee with MCT Oil</t>
  </si>
  <si>
    <t>B0DS6Q88VS</t>
  </si>
  <si>
    <t>NAC Supplement (N-Acetyl Cysteine) with Quercetin, 1,200mg Per Serving, 240 Capsules | Double Strength Antioxidant Support for Immune, Liver, &amp; Lung Health – Non-GMO</t>
  </si>
  <si>
    <t>B0866BQP63</t>
  </si>
  <si>
    <t>TUDCA 500mg with Black Pepper Extract, 60 Capsules – High Absorption Livamate Formula, Natural Bitter Taste | Bile Salt Supplement | Third Party Tested</t>
  </si>
  <si>
    <t>B09KTBBYLQ</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</si>
  <si>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</si>
  <si>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</si>
  <si>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</si>
  <si>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</si>
  <si>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DHEA 50mg</t>
  </si>
  <si>
    <t>B0CX3MJQKM</t>
  </si>
  <si>
    <t>2 Pack Magnesium Citrate 500mg, 480 Capsules | High Purity Elemental Form – Extra Strength | Essential Mineral for Heart, Muscle, &amp; Digestion Support – Non-GMO &amp; No Gluten</t>
  </si>
  <si>
    <t>B07755F5YT</t>
  </si>
  <si>
    <t>NatureBell Resveratrol Supplement 1000mg Per Serving, 180 Veggie Capsules, 99% Pure Trans-Resveratrol, Antioxidant for Healthy Aging, Brain, &amp; Heart Support – Non-GMO</t>
  </si>
  <si>
    <t>B0C2SCVL8Z</t>
  </si>
  <si>
    <t>NatureBell Irish Sea Moss Capsules, 3,000mg Per Serving, 240 Veggie Pills | Made with Organic Raw Powder – 3 in 1 Plus Bladderwrack &amp; Burdock Root – Immune &amp; Thyroid Superfood Support – Non-GMO</t>
  </si>
  <si>
    <t>B0CP2YGSCZ</t>
  </si>
  <si>
    <t>Magnesium Glycinate Supplement 1,000mg | 500mg Per Capsule, 240 Pills | 100% Chelated &amp; Purified – Non-GMO &amp; Gluten Free</t>
  </si>
  <si>
    <t>B0CFPG9M5K</t>
  </si>
  <si>
    <t>Advanced Turkey Tail Quercetin Supplements, Turkey Tail (Coriolus Versicolor) with Quercetin 1100mg Per Serving, 180 Counts, 2 in 1 Formula, Immune System Booster, Daily Mushroom Mycelium Supplement</t>
  </si>
  <si>
    <t>B07YF52935</t>
  </si>
  <si>
    <t>NatureBell Melatonin 20mg, 365 Fast Dissolve Tablets - Natural Strawberry Flavor - Vegetarian Chewable Lozenges for 1 Year Supply, High Potency | Non-GMO, No Gluten</t>
  </si>
  <si>
    <t>B0B92XZZPJ</t>
  </si>
  <si>
    <t>NatureBell L Tryptophan 1500mg with L Theanine 200mg, 300 Capsules | Active Free Form, Plant Based Supplement – Calm Formula, Supports Relaxation – Non-GMO &amp; No Gluten</t>
  </si>
  <si>
    <t>B07V8LRWZK</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</si>
  <si>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</si>
  <si>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</si>
  <si>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</si>
  <si>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</si>
  <si>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</si>
  <si>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</si>
  <si>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</si>
  <si>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</si>
  <si>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NatureBell Hyaluronic Acid Supplements 2000mg Per Serving | 240 Capsules, with MSM &amp; Multi Collagen – 3 in 1 Support – Skin Hydration, Joint Lubrication, Hair, and Eye Health</t>
  </si>
  <si>
    <t>B01DPW5BNA</t>
  </si>
  <si>
    <t>NatureBell Glutathione Supplement 1000mg, 180 Veggie Capsules | 98%+ Purity Verified, Bioavailable Reduced Glutathione Pills, Active Form, Master Antioxidant – Vegan Friendly &amp; Non-GMO</t>
  </si>
  <si>
    <t>B09KTCYFZ7</t>
  </si>
  <si>
    <t>NatureBell P5P Vitamin B6 100mg Per Serving, 240 Capsules | Activated Pyridoxal 5 Phosphate Supplements – Essential B Vitamins for Brain &amp; Memory Health – Non-GMO</t>
  </si>
  <si>
    <t>B07GCBWP2M</t>
  </si>
  <si>
    <t>Vitamin B Complex for Women, 240 Veggie Capsules</t>
  </si>
  <si>
    <t>B0CMK1YPQN</t>
  </si>
  <si>
    <t>Korean Red Ginseng 2,250mg Per Serving, 240 Softgels | Panax Ginseng Root, Standardized to 10% Ginsenosides, Non-GMO, Support Energy, Male Performance, &amp; Immune System</t>
  </si>
  <si>
    <t>B07MTW3QDD</t>
  </si>
  <si>
    <t>NatureBell Lions Mane Supplement 9,000mg Per Serving, 240 Veggie Capsules | Made with Organic Lion’s Mane Powder Extract – Cognitive Brain Nootropic &amp; Immune Health Mushroom – Non-GMO</t>
  </si>
  <si>
    <t>B0CJK6YZYX</t>
  </si>
  <si>
    <t>NatureBell Biotin 10000mcg + Hyaluronic Acid 25mg | 250 Coconut Oil Softgels, Premium Biotin Vitamins for Hair Skin and Nails, Highly Purified and Bioavailable, Quick Release</t>
  </si>
  <si>
    <t>B0B34CDHNS</t>
  </si>
  <si>
    <t>Vitamin E 400iu</t>
  </si>
  <si>
    <t>B0CWKDYC5Q</t>
  </si>
  <si>
    <t>Colostrum with probiotics Powder 12oz</t>
  </si>
  <si>
    <t>B0DJWWQVHC</t>
  </si>
  <si>
    <t>Vaginal Probiotics 10 Billion 120 Veggie Capsules</t>
  </si>
  <si>
    <t>B0DJWW2B1L</t>
  </si>
  <si>
    <t>CoQ10 (Ubiquinone) 300mg with Omega 3 Fatty Acids, 240 Capsules</t>
  </si>
  <si>
    <t>B0CMK3LBGJ</t>
  </si>
  <si>
    <t>NatureBell Digestive Enzymes with Prebiotics | 240 Veggie Capsules - 20 Enzyme &amp; 5 Prebiotic Complex – Support Gut Health, Bloating Relief for Women &amp; Men, Non-GMO, Vegan Friendly</t>
  </si>
  <si>
    <t>B0CJK5JRPV</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</si>
  <si>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</si>
  <si>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</si>
  <si>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</si>
  <si>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</si>
  <si>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 xml:space="preserve">Taurine 1000mg capsules 500 count </t>
  </si>
  <si>
    <t>B0D87LZF99</t>
  </si>
  <si>
    <t>NatureBell Bromelain, 1,000mg Per Serving, 240 Veggie Capsules</t>
  </si>
  <si>
    <t>B0CMK9SWBJ</t>
  </si>
  <si>
    <t>NatureBell DHEA 100mg, 240 Capsules | Extra Strength, Micronized Grade for Better Absorption, Supports Energy Level, Metabolism and Healthy Aging for Men and Women, No GMOs and Made in U.S.A</t>
  </si>
  <si>
    <t>B074Q2KK6Z</t>
  </si>
  <si>
    <t>Choline 500mg with Omega-3 capsules 240 count</t>
  </si>
  <si>
    <t>B0D85V6X3G</t>
  </si>
  <si>
    <t>Vitamin D3 K2 (10,000 IU Vitamin D + 200mcg Vitamin K MK-7) 240 Softgels with Coconut Oil for Complete Absorption | Bone, Heart, Immune, &amp; Calcium Support | One a Day, Non-GMO</t>
  </si>
  <si>
    <t>B0C6WY48KJ</t>
  </si>
  <si>
    <t>NatureBell Red Yeast Rice 2,400mg with CoQ10 100mg | 240 Veggie Capsules (1,200mg Per Capsule) – Max Strength Herbal Supplement – Antioxidant Support for Energy &amp; Heart Health – Non-GMO</t>
  </si>
  <si>
    <t>B0CFPLT75L</t>
  </si>
  <si>
    <t>NatureBell L Methylfolate 15mg (5-MTHF) with Methyl B12 1,000mcg, 240 Vegetarian Capsules | High Potency Dual Action for Energy &amp; Cognitive Support, Active Folic Acid – Methyl Folate Supplement</t>
  </si>
  <si>
    <t>B0CHX3CST7</t>
  </si>
  <si>
    <t>NatureBell Organic Myco Guardians 10 in 1 Mushroom Powder, 10oz | Fresh Superfood Mushrooms Complex – Lions Mane, Turkey Tail, 8 More | Immune Booster &amp; Brain Health Supplement | No Fillers</t>
  </si>
  <si>
    <t>B0C485JWYV</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</si>
  <si>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</si>
  <si>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</si>
  <si>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</si>
  <si>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Allulose Sweetener 5lb</t>
  </si>
  <si>
    <t>B0DDCVSPP5</t>
  </si>
  <si>
    <t>CoQ10 100mg with Omega-3</t>
  </si>
  <si>
    <t>B0DJWWMBTF</t>
  </si>
  <si>
    <t xml:space="preserve">NAD+ 1500mg vegetarian capsules 240 count </t>
  </si>
  <si>
    <t>B0D85VVNF7</t>
  </si>
  <si>
    <t xml:space="preserve">Probiotics+ 200 billion CFU 40 </t>
  </si>
  <si>
    <t>B0DDCWYPWR</t>
  </si>
  <si>
    <t xml:space="preserve">Electrolyte Powder Lemon &amp; Raspberry Flavor 500g </t>
  </si>
  <si>
    <t>B0CX3GYCNN</t>
  </si>
  <si>
    <t>Magnesium Complex 400mg Supplement, 300 Capsules | Magnesium Glycinate + Citrate Elemental Forms – Essential Minerals for Heart, Muscle, &amp; Digestion Support – Non-GMO &amp; No Gluten</t>
  </si>
  <si>
    <t>B0BSP3CD3N</t>
  </si>
  <si>
    <t>Liver Cleanse Detox &amp; Repair Supplement, 240 Veggie Capsules</t>
  </si>
  <si>
    <t>B0CWN5QQ8V</t>
  </si>
  <si>
    <t>Magnesium Glycinate 200mg with Valerian Root, 300 Capsules</t>
  </si>
  <si>
    <t>B0CWNDCY6V</t>
  </si>
  <si>
    <t>Valerian Root Complex 5000mg</t>
  </si>
  <si>
    <t>B0F11D462D</t>
  </si>
  <si>
    <t>Organic Matcha Green Tea Powder Jar, 2lbs</t>
  </si>
  <si>
    <t>B0DT2NH3V9</t>
  </si>
  <si>
    <t>Magnesium Glycinate Powder Peach-Mango Flavor Jar 1lb</t>
  </si>
  <si>
    <t>B0DLXM7ZTC</t>
  </si>
  <si>
    <t>Magnesium Malate 1500mg capsules 240 count</t>
  </si>
  <si>
    <t>B0CWMWHRFC</t>
  </si>
  <si>
    <t>NatureBell Moringa Oleifera 8000mg Per Serving | 240 Capsules, Made with Organic Moringa Leaf Powder, Non-GMO, Gluten Free, Superfood Antioxidant, Skin Health &amp; Immune Support</t>
  </si>
  <si>
    <t>B07MTTBMD1</t>
  </si>
  <si>
    <t>2 Pack Magnesium Glycinate 500mg, 480 Capsules – 100% Chelated for Max Absorption – Bioavailable Mineral Supplement for Muscle, Joint, Enzyme, &amp; Heart Health</t>
  </si>
  <si>
    <t>B07RD4DFNZ</t>
  </si>
  <si>
    <t>Ashwagandha 12,500mg with black pepper</t>
  </si>
  <si>
    <t>B0DDM8LQMS</t>
  </si>
  <si>
    <t>CoQ10 (Ubiquinone) 400mg with Omega 3 Fatty Acids, 240 Capsules | Stable High Absorption Form – Antioxidant Support for Heart &amp; Energy Health – Extra Strength Coenzyme Q10 Supplement</t>
  </si>
  <si>
    <t>B0BSP5GTMQ</t>
  </si>
  <si>
    <t>NatureBell Ceylon Cinnamon 1800mg Per Serving, 180 Capsules, Made with Organic Sri Lanka Ceylon Cinnamon and Bitter Melon, 2 in 1 Support, Non-GMO, No Gluten</t>
  </si>
  <si>
    <t>B07MTVDV6Y</t>
  </si>
  <si>
    <t>HB</t>
  </si>
  <si>
    <t>Creatine Monohydrate Powder 300 Grams (60 Servings), Unflavored | Pure | Micronized Creatine Powder, 5000mg(5g) Per Serving, 2 Month Supply, Vegan | Keto, Non-GMO, No Filler, No Additives</t>
  </si>
  <si>
    <t>B09YX7G6JJ</t>
  </si>
  <si>
    <t>Magnesium Glycinate 400mg | Elemental Magnesium - 300 Capsules | Chelated for Easy Absorption | Highly Purified Essential Trace Mineral for Muscle, Joint, Heart, &amp; Immune Support</t>
  </si>
  <si>
    <t>B0BKRPXKWD</t>
  </si>
  <si>
    <t xml:space="preserve">Beef Gelatin Powder 1lb </t>
  </si>
  <si>
    <t>B0F1C28MLR</t>
  </si>
  <si>
    <t>Allulose Sweetener 6 Pounds</t>
  </si>
  <si>
    <t>B0F2L717LV</t>
  </si>
  <si>
    <t>CoQ10 600mg with DHA</t>
  </si>
  <si>
    <t>B0F1CC797J</t>
  </si>
  <si>
    <t>CoQ10 100mg, 240 Capsules – with Omega 3 Fatty Acid 100mg – Bioavailable Coenzyme Q10 Supplements – Heart, Energy, &amp; Brain Health Antioxidant Support – Non-GMO, One A Day</t>
  </si>
  <si>
    <t>B0CF3M3Y1M</t>
  </si>
  <si>
    <t>Myo-Inositol &amp; D-Chiro Inositol (40:1) 2,050mg Per Serving, 240 Veggie Capsules – with Folate, Vitamin D3, &amp; Vitex Complex – Hormonal, Ovarian, &amp; Liver Support Supplement</t>
  </si>
  <si>
    <t>B0BWGKT1PJ</t>
  </si>
  <si>
    <t xml:space="preserve">Astaxanthin 24mg softgels 120 count </t>
  </si>
  <si>
    <t>B0DNRKCZGT</t>
  </si>
  <si>
    <t xml:space="preserve">Organic Matcha Green Tea Powder Jar 1lb </t>
  </si>
  <si>
    <t>B0DJWSLKQS</t>
  </si>
  <si>
    <t>Bromelain Supplement 2,000mg Per Serving, 240 Capsules – Natural Proteolytic Enzymes from Fresh Pineapple – Supports Nutrient Digestion</t>
  </si>
  <si>
    <t>B09BDHTR2H</t>
  </si>
  <si>
    <t>整体水平没有变化只是primeday多出了一些</t>
  </si>
  <si>
    <t xml:space="preserve">Electrolyte Powder Lemon Lime Flavor Jar </t>
  </si>
  <si>
    <t>B0DJWN567H</t>
  </si>
  <si>
    <t>DEAL SUPPLEMENT Psyllium Husk Powder 3 lbs, 9,000mg Per Serving – Unflavored, Plant Based, Soluble Dietary Fiber – Great for Baking &amp; Cooking – Keto Friendly, Gluten Free, Non-GMO</t>
  </si>
  <si>
    <t>B0C3NM9959</t>
  </si>
  <si>
    <t>Magnesium Complex Supplement 500mg, 240 Veggie Capsules – 10 in 1 Blend with Glycinate, Citrate, Malate, &amp; More – Chelated for Easy Absorption – Muscle, Joint, &amp; Relaxation Support</t>
  </si>
  <si>
    <t>B07WS2TFP1</t>
  </si>
  <si>
    <t>Creatine Monohydrate Powder 600 Grams (1.32lb), Unflavored | Pure | Micronized Creatine Powder, 5000mg(5g) Per Serving, 4 Month Supply, Vegan | Keto, Non-GMO, No Filler, No Additives - 120 Servings</t>
  </si>
  <si>
    <t>B0B2FF7XN9</t>
  </si>
  <si>
    <t>Berberine Max Supplement, 5,000mg Per Serving, 240 Veggie Capsules – 97% Pure Berberine HCL – 25:1 Root Extract – Glucose Metabolism &amp; Weight Management Support– Non-GMO</t>
  </si>
  <si>
    <t>B0C7FPF4TT</t>
  </si>
  <si>
    <t>Max Strength Magnesium Glycinate 500mg Per Serving, 240 Capsules | Chelated, Highly Purified, Essential Mineral | Magnesium Supplement for Muscle, Joint, &amp; Heart Health</t>
  </si>
  <si>
    <t>B0CF3JV16Q</t>
  </si>
  <si>
    <t>Cayenne Pepper 5lb</t>
  </si>
  <si>
    <t>B0CDDY9DJL</t>
  </si>
  <si>
    <t xml:space="preserve">Saccaromyces Boulardii + FOS </t>
  </si>
  <si>
    <t>B0DJWTDKW3</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</si>
  <si>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</si>
  <si>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</si>
  <si>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</si>
  <si>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SUPPLEMENT Vitamin D3 50,000 IU + K2 MK7 200 mcg,240 Softgels | Virgin Coconut Oil, Max Strength Vitamin D &amp; K, Promotes Heart, Bone, &amp; Teeth Health – One Softgel Weekly, Easy to Swallow</t>
  </si>
  <si>
    <t>B0C8LR3L5M</t>
  </si>
  <si>
    <t>Nitric Oxide Booster 3,000mg Per Serving, 300 Capsules</t>
  </si>
  <si>
    <t>B0CZGHL1TW</t>
  </si>
  <si>
    <t>Vitamin D3K2 5,000IU with coconut oil</t>
  </si>
  <si>
    <t>B0CZFY5H2J</t>
  </si>
  <si>
    <t>Allulose Sweetener 2 Pounds – Natural Sugar Subsitutes, No Aftertaste - Keto Friendly, Vegan, Zero Net Carb, Zero Calorie, Great for Cooking &amp; Baking</t>
  </si>
  <si>
    <t>B0BL1R1T8Y</t>
  </si>
  <si>
    <t>DEAL SUPPLEMENT Alpha GPC 600mg Per Serving, 240 Capsules – Bioavailable Choline Replenishment –Nootropic Brain Health Supplements for Memory and Focus – Non-GMO, Gluten Free</t>
  </si>
  <si>
    <t>B0C2X5QQRR</t>
  </si>
  <si>
    <t>Dihydroberberine 100mg</t>
  </si>
  <si>
    <t>B0DCKRBV9T</t>
  </si>
  <si>
    <t>2 Pack Creatine Monohydrate Powder 600 Grams (21.2oz), Unflavored | Pure | Micronized Creatine Powder, 5000mg Per Serving, 4 Month Supply, Vegan | Keto, Non-GMO, No Filler, No Additives - 120 Servings</t>
  </si>
  <si>
    <t>B0BGR22RG6</t>
  </si>
  <si>
    <t>DEAL SUPPLEMENT Oil of Oregano Softgels with Black Seed Oil, 9,000mg Per Serving, 300 Count – 30:1 Extract, Active Carvacrol &amp; Thymoquinone – Antioxidant Immune Health Support – Plant Based, Non-GMO</t>
  </si>
  <si>
    <t>B0BWGY19D1</t>
  </si>
  <si>
    <t xml:space="preserve">Vitamin D3K2 2000IU with coconut oil </t>
  </si>
  <si>
    <t>B0DCJ6L37S</t>
  </si>
  <si>
    <t>Nattokinase 4,000 FU Per Serving, 240 Veggie Capsules – Bromelain, Turmeric Curcumin, with Black Pepper Complex – Heart Health &amp; Digestive Enzymes Supplement – Non-GMO, Vegan</t>
  </si>
  <si>
    <t>B0CF3HM62X</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</si>
  <si>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</si>
  <si>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</si>
  <si>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</si>
  <si>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Alpha Lipoic Acid 1,000mg, 180 Veggie Capsules – 50/50 R-ALA &amp; S-ALA for Max Bioavailability – Antioxidant Supplement – Energy &amp; Nervous System Support – Non-GMO</t>
  </si>
  <si>
    <t>B0BWHLHMHY</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</si>
  <si>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</si>
  <si>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</si>
  <si>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</si>
  <si>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DEAL SUPPLEMENT D Mannose Veggie Capsules, 2,000mg Per Serving, 240 Pills – Fast Acting Water-Soluble Form – Extra Strength Urinary Tract (UTI) Health Support – Non-GMO, Vegan Friendly</t>
  </si>
  <si>
    <t>B0C2SSC3XZ</t>
  </si>
  <si>
    <t>Ceylon Cinnamon 6000mg with Chromium 1000mcg, 240 Capsules | Active Inner Bark Extract, True Sri Lanka Source | Natural Cinnamon Supplements</t>
  </si>
  <si>
    <t>B084Z9VQ2Q</t>
  </si>
  <si>
    <t>DEAL SUPPLEMENT Citicoline CDP Choline, 1,000mg Per Serving, 120 Capsules – Extra Strength Choline Supplements – Nootropic B Vitamin Properties – Promotes Brain Health, Memory, &amp; Focus – Non-GMO</t>
  </si>
  <si>
    <t>B0C2WY5ZN1</t>
  </si>
  <si>
    <t>Unscented Magnesium Flakes, 10lbs</t>
  </si>
  <si>
    <t>B0CZFY5HHJ</t>
  </si>
  <si>
    <t>Korean Red Panax Ginseng Root Extract, 7,500mg Per Serving, 240 Softgels – 150mg Active Ginsenosides, 5:1 Max Strength Extract – Energy &amp; Immune Health Supplement – Non-GMO</t>
  </si>
  <si>
    <t>B08517K5QY</t>
  </si>
  <si>
    <t>Eagleshine Vitamins 2 Pack NAC Supplement (N-Acetyl Cysteine) 1,000mg Per Serving with Reduced Glutathione, 480 Total Capsules – Antioxidant Support for Immune Health, Lung, &amp; Liver Function</t>
  </si>
  <si>
    <t>B08M245LZF</t>
  </si>
  <si>
    <t>DIM Supplement 300mg, 240 Veggie Caps, 4 Months Supply, Diindolylmethane DIM Plus Black Pepper Extract, Estrogen Balance, Supports Acne &amp; PCOS Relief</t>
  </si>
  <si>
    <t>B07WV689LY</t>
  </si>
  <si>
    <t>DEAL SUPPLEMENT Ultra Strength HMB Supplements 3,000mg Per Serving, 240 Capsules | Third Party Tested | Supports Muscle Growth, Retention &amp; Lean Muscle Mass | Fast Workout Recovery</t>
  </si>
  <si>
    <t>B0C8M8X8PG</t>
  </si>
  <si>
    <t>KSM-66 Ashwagandha 1200mg</t>
  </si>
  <si>
    <t>B0DJWP1442</t>
  </si>
  <si>
    <t>Irish Sea Moss 7,000mg Per Serving, 240 Veggie Capsules</t>
  </si>
  <si>
    <t>B0CZFZYXN3</t>
  </si>
  <si>
    <t>B0F1BWQL3C</t>
  </si>
  <si>
    <t>Vitamin K2 (MK-7) 200mcg, 240 Virgin Coconut Oil Softgels | Premium Menaquinone-7 Form, Easily Absorbed Vitamin K Supplement – Bone, Joint, &amp; Immune Support – Non-GMO</t>
  </si>
  <si>
    <t>B088B4L5WB</t>
  </si>
  <si>
    <t>Mullein Leaf 20,000mg, 240 Veggie Capsules – 20:1 Max Strength Leaf Extract – Natural Soothing Herb for Lungs – Supports Respiratory &amp; Immune Health – Non-GMO, Vegan</t>
  </si>
  <si>
    <t>B0C8LYLM61</t>
  </si>
  <si>
    <t>Glutathione Supplement 1000mg Per Serving, 98% Purity | Plus Vitamin C 500mg, Active Reduced Form (GSH) | 60 Capsules - Intracellular Antioxidant, Detoxification* Support, Immune &amp; Skin Whitening</t>
  </si>
  <si>
    <t>B09BDNFL58</t>
  </si>
  <si>
    <t>Bioactive Vitamin B Complex | 240 Veggie Capsules - Methylated B Vitamins &amp; Esterified Vitamin C, High Potency &amp; Easy Absorption – Immune, Energy, &amp; Metabolism Supplement – Non-GMO, Vegan</t>
  </si>
  <si>
    <t>B0BWGKFVS9</t>
  </si>
  <si>
    <t>DEAL SUPPLEMENT Quercetin 1,000mg Per Serving, 300 Capsules – Healthy Immune Support Supplements, High Bioavailable Flavonoids, Natural Antioxidant – Non-GMO, Soy Free, No Gluten</t>
  </si>
  <si>
    <t>B07XW8BXDS</t>
  </si>
  <si>
    <t>Organic Lions Mane Mushroom Powder Supplement, 1,500mg Per Serving, 1lb – Active Fruiting Body &amp; Mycelium Extract – Natural Brain Nootropic &amp; Immune System Booster – Non-GMO</t>
  </si>
  <si>
    <t>B0C8LTR6L1</t>
  </si>
  <si>
    <t>Omega 3 Fish Oil Supplements, 3,000mg Per Serving, 240 Softgels – EPA 1,200mg + DHA 900mg – Burpless Pills, Lemon Flavored, Wild Caught – Brain &amp; Heart Support – Mercury Free, Non-GMO</t>
  </si>
  <si>
    <t>B0CF38KTZQ</t>
  </si>
  <si>
    <t>2 Pack Deal Supplement Vitamin D3 K2 Softgel, 250 Count, 2-1 Complex, Vitamin D3 5000 IU &amp; Vitamin K2 MK7, Promotes Heart, Bone &amp; Teeth Health – Very Easy to Swallow</t>
  </si>
  <si>
    <t>B08LMTG54X</t>
  </si>
  <si>
    <t>5-HTP 200mg Per Serving, 240 Capsules, 98% African Derived Griffonia Seed Extract | 4 in 1 Formula Plus Active L-Theanine, L-Tryptophan &amp; GABA, Complete Support for Positive Mood, Relaxation</t>
  </si>
  <si>
    <t>B08WHFZQSJ</t>
  </si>
  <si>
    <t>2 Pack of Tongkat Ali Extract 300:1 Enhanced with Horny Goat, 1100mg Per Serving, 180 Capsules, 2-1 Formula, Indonesia Origin Eurycoma Longifolia (Longjack), Max Strength Tongkat Ali for Men</t>
  </si>
  <si>
    <t>B0BMDPLQ3K</t>
  </si>
  <si>
    <t>DEAL SUPPLEMENT Vitamin E Supplements, 1,000 IU Per Serving, 240 Softgels – Extra Strength Antioxidant Protection – Bioavailable Stable Form – Skin, Heart, Brain, &amp; Immune Support – Non-GMO</t>
  </si>
  <si>
    <t>B0C2X2BW68</t>
  </si>
  <si>
    <t>DEAL SUPPLEMENT Premium K Complete - High Potency Vitamin K1, K2 MK-7 &amp; MK-4 Complex, 200 Coconut Oil Infused Softgels - Full Spectrum Triple Vitamin K, Optimal Bone &amp; Heart Health Support</t>
  </si>
  <si>
    <t>B0BWH7QPX6</t>
  </si>
  <si>
    <t xml:space="preserve">CoQ10 300mg with Omega-3 capsules 240 count </t>
  </si>
  <si>
    <t>B0F1C28KV6</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</si>
  <si>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</si>
  <si>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</si>
  <si>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</si>
  <si>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 xml:space="preserve">Organic Mushroom Coffee Jar 10oz </t>
  </si>
  <si>
    <t>B0DJWQN3G7</t>
  </si>
  <si>
    <t xml:space="preserve">Goat Milk 1lb </t>
  </si>
  <si>
    <t>B0F2L2SQT8</t>
  </si>
  <si>
    <t>Ultra Strength HMB Supplements 1000mg Per Serving, 300 Capsules | Third Party Tested | Supports Muscle Growth, Retention &amp; Lean Muscle Mass | Fast Workout Recovery</t>
  </si>
  <si>
    <t>B0971W4PSN</t>
  </si>
  <si>
    <t>DEAL SUPPLEMENT 2 Pack of Ultra Strength HMB Supplements 1000mg Per Serving, 600 Capsules | Third Party Tested | Supports Muscle Growth, Retention &amp; Lean Muscle Mass | Fast Workout Recover</t>
  </si>
  <si>
    <t>B0B7CMR12N</t>
  </si>
  <si>
    <t>Berberine 500mg with Yohimbine</t>
  </si>
  <si>
    <t>B0CZGQN3Y4</t>
  </si>
  <si>
    <t>Red Yeast Rice 1,200mg Per Serving with CoQ10 100mg, 300 Capsules – Heart Health Supplement &amp; Antioxidant Support – Pure Monascus Purpureus Powder Source – Citrinin Free, Non-GMO</t>
  </si>
  <si>
    <t>B07WV6898X</t>
  </si>
  <si>
    <t>Lions Mane Mushroom Supplement, 7,500mg Per Serving, 240 Capsules – Active Fruiting Body &amp; Mycelium 10:1 Extract – Natural Brain Nootropic &amp; Immune System Booster – Non-GMO</t>
  </si>
  <si>
    <t>B09KZ1VNPF</t>
  </si>
  <si>
    <t>Quercetin 1000mg Per Serving (2 Pack) | 300 Capsules, High Bioavailable Flavonoids, Third Party Tested, Supports Healthy Immune System, Non-GMO, No Gluten</t>
  </si>
  <si>
    <t>B08M23CLN5</t>
  </si>
  <si>
    <t>Benfotiamine 600mg Per Serving, 180 Veggie Capsules (300mg Per Cap), Fat Soluble Vitamin B1 Thiamine Supplement – Supports Energy &amp; Nervous System Health – 3rd Party Tested, Non-GMO, Gluten Free</t>
  </si>
  <si>
    <t>B0BWH53V3J</t>
  </si>
  <si>
    <t>Hyaluronic Acid Supplements 1,500mg – 240 Capsules, with MSM &amp; Vitamin C – Pure 95% | Non-GMO + Plant Based HA – Supports Healthy Joints, Bones, Connective Tissue, &amp; Skin Hydration</t>
  </si>
  <si>
    <t>B091G5YF1J</t>
  </si>
  <si>
    <t>Eagle Shine Vitamins 2 Pack Antarctic Krill Oil, 1,000mg Per Serving, 480 Softgels – Mercury Free, No Fishy Taste – Rich in Omega-3s, EPA, DHA, Astaxanthin, &amp; Phospholipids – Non-GMO, No Gluten</t>
  </si>
  <si>
    <t>B08X63BXLZ</t>
  </si>
  <si>
    <t>Kava Kava Supplement 750mg, 180 Capsules, 3 Months Supply, Kava Kava Root Extract, Promotes Stress &amp; Anxiety Relief, Mental Calmness and Restful Sleep</t>
  </si>
  <si>
    <t>B07XVS9MS3</t>
  </si>
  <si>
    <t>R Alpha Lipoic Acid 600mg with Benfotiamine 300mg Per Serving, 120 Veggie Capsules – 200mg R-ALA Per Capsule – Antioxidant Supplement for Energy &amp; Nervous System Support</t>
  </si>
  <si>
    <t>B0CF3P11B1</t>
  </si>
  <si>
    <t>Multi Collagen Protein Powder,1Lb - Type I, II, III, V, X Collagen Peptides with Biotin 10000mcg, Vitamin C &amp; Hyaluronic Acid - Unflavored - Keto &amp; Paleo Friendly, Great for Hair, Skin, Nails &amp; Joints</t>
  </si>
  <si>
    <t>B0BL1NMB59</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</si>
  <si>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</si>
  <si>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</si>
  <si>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</si>
  <si>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2 Pack Magnesium Glycinate 500mg, 480 Veggie Capsules | Chelated for Easy Absorption | Highly Purified Essential Trace Mineral for Muscle, Joint, Heart, &amp; Digestive Health</t>
  </si>
  <si>
    <t>B0C6V5K27L</t>
  </si>
  <si>
    <t>DEAL SUPPLEMENT Folic Acid 1000 mcg (1 mg), 500 Coconut Oil Softgels | Bioavailable Prenatal Vitamins (Vitamin B9) – 1,667 mcg DFE – Easy to Swallow, Non-GMO, &amp; No Gluten</t>
  </si>
  <si>
    <t>B09F2NL4H6</t>
  </si>
  <si>
    <t>DEAL SUPPLEMENT High Potency Vitamin A 25000 IU, 500 Coconut Oil Softgels | Easily Absorbed, Natural Fish Liver Oil Source – Vitamins for Eye, Immune, &amp; Skin Health – Easy to Swallow, Non-GMO</t>
  </si>
  <si>
    <t>B0BKR14XL3</t>
  </si>
  <si>
    <t xml:space="preserve">Fruits &amp; Veggies 240 caps </t>
  </si>
  <si>
    <t>B0DJWV79NT</t>
  </si>
  <si>
    <t>Moringa 9,000mg capsules 240 count</t>
  </si>
  <si>
    <t>B0DJWPJ2MX</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</si>
  <si>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</si>
  <si>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</si>
  <si>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</si>
  <si>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Bitter Melon 15,000mg Per Serving | 300 Capsules, with Berberine HCL | 15:1 Wild Bitter Melon Fruit Extract | Third Party Tested | Plant Based, Non-GMO &amp; No Gluten</t>
  </si>
  <si>
    <t>B081ZH92R6</t>
  </si>
  <si>
    <t>Ultra Strength CLA 3000mg | 240 Softgels, Active Conjugated Linoleic Acid from Non-GMO Safflower Oil, Non-Stimulating, Supports Weight Management | Lean Muscle Mass</t>
  </si>
  <si>
    <t>B07WWK3SMQ</t>
  </si>
  <si>
    <t>Magnesium Citrate Powder 500mg, 3lbs – Unflavored, Easily Absorbed – Purified Trace Mineral for Muscle, Heart, &amp; Digestive Support – One a Day, Non-GMO, Filler Free</t>
  </si>
  <si>
    <t>B0C8M1F4V7</t>
  </si>
  <si>
    <t>Allulose Sweetener Powder 4lb</t>
  </si>
  <si>
    <t>B0DCKRMSJ8</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</si>
  <si>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</si>
  <si>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</si>
  <si>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</si>
  <si>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CoQ10 200mg &amp; PQQ 200mcg, 240 Veggie Capsules – 2 in 1 Coenzyme Q10 Supplement for Better Absorption – Antioxidant Support for Energy, Brain, &amp; Heart Health – Non-GMO</t>
  </si>
  <si>
    <t>B0C2WV9FGF</t>
  </si>
  <si>
    <t>Tongkat Ali Extract 300:1 400mg &amp; Maca Root 400mg | 300 Capsules, Ultra Strength Longjack (Eurycoma Longifolia) + Peru Maca – Non-GMO, Herbal Supplement for Men Health, Performance, &amp; Energy</t>
  </si>
  <si>
    <t>B0C2WG9NLL</t>
  </si>
  <si>
    <t>DEAL SUPPLEMENT Unflavored Pea Protein Powder, 5lbs – Premium North American Grown Peas – Easily Digested Isolate Form – Great for Shakes, Bars, or Snacks – 27g Protein Serving, Soy Free, Vegan</t>
  </si>
  <si>
    <t>B0C2WJHQLT</t>
  </si>
  <si>
    <t>Magnesium Citrate 400mg Per Serving, 300 Veggie Capsules – Chelated for Easy Absorption – Purified Trace Mineral – Supports Muscle, Heart, &amp; Digestive Health – Non-GMO</t>
  </si>
  <si>
    <t>B0BWGPJNTR</t>
  </si>
  <si>
    <t>Organic Beet Root Powder 3lb</t>
  </si>
  <si>
    <t>B0C2XJ92Y6</t>
  </si>
  <si>
    <t>DEAL SUPPLEMENT Lutein and Zeaxanthin Supplements, 40mg Per Serving, 300 Softgels – Plus Astaxanthin, Omega-3s, &amp; Phospholipids – Essential Eye Vitamins &amp; Vision Health Support – Non-GMO</t>
  </si>
  <si>
    <t>B0C2XFMKWL</t>
  </si>
  <si>
    <t>DEAL SUPPLEMENT Methyl B-12 Vitamins 5000 mcg, 240 Chewable Tablets | Active Form - Strawberry Flavored - Energy Support &amp; Brain Health Function - Vegetarian &amp; GMO Free</t>
  </si>
  <si>
    <t>B0BKR522Q9</t>
  </si>
  <si>
    <t>Vitamin B2 400mg (Riboflavin) | with Magnesium Glycinate 400mg, 240 Capsules – 2 in 1 Support Healthy Nervous System, Mood, Blood &amp; Energy Production, Non-GMO</t>
  </si>
  <si>
    <t>B085PZLP29</t>
  </si>
  <si>
    <t>Vitamin B3 Nicotinamide 1,000mg Per Serving – 500 Capsules, Flush Free Niacin, Essential B3 Vitamin Supplement – Supports Healthy Skin &amp; Energy Production – Non-GMO</t>
  </si>
  <si>
    <t>B0C2X6VR58</t>
  </si>
  <si>
    <t>DEAL SUPPLEMENT Slippery Elm Capsules, 6,000mg Per Serving – 300 Pills, Made with Organic Inner Bark Powder Extract – Natural Herb for Soothing Throat &amp; Digestive Support – Non-GMO</t>
  </si>
  <si>
    <t>B0C2XJGG1H</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</si>
  <si>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</si>
  <si>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</si>
  <si>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</si>
  <si>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DHA Supplements | 240 Softgels, Burpless, Lemon Flavor, DHA 1000mg + EPA 500mg, Wild Caught Fish, Rich in Omega-3s, Mercury Free, Non-GMO, Support Brain Heart &amp; Joint Health</t>
  </si>
  <si>
    <t>B08WHZZP5F</t>
  </si>
  <si>
    <t>Vitamin B1 500mg with Benfotiamine, 240 Capsules – 2 in 1 Enhanced Formula – Fat &amp; Water Soluble Thiamine B1 Supplement – Third Party Tested, Non-GMO, No Gluten</t>
  </si>
  <si>
    <t>B081ZJQYVK</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</si>
  <si>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</si>
  <si>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</si>
  <si>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</si>
  <si>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Organic Lemon Powder, 1lb – Real Freeze-Dried Lemon Source – Rich in Essential Vitamin C – Natural Immune Support – Raw Lemon Juice Flavor &amp; Aroma – Non-GMO, Filler Free, No Sugar</t>
  </si>
  <si>
    <t>B0CF3RZQCZ</t>
  </si>
  <si>
    <t xml:space="preserve">Organic Stevia Extract Powder 12oz </t>
  </si>
  <si>
    <t>B0CF3K9R3G</t>
  </si>
  <si>
    <t>Essential Amino Acids (EAA) 2000mg Per Serving, 300 Capsules – Unflavored - 9 in 1, All BCAAs (Branched-Chain Aminos) – Lean Muscle Support &amp; Natural Pre Workout Supplement</t>
  </si>
  <si>
    <t>B0BWH3JMNB</t>
  </si>
  <si>
    <t>DEAL SUPPLEMENT Odorless Aged Garlic Pills, 6,000mg Per Serving, 500 Softgels – 24:1 Garlic Oil Extract – Fresh Allium Sativum Bulb Source – Heart &amp; Immune Antioxidant Supplements – Non-GMO</t>
  </si>
  <si>
    <t>B0CF3CTC2V</t>
  </si>
  <si>
    <t>Whole milk powder 3lb</t>
  </si>
  <si>
    <t>B0DJWTBLGH</t>
  </si>
  <si>
    <t>Mushroom Supplement, 8,000mg Per Serving, 240 Capsules – 10 in 1 Defense Formula</t>
  </si>
  <si>
    <t>B0BWH9RWC9</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</si>
  <si>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</si>
  <si>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</si>
  <si>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</si>
  <si>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Rhodiola Rosea with Ashwagandha 5,000mg Per Serving, 240 Veggie Capsules – Max Strength 10:1 Root Extract – Adaptogenic Supplements for Relaxation, Energy, &amp; Brain Health – Non-GMO</t>
  </si>
  <si>
    <t>B0C8PVGKSK</t>
  </si>
  <si>
    <t>Organic Peruvian Maca Root Powder, 3lbs</t>
  </si>
  <si>
    <t>B0CF3MT9NR</t>
  </si>
  <si>
    <t>Multi Collagen Pills with Hyaluronic Acid, Vitamin C &amp; Biotin 5000mcg, 300 Capsules - Type I, II, III, V, X Collagen Supplements for Women or Men - Hair, Skin, Nail, &amp; Joint Health - Unflavored, Keto</t>
  </si>
  <si>
    <t>B0C2WPPTNM</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</si>
  <si>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</si>
  <si>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</si>
  <si>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</si>
  <si>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Eagleshine Vitamins Phosphatidylserine Supplement, 400mg Per Serving, 240 Capsules – Soy Free Sunflower Lecithin Source – Retains 20% Active PS – Nootropic Brain Health Support – Non-GMO</t>
  </si>
  <si>
    <t>B0971RLCR2</t>
  </si>
  <si>
    <t>Resveratrol Complex 2000mg</t>
  </si>
  <si>
    <t>B0DJWR8MZ3</t>
  </si>
  <si>
    <t>Vitamin K2 Supplement 600mcg, 180 Virgin Coconut Oil Softgels – Full Spectrum MK-7 &amp; MK-4 Forms, High Absorption, Triple Strength K Vitamins – Bone, Joint, &amp; Immune Support – Non-GMO</t>
  </si>
  <si>
    <t>B0CF3N7PNY</t>
  </si>
  <si>
    <t>Psyllium Husk Fiber, 300 Capsules | 1500mg Per Serving, Complexed with Inulin &amp; Acacia – Natural Soluble Fiber Supplement, Plant Based, Non-GMO | Supports Digestive and Colon Health for Men and Women</t>
  </si>
  <si>
    <t>B0BKR4ZNH1</t>
  </si>
  <si>
    <t>9.9低價產品</t>
  </si>
  <si>
    <t>Zinc 50mg with Selenium 200mcg + Copper, 240 Capsules, 8 Month Supply, 3 in 1 Mineral Formula, Zinc Picolinate Complex Supplement, Supports Healthy Immune System for Adults and Kid</t>
  </si>
  <si>
    <t>B08FXYT1RT</t>
  </si>
  <si>
    <t>NAD+ 1000mg</t>
  </si>
  <si>
    <t>B0DJWRXKPX</t>
  </si>
  <si>
    <t>Ginkgo Biloba 500mg Per Serving, 300 Capsules, 5 Month Supply – Grown in Northern Asia – Extra Strength, Non-GMO, No Gluten</t>
  </si>
  <si>
    <t>B081NW5N61</t>
  </si>
  <si>
    <t>Apigenin, 100mg Per Serving, 240 Capsules – Plant Extract from Chamomile Flower – Active Bioflavonoids &amp; Antioxidants – Sleep &amp; Relaxation Supplement</t>
  </si>
  <si>
    <t>B09LFFGQXM</t>
  </si>
  <si>
    <t>Unsweetened Organic Coconut Milk Powder, 3lbs – Dairy Free Creamer Alternative – Sugar Free Raw Flavor – Rich Source of MCT Oil – Great for Coffee or Tea – Non-GMO, Plant Based, Keto</t>
  </si>
  <si>
    <t>B0CF3HYSHR</t>
  </si>
  <si>
    <t>Vitamin D3 10,000 IU + K2 MK7 200 mcg, Infused with Virgin Coconut Oil, 250 Softgels, Double Strength Vitamin D &amp; K, Promotes Heart, Bone &amp; Teeth Health - Very Easy to Swallow</t>
  </si>
  <si>
    <t>B08FXX6WSZ</t>
  </si>
  <si>
    <t>Organic Matcha Green Tea Powder, 2lbs (907g) | Zero Sugar, First Harvest | Culinary Grade, Cafe Mix, Keto Friendly, Genuine Japanese Source, Non-GMO, Vegetarian</t>
  </si>
  <si>
    <t>B0BY3V6ZR7</t>
  </si>
  <si>
    <t xml:space="preserve">Omega 3-6-9 3600mg 240 count </t>
  </si>
  <si>
    <t>B0F1C8CM23</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</si>
  <si>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</si>
  <si>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</si>
  <si>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</si>
  <si>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</si>
  <si>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</si>
  <si>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</si>
  <si>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</si>
  <si>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</si>
  <si>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</si>
  <si>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</si>
  <si>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</si>
  <si>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</si>
  <si>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</si>
  <si>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</si>
  <si>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</si>
  <si>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</si>
  <si>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</si>
  <si>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</si>
  <si>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</si>
  <si>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</si>
  <si>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</si>
  <si>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</si>
  <si>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</si>
  <si>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</si>
  <si>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</si>
  <si>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</si>
  <si>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</si>
  <si>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</si>
  <si>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</si>
  <si>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</si>
  <si>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</si>
  <si>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</si>
  <si>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</si>
  <si>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</si>
  <si>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</si>
  <si>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</si>
  <si>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</si>
  <si>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</si>
  <si>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</si>
  <si>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</si>
  <si>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</si>
  <si>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</si>
  <si>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</si>
  <si>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</si>
  <si>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</si>
  <si>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</si>
  <si>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</si>
  <si>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</si>
  <si>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</si>
  <si>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</si>
  <si>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</si>
  <si>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</si>
  <si>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</si>
  <si>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</si>
  <si>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</si>
  <si>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</si>
  <si>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</si>
  <si>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</si>
  <si>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</si>
  <si>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</si>
  <si>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</si>
  <si>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</si>
  <si>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</si>
  <si>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</si>
  <si>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</si>
  <si>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</si>
  <si>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</si>
  <si>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</si>
  <si>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</si>
  <si>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</si>
  <si>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</si>
  <si>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Sum of Units Ordered (4/1-4/28)</t>
  </si>
  <si>
    <t>Sum of Session (4/1-4/28)</t>
  </si>
  <si>
    <t>B07G7YPJSJ</t>
  </si>
  <si>
    <t>B07P3HDQD9</t>
  </si>
  <si>
    <t>B07W86RNBX</t>
  </si>
  <si>
    <t>B07W8XG27G</t>
  </si>
  <si>
    <t>B07WTXS4BL</t>
  </si>
  <si>
    <t>B081NWFC6W</t>
  </si>
  <si>
    <t>B085176YLP</t>
  </si>
  <si>
    <t>B086M6FBG4</t>
  </si>
  <si>
    <t>B0872L4YZS</t>
  </si>
  <si>
    <t>B08C4NZQYY</t>
  </si>
  <si>
    <t>B08WHGBYD3</t>
  </si>
  <si>
    <t>B08WHPNJTT</t>
  </si>
  <si>
    <t>B08C73K1PR</t>
  </si>
  <si>
    <t>B08X6N1YBK</t>
  </si>
  <si>
    <t>B092373KF3</t>
  </si>
  <si>
    <t>B087F1HYB7</t>
  </si>
  <si>
    <t>B0CG7C5X2F</t>
  </si>
  <si>
    <t>B07RD8TVDG</t>
  </si>
  <si>
    <t>B01MTLG2HR</t>
  </si>
  <si>
    <t>B01M3YCOJ4</t>
  </si>
  <si>
    <t>B01DPW5DD8</t>
  </si>
  <si>
    <t>B0BWH9Y7PZ</t>
  </si>
  <si>
    <t>B0C2SKQBDB</t>
  </si>
  <si>
    <t>B0C2W734WL</t>
  </si>
  <si>
    <t>B0CLFG8QLY</t>
  </si>
  <si>
    <t>B0CFPQWQNC</t>
  </si>
  <si>
    <t>B0C6VXPZTS</t>
  </si>
  <si>
    <t>B0C6W3MPRS</t>
  </si>
  <si>
    <t>B0C6WK3P6H</t>
  </si>
  <si>
    <t>B0C6WRVJQV</t>
  </si>
  <si>
    <t>B0C6WZJ2K6</t>
  </si>
  <si>
    <t>B0C6X5CZ98</t>
  </si>
  <si>
    <t>B0C88PXW63</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</si>
  <si>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</si>
  <si>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</si>
  <si>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</si>
  <si>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</si>
  <si>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</si>
  <si>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</si>
  <si>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</si>
  <si>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</si>
  <si>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</si>
  <si>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</si>
  <si>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</si>
  <si>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</si>
  <si>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</si>
  <si>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</si>
  <si>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</si>
  <si>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</si>
  <si>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</si>
  <si>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</si>
  <si>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</si>
  <si>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</si>
  <si>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</si>
  <si>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</si>
  <si>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</si>
  <si>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</si>
  <si>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</si>
  <si>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</si>
  <si>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</si>
  <si>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</si>
  <si>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</si>
  <si>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</si>
  <si>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</si>
  <si>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</si>
  <si>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</si>
  <si>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</si>
  <si>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</si>
  <si>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</si>
  <si>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</si>
  <si>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</si>
  <si>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</si>
  <si>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</si>
  <si>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</si>
  <si>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</si>
  <si>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</si>
  <si>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</si>
  <si>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</si>
  <si>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</si>
  <si>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</si>
  <si>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</si>
  <si>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</si>
  <si>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</si>
  <si>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</si>
  <si>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</si>
  <si>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</si>
  <si>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</si>
  <si>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</si>
  <si>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</si>
  <si>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</si>
  <si>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</si>
  <si>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</si>
  <si>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</si>
  <si>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Mar</t>
  </si>
  <si>
    <t>Apr</t>
  </si>
  <si>
    <t>May</t>
  </si>
  <si>
    <t>B0BFJXC2JN</t>
  </si>
  <si>
    <t>Brand</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</si>
  <si>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</si>
  <si>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</si>
  <si>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</si>
  <si>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</si>
  <si>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</si>
  <si>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</si>
  <si>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</si>
  <si>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</si>
  <si>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</si>
  <si>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</si>
  <si>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</si>
  <si>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</si>
  <si>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Organic Non-Fortified Nutritional Yeast Flakes, 2 lbs | Versatile Vegan Cheese Substitute, Natural Dairy Free Cheesy Seasoning – Rich Protein &amp; B Complex Vitamins Source – Keto, Non-GMO</t>
  </si>
  <si>
    <t>B0BSP1W5JW</t>
  </si>
  <si>
    <t>B085WGL72X</t>
  </si>
  <si>
    <t>2 Pack Maximum Strength Zinc 100mg, Zinc Picolinate Supplement, 480 Capsules, Zinc Vitamin and Immune Vitamins for Enzyme Function and Immune Support, Non-GMO and Made in USA</t>
  </si>
  <si>
    <t>2 Pack NatureBell Mucuna Pruriens Capsules, 1500mg Per Serving, Made with Mucuna and Ashwagandha, 480 Capsules, 2 in 1 Formula, Contains Mucuna Pruriens Seeds for Mood Mind and Brain Health</t>
  </si>
  <si>
    <t>Sambucus Elderberry Capsules, 5000mg Herbal Equivalent, with Quercetin 500mg, Zinc and Vitamin C, 200 Capsules, 4 in 1 Formula, Support Immune System, Premium Elderberry Zinc Quercetin Supplements</t>
  </si>
  <si>
    <t>Magnesium Glycinate 500mg Per Serving | 240 Veggie Capsule, 100% Chelated &amp; Purified – Non-GMO &amp; Gluten Free</t>
  </si>
  <si>
    <t>2 Pack Naturebell Zinc Quercetin with Vitamin C &amp; D3, 120 Capsules, Quercetin 1000mg, 4 in 1 Zinc 50mg, Vitamin C 250mg, Vitamin D3 5000 IU - Advanced Immune Defense, ZincVanta, Lung Support</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</si>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</sst>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_([$$-409]* #,##0.00_);_([$$-409]* \(#,##0.00\);_([$$-409]* &quot;-&quot;??_);_(@_)"/>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9">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6">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28" xfId="0" applyNumberFormat="1" applyFont="1" applyFill="1" applyBorder="1"/>
    <xf numFmtId="3" fontId="9" fillId="0" borderId="29" xfId="0" applyNumberFormat="1" applyFont="1" applyBorder="1"/>
    <xf numFmtId="3" fontId="9" fillId="10" borderId="29" xfId="0" applyNumberFormat="1" applyFont="1" applyFill="1" applyBorder="1"/>
    <xf numFmtId="3" fontId="9" fillId="11" borderId="29" xfId="0" applyNumberFormat="1" applyFont="1" applyFill="1" applyBorder="1"/>
    <xf numFmtId="9" fontId="7" fillId="0" borderId="30" xfId="0" applyNumberFormat="1" applyFont="1" applyBorder="1"/>
    <xf numFmtId="3" fontId="9" fillId="10" borderId="31" xfId="0" applyNumberFormat="1" applyFont="1" applyFill="1" applyBorder="1"/>
    <xf numFmtId="3" fontId="9" fillId="0" borderId="32" xfId="0" applyNumberFormat="1" applyFont="1" applyBorder="1"/>
    <xf numFmtId="3" fontId="9" fillId="10" borderId="32" xfId="0" applyNumberFormat="1" applyFont="1" applyFill="1" applyBorder="1"/>
    <xf numFmtId="9" fontId="7" fillId="0" borderId="33" xfId="0" applyNumberFormat="1" applyFont="1" applyBorder="1"/>
    <xf numFmtId="3" fontId="9" fillId="10" borderId="34" xfId="0" applyNumberFormat="1" applyFont="1" applyFill="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9" fontId="7" fillId="0" borderId="38"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70"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70" fontId="2" fillId="0" borderId="0" xfId="2" applyNumberFormat="1" applyFont="1" applyAlignment="1">
      <alignment horizontal="center"/>
    </xf>
    <xf numFmtId="170" fontId="0" fillId="0" borderId="0" xfId="2" applyNumberFormat="1" applyFont="1"/>
    <xf numFmtId="170" fontId="0" fillId="0" borderId="0" xfId="0" applyNumberFormat="1"/>
    <xf numFmtId="170" fontId="2" fillId="0" borderId="0" xfId="2" applyNumberFormat="1" applyFont="1"/>
    <xf numFmtId="0" fontId="7" fillId="0" borderId="0" xfId="0" applyFont="1" applyAlignment="1">
      <alignment vertical="center" wrapText="1"/>
    </xf>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TCOS'!$B$36:$AF$36</c:f>
              <c:strCache>
                <c:ptCount val="31"/>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strCache>
            </c:strRef>
          </c:cat>
          <c:val>
            <c:numRef>
              <c:f>'ACOS &amp; TCOS'!$B$37:$AF$37</c:f>
              <c:numCache>
                <c:formatCode>#,##0</c:formatCode>
                <c:ptCount val="31"/>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TCOS'!$B$36:$AF$36</c:f>
              <c:strCache>
                <c:ptCount val="31"/>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strCache>
            </c:strRef>
          </c:cat>
          <c:val>
            <c:numRef>
              <c:f>'ACOS &amp; TCOS'!$B$38:$AF$38</c:f>
              <c:numCache>
                <c:formatCode>#,##0</c:formatCode>
                <c:ptCount val="31"/>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TCOS'!$B$36:$AF$36</c:f>
              <c:strCache>
                <c:ptCount val="31"/>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strCache>
            </c:strRef>
          </c:cat>
          <c:val>
            <c:numRef>
              <c:f>'ACOS &amp; TCOS'!$B$39:$AF$39</c:f>
              <c:numCache>
                <c:formatCode>#,##0</c:formatCode>
                <c:ptCount val="31"/>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TCOS'!$B$36:$AF$36</c:f>
              <c:strCache>
                <c:ptCount val="31"/>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strCache>
            </c:strRef>
          </c:cat>
          <c:val>
            <c:numRef>
              <c:f>'ACOS &amp; TCOS'!$B$40:$AF$40</c:f>
              <c:numCache>
                <c:formatCode>#,##0</c:formatCode>
                <c:ptCount val="31"/>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44537749216404E-2"/>
          <c:y val="8.115657659416417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CVR!$A$432:$S$432</c:f>
              <c:strCache>
                <c:ptCount val="19"/>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strCache>
            </c:strRef>
          </c:cat>
          <c:val>
            <c:numRef>
              <c:f>CVR!$A$433:$S$433</c:f>
              <c:numCache>
                <c:formatCode>0.00%</c:formatCode>
                <c:ptCount val="19"/>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1324032</xdr:colOff>
      <xdr:row>439</xdr:row>
      <xdr:rowOff>2406</xdr:rowOff>
    </xdr:from>
    <xdr:to>
      <xdr:col>11</xdr:col>
      <xdr:colOff>1016000</xdr:colOff>
      <xdr:row>471</xdr:row>
      <xdr:rowOff>90934</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5"/>
  <sheetViews>
    <sheetView tabSelected="1" zoomScale="85" zoomScaleNormal="85" workbookViewId="0">
      <pane xSplit="2" ySplit="2" topLeftCell="C3" activePane="bottomRight" state="frozen"/>
      <selection pane="bottomRight" activeCell="J17" sqref="J17:Y18"/>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46" customWidth="1"/>
    <col min="22" max="22" width="10.28515625" customWidth="1"/>
    <col min="23" max="23" width="15.85546875" customWidth="1"/>
    <col min="24" max="24" width="15.42578125" customWidth="1"/>
    <col min="25" max="25" width="9.7109375" customWidth="1"/>
  </cols>
  <sheetData>
    <row r="1" spans="1:25" ht="14.45" customHeight="1">
      <c r="B1" s="163">
        <v>45809</v>
      </c>
      <c r="C1" s="162"/>
      <c r="E1" s="163">
        <v>45839</v>
      </c>
      <c r="F1" s="162"/>
      <c r="J1" s="164"/>
      <c r="K1" s="164"/>
      <c r="M1" s="165" t="s">
        <v>0</v>
      </c>
      <c r="N1" s="165"/>
      <c r="O1" s="1"/>
      <c r="Q1" s="10" t="s">
        <v>1</v>
      </c>
      <c r="R1" s="1"/>
      <c r="U1" s="162" t="s">
        <v>2</v>
      </c>
      <c r="V1" s="162"/>
      <c r="W1" s="162" t="s">
        <v>3</v>
      </c>
      <c r="X1" s="162"/>
    </row>
    <row r="2" spans="1:25">
      <c r="A2" s="3" t="s">
        <v>4</v>
      </c>
      <c r="B2" s="3" t="s">
        <v>5</v>
      </c>
      <c r="C2" s="3" t="s">
        <v>6</v>
      </c>
      <c r="E2" s="3" t="s">
        <v>5</v>
      </c>
      <c r="F2" s="3" t="s">
        <v>6</v>
      </c>
      <c r="G2" t="s">
        <v>7</v>
      </c>
      <c r="J2" t="s">
        <v>8</v>
      </c>
      <c r="K2" t="s">
        <v>9</v>
      </c>
      <c r="M2" t="s">
        <v>10</v>
      </c>
      <c r="N2" t="s">
        <v>10</v>
      </c>
      <c r="Q2" s="5" t="s">
        <v>11</v>
      </c>
      <c r="U2" s="146" t="s">
        <v>12</v>
      </c>
      <c r="V2" t="s">
        <v>9</v>
      </c>
      <c r="W2" t="s">
        <v>10</v>
      </c>
      <c r="X2" t="s">
        <v>13</v>
      </c>
      <c r="Y2" t="s">
        <v>9</v>
      </c>
    </row>
    <row r="3" spans="1:25" ht="13.9" customHeight="1">
      <c r="A3" t="s">
        <v>14</v>
      </c>
      <c r="B3" t="s">
        <v>15</v>
      </c>
      <c r="C3" s="28">
        <v>22711</v>
      </c>
      <c r="E3" t="s">
        <v>15</v>
      </c>
      <c r="F3" s="28">
        <v>27793</v>
      </c>
      <c r="G3" t="b">
        <f>IF(B3=E3,TRUE,FALSE)</f>
        <v>1</v>
      </c>
      <c r="J3" s="25">
        <f>F3-C3</f>
        <v>5082</v>
      </c>
      <c r="K3" s="4">
        <f>F3/C3-1</f>
        <v>0.22376821804411962</v>
      </c>
      <c r="M3" s="5">
        <v>30696.720000000001</v>
      </c>
      <c r="N3" s="5">
        <v>28290.6</v>
      </c>
      <c r="Q3" s="159">
        <v>188897.24</v>
      </c>
      <c r="U3" s="146">
        <f>N3-M3</f>
        <v>-2406.1200000000026</v>
      </c>
      <c r="V3" s="4">
        <f>IF(M3=0,0,N3/M3-1)</f>
        <v>-7.8383618836149305E-2</v>
      </c>
      <c r="W3" s="18">
        <v>791786.29999999993</v>
      </c>
      <c r="X3" s="18">
        <v>846097.22</v>
      </c>
      <c r="Y3" s="4">
        <f>X3/W3-1</f>
        <v>6.8592901897898573E-2</v>
      </c>
    </row>
    <row r="4" spans="1:25" ht="13.9" customHeight="1">
      <c r="A4" t="s">
        <v>16</v>
      </c>
      <c r="B4" t="s">
        <v>17</v>
      </c>
      <c r="C4" s="28">
        <v>19783</v>
      </c>
      <c r="E4" t="s">
        <v>17</v>
      </c>
      <c r="F4" s="28">
        <v>23686</v>
      </c>
      <c r="G4" t="b">
        <f>IF(B4=E4,TRUE,FALSE)</f>
        <v>1</v>
      </c>
      <c r="J4" s="25">
        <f>F4-C4</f>
        <v>3903</v>
      </c>
      <c r="K4" s="4">
        <f>F4/C4-1</f>
        <v>0.19729060304301682</v>
      </c>
      <c r="M4" s="5">
        <v>12901.369999999999</v>
      </c>
      <c r="N4" s="5">
        <v>16825.719999999998</v>
      </c>
      <c r="Q4" s="159">
        <v>149226.18</v>
      </c>
      <c r="U4" s="146">
        <f>N4-M4</f>
        <v>3924.3499999999985</v>
      </c>
      <c r="V4" s="4">
        <f>IF(M4=0,0,N4/M4-1)</f>
        <v>0.30418087381417624</v>
      </c>
      <c r="W4" s="18">
        <v>986666.7</v>
      </c>
      <c r="X4" s="18">
        <v>1130034.95</v>
      </c>
      <c r="Y4" s="4">
        <f>X4/W4-1</f>
        <v>0.14530565387480898</v>
      </c>
    </row>
    <row r="5" spans="1:25" ht="13.9" customHeight="1">
      <c r="A5" t="s">
        <v>18</v>
      </c>
      <c r="B5" t="s">
        <v>19</v>
      </c>
      <c r="C5" s="28">
        <v>15595</v>
      </c>
      <c r="E5" t="s">
        <v>19</v>
      </c>
      <c r="F5" s="28">
        <v>19148</v>
      </c>
      <c r="G5" t="b">
        <f>IF(B5=E5,TRUE,FALSE)</f>
        <v>1</v>
      </c>
      <c r="J5" s="25">
        <f>F5-C5</f>
        <v>3553</v>
      </c>
      <c r="K5" s="4">
        <f>F5/C5-1</f>
        <v>0.22782943251041998</v>
      </c>
      <c r="M5" s="5">
        <v>15276.19</v>
      </c>
      <c r="N5" s="5">
        <v>17855.72</v>
      </c>
      <c r="Q5" s="159">
        <v>112124.54</v>
      </c>
      <c r="U5" s="146">
        <f>N5-M5</f>
        <v>2579.5300000000007</v>
      </c>
      <c r="V5" s="4">
        <f>IF(M5=0,0,N5/M5-1)</f>
        <v>0.16885951274499722</v>
      </c>
      <c r="W5" s="18">
        <v>466932.29</v>
      </c>
      <c r="X5" s="18">
        <v>500952.71</v>
      </c>
      <c r="Y5" s="4">
        <f>X5/W5-1</f>
        <v>7.2859428933475634E-2</v>
      </c>
    </row>
    <row r="6" spans="1:25">
      <c r="A6" s="55" t="s">
        <v>20</v>
      </c>
      <c r="B6" s="37" t="s">
        <v>21</v>
      </c>
      <c r="C6" s="28">
        <v>13111</v>
      </c>
      <c r="E6" s="37" t="s">
        <v>21</v>
      </c>
      <c r="F6" s="28">
        <v>15640</v>
      </c>
      <c r="G6" t="b">
        <f>IF(B6=E6,TRUE,FALSE)</f>
        <v>1</v>
      </c>
      <c r="J6" s="25">
        <f>F6-C6</f>
        <v>2529</v>
      </c>
      <c r="K6" s="4">
        <f>F6/C6-1</f>
        <v>0.19289146518190825</v>
      </c>
      <c r="M6" s="5">
        <v>15630.46</v>
      </c>
      <c r="N6" s="5">
        <v>16801.330000000002</v>
      </c>
      <c r="Q6" s="158">
        <v>150689.53</v>
      </c>
      <c r="U6" s="146">
        <f>N6-M6</f>
        <v>1170.8700000000026</v>
      </c>
      <c r="V6" s="4">
        <f>IF(M6=0,0,N6/M6-1)</f>
        <v>7.4909503623054041E-2</v>
      </c>
      <c r="W6" s="18">
        <v>348572.42</v>
      </c>
      <c r="X6" s="18">
        <v>356313.67</v>
      </c>
      <c r="Y6" s="4">
        <f>X6/W6-1</f>
        <v>2.2208440931729578E-2</v>
      </c>
    </row>
    <row r="7" spans="1:25" ht="13.9" customHeight="1">
      <c r="A7" t="s">
        <v>22</v>
      </c>
      <c r="B7" t="s">
        <v>23</v>
      </c>
      <c r="C7" s="28">
        <v>15486</v>
      </c>
      <c r="E7" t="s">
        <v>23</v>
      </c>
      <c r="F7" s="28">
        <v>17919</v>
      </c>
      <c r="G7" t="b">
        <f>IF(B7=E7,TRUE,FALSE)</f>
        <v>1</v>
      </c>
      <c r="J7" s="25">
        <f>F7-C7</f>
        <v>2433</v>
      </c>
      <c r="K7" s="4">
        <f>F7/C7-1</f>
        <v>0.15710964742347922</v>
      </c>
      <c r="M7" s="5">
        <v>13814.65</v>
      </c>
      <c r="N7" s="5">
        <v>14145.15</v>
      </c>
      <c r="Q7" s="159">
        <v>82406.53</v>
      </c>
      <c r="U7" s="146">
        <f>N7-M7</f>
        <v>330.5</v>
      </c>
      <c r="V7" s="4">
        <f>IF(M7=0,0,N7/M7-1)</f>
        <v>2.3923877912216396E-2</v>
      </c>
      <c r="W7" s="18">
        <v>359038.67</v>
      </c>
      <c r="X7" s="18">
        <v>383518.47</v>
      </c>
      <c r="Y7" s="4">
        <f>X7/W7-1</f>
        <v>6.8181513707144648E-2</v>
      </c>
    </row>
    <row r="8" spans="1:25" ht="14.45" customHeight="1">
      <c r="A8" s="55" t="s">
        <v>24</v>
      </c>
      <c r="B8" s="37" t="s">
        <v>25</v>
      </c>
      <c r="C8" s="28">
        <v>4122</v>
      </c>
      <c r="E8" s="37" t="s">
        <v>25</v>
      </c>
      <c r="F8" s="28">
        <v>6159</v>
      </c>
      <c r="G8" t="b">
        <f>IF(B8=E8,TRUE,FALSE)</f>
        <v>1</v>
      </c>
      <c r="J8" s="25">
        <f>F8-C8</f>
        <v>2037</v>
      </c>
      <c r="K8" s="4">
        <f>F8/C8-1</f>
        <v>0.49417758369723441</v>
      </c>
      <c r="M8" s="5">
        <v>4789.0600000000004</v>
      </c>
      <c r="N8" s="5">
        <v>7399.79</v>
      </c>
      <c r="Q8" s="159">
        <v>41054.550000000003</v>
      </c>
      <c r="U8" s="146">
        <f>N8-M8</f>
        <v>2610.7299999999996</v>
      </c>
      <c r="V8" s="4">
        <f>IF(M8=0,0,N8/M8-1)</f>
        <v>0.54514455863989997</v>
      </c>
      <c r="W8" s="18">
        <v>102333.72000000002</v>
      </c>
      <c r="X8" s="18">
        <v>138406.25</v>
      </c>
      <c r="Y8" s="4">
        <f>X8/W8-1</f>
        <v>0.35249896124170976</v>
      </c>
    </row>
    <row r="9" spans="1:25" ht="13.9" customHeight="1">
      <c r="A9" t="s">
        <v>26</v>
      </c>
      <c r="B9" t="s">
        <v>27</v>
      </c>
      <c r="C9" s="28">
        <v>54639</v>
      </c>
      <c r="E9" t="s">
        <v>27</v>
      </c>
      <c r="F9" s="28">
        <v>56634</v>
      </c>
      <c r="G9" t="b">
        <f>IF(B9=E9,TRUE,FALSE)</f>
        <v>1</v>
      </c>
      <c r="J9" s="25">
        <f>F9-C9</f>
        <v>1995</v>
      </c>
      <c r="K9" s="4">
        <f>F9/C9-1</f>
        <v>3.6512381266128546E-2</v>
      </c>
      <c r="M9" s="5">
        <v>55795.76</v>
      </c>
      <c r="N9" s="5">
        <v>71931.490000000005</v>
      </c>
      <c r="Q9" s="159">
        <v>659755.32000000007</v>
      </c>
      <c r="U9" s="146">
        <f>N9-M9</f>
        <v>16135.730000000003</v>
      </c>
      <c r="V9" s="4">
        <f>IF(M9=0,0,N9/M9-1)</f>
        <v>0.28919276303432384</v>
      </c>
      <c r="W9" s="18">
        <v>1898256.25</v>
      </c>
      <c r="X9" s="18">
        <v>1790213.6900000002</v>
      </c>
      <c r="Y9" s="4">
        <f>X9/W9-1</f>
        <v>-5.6916741351437539E-2</v>
      </c>
    </row>
    <row r="10" spans="1:25" ht="13.9" customHeight="1">
      <c r="A10" t="s">
        <v>28</v>
      </c>
      <c r="B10" t="s">
        <v>29</v>
      </c>
      <c r="C10" s="28">
        <v>7195</v>
      </c>
      <c r="E10" t="s">
        <v>29</v>
      </c>
      <c r="F10" s="28">
        <v>9161</v>
      </c>
      <c r="G10" t="b">
        <f>IF(B10=E10,TRUE,FALSE)</f>
        <v>1</v>
      </c>
      <c r="J10" s="25">
        <f>F10-C10</f>
        <v>1966</v>
      </c>
      <c r="K10" s="4">
        <f>F10/C10-1</f>
        <v>0.27324530924252954</v>
      </c>
      <c r="M10" s="5">
        <v>6167.6</v>
      </c>
      <c r="N10" s="5">
        <v>10246.27</v>
      </c>
      <c r="Q10" s="159">
        <v>91354.07</v>
      </c>
      <c r="U10" s="146">
        <f>N10-M10</f>
        <v>4078.67</v>
      </c>
      <c r="V10" s="4">
        <f>IF(M10=0,0,N10/M10-1)</f>
        <v>0.66130585641092154</v>
      </c>
      <c r="W10" s="18">
        <v>215490.25</v>
      </c>
      <c r="X10" s="18">
        <v>254230.40999999997</v>
      </c>
      <c r="Y10" s="4">
        <f>X10/W10-1</f>
        <v>0.17977685765365248</v>
      </c>
    </row>
    <row r="11" spans="1:25" ht="13.9" customHeight="1">
      <c r="A11" s="55" t="s">
        <v>30</v>
      </c>
      <c r="B11" s="37" t="s">
        <v>31</v>
      </c>
      <c r="C11" s="19">
        <v>3301</v>
      </c>
      <c r="E11" s="37" t="s">
        <v>31</v>
      </c>
      <c r="F11" s="19">
        <v>5158</v>
      </c>
      <c r="G11" t="b">
        <f>IF(B11=E11,TRUE,FALSE)</f>
        <v>1</v>
      </c>
      <c r="J11" s="25">
        <f>F11-C11</f>
        <v>1857</v>
      </c>
      <c r="K11" s="4">
        <f>F11/C11-1</f>
        <v>0.5625568009694033</v>
      </c>
      <c r="M11" s="5">
        <v>165.62</v>
      </c>
      <c r="N11" s="5">
        <v>4353.8999999999996</v>
      </c>
      <c r="Q11" s="158">
        <v>46658.93</v>
      </c>
      <c r="U11" s="146">
        <f>N11-M11</f>
        <v>4188.28</v>
      </c>
      <c r="V11" s="4">
        <f>IF(M11=0,0,N11/M11-1)</f>
        <v>25.288491728052165</v>
      </c>
      <c r="W11">
        <v>82476.63</v>
      </c>
      <c r="X11">
        <v>128653</v>
      </c>
      <c r="Y11" s="4">
        <f>X11/W11-1</f>
        <v>0.55987217227473995</v>
      </c>
    </row>
    <row r="12" spans="1:25" ht="13.9" customHeight="1">
      <c r="A12" s="55" t="s">
        <v>32</v>
      </c>
      <c r="B12" s="37" t="s">
        <v>33</v>
      </c>
      <c r="C12" s="28">
        <v>1347</v>
      </c>
      <c r="E12" s="37" t="s">
        <v>33</v>
      </c>
      <c r="F12" s="28">
        <v>3162</v>
      </c>
      <c r="G12" t="b">
        <f>IF(B12=E12,TRUE,FALSE)</f>
        <v>1</v>
      </c>
      <c r="J12" s="25">
        <f>F12-C12</f>
        <v>1815</v>
      </c>
      <c r="K12" s="4">
        <f>F12/C12-1</f>
        <v>1.3474387527839644</v>
      </c>
      <c r="M12" s="5">
        <v>2079.65</v>
      </c>
      <c r="N12" s="5">
        <v>6583.79</v>
      </c>
      <c r="Q12" s="159">
        <v>47887.18</v>
      </c>
      <c r="U12" s="146">
        <f>N12-M12</f>
        <v>4504.1399999999994</v>
      </c>
      <c r="V12" s="4">
        <f>IF(M12=0,0,N12/M12-1)</f>
        <v>2.165816363330368</v>
      </c>
      <c r="W12" s="18">
        <v>33653.949999999997</v>
      </c>
      <c r="X12" s="18">
        <v>74648.59</v>
      </c>
      <c r="Y12" s="4">
        <f>X12/W12-1</f>
        <v>1.2181226869357089</v>
      </c>
    </row>
    <row r="13" spans="1:25" ht="13.9" customHeight="1">
      <c r="A13" t="s">
        <v>34</v>
      </c>
      <c r="B13" t="s">
        <v>35</v>
      </c>
      <c r="C13" s="28">
        <v>5962</v>
      </c>
      <c r="E13" t="s">
        <v>35</v>
      </c>
      <c r="F13" s="28">
        <v>7632</v>
      </c>
      <c r="G13" t="b">
        <f>IF(B13=E13,TRUE,FALSE)</f>
        <v>1</v>
      </c>
      <c r="J13" s="25">
        <f>F13-C13</f>
        <v>1670</v>
      </c>
      <c r="K13" s="4">
        <f>F13/C13-1</f>
        <v>0.28010734652801084</v>
      </c>
      <c r="M13" s="5">
        <v>6086.66</v>
      </c>
      <c r="N13" s="5">
        <v>6764.32</v>
      </c>
      <c r="Q13" s="159">
        <v>49794.26</v>
      </c>
      <c r="U13" s="146">
        <f>N13-M13</f>
        <v>677.65999999999985</v>
      </c>
      <c r="V13" s="4">
        <f>IF(M13=0,0,N13/M13-1)</f>
        <v>0.11133528076153421</v>
      </c>
      <c r="W13" s="18">
        <v>176948.19</v>
      </c>
      <c r="X13" s="18">
        <v>214950.68000000002</v>
      </c>
      <c r="Y13" s="4">
        <f>X13/W13-1</f>
        <v>0.21476619794754614</v>
      </c>
    </row>
    <row r="14" spans="1:25" ht="13.9" customHeight="1">
      <c r="A14" t="s">
        <v>36</v>
      </c>
      <c r="B14" t="s">
        <v>37</v>
      </c>
      <c r="C14" s="28">
        <v>4987</v>
      </c>
      <c r="E14" t="s">
        <v>37</v>
      </c>
      <c r="F14" s="28">
        <v>6540</v>
      </c>
      <c r="G14" t="b">
        <f>IF(B14=E14,TRUE,FALSE)</f>
        <v>1</v>
      </c>
      <c r="J14" s="25">
        <f>F14-C14</f>
        <v>1553</v>
      </c>
      <c r="K14" s="4">
        <f>F14/C14-1</f>
        <v>0.31140966512933632</v>
      </c>
      <c r="M14" s="5">
        <v>7863.94</v>
      </c>
      <c r="N14" s="5">
        <v>8808.7099999999991</v>
      </c>
      <c r="Q14" s="159">
        <v>64496.41</v>
      </c>
      <c r="U14" s="146">
        <f>N14-M14</f>
        <v>944.76999999999953</v>
      </c>
      <c r="V14" s="4">
        <f>IF(M14=0,0,N14/M14-1)</f>
        <v>0.12013952293633978</v>
      </c>
      <c r="W14" s="18">
        <v>171705.31</v>
      </c>
      <c r="X14" s="18">
        <v>206577.56</v>
      </c>
      <c r="Y14" s="4">
        <f>X14/W14-1</f>
        <v>0.2030936026381478</v>
      </c>
    </row>
    <row r="15" spans="1:25" ht="13.9" customHeight="1">
      <c r="A15" s="57" t="s">
        <v>38</v>
      </c>
      <c r="B15" s="37" t="s">
        <v>39</v>
      </c>
      <c r="C15" s="28">
        <v>3996</v>
      </c>
      <c r="E15" s="37" t="s">
        <v>39</v>
      </c>
      <c r="F15" s="28">
        <v>5543</v>
      </c>
      <c r="G15" t="b">
        <f>IF(B15=E15,TRUE,FALSE)</f>
        <v>1</v>
      </c>
      <c r="J15" s="25">
        <f>F15-C15</f>
        <v>1547</v>
      </c>
      <c r="K15" s="4">
        <f>F15/C15-1</f>
        <v>0.38713713713713704</v>
      </c>
      <c r="M15" s="5">
        <v>5986.26</v>
      </c>
      <c r="N15" s="5">
        <v>8156.45</v>
      </c>
      <c r="Q15" s="159">
        <v>51693.69</v>
      </c>
      <c r="U15" s="146">
        <f>N15-M15</f>
        <v>2170.1899999999996</v>
      </c>
      <c r="V15" s="4">
        <f>IF(M15=0,0,N15/M15-1)</f>
        <v>0.36252852365249755</v>
      </c>
      <c r="W15" s="18">
        <v>99198.98</v>
      </c>
      <c r="X15" s="18">
        <v>124855.58</v>
      </c>
      <c r="Y15" s="4">
        <f>X15/W15-1</f>
        <v>0.25863774002514961</v>
      </c>
    </row>
    <row r="16" spans="1:25" ht="13.9" customHeight="1">
      <c r="A16" s="55" t="s">
        <v>40</v>
      </c>
      <c r="B16" s="37" t="s">
        <v>41</v>
      </c>
      <c r="C16" s="28">
        <v>62</v>
      </c>
      <c r="E16" s="37" t="s">
        <v>41</v>
      </c>
      <c r="F16" s="28">
        <v>1589</v>
      </c>
      <c r="G16" t="b">
        <f>IF(B16=E16,TRUE,FALSE)</f>
        <v>1</v>
      </c>
      <c r="J16" s="25">
        <f>F16-C16</f>
        <v>1527</v>
      </c>
      <c r="K16" s="4">
        <f>F16/C16-1</f>
        <v>24.629032258064516</v>
      </c>
      <c r="M16" s="5">
        <v>194.64</v>
      </c>
      <c r="N16" s="5">
        <v>3655.84</v>
      </c>
      <c r="Q16" s="158">
        <v>18655.439999999999</v>
      </c>
      <c r="U16" s="146">
        <f>N16-M16</f>
        <v>3461.2000000000003</v>
      </c>
      <c r="V16" s="4">
        <f>IF(M16=0,0,N16/M16-1)</f>
        <v>17.782572955199345</v>
      </c>
      <c r="W16" s="18">
        <v>1574.38</v>
      </c>
      <c r="X16" s="18">
        <v>37173.74</v>
      </c>
      <c r="Y16" s="4">
        <f>X16/W16-1</f>
        <v>22.611669355555836</v>
      </c>
    </row>
    <row r="17" spans="1:25" ht="14.25" customHeight="1">
      <c r="A17" t="s">
        <v>42</v>
      </c>
      <c r="B17" t="s">
        <v>43</v>
      </c>
      <c r="C17" s="28">
        <v>2923</v>
      </c>
      <c r="E17" t="s">
        <v>43</v>
      </c>
      <c r="F17" s="28">
        <v>4426</v>
      </c>
      <c r="G17" t="b">
        <f>IF(B17=E17,TRUE,FALSE)</f>
        <v>1</v>
      </c>
      <c r="J17" s="25">
        <f>F17-C17</f>
        <v>1503</v>
      </c>
      <c r="K17" s="4">
        <f>F17/C17-1</f>
        <v>0.51419774204584323</v>
      </c>
      <c r="M17" s="5">
        <v>2096.2400000000002</v>
      </c>
      <c r="N17" s="5">
        <v>2928.56</v>
      </c>
      <c r="Q17" s="159">
        <v>31037.73</v>
      </c>
      <c r="U17" s="146">
        <f>N17-M17</f>
        <v>832.31999999999971</v>
      </c>
      <c r="V17" s="4">
        <f>IF(M17=0,0,N17/M17-1)</f>
        <v>0.39705377246880103</v>
      </c>
      <c r="W17" s="18">
        <v>116691.95</v>
      </c>
      <c r="X17" s="18">
        <v>163226.25</v>
      </c>
      <c r="Y17" s="4">
        <f>X17/W17-1</f>
        <v>0.39877900746366834</v>
      </c>
    </row>
    <row r="18" spans="1:25" ht="13.9" customHeight="1">
      <c r="A18" s="55" t="s">
        <v>44</v>
      </c>
      <c r="B18" s="37" t="s">
        <v>45</v>
      </c>
      <c r="C18" s="28">
        <v>309</v>
      </c>
      <c r="E18" s="37" t="s">
        <v>45</v>
      </c>
      <c r="F18" s="28">
        <v>1725</v>
      </c>
      <c r="G18" t="b">
        <f>IF(B18=E18,TRUE,FALSE)</f>
        <v>1</v>
      </c>
      <c r="J18" s="25">
        <f>F18-C18</f>
        <v>1416</v>
      </c>
      <c r="K18" s="4">
        <f>F18/C18-1</f>
        <v>4.5825242718446599</v>
      </c>
      <c r="M18" s="5">
        <v>504.03</v>
      </c>
      <c r="N18" s="5">
        <v>3259.47</v>
      </c>
      <c r="Q18" s="158">
        <v>22984.47</v>
      </c>
      <c r="U18" s="146">
        <f>N18-M18</f>
        <v>2755.4399999999996</v>
      </c>
      <c r="V18" s="4">
        <f>IF(M18=0,0,N18/M18-1)</f>
        <v>5.4668174513421821</v>
      </c>
      <c r="W18" s="18">
        <v>5867.91</v>
      </c>
      <c r="X18" s="18">
        <v>37344.76</v>
      </c>
      <c r="Y18" s="4">
        <f>X18/W18-1</f>
        <v>5.3642353069491531</v>
      </c>
    </row>
    <row r="19" spans="1:25" ht="13.9" customHeight="1">
      <c r="A19" s="55" t="s">
        <v>46</v>
      </c>
      <c r="B19" s="37" t="s">
        <v>47</v>
      </c>
      <c r="C19" s="19">
        <v>2928</v>
      </c>
      <c r="E19" s="37" t="s">
        <v>47</v>
      </c>
      <c r="F19" s="19">
        <v>4275</v>
      </c>
      <c r="G19" t="b">
        <f>IF(B19=E19,TRUE,FALSE)</f>
        <v>1</v>
      </c>
      <c r="J19" s="25">
        <f>F19-C19</f>
        <v>1347</v>
      </c>
      <c r="K19" s="4">
        <f>F19/C19-1</f>
        <v>0.46004098360655732</v>
      </c>
      <c r="M19" s="5">
        <v>1961.14</v>
      </c>
      <c r="N19" s="5">
        <v>4319.6499999999996</v>
      </c>
      <c r="Q19" s="158">
        <v>36083.800000000003</v>
      </c>
      <c r="U19" s="146">
        <f>N19-M19</f>
        <v>2358.5099999999993</v>
      </c>
      <c r="V19" s="4">
        <f>IF(M19=0,0,N19/M19-1)</f>
        <v>1.2026219443792892</v>
      </c>
      <c r="W19">
        <v>73046.100000000006</v>
      </c>
      <c r="X19">
        <v>89245.79</v>
      </c>
      <c r="Y19" s="4">
        <f>X19/W19-1</f>
        <v>0.22177351015317703</v>
      </c>
    </row>
    <row r="20" spans="1:25" ht="13.9" customHeight="1">
      <c r="A20" s="55" t="s">
        <v>48</v>
      </c>
      <c r="B20" s="37" t="s">
        <v>49</v>
      </c>
      <c r="C20" s="19">
        <v>57</v>
      </c>
      <c r="E20" s="37" t="s">
        <v>49</v>
      </c>
      <c r="F20" s="19">
        <v>1284</v>
      </c>
      <c r="G20" t="b">
        <f>IF(B20=E20,TRUE,FALSE)</f>
        <v>1</v>
      </c>
      <c r="J20" s="25">
        <f>F20-C20</f>
        <v>1227</v>
      </c>
      <c r="K20" s="4">
        <f>F20/C20-1</f>
        <v>21.526315789473685</v>
      </c>
      <c r="M20" s="5">
        <v>83.42</v>
      </c>
      <c r="N20" s="5">
        <v>2157.9</v>
      </c>
      <c r="Q20" s="158">
        <v>8547.32</v>
      </c>
      <c r="U20" s="146">
        <f>N20-M20</f>
        <v>2074.48</v>
      </c>
      <c r="V20" s="4">
        <f>IF(M20=0,0,N20/M20-1)</f>
        <v>24.867897386717814</v>
      </c>
      <c r="W20">
        <v>569.42999999999995</v>
      </c>
      <c r="X20">
        <v>12871.16</v>
      </c>
      <c r="Y20" s="4">
        <f>X20/W20-1</f>
        <v>21.603586042182535</v>
      </c>
    </row>
    <row r="21" spans="1:25" ht="13.9" customHeight="1">
      <c r="A21" t="s">
        <v>50</v>
      </c>
      <c r="B21" t="s">
        <v>51</v>
      </c>
      <c r="C21" s="28">
        <v>2112</v>
      </c>
      <c r="E21" t="s">
        <v>51</v>
      </c>
      <c r="F21" s="28">
        <v>3330</v>
      </c>
      <c r="G21" t="b">
        <f>IF(B21=E21,TRUE,FALSE)</f>
        <v>1</v>
      </c>
      <c r="J21" s="25">
        <f>F21-C21</f>
        <v>1218</v>
      </c>
      <c r="K21" s="4">
        <f>F21/C21-1</f>
        <v>0.57670454545454541</v>
      </c>
      <c r="M21" s="5">
        <v>2054.2399999999998</v>
      </c>
      <c r="N21" s="5">
        <v>3718.43</v>
      </c>
      <c r="Q21" s="159">
        <v>29267.81</v>
      </c>
      <c r="U21" s="146">
        <f>N21-M21</f>
        <v>1664.19</v>
      </c>
      <c r="V21" s="4">
        <f>IF(M21=0,0,N21/M21-1)</f>
        <v>0.81012442557831621</v>
      </c>
      <c r="W21" s="18">
        <v>74968.94</v>
      </c>
      <c r="X21" s="18">
        <v>109878.3</v>
      </c>
      <c r="Y21" s="4">
        <f>X21/W21-1</f>
        <v>0.46565097492374852</v>
      </c>
    </row>
    <row r="22" spans="1:25" ht="13.9" customHeight="1">
      <c r="A22" t="s">
        <v>52</v>
      </c>
      <c r="B22" t="s">
        <v>53</v>
      </c>
      <c r="C22" s="28">
        <v>0</v>
      </c>
      <c r="E22" t="s">
        <v>53</v>
      </c>
      <c r="F22" s="28">
        <v>1214</v>
      </c>
      <c r="G22" t="b">
        <f>IF(B22=E22,TRUE,FALSE)</f>
        <v>1</v>
      </c>
      <c r="J22" s="25">
        <f>F22-C22</f>
        <v>1214</v>
      </c>
      <c r="K22" s="4" t="e">
        <f>F22/C22-1</f>
        <v>#DIV/0!</v>
      </c>
      <c r="M22" s="5">
        <v>0</v>
      </c>
      <c r="N22" s="5">
        <v>2836.38</v>
      </c>
      <c r="Q22" s="159">
        <v>16061.35</v>
      </c>
      <c r="U22" s="146">
        <f>N22-M22</f>
        <v>2836.38</v>
      </c>
      <c r="V22" s="4">
        <f>IF(M22=0,0,N22/M22-1)</f>
        <v>0</v>
      </c>
      <c r="W22" s="18">
        <v>0</v>
      </c>
      <c r="X22" s="18">
        <v>25769.46</v>
      </c>
      <c r="Y22" s="4" t="e">
        <f>X22/W22-1</f>
        <v>#DIV/0!</v>
      </c>
    </row>
    <row r="23" spans="1:25" ht="13.9" customHeight="1">
      <c r="A23" t="s">
        <v>54</v>
      </c>
      <c r="B23" t="s">
        <v>55</v>
      </c>
      <c r="C23" s="28">
        <v>2903</v>
      </c>
      <c r="E23" t="s">
        <v>55</v>
      </c>
      <c r="F23" s="28">
        <v>4102</v>
      </c>
      <c r="G23" t="b">
        <f>IF(B23=E23,TRUE,FALSE)</f>
        <v>1</v>
      </c>
      <c r="J23" s="25">
        <f>F23-C23</f>
        <v>1199</v>
      </c>
      <c r="K23" s="4">
        <f>F23/C23-1</f>
        <v>0.41302101274543568</v>
      </c>
      <c r="M23" s="5">
        <v>3718.94</v>
      </c>
      <c r="N23" s="5">
        <v>4390.7299999999996</v>
      </c>
      <c r="Q23" s="159">
        <v>24674.78</v>
      </c>
      <c r="U23" s="146">
        <f>N23-M23</f>
        <v>671.78999999999951</v>
      </c>
      <c r="V23" s="4">
        <f>IF(M23=0,0,N23/M23-1)</f>
        <v>0.18064018241757052</v>
      </c>
      <c r="W23" s="18">
        <v>85915.97</v>
      </c>
      <c r="X23" s="18">
        <v>117118.69</v>
      </c>
      <c r="Y23" s="4">
        <f>X23/W23-1</f>
        <v>0.36317718347357308</v>
      </c>
    </row>
    <row r="24" spans="1:25" ht="13.9" customHeight="1">
      <c r="A24" t="s">
        <v>56</v>
      </c>
      <c r="B24" t="s">
        <v>57</v>
      </c>
      <c r="C24" s="28">
        <v>3129</v>
      </c>
      <c r="E24" t="s">
        <v>57</v>
      </c>
      <c r="F24" s="28">
        <v>4295</v>
      </c>
      <c r="G24" t="b">
        <f>IF(B24=E24,TRUE,FALSE)</f>
        <v>1</v>
      </c>
      <c r="J24" s="25">
        <f>F24-C24</f>
        <v>1166</v>
      </c>
      <c r="K24" s="4">
        <f>F24/C24-1</f>
        <v>0.37264301693831903</v>
      </c>
      <c r="M24" s="5">
        <v>3539.87</v>
      </c>
      <c r="N24" s="5">
        <v>3985.46</v>
      </c>
      <c r="Q24" s="159">
        <v>27946.2</v>
      </c>
      <c r="U24" s="146">
        <f>N24-M24</f>
        <v>445.59000000000015</v>
      </c>
      <c r="V24" s="4">
        <f>IF(M24=0,0,N24/M24-1)</f>
        <v>0.12587750397613484</v>
      </c>
      <c r="W24" s="18">
        <v>93683.6</v>
      </c>
      <c r="X24" s="18">
        <v>119277.67</v>
      </c>
      <c r="Y24" s="4">
        <f>X24/W24-1</f>
        <v>0.27319690959783771</v>
      </c>
    </row>
    <row r="25" spans="1:25" ht="13.9" customHeight="1">
      <c r="A25" s="55" t="s">
        <v>58</v>
      </c>
      <c r="B25" s="37" t="s">
        <v>59</v>
      </c>
      <c r="C25" s="28">
        <v>490</v>
      </c>
      <c r="E25" s="37" t="s">
        <v>59</v>
      </c>
      <c r="F25" s="28">
        <v>1502</v>
      </c>
      <c r="G25" t="b">
        <f>IF(B25=E25,TRUE,FALSE)</f>
        <v>1</v>
      </c>
      <c r="J25" s="25">
        <f>F25-C25</f>
        <v>1012</v>
      </c>
      <c r="K25" s="4">
        <f>F25/C25-1</f>
        <v>2.0653061224489795</v>
      </c>
      <c r="M25" s="5">
        <v>957.2</v>
      </c>
      <c r="N25" s="5">
        <v>2888.65</v>
      </c>
      <c r="Q25" s="158">
        <v>14473.32</v>
      </c>
      <c r="U25" s="146">
        <f>N25-M25</f>
        <v>1931.45</v>
      </c>
      <c r="V25" s="4">
        <f>IF(M25=0,0,N25/M25-1)</f>
        <v>2.0178123694107812</v>
      </c>
      <c r="W25" s="18">
        <v>4975.1000000000004</v>
      </c>
      <c r="X25" s="18">
        <v>15104.98</v>
      </c>
      <c r="Y25" s="4">
        <f>X25/W25-1</f>
        <v>2.0361158569676987</v>
      </c>
    </row>
    <row r="26" spans="1:25" ht="13.9" customHeight="1">
      <c r="A26" t="s">
        <v>60</v>
      </c>
      <c r="B26" t="s">
        <v>61</v>
      </c>
      <c r="C26" s="28">
        <v>11597</v>
      </c>
      <c r="E26" t="s">
        <v>61</v>
      </c>
      <c r="F26" s="28">
        <v>12606</v>
      </c>
      <c r="G26" t="b">
        <f>IF(B26=E26,TRUE,FALSE)</f>
        <v>1</v>
      </c>
      <c r="J26" s="25">
        <f>F26-C26</f>
        <v>1009</v>
      </c>
      <c r="K26" s="4">
        <f>F26/C26-1</f>
        <v>8.7005259981029592E-2</v>
      </c>
      <c r="M26" s="5">
        <v>17988.04</v>
      </c>
      <c r="N26" s="5">
        <v>16440.689999999999</v>
      </c>
      <c r="Q26" s="159">
        <v>96004.45</v>
      </c>
      <c r="U26" s="146">
        <f>N26-M26</f>
        <v>-1547.3500000000022</v>
      </c>
      <c r="V26" s="4">
        <f>IF(M26=0,0,N26/M26-1)</f>
        <v>-8.6021045094407333E-2</v>
      </c>
      <c r="W26" s="18">
        <v>380191.44</v>
      </c>
      <c r="X26" s="18">
        <v>401670.86</v>
      </c>
      <c r="Y26" s="4">
        <f>X26/W26-1</f>
        <v>5.6496327218729547E-2</v>
      </c>
    </row>
    <row r="27" spans="1:25" ht="13.9" customHeight="1">
      <c r="A27" s="55" t="s">
        <v>62</v>
      </c>
      <c r="B27" s="37" t="s">
        <v>63</v>
      </c>
      <c r="C27" s="28">
        <v>168</v>
      </c>
      <c r="E27" s="37" t="s">
        <v>63</v>
      </c>
      <c r="F27" s="28">
        <v>1168</v>
      </c>
      <c r="G27" t="b">
        <f>IF(B27=E27,TRUE,FALSE)</f>
        <v>1</v>
      </c>
      <c r="J27" s="25">
        <f>F27-C27</f>
        <v>1000</v>
      </c>
      <c r="K27" s="4">
        <f>F27/C27-1</f>
        <v>5.9523809523809526</v>
      </c>
      <c r="M27" s="5">
        <v>363.94</v>
      </c>
      <c r="N27" s="5">
        <v>3131.9</v>
      </c>
      <c r="Q27" s="158">
        <v>20195</v>
      </c>
      <c r="U27" s="146">
        <f>N27-M27</f>
        <v>2767.96</v>
      </c>
      <c r="V27" s="4">
        <f>IF(M27=0,0,N27/M27-1)</f>
        <v>7.6055393746221913</v>
      </c>
      <c r="W27" s="18">
        <v>3358.32</v>
      </c>
      <c r="X27" s="18">
        <v>17418.32</v>
      </c>
      <c r="Y27" s="4">
        <f>X27/W27-1</f>
        <v>4.1866171180828502</v>
      </c>
    </row>
    <row r="28" spans="1:25" ht="13.9" customHeight="1">
      <c r="A28" t="s">
        <v>64</v>
      </c>
      <c r="B28" t="s">
        <v>65</v>
      </c>
      <c r="C28" s="28">
        <v>10382</v>
      </c>
      <c r="E28" t="s">
        <v>65</v>
      </c>
      <c r="F28" s="28">
        <v>11370</v>
      </c>
      <c r="G28" t="b">
        <f>IF(B28=E28,TRUE,FALSE)</f>
        <v>1</v>
      </c>
      <c r="J28" s="25">
        <f>F28-C28</f>
        <v>988</v>
      </c>
      <c r="K28" s="4">
        <f>F28/C28-1</f>
        <v>9.5164708148719024E-2</v>
      </c>
      <c r="M28" s="5">
        <v>7083.29</v>
      </c>
      <c r="N28" s="5">
        <v>8878.08</v>
      </c>
      <c r="Q28" s="159">
        <v>67130.070000000007</v>
      </c>
      <c r="U28" s="146">
        <f>N28-M28</f>
        <v>1794.79</v>
      </c>
      <c r="V28" s="4">
        <f>IF(M28=0,0,N28/M28-1)</f>
        <v>0.25338366775890875</v>
      </c>
      <c r="W28" s="18">
        <v>308260.62</v>
      </c>
      <c r="X28" s="18">
        <v>324457.40999999997</v>
      </c>
      <c r="Y28" s="4">
        <f>X28/W28-1</f>
        <v>5.2542520676173154E-2</v>
      </c>
    </row>
    <row r="29" spans="1:25" ht="13.9" customHeight="1">
      <c r="A29" s="55" t="s">
        <v>66</v>
      </c>
      <c r="B29" s="37" t="s">
        <v>67</v>
      </c>
      <c r="C29" s="28">
        <v>2164</v>
      </c>
      <c r="E29" s="37" t="s">
        <v>67</v>
      </c>
      <c r="F29" s="28">
        <v>3146</v>
      </c>
      <c r="G29" t="b">
        <f>IF(B29=E29,TRUE,FALSE)</f>
        <v>1</v>
      </c>
      <c r="J29" s="25">
        <f>F29-C29</f>
        <v>982</v>
      </c>
      <c r="K29" s="4">
        <f>F29/C29-1</f>
        <v>0.45378927911275424</v>
      </c>
      <c r="M29" s="5">
        <v>3658.45</v>
      </c>
      <c r="N29" s="5">
        <v>7142.23</v>
      </c>
      <c r="Q29" s="158">
        <v>55399.66</v>
      </c>
      <c r="U29" s="146">
        <f>N29-M29</f>
        <v>3483.7799999999997</v>
      </c>
      <c r="V29" s="4">
        <f>IF(M29=0,0,N29/M29-1)</f>
        <v>0.95225573671910224</v>
      </c>
      <c r="W29" s="18">
        <v>52615.360000000001</v>
      </c>
      <c r="X29" s="18">
        <v>78568.56</v>
      </c>
      <c r="Y29" s="4">
        <f>X29/W29-1</f>
        <v>0.49326280386563925</v>
      </c>
    </row>
    <row r="30" spans="1:25" ht="13.9" customHeight="1">
      <c r="A30" t="s">
        <v>68</v>
      </c>
      <c r="B30" t="s">
        <v>69</v>
      </c>
      <c r="C30" s="28">
        <v>3632</v>
      </c>
      <c r="E30" t="s">
        <v>69</v>
      </c>
      <c r="F30" s="28">
        <v>4563</v>
      </c>
      <c r="G30" t="b">
        <f>IF(B30=E30,TRUE,FALSE)</f>
        <v>1</v>
      </c>
      <c r="J30" s="25">
        <f>F30-C30</f>
        <v>931</v>
      </c>
      <c r="K30" s="4">
        <f>F30/C30-1</f>
        <v>0.25633259911894268</v>
      </c>
      <c r="M30" s="5">
        <v>4594.62</v>
      </c>
      <c r="N30" s="5">
        <v>5429.64</v>
      </c>
      <c r="Q30" s="159">
        <v>31801.66</v>
      </c>
      <c r="U30" s="146">
        <f>N30-M30</f>
        <v>835.02000000000044</v>
      </c>
      <c r="V30" s="4">
        <f>IF(M30=0,0,N30/M30-1)</f>
        <v>0.18173864215103763</v>
      </c>
      <c r="W30" s="18">
        <v>94375.6</v>
      </c>
      <c r="X30" s="18">
        <v>111438.45</v>
      </c>
      <c r="Y30" s="4">
        <f>X30/W30-1</f>
        <v>0.1807972611564852</v>
      </c>
    </row>
    <row r="31" spans="1:25" ht="13.9" customHeight="1">
      <c r="A31" s="55" t="s">
        <v>70</v>
      </c>
      <c r="B31" s="37" t="s">
        <v>71</v>
      </c>
      <c r="C31" s="19">
        <v>655</v>
      </c>
      <c r="E31" s="37" t="s">
        <v>71</v>
      </c>
      <c r="F31" s="19">
        <v>1584</v>
      </c>
      <c r="G31" t="b">
        <f>IF(B31=E31,TRUE,FALSE)</f>
        <v>1</v>
      </c>
      <c r="J31" s="25">
        <f>F31-C31</f>
        <v>929</v>
      </c>
      <c r="K31" s="4">
        <f>F31/C31-1</f>
        <v>1.4183206106870228</v>
      </c>
      <c r="M31" s="5">
        <v>1836.88</v>
      </c>
      <c r="N31" s="5">
        <v>3454.92</v>
      </c>
      <c r="Q31" s="158">
        <v>21937.439999999999</v>
      </c>
      <c r="U31" s="146">
        <f>N31-M31</f>
        <v>1618.04</v>
      </c>
      <c r="V31" s="4">
        <f>IF(M31=0,0,N31/M31-1)</f>
        <v>0.88086320282217656</v>
      </c>
      <c r="W31">
        <v>9163.4500000000007</v>
      </c>
      <c r="X31">
        <v>26032.16</v>
      </c>
      <c r="Y31" s="4">
        <f>X31/W31-1</f>
        <v>1.8408688867184302</v>
      </c>
    </row>
    <row r="32" spans="1:25" ht="13.9" customHeight="1">
      <c r="A32" t="s">
        <v>72</v>
      </c>
      <c r="B32" t="s">
        <v>73</v>
      </c>
      <c r="C32" s="28">
        <v>2784</v>
      </c>
      <c r="E32" t="s">
        <v>73</v>
      </c>
      <c r="F32" s="28">
        <v>3681</v>
      </c>
      <c r="G32" t="b">
        <f>IF(B32=E32,TRUE,FALSE)</f>
        <v>1</v>
      </c>
      <c r="J32" s="25">
        <f>F32-C32</f>
        <v>897</v>
      </c>
      <c r="K32" s="4">
        <f>F32/C32-1</f>
        <v>0.32219827586206895</v>
      </c>
      <c r="M32" s="5">
        <v>5845.41</v>
      </c>
      <c r="N32" s="5">
        <v>5875.01</v>
      </c>
      <c r="Q32" s="159">
        <v>41250.92</v>
      </c>
      <c r="U32" s="146">
        <f>N32-M32</f>
        <v>29.600000000000364</v>
      </c>
      <c r="V32" s="4">
        <f>IF(M32=0,0,N32/M32-1)</f>
        <v>5.0638021969375835E-3</v>
      </c>
      <c r="W32" s="18">
        <v>80708.160000000003</v>
      </c>
      <c r="X32" s="18">
        <v>101546.69</v>
      </c>
      <c r="Y32" s="4">
        <f>X32/W32-1</f>
        <v>0.25819607335862949</v>
      </c>
    </row>
    <row r="33" spans="1:25" ht="13.9" customHeight="1">
      <c r="A33" t="s">
        <v>74</v>
      </c>
      <c r="B33" t="s">
        <v>75</v>
      </c>
      <c r="C33" s="28">
        <v>3039</v>
      </c>
      <c r="E33" t="s">
        <v>75</v>
      </c>
      <c r="F33" s="28">
        <v>3932</v>
      </c>
      <c r="G33" t="b">
        <f>IF(B33=E33,TRUE,FALSE)</f>
        <v>1</v>
      </c>
      <c r="J33" s="25">
        <f>F33-C33</f>
        <v>893</v>
      </c>
      <c r="K33" s="4">
        <f>F33/C33-1</f>
        <v>0.29384666008555449</v>
      </c>
      <c r="M33" s="5">
        <v>3285.98</v>
      </c>
      <c r="N33" s="5">
        <v>2442.56</v>
      </c>
      <c r="Q33" s="159">
        <v>18958.34</v>
      </c>
      <c r="U33" s="146">
        <f>N33-M33</f>
        <v>-843.42000000000007</v>
      </c>
      <c r="V33" s="4">
        <f>IF(M33=0,0,N33/M33-1)</f>
        <v>-0.2566722865020481</v>
      </c>
      <c r="W33" s="18">
        <v>84940.04</v>
      </c>
      <c r="X33" s="18">
        <v>101993.64</v>
      </c>
      <c r="Y33" s="4">
        <f>X33/W33-1</f>
        <v>0.2007722153180056</v>
      </c>
    </row>
    <row r="34" spans="1:25" ht="13.9" customHeight="1">
      <c r="A34" t="s">
        <v>76</v>
      </c>
      <c r="B34" t="s">
        <v>77</v>
      </c>
      <c r="C34" s="28">
        <v>0</v>
      </c>
      <c r="E34" t="s">
        <v>77</v>
      </c>
      <c r="F34" s="28">
        <v>846</v>
      </c>
      <c r="G34" t="b">
        <f>IF(B34=E34,TRUE,FALSE)</f>
        <v>1</v>
      </c>
      <c r="J34" s="25">
        <f>F34-C34</f>
        <v>846</v>
      </c>
      <c r="K34" s="4" t="e">
        <f>F34/C34-1</f>
        <v>#DIV/0!</v>
      </c>
      <c r="M34" s="5">
        <v>0</v>
      </c>
      <c r="N34" s="5">
        <v>744.41</v>
      </c>
      <c r="Q34" s="159">
        <v>9361.0300000000007</v>
      </c>
      <c r="U34" s="146">
        <f>N34-M34</f>
        <v>744.41</v>
      </c>
      <c r="V34" s="4">
        <f>IF(M34=0,0,N34/M34-1)</f>
        <v>0</v>
      </c>
      <c r="W34" s="18">
        <v>0</v>
      </c>
      <c r="X34" s="18">
        <v>33861.54</v>
      </c>
      <c r="Y34" s="4" t="e">
        <f>X34/W34-1</f>
        <v>#DIV/0!</v>
      </c>
    </row>
    <row r="35" spans="1:25" ht="13.9" customHeight="1">
      <c r="A35" t="s">
        <v>78</v>
      </c>
      <c r="B35" t="s">
        <v>79</v>
      </c>
      <c r="C35" s="28">
        <v>3361</v>
      </c>
      <c r="E35" t="s">
        <v>79</v>
      </c>
      <c r="F35" s="28">
        <v>4196</v>
      </c>
      <c r="G35" t="b">
        <f>IF(B35=E35,TRUE,FALSE)</f>
        <v>1</v>
      </c>
      <c r="J35" s="25">
        <f>F35-C35</f>
        <v>835</v>
      </c>
      <c r="K35" s="4">
        <f>F35/C35-1</f>
        <v>0.24843796489140146</v>
      </c>
      <c r="M35" s="5">
        <v>2657.91</v>
      </c>
      <c r="N35" s="5">
        <v>2627.55</v>
      </c>
      <c r="Q35" s="159">
        <v>23201.77</v>
      </c>
      <c r="U35" s="146">
        <f>N35-M35</f>
        <v>-30.359999999999673</v>
      </c>
      <c r="V35" s="4">
        <f>IF(M35=0,0,N35/M35-1)</f>
        <v>-1.1422508662821462E-2</v>
      </c>
      <c r="W35" s="18">
        <v>110665.85999999999</v>
      </c>
      <c r="X35" s="18">
        <v>128664.23999999999</v>
      </c>
      <c r="Y35" s="4">
        <f>X35/W35-1</f>
        <v>0.16263714934307649</v>
      </c>
    </row>
    <row r="36" spans="1:25" ht="13.9" customHeight="1">
      <c r="A36" t="s">
        <v>80</v>
      </c>
      <c r="B36" t="s">
        <v>81</v>
      </c>
      <c r="C36" s="28">
        <v>2830</v>
      </c>
      <c r="E36" t="s">
        <v>81</v>
      </c>
      <c r="F36" s="28">
        <v>3639</v>
      </c>
      <c r="G36" t="b">
        <f>IF(B36=E36,TRUE,FALSE)</f>
        <v>1</v>
      </c>
      <c r="J36" s="25">
        <f>F36-C36</f>
        <v>809</v>
      </c>
      <c r="K36" s="4">
        <f>F36/C36-1</f>
        <v>0.28586572438162539</v>
      </c>
      <c r="M36" s="5">
        <v>2470.54</v>
      </c>
      <c r="N36" s="5">
        <v>2636.97</v>
      </c>
      <c r="Q36" s="159">
        <v>23716.66</v>
      </c>
      <c r="U36" s="146">
        <f>N36-M36</f>
        <v>166.42999999999984</v>
      </c>
      <c r="V36" s="4">
        <f>IF(M36=0,0,N36/M36-1)</f>
        <v>6.7365839047333731E-2</v>
      </c>
      <c r="W36" s="18">
        <v>110189.55000000002</v>
      </c>
      <c r="X36" s="18">
        <v>121282.19</v>
      </c>
      <c r="Y36" s="4">
        <f>X36/W36-1</f>
        <v>0.1006687113251663</v>
      </c>
    </row>
    <row r="37" spans="1:25" ht="13.9" customHeight="1">
      <c r="A37" t="s">
        <v>82</v>
      </c>
      <c r="B37" t="s">
        <v>83</v>
      </c>
      <c r="C37" s="28">
        <v>2207</v>
      </c>
      <c r="E37" t="s">
        <v>83</v>
      </c>
      <c r="F37" s="28">
        <v>3012</v>
      </c>
      <c r="G37" t="b">
        <f>IF(B37=E37,TRUE,FALSE)</f>
        <v>1</v>
      </c>
      <c r="J37" s="25">
        <f>F37-C37</f>
        <v>805</v>
      </c>
      <c r="K37" s="4">
        <f>F37/C37-1</f>
        <v>0.36474852741277752</v>
      </c>
      <c r="M37" s="5">
        <v>1718.72</v>
      </c>
      <c r="N37" s="5">
        <v>2839.51</v>
      </c>
      <c r="Q37" s="159">
        <v>24132.54</v>
      </c>
      <c r="U37" s="146">
        <f>N37-M37</f>
        <v>1120.7900000000002</v>
      </c>
      <c r="V37" s="4">
        <f>IF(M37=0,0,N37/M37-1)</f>
        <v>0.65210738223794462</v>
      </c>
      <c r="W37" s="18">
        <v>85322.559999999998</v>
      </c>
      <c r="X37" s="18">
        <v>107825.41</v>
      </c>
      <c r="Y37" s="4">
        <f>X37/W37-1</f>
        <v>0.26373857043201721</v>
      </c>
    </row>
    <row r="38" spans="1:25" ht="13.9" customHeight="1">
      <c r="A38" t="s">
        <v>84</v>
      </c>
      <c r="B38" t="s">
        <v>85</v>
      </c>
      <c r="C38" s="28">
        <v>2033</v>
      </c>
      <c r="E38" t="s">
        <v>85</v>
      </c>
      <c r="F38" s="28">
        <v>2836</v>
      </c>
      <c r="G38" t="b">
        <f>IF(B38=E38,TRUE,FALSE)</f>
        <v>1</v>
      </c>
      <c r="J38" s="25">
        <f>F38-C38</f>
        <v>803</v>
      </c>
      <c r="K38" s="4">
        <f>F38/C38-1</f>
        <v>0.39498278406296117</v>
      </c>
      <c r="M38" s="5">
        <v>4930.18</v>
      </c>
      <c r="N38" s="5">
        <v>5001.5200000000004</v>
      </c>
      <c r="Q38" s="159">
        <v>29216.15</v>
      </c>
      <c r="U38" s="146">
        <f>N38-M38</f>
        <v>71.340000000000146</v>
      </c>
      <c r="V38" s="4">
        <f>IF(M38=0,0,N38/M38-1)</f>
        <v>1.4470059916676492E-2</v>
      </c>
      <c r="W38" s="18">
        <v>60517.67</v>
      </c>
      <c r="X38" s="18">
        <v>79014.740000000005</v>
      </c>
      <c r="Y38" s="4">
        <f>X38/W38-1</f>
        <v>0.30564742495869401</v>
      </c>
    </row>
    <row r="39" spans="1:25" ht="13.9" customHeight="1">
      <c r="A39" t="s">
        <v>86</v>
      </c>
      <c r="B39" t="s">
        <v>87</v>
      </c>
      <c r="C39" s="28">
        <v>3911</v>
      </c>
      <c r="E39" t="s">
        <v>87</v>
      </c>
      <c r="F39" s="28">
        <v>4709</v>
      </c>
      <c r="G39" t="b">
        <f>IF(B39=E39,TRUE,FALSE)</f>
        <v>1</v>
      </c>
      <c r="J39" s="25">
        <f>F39-C39</f>
        <v>798</v>
      </c>
      <c r="K39" s="4">
        <f>F39/C39-1</f>
        <v>0.20403988749680391</v>
      </c>
      <c r="M39" s="5">
        <v>5020.6099999999997</v>
      </c>
      <c r="N39" s="5">
        <v>5633.55</v>
      </c>
      <c r="Q39" s="159">
        <v>45331.199999999997</v>
      </c>
      <c r="U39" s="146">
        <f>N39-M39</f>
        <v>612.94000000000051</v>
      </c>
      <c r="V39" s="4">
        <f>IF(M39=0,0,N39/M39-1)</f>
        <v>0.12208476659210743</v>
      </c>
      <c r="W39" s="18">
        <v>152275.73000000001</v>
      </c>
      <c r="X39" s="18">
        <v>169589.46999999997</v>
      </c>
      <c r="Y39" s="4">
        <f>X39/W39-1</f>
        <v>0.11369993103956855</v>
      </c>
    </row>
    <row r="40" spans="1:25" ht="13.9" customHeight="1">
      <c r="A40" t="s">
        <v>88</v>
      </c>
      <c r="B40" t="s">
        <v>89</v>
      </c>
      <c r="C40" s="28">
        <v>6953</v>
      </c>
      <c r="E40" t="s">
        <v>89</v>
      </c>
      <c r="F40" s="28">
        <v>7713</v>
      </c>
      <c r="G40" t="b">
        <f>IF(B40=E40,TRUE,FALSE)</f>
        <v>1</v>
      </c>
      <c r="J40" s="25">
        <f>F40-C40</f>
        <v>760</v>
      </c>
      <c r="K40" s="4">
        <f>F40/C40-1</f>
        <v>0.10930533582626212</v>
      </c>
      <c r="M40" s="5">
        <v>9705.8799999999992</v>
      </c>
      <c r="N40" s="5">
        <v>11430.13</v>
      </c>
      <c r="Q40" s="159">
        <v>74064.960000000006</v>
      </c>
      <c r="U40" s="146">
        <f>N40-M40</f>
        <v>1724.25</v>
      </c>
      <c r="V40" s="4">
        <f>IF(M40=0,0,N40/M40-1)</f>
        <v>0.1776500430666772</v>
      </c>
      <c r="W40" s="18">
        <v>200916.24</v>
      </c>
      <c r="X40" s="18">
        <v>209229.13999999998</v>
      </c>
      <c r="Y40" s="4">
        <f>X40/W40-1</f>
        <v>4.1374953065018483E-2</v>
      </c>
    </row>
    <row r="41" spans="1:25" ht="13.9" customHeight="1">
      <c r="A41" t="s">
        <v>90</v>
      </c>
      <c r="B41" t="s">
        <v>91</v>
      </c>
      <c r="C41" s="28">
        <v>2588</v>
      </c>
      <c r="E41" t="s">
        <v>91</v>
      </c>
      <c r="F41" s="28">
        <v>3345</v>
      </c>
      <c r="G41" t="b">
        <f>IF(B41=E41,TRUE,FALSE)</f>
        <v>1</v>
      </c>
      <c r="J41" s="25">
        <f>F41-C41</f>
        <v>757</v>
      </c>
      <c r="K41" s="4">
        <f>F41/C41-1</f>
        <v>0.29250386398763517</v>
      </c>
      <c r="M41" s="5">
        <v>2373.67</v>
      </c>
      <c r="N41" s="5">
        <v>3677.33</v>
      </c>
      <c r="Q41" s="159">
        <v>22840.17</v>
      </c>
      <c r="U41" s="146">
        <f>N41-M41</f>
        <v>1303.6599999999999</v>
      </c>
      <c r="V41" s="4">
        <f>IF(M41=0,0,N41/M41-1)</f>
        <v>0.54921703522393583</v>
      </c>
      <c r="W41" s="18">
        <v>77510.600000000006</v>
      </c>
      <c r="X41" s="18">
        <v>92960.82</v>
      </c>
      <c r="Y41" s="4">
        <f>X41/W41-1</f>
        <v>0.19933041416270814</v>
      </c>
    </row>
    <row r="42" spans="1:25" ht="13.9" customHeight="1">
      <c r="A42" s="55" t="s">
        <v>92</v>
      </c>
      <c r="B42" s="37" t="s">
        <v>93</v>
      </c>
      <c r="C42" s="28">
        <v>482</v>
      </c>
      <c r="E42" s="37" t="s">
        <v>93</v>
      </c>
      <c r="F42" s="28">
        <v>1227</v>
      </c>
      <c r="G42" t="b">
        <f>IF(B42=E42,TRUE,FALSE)</f>
        <v>1</v>
      </c>
      <c r="J42" s="25">
        <f>F42-C42</f>
        <v>745</v>
      </c>
      <c r="K42" s="4">
        <f>F42/C42-1</f>
        <v>1.5456431535269708</v>
      </c>
      <c r="M42" s="5">
        <v>908.78</v>
      </c>
      <c r="N42" s="5">
        <v>2503.69</v>
      </c>
      <c r="Q42" s="158">
        <v>14244.86</v>
      </c>
      <c r="U42" s="146">
        <f>N42-M42</f>
        <v>1594.91</v>
      </c>
      <c r="V42" s="4">
        <f>IF(M42=0,0,N42/M42-1)</f>
        <v>1.7550012104139618</v>
      </c>
      <c r="W42" s="18">
        <v>6743.18</v>
      </c>
      <c r="X42" s="18">
        <v>17171.75</v>
      </c>
      <c r="Y42" s="4">
        <f>X42/W42-1</f>
        <v>1.5465359073908749</v>
      </c>
    </row>
    <row r="43" spans="1:25" ht="13.9" customHeight="1">
      <c r="A43" t="s">
        <v>94</v>
      </c>
      <c r="B43" t="s">
        <v>95</v>
      </c>
      <c r="C43" s="28">
        <v>4050</v>
      </c>
      <c r="E43" t="s">
        <v>95</v>
      </c>
      <c r="F43" s="28">
        <v>4785</v>
      </c>
      <c r="G43" t="b">
        <f>IF(B43=E43,TRUE,FALSE)</f>
        <v>1</v>
      </c>
      <c r="J43" s="25">
        <f>F43-C43</f>
        <v>735</v>
      </c>
      <c r="K43" s="4">
        <f>F43/C43-1</f>
        <v>0.18148148148148158</v>
      </c>
      <c r="M43" s="5">
        <v>6428.27</v>
      </c>
      <c r="N43" s="5">
        <v>6663.9</v>
      </c>
      <c r="Q43" s="159">
        <v>36594.550000000003</v>
      </c>
      <c r="U43" s="146">
        <f>N43-M43</f>
        <v>235.6299999999992</v>
      </c>
      <c r="V43" s="4">
        <f>IF(M43=0,0,N43/M43-1)</f>
        <v>3.6655274280638306E-2</v>
      </c>
      <c r="W43" s="18">
        <v>88869.55</v>
      </c>
      <c r="X43" s="18">
        <v>99191.02</v>
      </c>
      <c r="Y43" s="4">
        <f>X43/W43-1</f>
        <v>0.11614180560158127</v>
      </c>
    </row>
    <row r="44" spans="1:25" ht="13.9" customHeight="1">
      <c r="A44" s="55" t="s">
        <v>96</v>
      </c>
      <c r="B44" s="37" t="s">
        <v>97</v>
      </c>
      <c r="C44" s="19">
        <v>1824</v>
      </c>
      <c r="E44" s="37" t="s">
        <v>97</v>
      </c>
      <c r="F44" s="19">
        <v>2537</v>
      </c>
      <c r="G44" t="b">
        <f>IF(B44=E44,TRUE,FALSE)</f>
        <v>1</v>
      </c>
      <c r="J44" s="25">
        <f>F44-C44</f>
        <v>713</v>
      </c>
      <c r="K44" s="4">
        <f>F44/C44-1</f>
        <v>0.39089912280701755</v>
      </c>
      <c r="M44" s="5">
        <v>1905.02</v>
      </c>
      <c r="N44" s="5">
        <v>4863.33</v>
      </c>
      <c r="Q44" s="158">
        <v>34357.949999999997</v>
      </c>
      <c r="U44" s="146">
        <f>N44-M44</f>
        <v>2958.31</v>
      </c>
      <c r="V44" s="4">
        <f>IF(M44=0,0,N44/M44-1)</f>
        <v>1.55290233173405</v>
      </c>
      <c r="W44">
        <v>45505.05</v>
      </c>
      <c r="X44">
        <v>58916.26</v>
      </c>
      <c r="Y44" s="4">
        <f>X44/W44-1</f>
        <v>0.29471915754405287</v>
      </c>
    </row>
    <row r="45" spans="1:25">
      <c r="A45" s="55" t="s">
        <v>98</v>
      </c>
      <c r="B45" s="37" t="s">
        <v>99</v>
      </c>
      <c r="C45" s="28">
        <v>43</v>
      </c>
      <c r="E45" s="37" t="s">
        <v>99</v>
      </c>
      <c r="F45" s="28">
        <v>752</v>
      </c>
      <c r="G45" t="b">
        <f>IF(B45=E45,TRUE,FALSE)</f>
        <v>1</v>
      </c>
      <c r="J45" s="25">
        <f>F45-C45</f>
        <v>709</v>
      </c>
      <c r="K45" s="4">
        <f>F45/C45-1</f>
        <v>16.488372093023255</v>
      </c>
      <c r="M45" s="5">
        <v>48.35</v>
      </c>
      <c r="N45" s="5">
        <v>2380.89</v>
      </c>
      <c r="Q45" s="158">
        <v>14535.02</v>
      </c>
      <c r="U45" s="146">
        <f>N45-M45</f>
        <v>2332.54</v>
      </c>
      <c r="V45" s="4">
        <f>IF(M45=0,0,N45/M45-1)</f>
        <v>48.242812823164421</v>
      </c>
      <c r="W45" s="18">
        <v>1289.57</v>
      </c>
      <c r="X45" s="18">
        <v>15231.880000000001</v>
      </c>
      <c r="Y45" s="4">
        <f>X45/W45-1</f>
        <v>10.811596113433161</v>
      </c>
    </row>
    <row r="46" spans="1:25">
      <c r="A46" t="s">
        <v>100</v>
      </c>
      <c r="B46" t="s">
        <v>101</v>
      </c>
      <c r="C46" s="28">
        <v>4127</v>
      </c>
      <c r="E46" t="s">
        <v>101</v>
      </c>
      <c r="F46" s="28">
        <v>4825</v>
      </c>
      <c r="G46" t="b">
        <f>IF(B46=E46,TRUE,FALSE)</f>
        <v>1</v>
      </c>
      <c r="J46" s="25">
        <f>F46-C46</f>
        <v>698</v>
      </c>
      <c r="K46" s="4">
        <f>F46/C46-1</f>
        <v>0.16913011873031247</v>
      </c>
      <c r="M46" s="5">
        <v>4731.13</v>
      </c>
      <c r="N46" s="5">
        <v>6647.08</v>
      </c>
      <c r="Q46" s="159">
        <v>36579.39</v>
      </c>
      <c r="U46" s="146">
        <f>N46-M46</f>
        <v>1915.9499999999998</v>
      </c>
      <c r="V46" s="4">
        <f>IF(M46=0,0,N46/M46-1)</f>
        <v>0.40496667815088561</v>
      </c>
      <c r="W46" s="18">
        <v>111337.75</v>
      </c>
      <c r="X46" s="18">
        <v>125062.46</v>
      </c>
      <c r="Y46" s="4">
        <f>X46/W46-1</f>
        <v>0.12327094808364647</v>
      </c>
    </row>
    <row r="47" spans="1:25">
      <c r="A47" t="s">
        <v>102</v>
      </c>
      <c r="B47" t="s">
        <v>103</v>
      </c>
      <c r="C47" s="28">
        <v>0</v>
      </c>
      <c r="E47" t="s">
        <v>103</v>
      </c>
      <c r="F47" s="28">
        <v>697</v>
      </c>
      <c r="G47" t="b">
        <f>IF(B47=E47,TRUE,FALSE)</f>
        <v>1</v>
      </c>
      <c r="J47" s="25">
        <f>F47-C47</f>
        <v>697</v>
      </c>
      <c r="K47" s="4" t="e">
        <f>F47/C47-1</f>
        <v>#DIV/0!</v>
      </c>
      <c r="M47" s="5">
        <v>0</v>
      </c>
      <c r="N47" s="5">
        <v>1562.77</v>
      </c>
      <c r="Q47" s="159">
        <v>7304.64</v>
      </c>
      <c r="U47" s="146">
        <f>N47-M47</f>
        <v>1562.77</v>
      </c>
      <c r="V47" s="4">
        <f>IF(M47=0,0,N47/M47-1)</f>
        <v>0</v>
      </c>
      <c r="W47" s="18">
        <v>0</v>
      </c>
      <c r="X47" s="18">
        <v>7773.04</v>
      </c>
      <c r="Y47" s="4" t="e">
        <f>X47/W47-1</f>
        <v>#DIV/0!</v>
      </c>
    </row>
    <row r="48" spans="1:25">
      <c r="A48" s="55" t="s">
        <v>104</v>
      </c>
      <c r="B48" s="37" t="s">
        <v>105</v>
      </c>
      <c r="C48" s="28">
        <v>172</v>
      </c>
      <c r="E48" s="37" t="s">
        <v>105</v>
      </c>
      <c r="F48" s="28">
        <v>865</v>
      </c>
      <c r="G48" t="b">
        <f>IF(B48=E48,TRUE,FALSE)</f>
        <v>1</v>
      </c>
      <c r="J48" s="25">
        <f>F48-C48</f>
        <v>693</v>
      </c>
      <c r="K48" s="4">
        <f>F48/C48-1</f>
        <v>4.0290697674418601</v>
      </c>
      <c r="M48" s="5">
        <v>251.64</v>
      </c>
      <c r="N48" s="5">
        <v>1451.05</v>
      </c>
      <c r="Q48" s="158">
        <v>7335.05</v>
      </c>
      <c r="U48" s="146">
        <f>N48-M48</f>
        <v>1199.4099999999999</v>
      </c>
      <c r="V48" s="4">
        <f>IF(M48=0,0,N48/M48-1)</f>
        <v>4.7663725957717373</v>
      </c>
      <c r="W48" s="18">
        <v>2478.2800000000002</v>
      </c>
      <c r="X48" s="18">
        <v>12155.35</v>
      </c>
      <c r="Y48" s="4">
        <f>X48/W48-1</f>
        <v>3.904752489629904</v>
      </c>
    </row>
    <row r="49" spans="1:25">
      <c r="A49" s="57" t="s">
        <v>106</v>
      </c>
      <c r="B49" s="27" t="s">
        <v>107</v>
      </c>
      <c r="C49" s="28">
        <v>1463</v>
      </c>
      <c r="E49" s="27" t="s">
        <v>107</v>
      </c>
      <c r="F49" s="28">
        <v>2147</v>
      </c>
      <c r="G49" t="b">
        <f>IF(B49=E49,TRUE,FALSE)</f>
        <v>1</v>
      </c>
      <c r="J49" s="25">
        <f>F49-C49</f>
        <v>684</v>
      </c>
      <c r="K49" s="4">
        <f>F49/C49-1</f>
        <v>0.46753246753246747</v>
      </c>
      <c r="M49" s="5">
        <v>2777.9</v>
      </c>
      <c r="N49" s="5">
        <v>4631.7700000000004</v>
      </c>
      <c r="Q49" s="158">
        <v>26131.65</v>
      </c>
      <c r="U49" s="146">
        <f>N49-M49</f>
        <v>1853.8700000000003</v>
      </c>
      <c r="V49" s="4">
        <f>IF(M49=0,0,N49/M49-1)</f>
        <v>0.6673638359912164</v>
      </c>
      <c r="W49" s="18">
        <v>29265.360000000001</v>
      </c>
      <c r="X49" s="18">
        <v>45022.55</v>
      </c>
      <c r="Y49" s="4">
        <f>X49/W49-1</f>
        <v>0.53842460847910312</v>
      </c>
    </row>
    <row r="50" spans="1:25">
      <c r="A50" s="55" t="s">
        <v>108</v>
      </c>
      <c r="B50" s="37" t="s">
        <v>109</v>
      </c>
      <c r="C50" s="19">
        <v>785</v>
      </c>
      <c r="E50" s="37" t="s">
        <v>109</v>
      </c>
      <c r="F50" s="19">
        <v>1468</v>
      </c>
      <c r="G50" t="b">
        <f>IF(B50=E50,TRUE,FALSE)</f>
        <v>1</v>
      </c>
      <c r="J50" s="25">
        <f>F50-C50</f>
        <v>683</v>
      </c>
      <c r="K50" s="4">
        <f>F50/C50-1</f>
        <v>0.87006369426751595</v>
      </c>
      <c r="M50" s="5">
        <v>2105.79</v>
      </c>
      <c r="N50" s="5">
        <v>3468.07</v>
      </c>
      <c r="Q50" s="158">
        <v>21028.04</v>
      </c>
      <c r="U50" s="146">
        <f>N50-M50</f>
        <v>1362.2800000000002</v>
      </c>
      <c r="V50" s="4">
        <f>IF(M50=0,0,N50/M50-1)</f>
        <v>0.64692110799272484</v>
      </c>
      <c r="W50">
        <v>12552.15</v>
      </c>
      <c r="X50">
        <v>25819.469999999998</v>
      </c>
      <c r="Y50" s="4">
        <f>X50/W50-1</f>
        <v>1.0569758965595533</v>
      </c>
    </row>
    <row r="51" spans="1:25">
      <c r="A51" t="s">
        <v>110</v>
      </c>
      <c r="B51" t="s">
        <v>111</v>
      </c>
      <c r="C51" s="28">
        <v>0</v>
      </c>
      <c r="E51" t="s">
        <v>111</v>
      </c>
      <c r="F51" s="28">
        <v>630</v>
      </c>
      <c r="G51" t="b">
        <f>IF(B51=E51,TRUE,FALSE)</f>
        <v>1</v>
      </c>
      <c r="J51" s="25">
        <f>F51-C51</f>
        <v>630</v>
      </c>
      <c r="K51" s="4" t="e">
        <f>F51/C51-1</f>
        <v>#DIV/0!</v>
      </c>
      <c r="M51" s="5">
        <v>0</v>
      </c>
      <c r="N51" s="5">
        <v>1432.46</v>
      </c>
      <c r="Q51" s="159">
        <v>9734.99</v>
      </c>
      <c r="U51" s="146">
        <f>N51-M51</f>
        <v>1432.46</v>
      </c>
      <c r="V51" s="4">
        <f>IF(M51=0,0,N51/M51-1)</f>
        <v>0</v>
      </c>
      <c r="W51" s="18">
        <v>0</v>
      </c>
      <c r="X51" s="18">
        <v>8993.7000000000007</v>
      </c>
      <c r="Y51" s="4" t="e">
        <f>X51/W51-1</f>
        <v>#DIV/0!</v>
      </c>
    </row>
    <row r="52" spans="1:25">
      <c r="A52" t="s">
        <v>112</v>
      </c>
      <c r="B52" t="s">
        <v>113</v>
      </c>
      <c r="C52" s="28">
        <v>1420</v>
      </c>
      <c r="E52" t="s">
        <v>113</v>
      </c>
      <c r="F52" s="28">
        <v>2046</v>
      </c>
      <c r="G52" t="b">
        <f>IF(B52=E52,TRUE,FALSE)</f>
        <v>1</v>
      </c>
      <c r="J52" s="25">
        <f>F52-C52</f>
        <v>626</v>
      </c>
      <c r="K52" s="4">
        <f>F52/C52-1</f>
        <v>0.44084507042253529</v>
      </c>
      <c r="M52" s="5">
        <v>779.82</v>
      </c>
      <c r="N52" s="5">
        <v>1189.06</v>
      </c>
      <c r="Q52" s="159">
        <v>8587.6200000000008</v>
      </c>
      <c r="U52" s="146">
        <f>N52-M52</f>
        <v>409.2399999999999</v>
      </c>
      <c r="V52" s="4">
        <f>IF(M52=0,0,N52/M52-1)</f>
        <v>0.52478777153702127</v>
      </c>
      <c r="W52" s="18">
        <v>55134.91</v>
      </c>
      <c r="X52" s="18">
        <v>70474.250000000015</v>
      </c>
      <c r="Y52" s="4">
        <f>X52/W52-1</f>
        <v>0.27821465565102055</v>
      </c>
    </row>
    <row r="53" spans="1:25">
      <c r="A53" s="55" t="s">
        <v>114</v>
      </c>
      <c r="B53" s="37" t="s">
        <v>115</v>
      </c>
      <c r="C53" s="28">
        <v>1360</v>
      </c>
      <c r="E53" s="37" t="s">
        <v>115</v>
      </c>
      <c r="F53" s="28">
        <v>1972</v>
      </c>
      <c r="G53" t="b">
        <f>IF(B53=E53,TRUE,FALSE)</f>
        <v>1</v>
      </c>
      <c r="J53" s="25">
        <f>F53-C53</f>
        <v>612</v>
      </c>
      <c r="K53" s="4">
        <f>F53/C53-1</f>
        <v>0.44999999999999996</v>
      </c>
      <c r="M53" s="5">
        <v>2883.39</v>
      </c>
      <c r="N53" s="5">
        <v>3464.91</v>
      </c>
      <c r="Q53" s="159">
        <v>24585.4</v>
      </c>
      <c r="U53" s="146">
        <f>N53-M53</f>
        <v>581.52</v>
      </c>
      <c r="V53" s="4">
        <f>IF(M53=0,0,N53/M53-1)</f>
        <v>0.20167927335532143</v>
      </c>
      <c r="W53" s="18">
        <v>33986.400000000001</v>
      </c>
      <c r="X53" s="18">
        <v>43317.38</v>
      </c>
      <c r="Y53" s="4">
        <f>X53/W53-1</f>
        <v>0.27455040839865341</v>
      </c>
    </row>
    <row r="54" spans="1:25">
      <c r="A54" s="55" t="s">
        <v>116</v>
      </c>
      <c r="B54" s="37" t="s">
        <v>117</v>
      </c>
      <c r="C54" s="28">
        <v>1657</v>
      </c>
      <c r="E54" s="37" t="s">
        <v>117</v>
      </c>
      <c r="F54" s="28">
        <v>2267</v>
      </c>
      <c r="G54" t="b">
        <f>IF(B54=E54,TRUE,FALSE)</f>
        <v>1</v>
      </c>
      <c r="J54" s="25">
        <f>F54-C54</f>
        <v>610</v>
      </c>
      <c r="K54" s="4">
        <f>F54/C54-1</f>
        <v>0.36813518406759194</v>
      </c>
      <c r="M54" s="5">
        <v>4093.1</v>
      </c>
      <c r="N54" s="5">
        <v>3985.01</v>
      </c>
      <c r="Q54" s="159">
        <v>31429.17</v>
      </c>
      <c r="U54" s="146">
        <f>N54-M54</f>
        <v>-108.08999999999969</v>
      </c>
      <c r="V54" s="4">
        <f>IF(M54=0,0,N54/M54-1)</f>
        <v>-2.6407857125406053E-2</v>
      </c>
      <c r="W54" s="18">
        <v>41383.440000000002</v>
      </c>
      <c r="X54" s="18">
        <v>53236.08</v>
      </c>
      <c r="Y54" s="4">
        <f>X54/W54-1</f>
        <v>0.28641021626041718</v>
      </c>
    </row>
    <row r="55" spans="1:25">
      <c r="A55" t="s">
        <v>118</v>
      </c>
      <c r="B55" t="s">
        <v>119</v>
      </c>
      <c r="C55" s="28">
        <v>2979</v>
      </c>
      <c r="E55" t="s">
        <v>119</v>
      </c>
      <c r="F55" s="28">
        <v>3570</v>
      </c>
      <c r="G55" t="b">
        <f>IF(B55=E55,TRUE,FALSE)</f>
        <v>1</v>
      </c>
      <c r="J55" s="25">
        <f>F55-C55</f>
        <v>591</v>
      </c>
      <c r="K55" s="4">
        <f>F55/C55-1</f>
        <v>0.19838872104733141</v>
      </c>
      <c r="M55" s="5">
        <v>4120.8500000000004</v>
      </c>
      <c r="N55" s="5">
        <v>3270.98</v>
      </c>
      <c r="Q55" s="159">
        <v>27330.29</v>
      </c>
      <c r="U55" s="146">
        <f>N55-M55</f>
        <v>-849.87000000000035</v>
      </c>
      <c r="V55" s="4">
        <f>IF(M55=0,0,N55/M55-1)</f>
        <v>-0.20623657740514711</v>
      </c>
      <c r="W55" s="18">
        <v>89106.8</v>
      </c>
      <c r="X55" s="18">
        <v>100359.65</v>
      </c>
      <c r="Y55" s="4">
        <f>X55/W55-1</f>
        <v>0.12628497488407153</v>
      </c>
    </row>
    <row r="56" spans="1:25">
      <c r="A56" s="55" t="s">
        <v>120</v>
      </c>
      <c r="B56" s="37" t="s">
        <v>121</v>
      </c>
      <c r="C56" s="28">
        <v>719</v>
      </c>
      <c r="E56" s="37" t="s">
        <v>121</v>
      </c>
      <c r="F56" s="28">
        <v>1296</v>
      </c>
      <c r="G56" t="b">
        <f>IF(B56=E56,TRUE,FALSE)</f>
        <v>1</v>
      </c>
      <c r="J56" s="25">
        <f>F56-C56</f>
        <v>577</v>
      </c>
      <c r="K56" s="4">
        <f>F56/C56-1</f>
        <v>0.8025034770514603</v>
      </c>
      <c r="M56" s="5">
        <v>243.91</v>
      </c>
      <c r="N56" s="5">
        <v>1866.33</v>
      </c>
      <c r="Q56" s="158">
        <v>13151.19</v>
      </c>
      <c r="U56" s="146">
        <f>N56-M56</f>
        <v>1622.4199999999998</v>
      </c>
      <c r="V56" s="4">
        <f>IF(M56=0,0,N56/M56-1)</f>
        <v>6.6517157968102989</v>
      </c>
      <c r="W56" s="18">
        <v>15900.810000000001</v>
      </c>
      <c r="X56" s="18">
        <v>26675.019999999997</v>
      </c>
      <c r="Y56" s="4">
        <f>X56/W56-1</f>
        <v>0.67758875176799127</v>
      </c>
    </row>
    <row r="57" spans="1:25">
      <c r="A57" t="s">
        <v>122</v>
      </c>
      <c r="B57" t="s">
        <v>123</v>
      </c>
      <c r="C57" s="28">
        <v>1705</v>
      </c>
      <c r="E57" t="s">
        <v>123</v>
      </c>
      <c r="F57" s="28">
        <v>2278</v>
      </c>
      <c r="G57" t="b">
        <f>IF(B57=E57,TRUE,FALSE)</f>
        <v>1</v>
      </c>
      <c r="J57" s="25">
        <f>F57-C57</f>
        <v>573</v>
      </c>
      <c r="K57" s="4">
        <f>F57/C57-1</f>
        <v>0.33607038123167166</v>
      </c>
      <c r="M57" s="5">
        <v>2354.9499999999998</v>
      </c>
      <c r="N57" s="5">
        <v>4059.29</v>
      </c>
      <c r="Q57" s="159">
        <v>24909.29</v>
      </c>
      <c r="U57" s="146">
        <f>N57-M57</f>
        <v>1704.3400000000001</v>
      </c>
      <c r="V57" s="4">
        <f>IF(M57=0,0,N57/M57-1)</f>
        <v>0.72372661839954144</v>
      </c>
      <c r="W57" s="18">
        <v>45949.75</v>
      </c>
      <c r="X57" s="18">
        <v>57907.73</v>
      </c>
      <c r="Y57" s="4">
        <f>X57/W57-1</f>
        <v>0.2602403712751431</v>
      </c>
    </row>
    <row r="58" spans="1:25">
      <c r="A58" t="s">
        <v>124</v>
      </c>
      <c r="B58" t="s">
        <v>125</v>
      </c>
      <c r="C58" s="28">
        <v>2707</v>
      </c>
      <c r="E58" t="s">
        <v>125</v>
      </c>
      <c r="F58" s="28">
        <v>3258</v>
      </c>
      <c r="G58" t="b">
        <f>IF(B58=E58,TRUE,FALSE)</f>
        <v>1</v>
      </c>
      <c r="J58" s="25">
        <f>F58-C58</f>
        <v>551</v>
      </c>
      <c r="K58" s="4">
        <f>F58/C58-1</f>
        <v>0.20354636128555592</v>
      </c>
      <c r="M58" s="5">
        <v>4205.8100000000004</v>
      </c>
      <c r="N58" s="5">
        <v>4282.04</v>
      </c>
      <c r="Q58" s="159">
        <v>34538.97</v>
      </c>
      <c r="U58" s="146">
        <f>N58-M58</f>
        <v>76.229999999999563</v>
      </c>
      <c r="V58" s="4">
        <f>IF(M58=0,0,N58/M58-1)</f>
        <v>1.8124927184062001E-2</v>
      </c>
      <c r="W58" s="18">
        <v>80148.639999999999</v>
      </c>
      <c r="X58" s="18">
        <v>89303.34</v>
      </c>
      <c r="Y58" s="4">
        <f>X58/W58-1</f>
        <v>0.11422152640394145</v>
      </c>
    </row>
    <row r="59" spans="1:25">
      <c r="A59" t="s">
        <v>126</v>
      </c>
      <c r="B59" t="s">
        <v>127</v>
      </c>
      <c r="C59" s="28">
        <v>784</v>
      </c>
      <c r="E59" t="s">
        <v>127</v>
      </c>
      <c r="F59" s="28">
        <v>1331</v>
      </c>
      <c r="G59" t="b">
        <f>IF(B59=E59,TRUE,FALSE)</f>
        <v>1</v>
      </c>
      <c r="J59" s="25">
        <f>F59-C59</f>
        <v>547</v>
      </c>
      <c r="K59" s="4">
        <f>F59/C59-1</f>
        <v>0.69770408163265296</v>
      </c>
      <c r="M59" s="5">
        <v>170.87</v>
      </c>
      <c r="N59" s="5">
        <v>296.14999999999998</v>
      </c>
      <c r="Q59" s="159">
        <v>5252.63</v>
      </c>
      <c r="U59" s="146">
        <f>N59-M59</f>
        <v>125.27999999999997</v>
      </c>
      <c r="V59" s="4">
        <f>IF(M59=0,0,N59/M59-1)</f>
        <v>0.73318897407385708</v>
      </c>
      <c r="W59" s="18">
        <v>34456.799999999996</v>
      </c>
      <c r="X59" s="18">
        <v>52196.789999999994</v>
      </c>
      <c r="Y59" s="4">
        <f>X59/W59-1</f>
        <v>0.5148472870376819</v>
      </c>
    </row>
    <row r="60" spans="1:25">
      <c r="A60" t="s">
        <v>128</v>
      </c>
      <c r="B60" t="s">
        <v>129</v>
      </c>
      <c r="C60" s="28">
        <v>1561</v>
      </c>
      <c r="E60" t="s">
        <v>129</v>
      </c>
      <c r="F60" s="28">
        <v>2085</v>
      </c>
      <c r="G60" t="b">
        <f>IF(B60=E60,TRUE,FALSE)</f>
        <v>1</v>
      </c>
      <c r="J60" s="25">
        <f>F60-C60</f>
        <v>524</v>
      </c>
      <c r="K60" s="4">
        <f>F60/C60-1</f>
        <v>0.33568225496476622</v>
      </c>
      <c r="M60" s="5">
        <v>877.46</v>
      </c>
      <c r="N60" s="5">
        <v>3281.85</v>
      </c>
      <c r="Q60" s="159">
        <v>18332.240000000002</v>
      </c>
      <c r="U60" s="146">
        <f>N60-M60</f>
        <v>2404.39</v>
      </c>
      <c r="V60" s="4">
        <f>IF(M60=0,0,N60/M60-1)</f>
        <v>2.7401704921022039</v>
      </c>
      <c r="W60" s="18">
        <v>38497.64</v>
      </c>
      <c r="X60" s="18">
        <v>46492.44</v>
      </c>
      <c r="Y60" s="4">
        <f>X60/W60-1</f>
        <v>0.20766987275064142</v>
      </c>
    </row>
    <row r="61" spans="1:25">
      <c r="A61" t="s">
        <v>130</v>
      </c>
      <c r="B61" t="s">
        <v>131</v>
      </c>
      <c r="C61" s="28">
        <v>4245</v>
      </c>
      <c r="E61" t="s">
        <v>131</v>
      </c>
      <c r="F61" s="28">
        <v>4765</v>
      </c>
      <c r="G61" t="b">
        <f>IF(B61=E61,TRUE,FALSE)</f>
        <v>1</v>
      </c>
      <c r="J61" s="25">
        <f>F61-C61</f>
        <v>520</v>
      </c>
      <c r="K61" s="4">
        <f>F61/C61-1</f>
        <v>0.12249705535924615</v>
      </c>
      <c r="M61" s="5">
        <v>3797.64</v>
      </c>
      <c r="N61" s="5">
        <v>5971.09</v>
      </c>
      <c r="Q61" s="159">
        <v>45803.68</v>
      </c>
      <c r="U61" s="146">
        <f>N61-M61</f>
        <v>2173.4500000000003</v>
      </c>
      <c r="V61" s="4">
        <f>IF(M61=0,0,N61/M61-1)</f>
        <v>0.57231596465173107</v>
      </c>
      <c r="W61" s="18">
        <v>163501.91</v>
      </c>
      <c r="X61" s="18">
        <v>176154.43</v>
      </c>
      <c r="Y61" s="4">
        <f>X61/W61-1</f>
        <v>7.7384539422199916E-2</v>
      </c>
    </row>
    <row r="62" spans="1:25">
      <c r="A62" s="55" t="s">
        <v>132</v>
      </c>
      <c r="B62" s="37" t="s">
        <v>133</v>
      </c>
      <c r="C62" s="28">
        <v>246</v>
      </c>
      <c r="E62" s="37" t="s">
        <v>133</v>
      </c>
      <c r="F62" s="28">
        <v>763</v>
      </c>
      <c r="G62" t="b">
        <f>IF(B62=E62,TRUE,FALSE)</f>
        <v>1</v>
      </c>
      <c r="J62" s="25">
        <f>F62-C62</f>
        <v>517</v>
      </c>
      <c r="K62" s="4">
        <f>F62/C62-1</f>
        <v>2.1016260162601625</v>
      </c>
      <c r="M62" s="5">
        <v>212.09</v>
      </c>
      <c r="N62" s="5">
        <v>805.33</v>
      </c>
      <c r="Q62" s="158">
        <v>5520.77</v>
      </c>
      <c r="U62" s="146">
        <f>N62-M62</f>
        <v>593.24</v>
      </c>
      <c r="V62" s="4">
        <f>IF(M62=0,0,N62/M62-1)</f>
        <v>2.7971144325522186</v>
      </c>
      <c r="W62" s="18">
        <v>6087.54</v>
      </c>
      <c r="X62" s="18">
        <v>20021.38</v>
      </c>
      <c r="Y62" s="4">
        <f>X62/W62-1</f>
        <v>2.2889114486311386</v>
      </c>
    </row>
    <row r="63" spans="1:25">
      <c r="A63" s="57" t="s">
        <v>134</v>
      </c>
      <c r="B63" s="37" t="s">
        <v>135</v>
      </c>
      <c r="C63" s="28">
        <v>1808</v>
      </c>
      <c r="E63" s="37" t="s">
        <v>135</v>
      </c>
      <c r="F63" s="28">
        <v>2315</v>
      </c>
      <c r="G63" t="b">
        <f>IF(B63=E63,TRUE,FALSE)</f>
        <v>1</v>
      </c>
      <c r="J63" s="25">
        <f>F63-C63</f>
        <v>507</v>
      </c>
      <c r="K63" s="4">
        <f>F63/C63-1</f>
        <v>0.28042035398230092</v>
      </c>
      <c r="M63" s="5">
        <v>4021.35</v>
      </c>
      <c r="N63" s="5">
        <v>4948.45</v>
      </c>
      <c r="Q63" s="159">
        <v>32338.1</v>
      </c>
      <c r="U63" s="146">
        <f>N63-M63</f>
        <v>927.09999999999991</v>
      </c>
      <c r="V63" s="4">
        <f>IF(M63=0,0,N63/M63-1)</f>
        <v>0.23054446889726088</v>
      </c>
      <c r="W63" s="18">
        <v>33626.19</v>
      </c>
      <c r="X63" s="18">
        <v>43616.119999999995</v>
      </c>
      <c r="Y63" s="4">
        <f>X63/W63-1</f>
        <v>0.29708777592703761</v>
      </c>
    </row>
    <row r="64" spans="1:25">
      <c r="A64" t="s">
        <v>136</v>
      </c>
      <c r="B64" t="s">
        <v>137</v>
      </c>
      <c r="C64" s="28">
        <v>1723</v>
      </c>
      <c r="E64" t="s">
        <v>137</v>
      </c>
      <c r="F64" s="28">
        <v>2173</v>
      </c>
      <c r="G64" t="b">
        <f>IF(B64=E64,TRUE,FALSE)</f>
        <v>1</v>
      </c>
      <c r="J64" s="25">
        <f>F64-C64</f>
        <v>450</v>
      </c>
      <c r="K64" s="4">
        <f>F64/C64-1</f>
        <v>0.26117237376668601</v>
      </c>
      <c r="M64" s="5">
        <v>2124.9499999999998</v>
      </c>
      <c r="N64" s="5">
        <v>2210.6799999999998</v>
      </c>
      <c r="Q64" s="159">
        <v>13850.32</v>
      </c>
      <c r="U64" s="146">
        <f>N64-M64</f>
        <v>85.730000000000018</v>
      </c>
      <c r="V64" s="4">
        <f>IF(M64=0,0,N64/M64-1)</f>
        <v>4.0344478693616237E-2</v>
      </c>
      <c r="W64" s="18">
        <v>39300.07</v>
      </c>
      <c r="X64" s="18">
        <v>46499.91</v>
      </c>
      <c r="Y64" s="4">
        <f>X64/W64-1</f>
        <v>0.18320170930993251</v>
      </c>
    </row>
    <row r="65" spans="1:25">
      <c r="A65" s="55" t="s">
        <v>138</v>
      </c>
      <c r="B65" s="37" t="s">
        <v>139</v>
      </c>
      <c r="C65" s="19">
        <v>1331</v>
      </c>
      <c r="E65" s="37" t="s">
        <v>139</v>
      </c>
      <c r="F65" s="19">
        <v>1770</v>
      </c>
      <c r="G65" t="b">
        <f>IF(B65=E65,TRUE,FALSE)</f>
        <v>1</v>
      </c>
      <c r="J65" s="25">
        <f>F65-C65</f>
        <v>439</v>
      </c>
      <c r="K65" s="4">
        <f>F65/C65-1</f>
        <v>0.32982719759579271</v>
      </c>
      <c r="M65" s="5">
        <v>707.33</v>
      </c>
      <c r="N65" s="5">
        <v>2061.86</v>
      </c>
      <c r="Q65" s="158">
        <v>16858.79</v>
      </c>
      <c r="U65" s="146">
        <f>N65-M65</f>
        <v>1354.5300000000002</v>
      </c>
      <c r="V65" s="4">
        <f>IF(M65=0,0,N65/M65-1)</f>
        <v>1.914990174317504</v>
      </c>
      <c r="W65">
        <v>51650.69</v>
      </c>
      <c r="X65">
        <v>68605.899999999994</v>
      </c>
      <c r="Y65" s="4">
        <f>X65/W65-1</f>
        <v>0.32826686342428313</v>
      </c>
    </row>
    <row r="66" spans="1:25">
      <c r="A66" t="s">
        <v>140</v>
      </c>
      <c r="B66" t="s">
        <v>141</v>
      </c>
      <c r="C66" s="28">
        <v>1918</v>
      </c>
      <c r="E66" t="s">
        <v>141</v>
      </c>
      <c r="F66" s="28">
        <v>2329</v>
      </c>
      <c r="G66" t="b">
        <f>IF(B66=E66,TRUE,FALSE)</f>
        <v>1</v>
      </c>
      <c r="J66" s="25">
        <f>F66-C66</f>
        <v>411</v>
      </c>
      <c r="K66" s="4">
        <f>F66/C66-1</f>
        <v>0.21428571428571419</v>
      </c>
      <c r="M66" s="5">
        <v>2786.03</v>
      </c>
      <c r="N66" s="5">
        <v>3462.14</v>
      </c>
      <c r="Q66" s="159">
        <v>17932.41</v>
      </c>
      <c r="U66" s="146">
        <f>N66-M66</f>
        <v>676.10999999999967</v>
      </c>
      <c r="V66" s="4">
        <f>IF(M66=0,0,N66/M66-1)</f>
        <v>0.24267865026579027</v>
      </c>
      <c r="W66" s="18">
        <v>57444.1</v>
      </c>
      <c r="X66" s="18">
        <v>65476.71</v>
      </c>
      <c r="Y66" s="4">
        <f>X66/W66-1</f>
        <v>0.1398335077057522</v>
      </c>
    </row>
    <row r="67" spans="1:25">
      <c r="A67" t="s">
        <v>142</v>
      </c>
      <c r="B67" t="s">
        <v>143</v>
      </c>
      <c r="C67" s="28">
        <v>637</v>
      </c>
      <c r="E67" t="s">
        <v>143</v>
      </c>
      <c r="F67" s="28">
        <v>1046</v>
      </c>
      <c r="G67" t="b">
        <f>IF(B67=E67,TRUE,FALSE)</f>
        <v>1</v>
      </c>
      <c r="J67" s="25">
        <f>F67-C67</f>
        <v>409</v>
      </c>
      <c r="K67" s="4">
        <f>F67/C67-1</f>
        <v>0.64207221350078503</v>
      </c>
      <c r="M67" s="5">
        <v>679.08</v>
      </c>
      <c r="N67" s="5">
        <v>1369.62</v>
      </c>
      <c r="Q67" s="159">
        <v>8229.77</v>
      </c>
      <c r="U67" s="146">
        <f>N67-M67</f>
        <v>690.53999999999985</v>
      </c>
      <c r="V67" s="4">
        <f>IF(M67=0,0,N67/M67-1)</f>
        <v>1.0168757731047884</v>
      </c>
      <c r="W67" s="18">
        <v>23562.63</v>
      </c>
      <c r="X67" s="18">
        <v>38691.54</v>
      </c>
      <c r="Y67" s="4">
        <f>X67/W67-1</f>
        <v>0.64207221350078481</v>
      </c>
    </row>
    <row r="68" spans="1:25">
      <c r="A68" t="s">
        <v>144</v>
      </c>
      <c r="B68" t="s">
        <v>145</v>
      </c>
      <c r="C68" s="28">
        <v>3164</v>
      </c>
      <c r="E68" t="s">
        <v>145</v>
      </c>
      <c r="F68" s="28">
        <v>3562</v>
      </c>
      <c r="G68" t="b">
        <f>IF(B68=E68,TRUE,FALSE)</f>
        <v>1</v>
      </c>
      <c r="J68" s="25">
        <f>F68-C68</f>
        <v>398</v>
      </c>
      <c r="K68" s="4">
        <f>F68/C68-1</f>
        <v>0.12579013906447534</v>
      </c>
      <c r="M68" s="5">
        <v>4026.91</v>
      </c>
      <c r="N68" s="5">
        <v>5592.64</v>
      </c>
      <c r="Q68" s="159">
        <v>42441.88</v>
      </c>
      <c r="U68" s="146">
        <f>N68-M68</f>
        <v>1565.7300000000005</v>
      </c>
      <c r="V68" s="4">
        <f>IF(M68=0,0,N68/M68-1)</f>
        <v>0.38881673541251249</v>
      </c>
      <c r="W68" s="18">
        <v>93955.15</v>
      </c>
      <c r="X68" s="18">
        <v>106821.38</v>
      </c>
      <c r="Y68" s="4">
        <f>X68/W68-1</f>
        <v>0.13694012515545984</v>
      </c>
    </row>
    <row r="69" spans="1:25">
      <c r="A69" s="37" t="s">
        <v>146</v>
      </c>
      <c r="B69" s="37" t="s">
        <v>147</v>
      </c>
      <c r="C69" s="28">
        <v>297</v>
      </c>
      <c r="E69" s="37" t="s">
        <v>147</v>
      </c>
      <c r="F69" s="28">
        <v>671</v>
      </c>
      <c r="G69" t="b">
        <f>IF(B69=E69,TRUE,FALSE)</f>
        <v>1</v>
      </c>
      <c r="J69" s="25">
        <f>F69-C69</f>
        <v>374</v>
      </c>
      <c r="K69" s="4">
        <f>F69/C69-1</f>
        <v>1.2592592592592591</v>
      </c>
      <c r="M69" s="5">
        <v>785.14</v>
      </c>
      <c r="N69" s="5">
        <v>1496.18</v>
      </c>
      <c r="Q69" s="159">
        <v>11106.42</v>
      </c>
      <c r="U69" s="146">
        <f>N69-M69</f>
        <v>711.04000000000008</v>
      </c>
      <c r="V69" s="4">
        <f>IF(M69=0,0,N69/M69-1)</f>
        <v>0.90562192729959001</v>
      </c>
      <c r="W69" s="18">
        <v>4978.43</v>
      </c>
      <c r="X69" s="18">
        <v>11400.29</v>
      </c>
      <c r="Y69" s="4">
        <f>X69/W69-1</f>
        <v>1.2899367873004142</v>
      </c>
    </row>
    <row r="70" spans="1:25">
      <c r="A70" t="s">
        <v>148</v>
      </c>
      <c r="B70" t="s">
        <v>149</v>
      </c>
      <c r="C70" s="28">
        <v>1605</v>
      </c>
      <c r="E70" t="s">
        <v>149</v>
      </c>
      <c r="F70" s="28">
        <v>1963</v>
      </c>
      <c r="G70" t="b">
        <f>IF(B70=E70,TRUE,FALSE)</f>
        <v>1</v>
      </c>
      <c r="J70" s="25">
        <f>F70-C70</f>
        <v>358</v>
      </c>
      <c r="K70" s="4">
        <f>F70/C70-1</f>
        <v>0.22305295950155757</v>
      </c>
      <c r="M70" s="5">
        <v>4109.47</v>
      </c>
      <c r="N70" s="5">
        <v>3860.49</v>
      </c>
      <c r="Q70" s="159">
        <v>25534.44</v>
      </c>
      <c r="U70" s="146">
        <f>N70-M70</f>
        <v>-248.98000000000047</v>
      </c>
      <c r="V70" s="4">
        <f>IF(M70=0,0,N70/M70-1)</f>
        <v>-6.0586888333532207E-2</v>
      </c>
      <c r="W70" s="18">
        <v>47972.24</v>
      </c>
      <c r="X70" s="18">
        <v>54511.67</v>
      </c>
      <c r="Y70" s="4">
        <f>X70/W70-1</f>
        <v>0.13631696164281681</v>
      </c>
    </row>
    <row r="71" spans="1:25">
      <c r="A71" s="55" t="s">
        <v>150</v>
      </c>
      <c r="B71" s="37" t="s">
        <v>151</v>
      </c>
      <c r="C71" s="19">
        <v>293</v>
      </c>
      <c r="E71" s="37" t="s">
        <v>151</v>
      </c>
      <c r="F71" s="19">
        <v>641</v>
      </c>
      <c r="G71" t="b">
        <f>IF(B71=E71,TRUE,FALSE)</f>
        <v>1</v>
      </c>
      <c r="J71" s="25">
        <f>F71-C71</f>
        <v>348</v>
      </c>
      <c r="K71" s="4">
        <f>F71/C71-1</f>
        <v>1.1877133105802047</v>
      </c>
      <c r="M71" s="5">
        <v>957.89</v>
      </c>
      <c r="N71" s="5">
        <v>1658.67</v>
      </c>
      <c r="Q71" s="158">
        <v>7191.25</v>
      </c>
      <c r="U71" s="146">
        <f>N71-M71</f>
        <v>700.78000000000009</v>
      </c>
      <c r="V71" s="4">
        <f>IF(M71=0,0,N71/M71-1)</f>
        <v>0.73158713422209232</v>
      </c>
      <c r="W71">
        <v>4099.07</v>
      </c>
      <c r="X71">
        <v>7163.59</v>
      </c>
      <c r="Y71" s="4">
        <f>X71/W71-1</f>
        <v>0.74761348305835251</v>
      </c>
    </row>
    <row r="72" spans="1:25">
      <c r="A72" s="55" t="s">
        <v>152</v>
      </c>
      <c r="B72" s="37" t="s">
        <v>153</v>
      </c>
      <c r="C72" s="28">
        <v>1344</v>
      </c>
      <c r="E72" s="37" t="s">
        <v>153</v>
      </c>
      <c r="F72" s="28">
        <v>1690</v>
      </c>
      <c r="G72" t="b">
        <f>IF(B72=E72,TRUE,FALSE)</f>
        <v>1</v>
      </c>
      <c r="J72" s="25">
        <f>F72-C72</f>
        <v>346</v>
      </c>
      <c r="K72" s="4">
        <f>F72/C72-1</f>
        <v>0.25744047619047628</v>
      </c>
      <c r="M72" s="5">
        <v>2601.69</v>
      </c>
      <c r="N72" s="5">
        <v>2795.71</v>
      </c>
      <c r="Q72" s="158">
        <v>17265.009999999998</v>
      </c>
      <c r="U72" s="146">
        <f>N72-M72</f>
        <v>194.01999999999998</v>
      </c>
      <c r="V72" s="4">
        <f>IF(M72=0,0,N72/M72-1)</f>
        <v>7.4574603430846764E-2</v>
      </c>
      <c r="W72" s="18">
        <v>16914.560000000001</v>
      </c>
      <c r="X72" s="18">
        <v>27174.1</v>
      </c>
      <c r="Y72" s="4">
        <f>X72/W72-1</f>
        <v>0.60655080593287658</v>
      </c>
    </row>
    <row r="73" spans="1:25">
      <c r="A73" s="55" t="s">
        <v>154</v>
      </c>
      <c r="B73" s="37" t="s">
        <v>155</v>
      </c>
      <c r="C73" s="28">
        <v>220</v>
      </c>
      <c r="E73" s="37" t="s">
        <v>155</v>
      </c>
      <c r="F73" s="28">
        <v>559</v>
      </c>
      <c r="G73" t="b">
        <f>IF(B73=E73,TRUE,FALSE)</f>
        <v>1</v>
      </c>
      <c r="J73" s="25">
        <f>F73-C73</f>
        <v>339</v>
      </c>
      <c r="K73" s="4">
        <f>F73/C73-1</f>
        <v>1.540909090909091</v>
      </c>
      <c r="M73" s="5">
        <v>240.66</v>
      </c>
      <c r="N73" s="5">
        <v>1528.78</v>
      </c>
      <c r="Q73" s="158">
        <v>6707.83</v>
      </c>
      <c r="U73" s="146">
        <f>N73-M73</f>
        <v>1288.1199999999999</v>
      </c>
      <c r="V73" s="4">
        <f>IF(M73=0,0,N73/M73-1)</f>
        <v>5.3524474362170693</v>
      </c>
      <c r="W73" s="18">
        <v>3149.8</v>
      </c>
      <c r="X73" s="18">
        <v>7820.41</v>
      </c>
      <c r="Y73" s="4">
        <f>X73/W73-1</f>
        <v>1.4828274811099114</v>
      </c>
    </row>
    <row r="74" spans="1:25">
      <c r="A74" t="s">
        <v>156</v>
      </c>
      <c r="B74" t="s">
        <v>157</v>
      </c>
      <c r="C74" s="28">
        <v>2332</v>
      </c>
      <c r="E74" t="s">
        <v>157</v>
      </c>
      <c r="F74" s="28">
        <v>2665</v>
      </c>
      <c r="G74" t="b">
        <f>IF(B74=E74,TRUE,FALSE)</f>
        <v>1</v>
      </c>
      <c r="J74" s="25">
        <f>F74-C74</f>
        <v>333</v>
      </c>
      <c r="K74" s="4">
        <f>F74/C74-1</f>
        <v>0.14279588336192117</v>
      </c>
      <c r="M74" s="5">
        <v>3754.58</v>
      </c>
      <c r="N74" s="5">
        <v>3935.89</v>
      </c>
      <c r="Q74" s="159">
        <v>27061.93</v>
      </c>
      <c r="U74" s="146">
        <f>N74-M74</f>
        <v>181.30999999999995</v>
      </c>
      <c r="V74" s="4">
        <f>IF(M74=0,0,N74/M74-1)</f>
        <v>4.8290354713443229E-2</v>
      </c>
      <c r="W74" s="18">
        <v>58183.4</v>
      </c>
      <c r="X74" s="18">
        <v>62688.54</v>
      </c>
      <c r="Y74" s="4">
        <f>X74/W74-1</f>
        <v>7.7429988622184309E-2</v>
      </c>
    </row>
    <row r="75" spans="1:25">
      <c r="A75" s="56" t="s">
        <v>158</v>
      </c>
      <c r="B75" s="37" t="s">
        <v>159</v>
      </c>
      <c r="C75" s="28">
        <v>1239</v>
      </c>
      <c r="E75" s="37" t="s">
        <v>159</v>
      </c>
      <c r="F75" s="28">
        <v>1555</v>
      </c>
      <c r="G75" t="b">
        <f>IF(B75=E75,TRUE,FALSE)</f>
        <v>1</v>
      </c>
      <c r="J75" s="25">
        <f>F75-C75</f>
        <v>316</v>
      </c>
      <c r="K75" s="4">
        <f>F75/C75-1</f>
        <v>0.25504439063761097</v>
      </c>
      <c r="M75" s="5">
        <v>2635.53</v>
      </c>
      <c r="N75" s="5">
        <v>3177.18</v>
      </c>
      <c r="Q75" s="159">
        <v>18998.71</v>
      </c>
      <c r="U75" s="146">
        <f>N75-M75</f>
        <v>541.64999999999964</v>
      </c>
      <c r="V75" s="4">
        <f>IF(M75=0,0,N75/M75-1)</f>
        <v>0.20551843462225805</v>
      </c>
      <c r="W75" s="18">
        <v>24744.62</v>
      </c>
      <c r="X75" s="18">
        <v>31072.329999999998</v>
      </c>
      <c r="Y75" s="4">
        <f>X75/W75-1</f>
        <v>0.25572063745573792</v>
      </c>
    </row>
    <row r="76" spans="1:25">
      <c r="A76" t="s">
        <v>160</v>
      </c>
      <c r="B76" t="s">
        <v>161</v>
      </c>
      <c r="C76" s="28">
        <v>3774</v>
      </c>
      <c r="E76" t="s">
        <v>161</v>
      </c>
      <c r="F76" s="28">
        <v>4089</v>
      </c>
      <c r="G76" t="b">
        <f>IF(B76=E76,TRUE,FALSE)</f>
        <v>1</v>
      </c>
      <c r="J76" s="25">
        <f>F76-C76</f>
        <v>315</v>
      </c>
      <c r="K76" s="4">
        <f>F76/C76-1</f>
        <v>8.3465818759936417E-2</v>
      </c>
      <c r="M76" s="5">
        <v>4712.28</v>
      </c>
      <c r="N76" s="5">
        <v>4710.99</v>
      </c>
      <c r="Q76" s="159">
        <v>46590.27</v>
      </c>
      <c r="U76" s="146">
        <f>N76-M76</f>
        <v>-1.2899999999999636</v>
      </c>
      <c r="V76" s="4">
        <f>IF(M76=0,0,N76/M76-1)</f>
        <v>-2.73752833023444E-4</v>
      </c>
      <c r="W76" s="18">
        <v>112941.45</v>
      </c>
      <c r="X76" s="18">
        <v>115338.47</v>
      </c>
      <c r="Y76" s="4">
        <f>X76/W76-1</f>
        <v>2.1223563182516392E-2</v>
      </c>
    </row>
    <row r="77" spans="1:25">
      <c r="A77" t="s">
        <v>162</v>
      </c>
      <c r="B77" t="s">
        <v>163</v>
      </c>
      <c r="C77" s="28">
        <v>1315</v>
      </c>
      <c r="E77" t="s">
        <v>163</v>
      </c>
      <c r="F77" s="28">
        <v>1615</v>
      </c>
      <c r="G77" t="b">
        <f>IF(B77=E77,TRUE,FALSE)</f>
        <v>1</v>
      </c>
      <c r="J77" s="25">
        <f>F77-C77</f>
        <v>300</v>
      </c>
      <c r="K77" s="4">
        <f>F77/C77-1</f>
        <v>0.22813688212927752</v>
      </c>
      <c r="M77" s="5">
        <v>1397.96</v>
      </c>
      <c r="N77" s="5">
        <v>2107.91</v>
      </c>
      <c r="Q77" s="159">
        <v>13979.17</v>
      </c>
      <c r="U77" s="146">
        <f>N77-M77</f>
        <v>709.94999999999982</v>
      </c>
      <c r="V77" s="4">
        <f>IF(M77=0,0,N77/M77-1)</f>
        <v>0.50784714870239478</v>
      </c>
      <c r="W77" s="18">
        <v>26237.13</v>
      </c>
      <c r="X77" s="18">
        <v>29718.39</v>
      </c>
      <c r="Y77" s="4">
        <f>X77/W77-1</f>
        <v>0.13268448187740045</v>
      </c>
    </row>
    <row r="78" spans="1:25">
      <c r="A78" t="s">
        <v>164</v>
      </c>
      <c r="B78" t="s">
        <v>165</v>
      </c>
      <c r="C78" s="28">
        <v>3310</v>
      </c>
      <c r="E78" t="s">
        <v>165</v>
      </c>
      <c r="F78" s="28">
        <v>3610</v>
      </c>
      <c r="G78" t="b">
        <f>IF(B78=E78,TRUE,FALSE)</f>
        <v>1</v>
      </c>
      <c r="J78" s="25">
        <f>F78-C78</f>
        <v>300</v>
      </c>
      <c r="K78" s="4">
        <f>F78/C78-1</f>
        <v>9.0634441087613205E-2</v>
      </c>
      <c r="M78" s="5">
        <v>2236.62</v>
      </c>
      <c r="N78" s="5">
        <v>3849.8</v>
      </c>
      <c r="Q78" s="159">
        <v>32993.129999999997</v>
      </c>
      <c r="U78" s="146">
        <f>N78-M78</f>
        <v>1613.1800000000003</v>
      </c>
      <c r="V78" s="4">
        <f>IF(M78=0,0,N78/M78-1)</f>
        <v>0.72125796961486555</v>
      </c>
      <c r="W78" s="18">
        <v>122399.91</v>
      </c>
      <c r="X78" s="18">
        <v>122100.12000000001</v>
      </c>
      <c r="Y78" s="4">
        <f>X78/W78-1</f>
        <v>-2.4492665068135411E-3</v>
      </c>
    </row>
    <row r="79" spans="1:25">
      <c r="A79" t="s">
        <v>166</v>
      </c>
      <c r="B79" t="s">
        <v>167</v>
      </c>
      <c r="C79" s="28">
        <v>1221</v>
      </c>
      <c r="E79" t="s">
        <v>167</v>
      </c>
      <c r="F79" s="28">
        <v>1520</v>
      </c>
      <c r="G79" t="b">
        <f>IF(B79=E79,TRUE,FALSE)</f>
        <v>1</v>
      </c>
      <c r="J79" s="25">
        <f>F79-C79</f>
        <v>299</v>
      </c>
      <c r="K79" s="4">
        <f>F79/C79-1</f>
        <v>0.24488124488124496</v>
      </c>
      <c r="M79" s="5">
        <v>1666.69</v>
      </c>
      <c r="N79" s="5">
        <v>1817.29</v>
      </c>
      <c r="Q79" s="159">
        <v>16493.36</v>
      </c>
      <c r="U79" s="146">
        <f>N79-M79</f>
        <v>150.59999999999991</v>
      </c>
      <c r="V79" s="4">
        <f>IF(M79=0,0,N79/M79-1)</f>
        <v>9.0358734977710187E-2</v>
      </c>
      <c r="W79" s="18">
        <v>36617.79</v>
      </c>
      <c r="X79" s="18">
        <v>42967.3</v>
      </c>
      <c r="Y79" s="4">
        <f>X79/W79-1</f>
        <v>0.1733995962071988</v>
      </c>
    </row>
    <row r="80" spans="1:25">
      <c r="A80" t="s">
        <v>168</v>
      </c>
      <c r="B80" t="s">
        <v>169</v>
      </c>
      <c r="C80" s="28">
        <v>1493</v>
      </c>
      <c r="E80" t="s">
        <v>169</v>
      </c>
      <c r="F80" s="28">
        <v>1785</v>
      </c>
      <c r="G80" t="b">
        <f>IF(B80=E80,TRUE,FALSE)</f>
        <v>1</v>
      </c>
      <c r="J80" s="25">
        <f>F80-C80</f>
        <v>292</v>
      </c>
      <c r="K80" s="4">
        <f>F80/C80-1</f>
        <v>0.19557937039517759</v>
      </c>
      <c r="M80" s="5">
        <v>1260.94</v>
      </c>
      <c r="N80" s="5">
        <v>1109.08</v>
      </c>
      <c r="Q80" s="159">
        <v>10891.32</v>
      </c>
      <c r="U80" s="146">
        <f>N80-M80</f>
        <v>-151.86000000000013</v>
      </c>
      <c r="V80" s="4">
        <f>IF(M80=0,0,N80/M80-1)</f>
        <v>-0.12043396196488343</v>
      </c>
      <c r="W80" s="18">
        <v>44684.399999999994</v>
      </c>
      <c r="X80" s="18">
        <v>50058.13</v>
      </c>
      <c r="Y80" s="4">
        <f>X80/W80-1</f>
        <v>0.12025964318643645</v>
      </c>
    </row>
    <row r="81" spans="1:25">
      <c r="A81" t="s">
        <v>170</v>
      </c>
      <c r="B81" t="s">
        <v>171</v>
      </c>
      <c r="C81" s="28">
        <v>1040</v>
      </c>
      <c r="E81" t="s">
        <v>171</v>
      </c>
      <c r="F81" s="28">
        <v>1330</v>
      </c>
      <c r="G81" t="b">
        <f>IF(B81=E81,TRUE,FALSE)</f>
        <v>1</v>
      </c>
      <c r="J81" s="25">
        <f>F81-C81</f>
        <v>290</v>
      </c>
      <c r="K81" s="4">
        <f>F81/C81-1</f>
        <v>0.27884615384615374</v>
      </c>
      <c r="M81" s="5">
        <v>1463.05</v>
      </c>
      <c r="N81" s="5">
        <v>1428.44</v>
      </c>
      <c r="Q81" s="159">
        <v>10011.74</v>
      </c>
      <c r="U81" s="146">
        <f>N81-M81</f>
        <v>-34.6099999999999</v>
      </c>
      <c r="V81" s="4">
        <f>IF(M81=0,0,N81/M81-1)</f>
        <v>-2.3656060968524573E-2</v>
      </c>
      <c r="W81" s="18">
        <v>25948</v>
      </c>
      <c r="X81" s="18">
        <v>30591.989999999998</v>
      </c>
      <c r="Y81" s="4">
        <f>X81/W81-1</f>
        <v>0.17897294589178347</v>
      </c>
    </row>
    <row r="82" spans="1:25">
      <c r="A82" s="27" t="s">
        <v>172</v>
      </c>
      <c r="B82" t="s">
        <v>173</v>
      </c>
      <c r="C82" s="28">
        <v>2280</v>
      </c>
      <c r="E82" t="s">
        <v>173</v>
      </c>
      <c r="F82" s="28">
        <v>2569</v>
      </c>
      <c r="G82" t="b">
        <f>IF(B82=E82,TRUE,FALSE)</f>
        <v>1</v>
      </c>
      <c r="J82" s="25">
        <f>F82-C82</f>
        <v>289</v>
      </c>
      <c r="K82" s="4">
        <f>F82/C82-1</f>
        <v>0.12675438596491229</v>
      </c>
      <c r="M82" s="5">
        <v>4226.07</v>
      </c>
      <c r="N82" s="5">
        <v>3750.82</v>
      </c>
      <c r="Q82" s="159">
        <v>23132.99</v>
      </c>
      <c r="U82" s="146">
        <f>N82-M82</f>
        <v>-475.24999999999955</v>
      </c>
      <c r="V82" s="4">
        <f>IF(M82=0,0,N82/M82-1)</f>
        <v>-0.11245672693542685</v>
      </c>
      <c r="W82" s="18">
        <v>68203.839999999997</v>
      </c>
      <c r="X82" s="18">
        <v>71778.64</v>
      </c>
      <c r="Y82" s="4">
        <f>X82/W82-1</f>
        <v>5.2413471147665591E-2</v>
      </c>
    </row>
    <row r="83" spans="1:25">
      <c r="A83" t="s">
        <v>174</v>
      </c>
      <c r="B83" t="s">
        <v>175</v>
      </c>
      <c r="C83" s="28">
        <v>827</v>
      </c>
      <c r="E83" t="s">
        <v>175</v>
      </c>
      <c r="F83" s="28">
        <v>1115</v>
      </c>
      <c r="G83" t="b">
        <f>IF(B83=E83,TRUE,FALSE)</f>
        <v>1</v>
      </c>
      <c r="J83" s="25">
        <f>F83-C83</f>
        <v>288</v>
      </c>
      <c r="K83" s="4">
        <f>F83/C83-1</f>
        <v>0.34824667472793225</v>
      </c>
      <c r="M83" s="5">
        <v>697.92</v>
      </c>
      <c r="N83" s="5">
        <v>1030.47</v>
      </c>
      <c r="Q83" s="159">
        <v>9042.66</v>
      </c>
      <c r="U83" s="146">
        <f>N83-M83</f>
        <v>332.55000000000007</v>
      </c>
      <c r="V83" s="4">
        <f>IF(M83=0,0,N83/M83-1)</f>
        <v>0.47648727647867961</v>
      </c>
      <c r="W83" s="18">
        <v>20666.73</v>
      </c>
      <c r="X83" s="18">
        <v>26072.880000000001</v>
      </c>
      <c r="Y83" s="4">
        <f>X83/W83-1</f>
        <v>0.26158710158791454</v>
      </c>
    </row>
    <row r="84" spans="1:25">
      <c r="A84" t="s">
        <v>176</v>
      </c>
      <c r="B84" t="s">
        <v>177</v>
      </c>
      <c r="C84" s="28">
        <v>1988</v>
      </c>
      <c r="E84" t="s">
        <v>177</v>
      </c>
      <c r="F84" s="28">
        <v>2271</v>
      </c>
      <c r="G84" t="b">
        <f>IF(B84=E84,TRUE,FALSE)</f>
        <v>1</v>
      </c>
      <c r="J84" s="25">
        <f>F84-C84</f>
        <v>283</v>
      </c>
      <c r="K84" s="4">
        <f>F84/C84-1</f>
        <v>0.14235412474849096</v>
      </c>
      <c r="M84" s="5">
        <v>2452.6999999999998</v>
      </c>
      <c r="N84" s="5">
        <v>2341.8199999999997</v>
      </c>
      <c r="Q84" s="159">
        <v>14736.77</v>
      </c>
      <c r="U84" s="146">
        <f>N84-M84</f>
        <v>-110.88000000000011</v>
      </c>
      <c r="V84" s="4">
        <f>IF(M84=0,0,N84/M84-1)</f>
        <v>-4.5207322542504258E-2</v>
      </c>
      <c r="W84" s="18">
        <v>39740.119999999995</v>
      </c>
      <c r="X84" s="18">
        <v>43038.29</v>
      </c>
      <c r="Y84" s="4">
        <f>X84/W84-1</f>
        <v>8.2993458499873718E-2</v>
      </c>
    </row>
    <row r="85" spans="1:25">
      <c r="A85" t="s">
        <v>178</v>
      </c>
      <c r="B85" t="s">
        <v>179</v>
      </c>
      <c r="C85" s="28">
        <v>1396</v>
      </c>
      <c r="E85" t="s">
        <v>179</v>
      </c>
      <c r="F85" s="28">
        <v>1674</v>
      </c>
      <c r="G85" t="b">
        <f>IF(B85=E85,TRUE,FALSE)</f>
        <v>1</v>
      </c>
      <c r="J85" s="25">
        <f>F85-C85</f>
        <v>278</v>
      </c>
      <c r="K85" s="4">
        <f>F85/C85-1</f>
        <v>0.19914040114613174</v>
      </c>
      <c r="M85" s="5">
        <v>1895.53</v>
      </c>
      <c r="N85" s="5">
        <v>2899.31</v>
      </c>
      <c r="Q85" s="159">
        <v>17923.169999999998</v>
      </c>
      <c r="U85" s="146">
        <f>N85-M85</f>
        <v>1003.78</v>
      </c>
      <c r="V85" s="4">
        <f>IF(M85=0,0,N85/M85-1)</f>
        <v>0.52955110180266196</v>
      </c>
      <c r="W85" s="18">
        <v>39789.019999999997</v>
      </c>
      <c r="X85" s="18">
        <v>50135.1</v>
      </c>
      <c r="Y85" s="4">
        <f>X85/W85-1</f>
        <v>0.26002349391867408</v>
      </c>
    </row>
    <row r="86" spans="1:25">
      <c r="A86" t="s">
        <v>180</v>
      </c>
      <c r="B86" t="s">
        <v>181</v>
      </c>
      <c r="C86" s="28">
        <v>948</v>
      </c>
      <c r="E86" t="s">
        <v>181</v>
      </c>
      <c r="F86" s="28">
        <v>1221</v>
      </c>
      <c r="G86" t="b">
        <f>IF(B86=E86,TRUE,FALSE)</f>
        <v>1</v>
      </c>
      <c r="J86" s="25">
        <f>F86-C86</f>
        <v>273</v>
      </c>
      <c r="K86" s="4">
        <f>F86/C86-1</f>
        <v>0.28797468354430378</v>
      </c>
      <c r="M86" s="5">
        <v>2465.96</v>
      </c>
      <c r="N86" s="5">
        <v>2754.97</v>
      </c>
      <c r="Q86" s="159">
        <v>15246.9</v>
      </c>
      <c r="U86" s="146">
        <f>N86-M86</f>
        <v>289.00999999999976</v>
      </c>
      <c r="V86" s="4">
        <f>IF(M86=0,0,N86/M86-1)</f>
        <v>0.11719979237294997</v>
      </c>
      <c r="W86" s="18">
        <v>27482.52</v>
      </c>
      <c r="X86" s="18">
        <v>34156.81</v>
      </c>
      <c r="Y86" s="4">
        <f>X86/W86-1</f>
        <v>0.24285582253738003</v>
      </c>
    </row>
    <row r="87" spans="1:25">
      <c r="A87" t="s">
        <v>182</v>
      </c>
      <c r="B87" t="s">
        <v>183</v>
      </c>
      <c r="C87" s="28">
        <v>585</v>
      </c>
      <c r="E87" t="s">
        <v>183</v>
      </c>
      <c r="F87" s="28">
        <v>856</v>
      </c>
      <c r="G87" t="b">
        <f>IF(B87=E87,TRUE,FALSE)</f>
        <v>1</v>
      </c>
      <c r="J87" s="25">
        <f>F87-C87</f>
        <v>271</v>
      </c>
      <c r="K87" s="4">
        <f>F87/C87-1</f>
        <v>0.46324786324786316</v>
      </c>
      <c r="M87" s="5">
        <v>1609.26</v>
      </c>
      <c r="N87" s="5">
        <v>1506.92</v>
      </c>
      <c r="Q87" s="159">
        <v>9003.36</v>
      </c>
      <c r="U87" s="146">
        <f>N87-M87</f>
        <v>-102.33999999999992</v>
      </c>
      <c r="V87" s="4">
        <f>IF(M87=0,0,N87/M87-1)</f>
        <v>-6.3594447137193422E-2</v>
      </c>
      <c r="W87" s="18">
        <v>27489.15</v>
      </c>
      <c r="X87" s="18">
        <v>37159.040000000001</v>
      </c>
      <c r="Y87" s="4">
        <f>X87/W87-1</f>
        <v>0.35177115334595643</v>
      </c>
    </row>
    <row r="88" spans="1:25">
      <c r="A88" t="s">
        <v>184</v>
      </c>
      <c r="B88" t="s">
        <v>185</v>
      </c>
      <c r="C88" s="28">
        <v>1397</v>
      </c>
      <c r="E88" t="s">
        <v>185</v>
      </c>
      <c r="F88" s="28">
        <v>1667</v>
      </c>
      <c r="G88" t="b">
        <f>IF(B88=E88,TRUE,FALSE)</f>
        <v>1</v>
      </c>
      <c r="J88" s="25">
        <f>F88-C88</f>
        <v>270</v>
      </c>
      <c r="K88" s="4">
        <f>F88/C88-1</f>
        <v>0.19327129563350032</v>
      </c>
      <c r="M88" s="5">
        <v>1064.08</v>
      </c>
      <c r="N88" s="5">
        <v>1309.19</v>
      </c>
      <c r="Q88" s="159">
        <v>13041.17</v>
      </c>
      <c r="U88" s="146">
        <f>N88-M88</f>
        <v>245.11000000000013</v>
      </c>
      <c r="V88" s="4">
        <f>IF(M88=0,0,N88/M88-1)</f>
        <v>0.23034922186301787</v>
      </c>
      <c r="W88" s="18">
        <v>41896.03</v>
      </c>
      <c r="X88" s="18">
        <v>46783.33</v>
      </c>
      <c r="Y88" s="4">
        <f>X88/W88-1</f>
        <v>0.11665305758087352</v>
      </c>
    </row>
    <row r="89" spans="1:25">
      <c r="A89" t="s">
        <v>186</v>
      </c>
      <c r="B89" t="s">
        <v>187</v>
      </c>
      <c r="C89" s="28">
        <v>1010</v>
      </c>
      <c r="E89" t="s">
        <v>187</v>
      </c>
      <c r="F89" s="28">
        <v>1278</v>
      </c>
      <c r="G89" t="b">
        <f>IF(B89=E89,TRUE,FALSE)</f>
        <v>1</v>
      </c>
      <c r="J89" s="25">
        <f>F89-C89</f>
        <v>268</v>
      </c>
      <c r="K89" s="4">
        <f>F89/C89-1</f>
        <v>0.26534653465346536</v>
      </c>
      <c r="M89" s="5">
        <v>1326.26</v>
      </c>
      <c r="N89" s="5">
        <v>1837.6599999999999</v>
      </c>
      <c r="Q89" s="159">
        <v>12272.01</v>
      </c>
      <c r="U89" s="146">
        <f>N89-M89</f>
        <v>511.39999999999986</v>
      </c>
      <c r="V89" s="4">
        <f>IF(M89=0,0,N89/M89-1)</f>
        <v>0.38559558457617649</v>
      </c>
      <c r="W89" s="18">
        <v>30289.86</v>
      </c>
      <c r="X89" s="18">
        <v>36286.76</v>
      </c>
      <c r="Y89" s="4">
        <f>X89/W89-1</f>
        <v>0.19798374769642391</v>
      </c>
    </row>
    <row r="90" spans="1:25">
      <c r="A90" t="s">
        <v>188</v>
      </c>
      <c r="B90" t="s">
        <v>189</v>
      </c>
      <c r="C90" s="28">
        <v>1540</v>
      </c>
      <c r="E90" t="s">
        <v>189</v>
      </c>
      <c r="F90" s="28">
        <v>1804</v>
      </c>
      <c r="G90" t="b">
        <f>IF(B90=E90,TRUE,FALSE)</f>
        <v>1</v>
      </c>
      <c r="J90" s="25">
        <f>F90-C90</f>
        <v>264</v>
      </c>
      <c r="K90" s="4">
        <f>F90/C90-1</f>
        <v>0.17142857142857149</v>
      </c>
      <c r="M90" s="5">
        <v>822.23</v>
      </c>
      <c r="N90" s="5">
        <v>766.52</v>
      </c>
      <c r="Q90" s="159">
        <v>5008.51</v>
      </c>
      <c r="U90" s="146">
        <f>N90-M90</f>
        <v>-55.710000000000036</v>
      </c>
      <c r="V90" s="4">
        <f>IF(M90=0,0,N90/M90-1)</f>
        <v>-6.7754764481957608E-2</v>
      </c>
      <c r="W90" s="18">
        <v>46161.8</v>
      </c>
      <c r="X90" s="18">
        <v>50823.65</v>
      </c>
      <c r="Y90" s="4">
        <f>X90/W90-1</f>
        <v>0.10098934616934341</v>
      </c>
    </row>
    <row r="91" spans="1:25">
      <c r="A91" t="s">
        <v>190</v>
      </c>
      <c r="B91" t="s">
        <v>191</v>
      </c>
      <c r="C91" s="28">
        <v>1650</v>
      </c>
      <c r="E91" t="s">
        <v>191</v>
      </c>
      <c r="F91" s="28">
        <v>1913</v>
      </c>
      <c r="G91" t="b">
        <f>IF(B91=E91,TRUE,FALSE)</f>
        <v>1</v>
      </c>
      <c r="J91" s="25">
        <f>F91-C91</f>
        <v>263</v>
      </c>
      <c r="K91" s="4">
        <f>F91/C91-1</f>
        <v>0.15939393939393942</v>
      </c>
      <c r="M91" s="5">
        <v>1411.99</v>
      </c>
      <c r="N91" s="5">
        <v>1562.02</v>
      </c>
      <c r="Q91" s="159">
        <v>12078.12</v>
      </c>
      <c r="U91" s="146">
        <f>N91-M91</f>
        <v>150.02999999999997</v>
      </c>
      <c r="V91" s="4">
        <f>IF(M91=0,0,N91/M91-1)</f>
        <v>0.10625429358564853</v>
      </c>
      <c r="W91" s="18">
        <v>49212.570000000007</v>
      </c>
      <c r="X91" s="18">
        <v>53754.26</v>
      </c>
      <c r="Y91" s="4">
        <f>X91/W91-1</f>
        <v>9.2287194105083126E-2</v>
      </c>
    </row>
    <row r="92" spans="1:25">
      <c r="A92" t="s">
        <v>192</v>
      </c>
      <c r="B92" s="27" t="s">
        <v>193</v>
      </c>
      <c r="C92" s="28">
        <v>2006</v>
      </c>
      <c r="D92" s="19"/>
      <c r="E92" s="27" t="s">
        <v>193</v>
      </c>
      <c r="F92" s="28">
        <v>2266</v>
      </c>
      <c r="G92" t="b">
        <f>IF(B92=E92,TRUE,FALSE)</f>
        <v>1</v>
      </c>
      <c r="H92" s="19"/>
      <c r="I92" s="19"/>
      <c r="J92" s="25">
        <f>F92-C92</f>
        <v>260</v>
      </c>
      <c r="K92" s="4">
        <f>F92/C92-1</f>
        <v>0.12961116650049842</v>
      </c>
      <c r="M92" s="5">
        <v>3385.11</v>
      </c>
      <c r="N92" s="5">
        <v>3755.64</v>
      </c>
      <c r="Q92" s="159">
        <v>22223.51</v>
      </c>
      <c r="U92" s="146">
        <f>N92-M92</f>
        <v>370.52999999999975</v>
      </c>
      <c r="V92" s="4">
        <f>IF(M92=0,0,N92/M92-1)</f>
        <v>0.10945877681966021</v>
      </c>
      <c r="W92" s="18">
        <v>48118.36</v>
      </c>
      <c r="X92" s="18">
        <v>51369.26</v>
      </c>
      <c r="Y92" s="4">
        <f>X92/W92-1</f>
        <v>6.7560490424029451E-2</v>
      </c>
    </row>
    <row r="93" spans="1:25">
      <c r="A93" t="s">
        <v>194</v>
      </c>
      <c r="B93" t="s">
        <v>195</v>
      </c>
      <c r="C93" s="28">
        <v>1415</v>
      </c>
      <c r="E93" t="s">
        <v>195</v>
      </c>
      <c r="F93" s="28">
        <v>1674</v>
      </c>
      <c r="G93" t="b">
        <f>IF(B93=E93,TRUE,FALSE)</f>
        <v>1</v>
      </c>
      <c r="J93" s="25">
        <f>F93-C93</f>
        <v>259</v>
      </c>
      <c r="K93" s="4">
        <f>F93/C93-1</f>
        <v>0.18303886925795054</v>
      </c>
      <c r="M93" s="5">
        <v>1867.01</v>
      </c>
      <c r="N93" s="5">
        <v>2158.77</v>
      </c>
      <c r="Q93" s="159">
        <v>9057.26</v>
      </c>
      <c r="U93" s="146">
        <f>N93-M93</f>
        <v>291.76</v>
      </c>
      <c r="V93" s="4">
        <f>IF(M93=0,0,N93/M93-1)</f>
        <v>0.15627125725089841</v>
      </c>
      <c r="W93" s="18">
        <v>36315.47</v>
      </c>
      <c r="X93" s="18">
        <v>40453.89</v>
      </c>
      <c r="Y93" s="4">
        <f>X93/W93-1</f>
        <v>0.11395749524926968</v>
      </c>
    </row>
    <row r="94" spans="1:25">
      <c r="A94" t="s">
        <v>196</v>
      </c>
      <c r="B94" s="27" t="s">
        <v>197</v>
      </c>
      <c r="C94" s="28">
        <v>1903</v>
      </c>
      <c r="E94" s="27" t="s">
        <v>197</v>
      </c>
      <c r="F94" s="28">
        <v>2157</v>
      </c>
      <c r="G94" t="b">
        <f>IF(B94=E94,TRUE,FALSE)</f>
        <v>1</v>
      </c>
      <c r="J94" s="25">
        <f>F94-C94</f>
        <v>254</v>
      </c>
      <c r="K94" s="4">
        <f>F94/C94-1</f>
        <v>0.1334734629532317</v>
      </c>
      <c r="M94" s="5">
        <v>4203.3900000000003</v>
      </c>
      <c r="N94" s="5">
        <v>4132.5</v>
      </c>
      <c r="Q94" s="159">
        <v>32408.52</v>
      </c>
      <c r="U94" s="146">
        <f>N94-M94</f>
        <v>-70.890000000000327</v>
      </c>
      <c r="V94" s="4">
        <f>IF(M94=0,0,N94/M94-1)</f>
        <v>-1.6864958997380719E-2</v>
      </c>
      <c r="W94" s="18">
        <v>64040.960000000006</v>
      </c>
      <c r="X94" s="18">
        <v>71157.429999999993</v>
      </c>
      <c r="Y94" s="4">
        <f>X94/W94-1</f>
        <v>0.11112372456627728</v>
      </c>
    </row>
    <row r="95" spans="1:25">
      <c r="A95" t="s">
        <v>198</v>
      </c>
      <c r="B95" t="s">
        <v>199</v>
      </c>
      <c r="C95" s="28">
        <v>1655</v>
      </c>
      <c r="E95" t="s">
        <v>199</v>
      </c>
      <c r="F95" s="28">
        <v>1909</v>
      </c>
      <c r="G95" t="b">
        <f>IF(B95=E95,TRUE,FALSE)</f>
        <v>1</v>
      </c>
      <c r="J95" s="25">
        <f>F95-C95</f>
        <v>254</v>
      </c>
      <c r="K95" s="4">
        <f>F95/C95-1</f>
        <v>0.15347432024169194</v>
      </c>
      <c r="M95" s="5">
        <v>2201.59</v>
      </c>
      <c r="N95" s="5">
        <v>2071.2600000000002</v>
      </c>
      <c r="Q95" s="159">
        <v>20708.669999999998</v>
      </c>
      <c r="U95" s="146">
        <f>N95-M95</f>
        <v>-130.32999999999993</v>
      </c>
      <c r="V95" s="4">
        <f>IF(M95=0,0,N95/M95-1)</f>
        <v>-5.9198124991483358E-2</v>
      </c>
      <c r="W95" s="18">
        <v>48290.5</v>
      </c>
      <c r="X95" s="18">
        <v>53524.93</v>
      </c>
      <c r="Y95" s="4">
        <f>X95/W95-1</f>
        <v>0.10839461177664345</v>
      </c>
    </row>
    <row r="96" spans="1:25">
      <c r="A96" t="s">
        <v>200</v>
      </c>
      <c r="B96" t="s">
        <v>201</v>
      </c>
      <c r="C96" s="28">
        <v>782</v>
      </c>
      <c r="E96" t="s">
        <v>201</v>
      </c>
      <c r="F96" s="28">
        <v>1035</v>
      </c>
      <c r="G96" t="b">
        <f>IF(B96=E96,TRUE,FALSE)</f>
        <v>1</v>
      </c>
      <c r="J96" s="25">
        <f>F96-C96</f>
        <v>253</v>
      </c>
      <c r="K96" s="4">
        <f>F96/C96-1</f>
        <v>0.32352941176470584</v>
      </c>
      <c r="M96" s="5">
        <v>1887.62</v>
      </c>
      <c r="N96" s="5">
        <v>1958.29</v>
      </c>
      <c r="Q96" s="159">
        <v>12452.130000000001</v>
      </c>
      <c r="U96" s="146">
        <f>N96-M96</f>
        <v>70.670000000000073</v>
      </c>
      <c r="V96" s="4">
        <f>IF(M96=0,0,N96/M96-1)</f>
        <v>3.7438679395217278E-2</v>
      </c>
      <c r="W96" s="18">
        <v>19524.18</v>
      </c>
      <c r="X96" s="18">
        <v>24383.32</v>
      </c>
      <c r="Y96" s="4">
        <f>X96/W96-1</f>
        <v>0.24887805787490169</v>
      </c>
    </row>
    <row r="97" spans="1:25">
      <c r="A97" t="s">
        <v>202</v>
      </c>
      <c r="B97" t="s">
        <v>203</v>
      </c>
      <c r="C97" s="28">
        <v>1451</v>
      </c>
      <c r="E97" t="s">
        <v>203</v>
      </c>
      <c r="F97" s="28">
        <v>1701</v>
      </c>
      <c r="G97" t="b">
        <f>IF(B97=E97,TRUE,FALSE)</f>
        <v>1</v>
      </c>
      <c r="J97" s="25">
        <f>F97-C97</f>
        <v>250</v>
      </c>
      <c r="K97" s="4">
        <f>F97/C97-1</f>
        <v>0.17229496898690555</v>
      </c>
      <c r="M97" s="5">
        <v>2151.0700000000002</v>
      </c>
      <c r="N97" s="5">
        <v>2210.61</v>
      </c>
      <c r="Q97" s="159">
        <v>17160.71</v>
      </c>
      <c r="U97" s="146">
        <f>N97-M97</f>
        <v>59.539999999999964</v>
      </c>
      <c r="V97" s="4">
        <f>IF(M97=0,0,N97/M97-1)</f>
        <v>2.7679248002157042E-2</v>
      </c>
      <c r="W97" s="18">
        <v>57967.450000000004</v>
      </c>
      <c r="X97" s="18">
        <v>63242.13</v>
      </c>
      <c r="Y97" s="4">
        <f>X97/W97-1</f>
        <v>9.0993824982813498E-2</v>
      </c>
    </row>
    <row r="98" spans="1:25">
      <c r="A98" s="55" t="s">
        <v>204</v>
      </c>
      <c r="B98" s="37" t="s">
        <v>205</v>
      </c>
      <c r="C98" s="19">
        <v>786</v>
      </c>
      <c r="E98" s="37" t="s">
        <v>205</v>
      </c>
      <c r="F98" s="19">
        <v>1035</v>
      </c>
      <c r="G98" t="b">
        <f>IF(B98=E98,TRUE,FALSE)</f>
        <v>1</v>
      </c>
      <c r="J98" s="25">
        <f>F98-C98</f>
        <v>249</v>
      </c>
      <c r="K98" s="4">
        <f>F98/C98-1</f>
        <v>0.31679389312977091</v>
      </c>
      <c r="M98" s="5">
        <v>606.59</v>
      </c>
      <c r="N98" s="5">
        <v>968.5</v>
      </c>
      <c r="Q98" s="158">
        <v>5064.38</v>
      </c>
      <c r="U98" s="146">
        <f>N98-M98</f>
        <v>361.90999999999997</v>
      </c>
      <c r="V98" s="4">
        <f>IF(M98=0,0,N98/M98-1)</f>
        <v>0.59663034339504439</v>
      </c>
      <c r="W98">
        <v>7852.14</v>
      </c>
      <c r="X98">
        <v>10423.65</v>
      </c>
      <c r="Y98" s="4">
        <f>X98/W98-1</f>
        <v>0.32749161375115565</v>
      </c>
    </row>
    <row r="99" spans="1:25">
      <c r="A99" t="s">
        <v>206</v>
      </c>
      <c r="B99" t="s">
        <v>207</v>
      </c>
      <c r="C99" s="28">
        <v>1460</v>
      </c>
      <c r="E99" t="s">
        <v>207</v>
      </c>
      <c r="F99" s="28">
        <v>1708</v>
      </c>
      <c r="G99" t="b">
        <f>IF(B99=E99,TRUE,FALSE)</f>
        <v>1</v>
      </c>
      <c r="J99" s="25">
        <f>F99-C99</f>
        <v>248</v>
      </c>
      <c r="K99" s="4">
        <f>F99/C99-1</f>
        <v>0.16986301369863011</v>
      </c>
      <c r="M99" s="5">
        <v>1466.13</v>
      </c>
      <c r="N99" s="5">
        <v>1965.5</v>
      </c>
      <c r="Q99" s="159">
        <v>14910.73</v>
      </c>
      <c r="U99" s="146">
        <f>N99-M99</f>
        <v>499.36999999999989</v>
      </c>
      <c r="V99" s="4">
        <f>IF(M99=0,0,N99/M99-1)</f>
        <v>0.34060417561880585</v>
      </c>
      <c r="W99" s="18">
        <v>43725.42</v>
      </c>
      <c r="X99" s="18">
        <v>47226.81</v>
      </c>
      <c r="Y99" s="4">
        <f>X99/W99-1</f>
        <v>8.007676084071913E-2</v>
      </c>
    </row>
    <row r="100" spans="1:25">
      <c r="A100" t="s">
        <v>208</v>
      </c>
      <c r="B100" t="s">
        <v>209</v>
      </c>
      <c r="C100" s="28">
        <v>749</v>
      </c>
      <c r="E100" t="s">
        <v>209</v>
      </c>
      <c r="F100" s="28">
        <v>996</v>
      </c>
      <c r="G100" t="b">
        <f>IF(B100=E100,TRUE,FALSE)</f>
        <v>1</v>
      </c>
      <c r="J100" s="25">
        <f>F100-C100</f>
        <v>247</v>
      </c>
      <c r="K100" s="4">
        <f>F100/C100-1</f>
        <v>0.3297730307076101</v>
      </c>
      <c r="M100" s="5">
        <v>943.04</v>
      </c>
      <c r="N100" s="5">
        <v>979.07</v>
      </c>
      <c r="Q100" s="159">
        <v>7218.59</v>
      </c>
      <c r="U100" s="146">
        <f>N100-M100</f>
        <v>36.030000000000086</v>
      </c>
      <c r="V100" s="4">
        <f>IF(M100=0,0,N100/M100-1)</f>
        <v>3.8206226671191112E-2</v>
      </c>
      <c r="W100" s="18">
        <v>17968.509999999998</v>
      </c>
      <c r="X100" s="18">
        <v>22319.64</v>
      </c>
      <c r="Y100" s="4">
        <f>X100/W100-1</f>
        <v>0.24215307780110873</v>
      </c>
    </row>
    <row r="101" spans="1:25">
      <c r="A101" t="s">
        <v>210</v>
      </c>
      <c r="B101" t="s">
        <v>211</v>
      </c>
      <c r="C101" s="28">
        <v>2021</v>
      </c>
      <c r="E101" t="s">
        <v>211</v>
      </c>
      <c r="F101" s="28">
        <v>2263</v>
      </c>
      <c r="G101" t="b">
        <f>IF(B101=E101,TRUE,FALSE)</f>
        <v>1</v>
      </c>
      <c r="J101" s="25">
        <f>F101-C101</f>
        <v>242</v>
      </c>
      <c r="K101" s="4">
        <f>F101/C101-1</f>
        <v>0.11974270163285494</v>
      </c>
      <c r="M101" s="5">
        <v>3301.52</v>
      </c>
      <c r="N101" s="5">
        <v>3594.78</v>
      </c>
      <c r="Q101" s="159">
        <v>24105.599999999999</v>
      </c>
      <c r="U101" s="146">
        <f>N101-M101</f>
        <v>293.26000000000022</v>
      </c>
      <c r="V101" s="4">
        <f>IF(M101=0,0,N101/M101-1)</f>
        <v>8.8825752986503304E-2</v>
      </c>
      <c r="W101" s="18">
        <v>54442.79</v>
      </c>
      <c r="X101" s="18">
        <v>57757.37</v>
      </c>
      <c r="Y101" s="4">
        <f>X101/W101-1</f>
        <v>6.0881890880316814E-2</v>
      </c>
    </row>
    <row r="102" spans="1:25">
      <c r="A102" t="s">
        <v>212</v>
      </c>
      <c r="B102" t="s">
        <v>213</v>
      </c>
      <c r="C102" s="28">
        <v>2534</v>
      </c>
      <c r="E102" t="s">
        <v>213</v>
      </c>
      <c r="F102" s="28">
        <v>2769</v>
      </c>
      <c r="G102" t="b">
        <f>IF(B102=E102,TRUE,FALSE)</f>
        <v>1</v>
      </c>
      <c r="J102" s="25">
        <f>F102-C102</f>
        <v>235</v>
      </c>
      <c r="K102" s="4">
        <f>F102/C102-1</f>
        <v>9.2738752959747428E-2</v>
      </c>
      <c r="M102" s="5">
        <v>4380.82</v>
      </c>
      <c r="N102" s="5">
        <v>4871.1899999999996</v>
      </c>
      <c r="Q102" s="159">
        <v>34806.81</v>
      </c>
      <c r="U102" s="146">
        <f>N102-M102</f>
        <v>490.36999999999989</v>
      </c>
      <c r="V102" s="4">
        <f>IF(M102=0,0,N102/M102-1)</f>
        <v>0.11193566501248631</v>
      </c>
      <c r="W102" s="18">
        <v>63285.78</v>
      </c>
      <c r="X102" s="18">
        <v>66565.100000000006</v>
      </c>
      <c r="Y102" s="4">
        <f>X102/W102-1</f>
        <v>5.1817643710798889E-2</v>
      </c>
    </row>
    <row r="103" spans="1:25">
      <c r="A103" t="s">
        <v>214</v>
      </c>
      <c r="B103" t="s">
        <v>215</v>
      </c>
      <c r="C103" s="28">
        <v>2456</v>
      </c>
      <c r="E103" t="s">
        <v>215</v>
      </c>
      <c r="F103" s="28">
        <v>2686</v>
      </c>
      <c r="G103" t="b">
        <f>IF(B103=E103,TRUE,FALSE)</f>
        <v>1</v>
      </c>
      <c r="J103" s="25">
        <f>F103-C103</f>
        <v>230</v>
      </c>
      <c r="K103" s="4">
        <f>F103/C103-1</f>
        <v>9.3648208469055305E-2</v>
      </c>
      <c r="M103" s="5">
        <v>1823.88</v>
      </c>
      <c r="N103" s="5">
        <v>2042.86</v>
      </c>
      <c r="Q103" s="159">
        <v>15654.56</v>
      </c>
      <c r="U103" s="146">
        <f>N103-M103</f>
        <v>218.97999999999979</v>
      </c>
      <c r="V103" s="4">
        <f>IF(M103=0,0,N103/M103-1)</f>
        <v>0.12006272342478663</v>
      </c>
      <c r="W103" s="18">
        <v>73260.429999999993</v>
      </c>
      <c r="X103" s="18">
        <v>80552.72</v>
      </c>
      <c r="Y103" s="4">
        <f>X103/W103-1</f>
        <v>9.9539273793506355E-2</v>
      </c>
    </row>
    <row r="104" spans="1:25">
      <c r="A104" t="s">
        <v>216</v>
      </c>
      <c r="B104" t="s">
        <v>217</v>
      </c>
      <c r="C104" s="28">
        <v>1000</v>
      </c>
      <c r="E104" t="s">
        <v>217</v>
      </c>
      <c r="F104" s="28">
        <v>1229</v>
      </c>
      <c r="G104" t="b">
        <f>IF(B104=E104,TRUE,FALSE)</f>
        <v>1</v>
      </c>
      <c r="J104" s="25">
        <f>F104-C104</f>
        <v>229</v>
      </c>
      <c r="K104" s="4">
        <f>F104/C104-1</f>
        <v>0.22900000000000009</v>
      </c>
      <c r="M104" s="5">
        <v>1126.3499999999999</v>
      </c>
      <c r="N104" s="5">
        <v>1120.8800000000001</v>
      </c>
      <c r="Q104" s="159">
        <v>11715.98</v>
      </c>
      <c r="U104" s="146">
        <f>N104-M104</f>
        <v>-5.4699999999997999</v>
      </c>
      <c r="V104" s="4">
        <f>IF(M104=0,0,N104/M104-1)</f>
        <v>-4.8563945487635207E-3</v>
      </c>
      <c r="W104" s="18">
        <v>26950</v>
      </c>
      <c r="X104" s="18">
        <v>30968.86</v>
      </c>
      <c r="Y104" s="4">
        <f>X104/W104-1</f>
        <v>0.14912282003710575</v>
      </c>
    </row>
    <row r="105" spans="1:25">
      <c r="A105" t="s">
        <v>218</v>
      </c>
      <c r="B105" t="s">
        <v>219</v>
      </c>
      <c r="C105" s="28">
        <v>1943</v>
      </c>
      <c r="E105" t="s">
        <v>219</v>
      </c>
      <c r="F105" s="28">
        <v>2165</v>
      </c>
      <c r="G105" t="b">
        <f>IF(B105=E105,TRUE,FALSE)</f>
        <v>1</v>
      </c>
      <c r="J105" s="25">
        <f>F105-C105</f>
        <v>222</v>
      </c>
      <c r="K105" s="4">
        <f>F105/C105-1</f>
        <v>0.11425630468347925</v>
      </c>
      <c r="M105" s="5">
        <v>2960.2</v>
      </c>
      <c r="N105" s="5">
        <v>2338.8200000000002</v>
      </c>
      <c r="Q105" s="159">
        <v>12752.93</v>
      </c>
      <c r="U105" s="146">
        <f>N105-M105</f>
        <v>-621.37999999999965</v>
      </c>
      <c r="V105" s="4">
        <f>IF(M105=0,0,N105/M105-1)</f>
        <v>-0.20991149246672514</v>
      </c>
      <c r="W105" s="18">
        <v>38782.800000000003</v>
      </c>
      <c r="X105" s="18">
        <v>40765.43</v>
      </c>
      <c r="Y105" s="4">
        <f>X105/W105-1</f>
        <v>5.1121373392328584E-2</v>
      </c>
    </row>
    <row r="106" spans="1:25">
      <c r="A106" t="s">
        <v>220</v>
      </c>
      <c r="B106" t="s">
        <v>221</v>
      </c>
      <c r="C106" s="28">
        <v>1227</v>
      </c>
      <c r="E106" t="s">
        <v>221</v>
      </c>
      <c r="F106" s="28">
        <v>1445</v>
      </c>
      <c r="G106" t="b">
        <f>IF(B106=E106,TRUE,FALSE)</f>
        <v>1</v>
      </c>
      <c r="J106" s="25">
        <f>F106-C106</f>
        <v>218</v>
      </c>
      <c r="K106" s="4">
        <f>F106/C106-1</f>
        <v>0.17766911165444177</v>
      </c>
      <c r="M106" s="5">
        <v>1506.36</v>
      </c>
      <c r="N106" s="5">
        <v>1510.63</v>
      </c>
      <c r="Q106" s="159">
        <v>10328.74</v>
      </c>
      <c r="U106" s="146">
        <f>N106-M106</f>
        <v>4.2700000000002092</v>
      </c>
      <c r="V106" s="4">
        <f>IF(M106=0,0,N106/M106-1)</f>
        <v>2.8346477601637332E-3</v>
      </c>
      <c r="W106" s="18">
        <v>35566.230000000003</v>
      </c>
      <c r="X106" s="18">
        <v>40047.800000000003</v>
      </c>
      <c r="Y106" s="4">
        <f>X106/W106-1</f>
        <v>0.12600632678807955</v>
      </c>
    </row>
    <row r="107" spans="1:25">
      <c r="A107" t="s">
        <v>222</v>
      </c>
      <c r="B107" t="s">
        <v>223</v>
      </c>
      <c r="C107" s="28">
        <v>2692</v>
      </c>
      <c r="E107" t="s">
        <v>223</v>
      </c>
      <c r="F107" s="28">
        <v>2906</v>
      </c>
      <c r="G107" t="b">
        <f>IF(B107=E107,TRUE,FALSE)</f>
        <v>1</v>
      </c>
      <c r="J107" s="25">
        <f>F107-C107</f>
        <v>214</v>
      </c>
      <c r="K107" s="4">
        <f>F107/C107-1</f>
        <v>7.9494799405646299E-2</v>
      </c>
      <c r="M107" s="5">
        <v>3110.18</v>
      </c>
      <c r="N107" s="5">
        <v>3116.98</v>
      </c>
      <c r="Q107" s="159">
        <v>28773.52</v>
      </c>
      <c r="U107" s="146">
        <f>N107-M107</f>
        <v>6.8000000000001819</v>
      </c>
      <c r="V107" s="4">
        <f>IF(M107=0,0,N107/M107-1)</f>
        <v>2.1863686346128564E-3</v>
      </c>
      <c r="W107" s="18">
        <v>80625.399999999994</v>
      </c>
      <c r="X107" s="18">
        <v>81515.8</v>
      </c>
      <c r="Y107" s="4">
        <f>X107/W107-1</f>
        <v>1.1043666139951114E-2</v>
      </c>
    </row>
    <row r="108" spans="1:25">
      <c r="A108" t="s">
        <v>224</v>
      </c>
      <c r="B108" t="s">
        <v>225</v>
      </c>
      <c r="C108" s="28">
        <v>569</v>
      </c>
      <c r="E108" t="s">
        <v>225</v>
      </c>
      <c r="F108" s="28">
        <v>778</v>
      </c>
      <c r="G108" t="b">
        <f>IF(B108=E108,TRUE,FALSE)</f>
        <v>1</v>
      </c>
      <c r="J108" s="25">
        <f>F108-C108</f>
        <v>209</v>
      </c>
      <c r="K108" s="4">
        <f>F108/C108-1</f>
        <v>0.36731107205623892</v>
      </c>
      <c r="M108" s="5">
        <v>357.14</v>
      </c>
      <c r="N108" s="5">
        <v>640.73</v>
      </c>
      <c r="Q108" s="159">
        <v>6090.37</v>
      </c>
      <c r="U108" s="146">
        <f>N108-M108</f>
        <v>283.59000000000003</v>
      </c>
      <c r="V108" s="4">
        <f>IF(M108=0,0,N108/M108-1)</f>
        <v>0.79405835246681988</v>
      </c>
      <c r="W108" s="18">
        <v>17041.55</v>
      </c>
      <c r="X108" s="18">
        <v>23299.9</v>
      </c>
      <c r="Y108" s="4">
        <f>X108/W108-1</f>
        <v>0.36724065592625088</v>
      </c>
    </row>
    <row r="109" spans="1:25">
      <c r="A109" t="s">
        <v>226</v>
      </c>
      <c r="B109" t="s">
        <v>227</v>
      </c>
      <c r="C109" s="28">
        <v>856</v>
      </c>
      <c r="E109" t="s">
        <v>227</v>
      </c>
      <c r="F109" s="28">
        <v>1063</v>
      </c>
      <c r="G109" t="b">
        <f>IF(B109=E109,TRUE,FALSE)</f>
        <v>1</v>
      </c>
      <c r="J109" s="25">
        <f>F109-C109</f>
        <v>207</v>
      </c>
      <c r="K109" s="4">
        <f>F109/C109-1</f>
        <v>0.24182242990654212</v>
      </c>
      <c r="M109" s="5">
        <v>764.2</v>
      </c>
      <c r="N109" s="5">
        <v>1303.21</v>
      </c>
      <c r="Q109" s="159">
        <v>11144.71</v>
      </c>
      <c r="U109" s="146">
        <f>N109-M109</f>
        <v>539.01</v>
      </c>
      <c r="V109" s="4">
        <f>IF(M109=0,0,N109/M109-1)</f>
        <v>0.70532583093431023</v>
      </c>
      <c r="W109" s="18">
        <v>24800.000000000004</v>
      </c>
      <c r="X109" s="18">
        <v>29583.03</v>
      </c>
      <c r="Y109" s="4">
        <f>X109/W109-1</f>
        <v>0.19286411290322558</v>
      </c>
    </row>
    <row r="110" spans="1:25">
      <c r="A110" t="s">
        <v>228</v>
      </c>
      <c r="B110" t="s">
        <v>229</v>
      </c>
      <c r="C110" s="28">
        <v>0</v>
      </c>
      <c r="E110" t="s">
        <v>229</v>
      </c>
      <c r="F110" s="28">
        <v>206</v>
      </c>
      <c r="G110" t="b">
        <f>IF(B110=E110,TRUE,FALSE)</f>
        <v>1</v>
      </c>
      <c r="J110" s="25">
        <f>F110-C110</f>
        <v>206</v>
      </c>
      <c r="K110" s="4" t="e">
        <f>F110/C110-1</f>
        <v>#DIV/0!</v>
      </c>
      <c r="M110" s="5">
        <v>0</v>
      </c>
      <c r="N110" s="5">
        <v>766.29</v>
      </c>
      <c r="Q110" s="159">
        <v>1977.82</v>
      </c>
      <c r="U110" s="146">
        <f>N110-M110</f>
        <v>766.29</v>
      </c>
      <c r="V110" s="4">
        <f>IF(M110=0,0,N110/M110-1)</f>
        <v>0</v>
      </c>
      <c r="W110" s="18">
        <v>0</v>
      </c>
      <c r="X110" s="18">
        <v>2147.94</v>
      </c>
      <c r="Y110" s="4" t="e">
        <f>X110/W110-1</f>
        <v>#DIV/0!</v>
      </c>
    </row>
    <row r="111" spans="1:25">
      <c r="A111" t="s">
        <v>230</v>
      </c>
      <c r="B111" t="s">
        <v>231</v>
      </c>
      <c r="C111" s="28">
        <v>1935</v>
      </c>
      <c r="E111" t="s">
        <v>231</v>
      </c>
      <c r="F111" s="28">
        <v>2134</v>
      </c>
      <c r="G111" t="b">
        <f>IF(B111=E111,TRUE,FALSE)</f>
        <v>1</v>
      </c>
      <c r="J111" s="25">
        <f>F111-C111</f>
        <v>199</v>
      </c>
      <c r="K111" s="4">
        <f>F111/C111-1</f>
        <v>0.10284237726098189</v>
      </c>
      <c r="M111" s="5">
        <v>2500.2800000000002</v>
      </c>
      <c r="N111" s="5">
        <v>2280.6799999999998</v>
      </c>
      <c r="Q111" s="159">
        <v>16850.580000000002</v>
      </c>
      <c r="U111" s="146">
        <f>N111-M111</f>
        <v>-219.60000000000036</v>
      </c>
      <c r="V111" s="4">
        <f>IF(M111=0,0,N111/M111-1)</f>
        <v>-8.7830163021741736E-2</v>
      </c>
      <c r="W111" s="18">
        <v>57685.66</v>
      </c>
      <c r="X111" s="18">
        <v>61841.66</v>
      </c>
      <c r="Y111" s="4">
        <f>X111/W111-1</f>
        <v>7.2045634911692025E-2</v>
      </c>
    </row>
    <row r="112" spans="1:25">
      <c r="A112" t="s">
        <v>232</v>
      </c>
      <c r="B112" s="27" t="s">
        <v>233</v>
      </c>
      <c r="C112" s="28">
        <v>1266</v>
      </c>
      <c r="E112" s="27" t="s">
        <v>233</v>
      </c>
      <c r="F112" s="28">
        <v>1465</v>
      </c>
      <c r="G112" t="b">
        <f>IF(B112=E112,TRUE,FALSE)</f>
        <v>1</v>
      </c>
      <c r="J112" s="25">
        <f>F112-C112</f>
        <v>199</v>
      </c>
      <c r="K112" s="4">
        <f>F112/C112-1</f>
        <v>0.15718799368088465</v>
      </c>
      <c r="M112" s="5">
        <v>3282.72</v>
      </c>
      <c r="N112" s="5">
        <v>3373.36</v>
      </c>
      <c r="Q112" s="159">
        <v>19218.79</v>
      </c>
      <c r="U112" s="146">
        <f>N112-M112</f>
        <v>90.640000000000327</v>
      </c>
      <c r="V112" s="4">
        <f>IF(M112=0,0,N112/M112-1)</f>
        <v>2.7611249207974087E-2</v>
      </c>
      <c r="W112" s="18">
        <v>36701.339999999997</v>
      </c>
      <c r="X112" s="18">
        <v>42468.03</v>
      </c>
      <c r="Y112" s="4">
        <f>X112/W112-1</f>
        <v>0.15712478073007707</v>
      </c>
    </row>
    <row r="113" spans="1:25">
      <c r="A113" t="s">
        <v>234</v>
      </c>
      <c r="B113" t="s">
        <v>235</v>
      </c>
      <c r="C113" s="28">
        <v>3558</v>
      </c>
      <c r="E113" t="s">
        <v>235</v>
      </c>
      <c r="F113" s="28">
        <v>3751</v>
      </c>
      <c r="G113" t="b">
        <f>IF(B113=E113,TRUE,FALSE)</f>
        <v>1</v>
      </c>
      <c r="J113" s="25">
        <f>F113-C113</f>
        <v>193</v>
      </c>
      <c r="K113" s="4">
        <f>F113/C113-1</f>
        <v>5.4243957279370481E-2</v>
      </c>
      <c r="M113" s="5">
        <v>4545.75</v>
      </c>
      <c r="N113" s="5">
        <v>3196.15</v>
      </c>
      <c r="Q113" s="159">
        <v>18881.990000000002</v>
      </c>
      <c r="U113" s="146">
        <f>N113-M113</f>
        <v>-1349.6</v>
      </c>
      <c r="V113" s="4">
        <f>IF(M113=0,0,N113/M113-1)</f>
        <v>-0.29689270197437168</v>
      </c>
      <c r="W113" s="18">
        <v>106018.42</v>
      </c>
      <c r="X113" s="18">
        <v>103985.68999999999</v>
      </c>
      <c r="Y113" s="4">
        <f>X113/W113-1</f>
        <v>-1.9173366288612992E-2</v>
      </c>
    </row>
    <row r="114" spans="1:25">
      <c r="A114" t="s">
        <v>236</v>
      </c>
      <c r="B114" t="s">
        <v>237</v>
      </c>
      <c r="C114" s="28">
        <v>1759</v>
      </c>
      <c r="E114" t="s">
        <v>237</v>
      </c>
      <c r="F114" s="28">
        <v>1950</v>
      </c>
      <c r="G114" t="b">
        <f>IF(B114=E114,TRUE,FALSE)</f>
        <v>1</v>
      </c>
      <c r="J114" s="25">
        <f>F114-C114</f>
        <v>191</v>
      </c>
      <c r="K114" s="4">
        <f>F114/C114-1</f>
        <v>0.10858442296759518</v>
      </c>
      <c r="M114" s="5">
        <v>2633.81</v>
      </c>
      <c r="N114" s="5">
        <v>2226.62</v>
      </c>
      <c r="Q114" s="159">
        <v>15443.54</v>
      </c>
      <c r="U114" s="146">
        <f>N114-M114</f>
        <v>-407.19000000000005</v>
      </c>
      <c r="V114" s="4">
        <f>IF(M114=0,0,N114/M114-1)</f>
        <v>-0.15460112916269586</v>
      </c>
      <c r="W114" s="18">
        <v>52622.15</v>
      </c>
      <c r="X114" s="18">
        <v>55184.37</v>
      </c>
      <c r="Y114" s="4">
        <f>X114/W114-1</f>
        <v>4.8690902975268013E-2</v>
      </c>
    </row>
    <row r="115" spans="1:25">
      <c r="A115" t="s">
        <v>238</v>
      </c>
      <c r="B115" t="s">
        <v>239</v>
      </c>
      <c r="C115" s="28">
        <v>1017</v>
      </c>
      <c r="E115" t="s">
        <v>239</v>
      </c>
      <c r="F115" s="28">
        <v>1206</v>
      </c>
      <c r="G115" t="b">
        <f>IF(B115=E115,TRUE,FALSE)</f>
        <v>1</v>
      </c>
      <c r="J115" s="25">
        <f>F115-C115</f>
        <v>189</v>
      </c>
      <c r="K115" s="4">
        <f>F115/C115-1</f>
        <v>0.18584070796460184</v>
      </c>
      <c r="M115" s="5">
        <v>734.53</v>
      </c>
      <c r="N115" s="5">
        <v>735.91</v>
      </c>
      <c r="Q115" s="159">
        <v>6155.1</v>
      </c>
      <c r="U115" s="146">
        <f>N115-M115</f>
        <v>1.3799999999999955</v>
      </c>
      <c r="V115" s="4">
        <f>IF(M115=0,0,N115/M115-1)</f>
        <v>1.8787523994936439E-3</v>
      </c>
      <c r="W115" s="18">
        <v>30322.83</v>
      </c>
      <c r="X115" s="18">
        <v>34169.94</v>
      </c>
      <c r="Y115" s="4">
        <f>X115/W115-1</f>
        <v>0.12687173327819345</v>
      </c>
    </row>
    <row r="116" spans="1:25">
      <c r="A116" s="55" t="s">
        <v>240</v>
      </c>
      <c r="B116" s="37" t="s">
        <v>241</v>
      </c>
      <c r="C116" s="19">
        <v>825</v>
      </c>
      <c r="E116" s="37" t="s">
        <v>241</v>
      </c>
      <c r="F116" s="19">
        <v>1013</v>
      </c>
      <c r="G116" t="b">
        <f>IF(B116=E116,TRUE,FALSE)</f>
        <v>1</v>
      </c>
      <c r="J116" s="25">
        <f>F116-C116</f>
        <v>188</v>
      </c>
      <c r="K116" s="4">
        <f>F116/C116-1</f>
        <v>0.22787878787878779</v>
      </c>
      <c r="M116" s="5">
        <v>1646.54</v>
      </c>
      <c r="N116" s="5">
        <v>2159.77</v>
      </c>
      <c r="Q116" s="158">
        <v>8005.18</v>
      </c>
      <c r="U116" s="146">
        <f>N116-M116</f>
        <v>513.23</v>
      </c>
      <c r="V116" s="4">
        <f>IF(M116=0,0,N116/M116-1)</f>
        <v>0.31170211473757092</v>
      </c>
      <c r="W116">
        <v>8241.75</v>
      </c>
      <c r="X116">
        <v>10119.870000000001</v>
      </c>
      <c r="Y116" s="4">
        <f>X116/W116-1</f>
        <v>0.22787878787878801</v>
      </c>
    </row>
    <row r="117" spans="1:25">
      <c r="A117" s="57" t="s">
        <v>242</v>
      </c>
      <c r="B117" s="37" t="s">
        <v>243</v>
      </c>
      <c r="C117" s="28">
        <v>770</v>
      </c>
      <c r="E117" s="37" t="s">
        <v>243</v>
      </c>
      <c r="F117" s="28">
        <v>944</v>
      </c>
      <c r="G117" t="b">
        <f>IF(B117=E117,TRUE,FALSE)</f>
        <v>1</v>
      </c>
      <c r="J117" s="25">
        <f>F117-C117</f>
        <v>174</v>
      </c>
      <c r="K117" s="4">
        <f>F117/C117-1</f>
        <v>0.22597402597402594</v>
      </c>
      <c r="M117" s="5">
        <v>1832.47</v>
      </c>
      <c r="N117" s="5">
        <v>1813.25</v>
      </c>
      <c r="Q117" s="159">
        <v>13213.89</v>
      </c>
      <c r="U117" s="146">
        <f>N117-M117</f>
        <v>-19.220000000000027</v>
      </c>
      <c r="V117" s="4">
        <f>IF(M117=0,0,N117/M117-1)</f>
        <v>-1.0488575529203792E-2</v>
      </c>
      <c r="W117" s="18">
        <v>34642.300000000003</v>
      </c>
      <c r="X117" s="18">
        <v>40438.81</v>
      </c>
      <c r="Y117" s="4">
        <f>X117/W117-1</f>
        <v>0.16732462913836543</v>
      </c>
    </row>
    <row r="118" spans="1:25">
      <c r="A118" s="55" t="s">
        <v>244</v>
      </c>
      <c r="B118" s="37" t="s">
        <v>245</v>
      </c>
      <c r="C118" s="19">
        <v>532</v>
      </c>
      <c r="E118" s="37" t="s">
        <v>245</v>
      </c>
      <c r="F118" s="19">
        <v>695</v>
      </c>
      <c r="G118" t="b">
        <f>IF(B118=E118,TRUE,FALSE)</f>
        <v>1</v>
      </c>
      <c r="J118" s="25">
        <f>F118-C118</f>
        <v>163</v>
      </c>
      <c r="K118" s="4">
        <f>F118/C118-1</f>
        <v>0.3063909774436091</v>
      </c>
      <c r="M118" s="5">
        <v>971.95</v>
      </c>
      <c r="N118" s="5">
        <v>1193.28</v>
      </c>
      <c r="Q118" s="158">
        <v>4898.54</v>
      </c>
      <c r="U118" s="146">
        <f>N118-M118</f>
        <v>221.32999999999993</v>
      </c>
      <c r="V118" s="4">
        <f>IF(M118=0,0,N118/M118-1)</f>
        <v>0.22771747517876428</v>
      </c>
      <c r="W118">
        <v>5314.68</v>
      </c>
      <c r="X118">
        <v>6943.05</v>
      </c>
      <c r="Y118" s="4">
        <f>X118/W118-1</f>
        <v>0.30639097744360888</v>
      </c>
    </row>
    <row r="119" spans="1:25">
      <c r="A119" t="s">
        <v>246</v>
      </c>
      <c r="B119" t="s">
        <v>247</v>
      </c>
      <c r="C119" s="28">
        <v>2302</v>
      </c>
      <c r="E119" t="s">
        <v>247</v>
      </c>
      <c r="F119" s="28">
        <v>2460</v>
      </c>
      <c r="G119" t="b">
        <f>IF(B119=E119,TRUE,FALSE)</f>
        <v>1</v>
      </c>
      <c r="J119" s="25">
        <f>F119-C119</f>
        <v>158</v>
      </c>
      <c r="K119" s="4">
        <f>F119/C119-1</f>
        <v>6.8635968722849716E-2</v>
      </c>
      <c r="M119" s="5">
        <v>2854.96</v>
      </c>
      <c r="N119" s="5">
        <v>3320.31</v>
      </c>
      <c r="Q119" s="159">
        <v>31494.55</v>
      </c>
      <c r="U119" s="146">
        <f>N119-M119</f>
        <v>465.34999999999991</v>
      </c>
      <c r="V119" s="4">
        <f>IF(M119=0,0,N119/M119-1)</f>
        <v>0.16299702973071417</v>
      </c>
      <c r="W119" s="18">
        <v>40416.980000000003</v>
      </c>
      <c r="X119" s="18">
        <v>41794.720000000001</v>
      </c>
      <c r="Y119" s="4">
        <f>X119/W119-1</f>
        <v>3.4088148100130056E-2</v>
      </c>
    </row>
    <row r="120" spans="1:25">
      <c r="A120" s="55" t="s">
        <v>248</v>
      </c>
      <c r="B120" s="37" t="s">
        <v>249</v>
      </c>
      <c r="C120" s="28">
        <v>677</v>
      </c>
      <c r="E120" s="37" t="s">
        <v>249</v>
      </c>
      <c r="F120" s="28">
        <v>833</v>
      </c>
      <c r="G120" t="b">
        <f>IF(B120=E120,TRUE,FALSE)</f>
        <v>1</v>
      </c>
      <c r="J120" s="25">
        <f>F120-C120</f>
        <v>156</v>
      </c>
      <c r="K120" s="4">
        <f>F120/C120-1</f>
        <v>0.23042836041358927</v>
      </c>
      <c r="M120" s="5">
        <v>1595.19</v>
      </c>
      <c r="N120" s="5">
        <v>1528.77</v>
      </c>
      <c r="Q120" s="158">
        <v>11279.33</v>
      </c>
      <c r="U120" s="146">
        <f>N120-M120</f>
        <v>-66.420000000000073</v>
      </c>
      <c r="V120" s="4">
        <f>IF(M120=0,0,N120/M120-1)</f>
        <v>-4.1637673255223606E-2</v>
      </c>
      <c r="W120" s="18">
        <v>14967.23</v>
      </c>
      <c r="X120" s="18">
        <v>16651.27</v>
      </c>
      <c r="Y120" s="4">
        <f>X120/W120-1</f>
        <v>0.11251514141227204</v>
      </c>
    </row>
    <row r="121" spans="1:25">
      <c r="A121" t="s">
        <v>250</v>
      </c>
      <c r="B121" t="s">
        <v>251</v>
      </c>
      <c r="C121" s="28">
        <v>2165</v>
      </c>
      <c r="E121" t="s">
        <v>251</v>
      </c>
      <c r="F121" s="28">
        <v>2309</v>
      </c>
      <c r="G121" t="b">
        <f>IF(B121=E121,TRUE,FALSE)</f>
        <v>1</v>
      </c>
      <c r="J121" s="25">
        <f>F121-C121</f>
        <v>144</v>
      </c>
      <c r="K121" s="4">
        <f>F121/C121-1</f>
        <v>6.651270207852189E-2</v>
      </c>
      <c r="M121" s="5">
        <v>3451.17</v>
      </c>
      <c r="N121" s="5">
        <v>2909.09</v>
      </c>
      <c r="Q121" s="159">
        <v>17060.05</v>
      </c>
      <c r="U121" s="146">
        <f>N121-M121</f>
        <v>-542.07999999999993</v>
      </c>
      <c r="V121" s="4">
        <f>IF(M121=0,0,N121/M121-1)</f>
        <v>-0.15707136999915972</v>
      </c>
      <c r="W121" s="18">
        <v>64811.8</v>
      </c>
      <c r="X121" s="18">
        <v>64762.38</v>
      </c>
      <c r="Y121" s="4">
        <f>X121/W121-1</f>
        <v>-7.6251546786243463E-4</v>
      </c>
    </row>
    <row r="122" spans="1:25">
      <c r="A122" s="55" t="s">
        <v>252</v>
      </c>
      <c r="B122" s="37" t="s">
        <v>253</v>
      </c>
      <c r="C122" s="28">
        <v>36</v>
      </c>
      <c r="E122" s="37" t="s">
        <v>253</v>
      </c>
      <c r="F122" s="28">
        <v>179</v>
      </c>
      <c r="G122" t="b">
        <f>IF(B122=E122,TRUE,FALSE)</f>
        <v>1</v>
      </c>
      <c r="J122" s="25">
        <f>F122-C122</f>
        <v>143</v>
      </c>
      <c r="K122" s="4">
        <f>F122/C122-1</f>
        <v>3.9722222222222223</v>
      </c>
      <c r="M122" s="5">
        <v>58.02</v>
      </c>
      <c r="N122" s="5">
        <v>104.57</v>
      </c>
      <c r="Q122" s="158">
        <v>855.99</v>
      </c>
      <c r="U122" s="146">
        <f>N122-M122</f>
        <v>46.54999999999999</v>
      </c>
      <c r="V122" s="4">
        <f>IF(M122=0,0,N122/M122-1)</f>
        <v>0.8023095484315752</v>
      </c>
      <c r="W122" s="18">
        <v>1510.2</v>
      </c>
      <c r="X122" s="18">
        <v>7842.85</v>
      </c>
      <c r="Y122" s="4">
        <f>X122/W122-1</f>
        <v>4.1932525493312145</v>
      </c>
    </row>
    <row r="123" spans="1:25">
      <c r="A123" s="55" t="s">
        <v>254</v>
      </c>
      <c r="B123" s="37" t="s">
        <v>255</v>
      </c>
      <c r="C123" s="28">
        <v>672</v>
      </c>
      <c r="E123" s="37" t="s">
        <v>255</v>
      </c>
      <c r="F123" s="28">
        <v>808</v>
      </c>
      <c r="G123" t="b">
        <f>IF(B123=E123,TRUE,FALSE)</f>
        <v>1</v>
      </c>
      <c r="J123" s="25">
        <f>F123-C123</f>
        <v>136</v>
      </c>
      <c r="K123" s="4">
        <f>F123/C123-1</f>
        <v>0.20238095238095233</v>
      </c>
      <c r="M123" s="5">
        <v>1581.32</v>
      </c>
      <c r="N123" s="5">
        <v>1637.79</v>
      </c>
      <c r="Q123" s="158">
        <v>7336.23</v>
      </c>
      <c r="U123" s="146">
        <f>N123-M123</f>
        <v>56.470000000000027</v>
      </c>
      <c r="V123" s="4">
        <f>IF(M123=0,0,N123/M123-1)</f>
        <v>3.571067209672929E-2</v>
      </c>
      <c r="W123" s="18">
        <v>6713.28</v>
      </c>
      <c r="X123" s="18">
        <v>8071.92</v>
      </c>
      <c r="Y123" s="4">
        <f>X123/W123-1</f>
        <v>0.20238095238095233</v>
      </c>
    </row>
    <row r="124" spans="1:25">
      <c r="A124" t="s">
        <v>256</v>
      </c>
      <c r="B124" t="s">
        <v>257</v>
      </c>
      <c r="C124" s="28">
        <v>1093</v>
      </c>
      <c r="E124" t="s">
        <v>257</v>
      </c>
      <c r="F124" s="28">
        <v>1219</v>
      </c>
      <c r="G124" t="b">
        <f>IF(B124=E124,TRUE,FALSE)</f>
        <v>1</v>
      </c>
      <c r="J124" s="25">
        <f>F124-C124</f>
        <v>126</v>
      </c>
      <c r="K124" s="4">
        <f>F124/C124-1</f>
        <v>0.11527904849039339</v>
      </c>
      <c r="M124" s="5">
        <v>1918.32</v>
      </c>
      <c r="N124" s="5">
        <v>2078.7799999999997</v>
      </c>
      <c r="Q124" s="159">
        <v>12973.060000000001</v>
      </c>
      <c r="U124" s="146">
        <f>N124-M124</f>
        <v>160.45999999999981</v>
      </c>
      <c r="V124" s="4">
        <f>IF(M124=0,0,N124/M124-1)</f>
        <v>8.3646107010300508E-2</v>
      </c>
      <c r="W124" s="18">
        <v>32773.03</v>
      </c>
      <c r="X124" s="18">
        <v>36551.769999999997</v>
      </c>
      <c r="Y124" s="4">
        <f>X124/W124-1</f>
        <v>0.1153002941748138</v>
      </c>
    </row>
    <row r="125" spans="1:25">
      <c r="A125" s="55" t="s">
        <v>258</v>
      </c>
      <c r="B125" s="37" t="s">
        <v>259</v>
      </c>
      <c r="C125" s="28">
        <v>1581</v>
      </c>
      <c r="E125" s="37" t="s">
        <v>259</v>
      </c>
      <c r="F125" s="28">
        <v>1704</v>
      </c>
      <c r="G125" t="b">
        <f>IF(B125=E125,TRUE,FALSE)</f>
        <v>1</v>
      </c>
      <c r="J125" s="25">
        <f>F125-C125</f>
        <v>123</v>
      </c>
      <c r="K125" s="4">
        <f>F125/C125-1</f>
        <v>7.7798861480075976E-2</v>
      </c>
      <c r="M125" s="5">
        <v>3578.03</v>
      </c>
      <c r="N125" s="5">
        <v>3786.78</v>
      </c>
      <c r="Q125" s="159">
        <v>31927.58</v>
      </c>
      <c r="U125" s="146">
        <f>N125-M125</f>
        <v>208.75</v>
      </c>
      <c r="V125" s="4">
        <f>IF(M125=0,0,N125/M125-1)</f>
        <v>5.8342160350807637E-2</v>
      </c>
      <c r="W125" s="18">
        <v>46332.19</v>
      </c>
      <c r="X125" s="18">
        <v>51102.96</v>
      </c>
      <c r="Y125" s="4">
        <f>X125/W125-1</f>
        <v>0.10296879987757968</v>
      </c>
    </row>
    <row r="126" spans="1:25">
      <c r="A126" t="s">
        <v>260</v>
      </c>
      <c r="B126" t="s">
        <v>261</v>
      </c>
      <c r="C126" s="28">
        <v>1116</v>
      </c>
      <c r="E126" t="s">
        <v>261</v>
      </c>
      <c r="F126" s="28">
        <v>1238</v>
      </c>
      <c r="G126" t="b">
        <f>IF(B126=E126,TRUE,FALSE)</f>
        <v>1</v>
      </c>
      <c r="J126" s="25">
        <f>F126-C126</f>
        <v>122</v>
      </c>
      <c r="K126" s="4">
        <f>F126/C126-1</f>
        <v>0.10931899641577059</v>
      </c>
      <c r="L126" s="5"/>
      <c r="M126" s="5">
        <v>1738.94</v>
      </c>
      <c r="N126" s="5">
        <v>2325.92</v>
      </c>
      <c r="O126" s="5"/>
      <c r="P126" s="5"/>
      <c r="Q126" s="159">
        <v>10766.45</v>
      </c>
      <c r="R126" s="5"/>
      <c r="S126" s="5"/>
      <c r="T126" s="5"/>
      <c r="U126" s="146">
        <f>N126-M126</f>
        <v>586.98</v>
      </c>
      <c r="V126" s="4">
        <f>IF(M126=0,0,N126/M126-1)</f>
        <v>0.33755046177556447</v>
      </c>
      <c r="W126" s="18">
        <v>26728.2</v>
      </c>
      <c r="X126" s="18">
        <v>29649.86</v>
      </c>
      <c r="Y126" s="4">
        <f>X126/W126-1</f>
        <v>0.10931001713545996</v>
      </c>
    </row>
    <row r="127" spans="1:25">
      <c r="A127" t="s">
        <v>262</v>
      </c>
      <c r="B127" t="s">
        <v>263</v>
      </c>
      <c r="C127" s="28">
        <v>445</v>
      </c>
      <c r="E127" t="s">
        <v>263</v>
      </c>
      <c r="F127" s="28">
        <v>566</v>
      </c>
      <c r="G127" t="b">
        <f>IF(B127=E127,TRUE,FALSE)</f>
        <v>1</v>
      </c>
      <c r="J127" s="25">
        <f>F127-C127</f>
        <v>121</v>
      </c>
      <c r="K127" s="4">
        <f>F127/C127-1</f>
        <v>0.27191011235955065</v>
      </c>
      <c r="M127" s="5">
        <v>1021.49</v>
      </c>
      <c r="N127" s="5">
        <v>1111.3800000000001</v>
      </c>
      <c r="Q127" s="159">
        <v>7119.15</v>
      </c>
      <c r="U127" s="146">
        <f>N127-M127</f>
        <v>89.8900000000001</v>
      </c>
      <c r="V127" s="4">
        <f>IF(M127=0,0,N127/M127-1)</f>
        <v>8.7998903562443109E-2</v>
      </c>
      <c r="W127" s="18">
        <v>11976.16</v>
      </c>
      <c r="X127" s="18">
        <v>14580.44</v>
      </c>
      <c r="Y127" s="4">
        <f>X127/W127-1</f>
        <v>0.21745534461797433</v>
      </c>
    </row>
    <row r="128" spans="1:25">
      <c r="A128" t="s">
        <v>264</v>
      </c>
      <c r="B128" t="s">
        <v>265</v>
      </c>
      <c r="C128" s="28">
        <v>3792</v>
      </c>
      <c r="E128" t="s">
        <v>265</v>
      </c>
      <c r="F128" s="28">
        <v>3912</v>
      </c>
      <c r="G128" t="b">
        <f>IF(B128=E128,TRUE,FALSE)</f>
        <v>1</v>
      </c>
      <c r="J128" s="25">
        <f>F128-C128</f>
        <v>120</v>
      </c>
      <c r="K128" s="4">
        <f>F128/C128-1</f>
        <v>3.1645569620253111E-2</v>
      </c>
      <c r="M128" s="5">
        <v>4463.8900000000003</v>
      </c>
      <c r="N128" s="5">
        <v>4416.4399999999996</v>
      </c>
      <c r="Q128" s="159">
        <v>38158.03</v>
      </c>
      <c r="U128" s="146">
        <f>N128-M128</f>
        <v>-47.450000000000728</v>
      </c>
      <c r="V128" s="4">
        <f>IF(M128=0,0,N128/M128-1)</f>
        <v>-1.0629742220350624E-2</v>
      </c>
      <c r="W128" s="18">
        <v>108497.4</v>
      </c>
      <c r="X128" s="18">
        <v>109272.26</v>
      </c>
      <c r="Y128" s="4">
        <f>X128/W128-1</f>
        <v>7.1417379586975471E-3</v>
      </c>
    </row>
    <row r="129" spans="1:25">
      <c r="A129" s="55" t="s">
        <v>266</v>
      </c>
      <c r="B129" s="37" t="s">
        <v>267</v>
      </c>
      <c r="C129" s="28">
        <v>606</v>
      </c>
      <c r="E129" s="37" t="s">
        <v>267</v>
      </c>
      <c r="F129" s="28">
        <v>726</v>
      </c>
      <c r="G129" t="b">
        <f>IF(B129=E129,TRUE,FALSE)</f>
        <v>1</v>
      </c>
      <c r="J129" s="25">
        <f>F129-C129</f>
        <v>120</v>
      </c>
      <c r="K129" s="4">
        <f>F129/C129-1</f>
        <v>0.19801980198019797</v>
      </c>
      <c r="M129" s="5">
        <v>1043.75</v>
      </c>
      <c r="N129" s="5">
        <v>1332.94</v>
      </c>
      <c r="Q129" s="159">
        <v>7417.57</v>
      </c>
      <c r="U129" s="146">
        <f>N129-M129</f>
        <v>289.19000000000005</v>
      </c>
      <c r="V129" s="4">
        <f>IF(M129=0,0,N129/M129-1)</f>
        <v>0.27706826347305391</v>
      </c>
      <c r="W129" s="18">
        <v>9689.94</v>
      </c>
      <c r="X129" s="18">
        <v>11608.74</v>
      </c>
      <c r="Y129" s="4">
        <f>X129/W129-1</f>
        <v>0.19801980198019797</v>
      </c>
    </row>
    <row r="130" spans="1:25">
      <c r="A130" t="s">
        <v>268</v>
      </c>
      <c r="B130" t="s">
        <v>269</v>
      </c>
      <c r="C130" s="28">
        <v>757</v>
      </c>
      <c r="E130" t="s">
        <v>269</v>
      </c>
      <c r="F130" s="28">
        <v>875</v>
      </c>
      <c r="G130" t="b">
        <f>IF(B130=E130,TRUE,FALSE)</f>
        <v>1</v>
      </c>
      <c r="J130" s="25">
        <f>F130-C130</f>
        <v>118</v>
      </c>
      <c r="K130" s="4">
        <f>F130/C130-1</f>
        <v>0.15587846763540281</v>
      </c>
      <c r="M130" s="5">
        <v>1099.8900000000001</v>
      </c>
      <c r="N130" s="5">
        <v>1112.54</v>
      </c>
      <c r="Q130" s="159">
        <v>6915.67</v>
      </c>
      <c r="U130" s="146">
        <f>N130-M130</f>
        <v>12.649999999999864</v>
      </c>
      <c r="V130" s="4">
        <f>IF(M130=0,0,N130/M130-1)</f>
        <v>1.1501150115011294E-2</v>
      </c>
      <c r="W130" s="18">
        <v>15102.15</v>
      </c>
      <c r="X130" s="18">
        <v>17456.25</v>
      </c>
      <c r="Y130" s="4">
        <f>X130/W130-1</f>
        <v>0.15587846763540303</v>
      </c>
    </row>
    <row r="131" spans="1:25">
      <c r="A131" t="s">
        <v>270</v>
      </c>
      <c r="B131" t="s">
        <v>271</v>
      </c>
      <c r="C131" s="28">
        <v>385</v>
      </c>
      <c r="E131" t="s">
        <v>271</v>
      </c>
      <c r="F131" s="28">
        <v>500</v>
      </c>
      <c r="G131" t="b">
        <f>IF(B131=E131,TRUE,FALSE)</f>
        <v>1</v>
      </c>
      <c r="J131" s="25">
        <f>F131-C131</f>
        <v>115</v>
      </c>
      <c r="K131" s="4">
        <f>F131/C131-1</f>
        <v>0.29870129870129869</v>
      </c>
      <c r="M131" s="5">
        <v>541.23</v>
      </c>
      <c r="N131" s="5">
        <v>609.4</v>
      </c>
      <c r="Q131" s="159">
        <v>4546.37</v>
      </c>
      <c r="U131" s="146">
        <f>N131-M131</f>
        <v>68.169999999999959</v>
      </c>
      <c r="V131" s="4">
        <f>IF(M131=0,0,N131/M131-1)</f>
        <v>0.12595384586959324</v>
      </c>
      <c r="W131" s="18">
        <v>7696.15</v>
      </c>
      <c r="X131" s="18">
        <v>9995</v>
      </c>
      <c r="Y131" s="4">
        <f>X131/W131-1</f>
        <v>0.29870129870129869</v>
      </c>
    </row>
    <row r="132" spans="1:25">
      <c r="A132" s="55" t="s">
        <v>272</v>
      </c>
      <c r="B132" s="37" t="s">
        <v>273</v>
      </c>
      <c r="C132" s="19">
        <v>660</v>
      </c>
      <c r="E132" s="37" t="s">
        <v>273</v>
      </c>
      <c r="F132" s="19">
        <v>774</v>
      </c>
      <c r="G132" t="b">
        <f>IF(B132=E132,TRUE,FALSE)</f>
        <v>1</v>
      </c>
      <c r="J132" s="25">
        <f>F132-C132</f>
        <v>114</v>
      </c>
      <c r="K132" s="4">
        <f>F132/C132-1</f>
        <v>0.17272727272727262</v>
      </c>
      <c r="M132" s="5">
        <v>1305.95</v>
      </c>
      <c r="N132" s="5">
        <v>1584.69</v>
      </c>
      <c r="Q132" s="158">
        <v>9212.2199999999993</v>
      </c>
      <c r="U132" s="146">
        <f>N132-M132</f>
        <v>278.74</v>
      </c>
      <c r="V132" s="4">
        <f>IF(M132=0,0,N132/M132-1)</f>
        <v>0.21343849305103557</v>
      </c>
      <c r="W132">
        <v>13193.4</v>
      </c>
      <c r="X132">
        <v>15472.06</v>
      </c>
      <c r="Y132" s="4">
        <f>X132/W132-1</f>
        <v>0.17271211363257377</v>
      </c>
    </row>
    <row r="133" spans="1:25">
      <c r="A133" t="s">
        <v>274</v>
      </c>
      <c r="B133" t="s">
        <v>275</v>
      </c>
      <c r="C133" s="28">
        <v>545</v>
      </c>
      <c r="E133" t="s">
        <v>275</v>
      </c>
      <c r="F133" s="28">
        <v>656</v>
      </c>
      <c r="G133" t="b">
        <f>IF(B133=E133,TRUE,FALSE)</f>
        <v>1</v>
      </c>
      <c r="J133" s="25">
        <f>F133-C133</f>
        <v>111</v>
      </c>
      <c r="K133" s="4">
        <f>F133/C133-1</f>
        <v>0.20366972477064227</v>
      </c>
      <c r="M133" s="5">
        <v>833.61</v>
      </c>
      <c r="N133" s="5">
        <v>850.65</v>
      </c>
      <c r="Q133" s="159">
        <v>6508.53</v>
      </c>
      <c r="U133" s="146">
        <f>N133-M133</f>
        <v>17.039999999999964</v>
      </c>
      <c r="V133" s="4">
        <f>IF(M133=0,0,N133/M133-1)</f>
        <v>2.0441213517112367E-2</v>
      </c>
      <c r="W133" s="18">
        <v>13495.150000000001</v>
      </c>
      <c r="X133" s="18">
        <v>15188.05</v>
      </c>
      <c r="Y133" s="4">
        <f>X133/W133-1</f>
        <v>0.12544506730195648</v>
      </c>
    </row>
    <row r="134" spans="1:25">
      <c r="A134" t="s">
        <v>276</v>
      </c>
      <c r="B134" t="s">
        <v>277</v>
      </c>
      <c r="C134" s="28">
        <v>1594</v>
      </c>
      <c r="E134" t="s">
        <v>277</v>
      </c>
      <c r="F134" s="28">
        <v>1702</v>
      </c>
      <c r="G134" t="b">
        <f>IF(B134=E134,TRUE,FALSE)</f>
        <v>1</v>
      </c>
      <c r="J134" s="25">
        <f>F134-C134</f>
        <v>108</v>
      </c>
      <c r="K134" s="4">
        <f>F134/C134-1</f>
        <v>6.7754077791718936E-2</v>
      </c>
      <c r="M134" s="5">
        <v>3167.63</v>
      </c>
      <c r="N134" s="5">
        <v>3093.39</v>
      </c>
      <c r="Q134" s="159">
        <v>15444.41</v>
      </c>
      <c r="U134" s="146">
        <f>N134-M134</f>
        <v>-74.240000000000236</v>
      </c>
      <c r="V134" s="4">
        <f>IF(M134=0,0,N134/M134-1)</f>
        <v>-2.3437080719654779E-2</v>
      </c>
      <c r="W134" s="18">
        <v>42958.3</v>
      </c>
      <c r="X134" s="18">
        <v>45867.82</v>
      </c>
      <c r="Y134" s="4">
        <f>X134/W134-1</f>
        <v>6.7728937132055966E-2</v>
      </c>
    </row>
    <row r="135" spans="1:25">
      <c r="A135" t="s">
        <v>278</v>
      </c>
      <c r="B135" t="s">
        <v>279</v>
      </c>
      <c r="C135" s="28">
        <v>829</v>
      </c>
      <c r="E135" t="s">
        <v>279</v>
      </c>
      <c r="F135" s="28">
        <v>934</v>
      </c>
      <c r="G135" t="b">
        <f>IF(B135=E135,TRUE,FALSE)</f>
        <v>1</v>
      </c>
      <c r="J135" s="25">
        <f>F135-C135</f>
        <v>105</v>
      </c>
      <c r="K135" s="4">
        <f>F135/C135-1</f>
        <v>0.12665862484921586</v>
      </c>
      <c r="M135" s="5">
        <v>1274.3800000000001</v>
      </c>
      <c r="N135" s="5">
        <v>2315.0700000000002</v>
      </c>
      <c r="Q135" s="159">
        <v>12132.82</v>
      </c>
      <c r="U135" s="146">
        <f>N135-M135</f>
        <v>1040.69</v>
      </c>
      <c r="V135" s="4">
        <f>IF(M135=0,0,N135/M135-1)</f>
        <v>0.81662455468541562</v>
      </c>
      <c r="W135" s="18">
        <v>20716.71</v>
      </c>
      <c r="X135" s="18">
        <v>23338.41</v>
      </c>
      <c r="Y135" s="4">
        <f>X135/W135-1</f>
        <v>0.12655001687043943</v>
      </c>
    </row>
    <row r="136" spans="1:25">
      <c r="A136" t="s">
        <v>280</v>
      </c>
      <c r="B136" t="s">
        <v>281</v>
      </c>
      <c r="C136" s="28">
        <v>590</v>
      </c>
      <c r="E136" t="s">
        <v>281</v>
      </c>
      <c r="F136" s="28">
        <v>690</v>
      </c>
      <c r="G136" t="b">
        <f>IF(B136=E136,TRUE,FALSE)</f>
        <v>1</v>
      </c>
      <c r="J136" s="25">
        <f>F136-C136</f>
        <v>100</v>
      </c>
      <c r="K136" s="4">
        <f>F136/C136-1</f>
        <v>0.16949152542372881</v>
      </c>
      <c r="M136" s="5">
        <v>542.94000000000005</v>
      </c>
      <c r="N136" s="5">
        <v>929.87</v>
      </c>
      <c r="Q136" s="159">
        <v>7636.01</v>
      </c>
      <c r="U136" s="146">
        <f>N136-M136</f>
        <v>386.92999999999995</v>
      </c>
      <c r="V136" s="4">
        <f>IF(M136=0,0,N136/M136-1)</f>
        <v>0.71265701550815908</v>
      </c>
      <c r="W136" s="18">
        <v>15874.6</v>
      </c>
      <c r="X136" s="18">
        <v>17676.310000000001</v>
      </c>
      <c r="Y136" s="4">
        <f>X136/W136-1</f>
        <v>0.11349640305897468</v>
      </c>
    </row>
    <row r="137" spans="1:25">
      <c r="A137" s="55" t="s">
        <v>282</v>
      </c>
      <c r="B137" s="37" t="s">
        <v>283</v>
      </c>
      <c r="C137" s="28">
        <v>838</v>
      </c>
      <c r="E137" s="37" t="s">
        <v>283</v>
      </c>
      <c r="F137" s="28">
        <v>936</v>
      </c>
      <c r="G137" t="b">
        <f>IF(B137=E137,TRUE,FALSE)</f>
        <v>1</v>
      </c>
      <c r="J137" s="25">
        <f>F137-C137</f>
        <v>98</v>
      </c>
      <c r="K137" s="4">
        <f>F137/C137-1</f>
        <v>0.11694510739856812</v>
      </c>
      <c r="M137" s="5">
        <v>904.84</v>
      </c>
      <c r="N137" s="5">
        <v>927.67</v>
      </c>
      <c r="Q137" s="159">
        <v>4244.8099999999995</v>
      </c>
      <c r="U137" s="146">
        <f>N137-M137</f>
        <v>22.829999999999927</v>
      </c>
      <c r="V137" s="4">
        <f>IF(M137=0,0,N137/M137-1)</f>
        <v>2.5230980062773467E-2</v>
      </c>
      <c r="W137" s="18">
        <v>8371.6200000000008</v>
      </c>
      <c r="X137" s="18">
        <v>9343.32</v>
      </c>
      <c r="Y137" s="4">
        <f>X137/W137-1</f>
        <v>0.11607072466261004</v>
      </c>
    </row>
    <row r="138" spans="1:25">
      <c r="A138" t="s">
        <v>284</v>
      </c>
      <c r="B138" t="s">
        <v>285</v>
      </c>
      <c r="C138" s="28">
        <v>1988</v>
      </c>
      <c r="E138" t="s">
        <v>285</v>
      </c>
      <c r="F138" s="28">
        <v>2078</v>
      </c>
      <c r="G138" t="b">
        <f>IF(B138=E138,TRUE,FALSE)</f>
        <v>1</v>
      </c>
      <c r="J138" s="25">
        <f>F138-C138</f>
        <v>90</v>
      </c>
      <c r="K138" s="4">
        <f>F138/C138-1</f>
        <v>4.527162977867194E-2</v>
      </c>
      <c r="M138" s="5">
        <v>2766.46</v>
      </c>
      <c r="N138" s="5">
        <v>2892.52</v>
      </c>
      <c r="Q138" s="159">
        <v>20831.07</v>
      </c>
      <c r="U138" s="146">
        <f>N138-M138</f>
        <v>126.05999999999995</v>
      </c>
      <c r="V138" s="4">
        <f>IF(M138=0,0,N138/M138-1)</f>
        <v>4.556725924105165E-2</v>
      </c>
      <c r="W138" s="18">
        <v>46086.559999999998</v>
      </c>
      <c r="X138" s="18">
        <v>47235.72</v>
      </c>
      <c r="Y138" s="4">
        <f>X138/W138-1</f>
        <v>2.493481830711608E-2</v>
      </c>
    </row>
    <row r="139" spans="1:25">
      <c r="A139" t="s">
        <v>286</v>
      </c>
      <c r="B139" t="s">
        <v>287</v>
      </c>
      <c r="C139" s="28">
        <v>1049</v>
      </c>
      <c r="E139" t="s">
        <v>287</v>
      </c>
      <c r="F139" s="28">
        <v>1139</v>
      </c>
      <c r="G139" t="b">
        <f>IF(B139=E139,TRUE,FALSE)</f>
        <v>1</v>
      </c>
      <c r="J139" s="25">
        <f>F139-C139</f>
        <v>90</v>
      </c>
      <c r="K139" s="4">
        <f>F139/C139-1</f>
        <v>8.5795996186844636E-2</v>
      </c>
      <c r="M139" s="5">
        <v>1664.53</v>
      </c>
      <c r="N139" s="5">
        <v>1625.62</v>
      </c>
      <c r="Q139" s="159">
        <v>12671.38</v>
      </c>
      <c r="U139" s="146">
        <f>N139-M139</f>
        <v>-38.910000000000082</v>
      </c>
      <c r="V139" s="4">
        <f>IF(M139=0,0,N139/M139-1)</f>
        <v>-2.3375967990964419E-2</v>
      </c>
      <c r="W139" s="18">
        <v>40858.550000000003</v>
      </c>
      <c r="X139" s="18">
        <v>41713.89</v>
      </c>
      <c r="Y139" s="4">
        <f>X139/W139-1</f>
        <v>2.0934174120226912E-2</v>
      </c>
    </row>
    <row r="140" spans="1:25">
      <c r="A140" s="55" t="s">
        <v>288</v>
      </c>
      <c r="B140" s="37" t="s">
        <v>289</v>
      </c>
      <c r="C140" s="28">
        <v>621</v>
      </c>
      <c r="E140" s="37" t="s">
        <v>289</v>
      </c>
      <c r="F140" s="28">
        <v>710</v>
      </c>
      <c r="G140" t="b">
        <f>IF(B140=E140,TRUE,FALSE)</f>
        <v>1</v>
      </c>
      <c r="J140" s="25">
        <f>F140-C140</f>
        <v>89</v>
      </c>
      <c r="K140" s="4">
        <f>F140/C140-1</f>
        <v>0.14331723027375198</v>
      </c>
      <c r="M140" s="5">
        <v>1151.0999999999999</v>
      </c>
      <c r="N140" s="5">
        <v>1531.94</v>
      </c>
      <c r="Q140" s="158">
        <v>5893.2</v>
      </c>
      <c r="U140" s="146">
        <f>N140-M140</f>
        <v>380.84000000000015</v>
      </c>
      <c r="V140" s="4">
        <f>IF(M140=0,0,N140/M140-1)</f>
        <v>0.33084875336634534</v>
      </c>
      <c r="W140" s="18">
        <v>9666.7999999999993</v>
      </c>
      <c r="X140" s="18">
        <v>11606.9</v>
      </c>
      <c r="Y140" s="4">
        <f>X140/W140-1</f>
        <v>0.20069723176232057</v>
      </c>
    </row>
    <row r="141" spans="1:25">
      <c r="A141" t="s">
        <v>290</v>
      </c>
      <c r="B141" t="s">
        <v>291</v>
      </c>
      <c r="C141" s="28">
        <v>301</v>
      </c>
      <c r="E141" t="s">
        <v>291</v>
      </c>
      <c r="F141" s="28">
        <v>380</v>
      </c>
      <c r="G141" t="b">
        <f>IF(B141=E141,TRUE,FALSE)</f>
        <v>1</v>
      </c>
      <c r="J141" s="25">
        <f>F141-C141</f>
        <v>79</v>
      </c>
      <c r="K141" s="4">
        <f>F141/C141-1</f>
        <v>0.2624584717607974</v>
      </c>
      <c r="M141" s="5">
        <v>15.87</v>
      </c>
      <c r="N141" s="5">
        <v>0</v>
      </c>
      <c r="Q141" s="159">
        <v>0</v>
      </c>
      <c r="U141" s="146">
        <f>N141-M141</f>
        <v>-15.87</v>
      </c>
      <c r="V141" s="4">
        <f>IF(M141=0,0,N141/M141-1)</f>
        <v>-1</v>
      </c>
      <c r="W141" s="18">
        <v>5414.83</v>
      </c>
      <c r="X141" s="18">
        <v>6836.16</v>
      </c>
      <c r="Y141" s="4">
        <f>X141/W141-1</f>
        <v>0.26248838837045674</v>
      </c>
    </row>
    <row r="142" spans="1:25">
      <c r="A142" t="s">
        <v>292</v>
      </c>
      <c r="B142" t="s">
        <v>293</v>
      </c>
      <c r="C142" s="28">
        <v>619</v>
      </c>
      <c r="E142" t="s">
        <v>293</v>
      </c>
      <c r="F142" s="28">
        <v>697</v>
      </c>
      <c r="G142" t="b">
        <f>IF(B142=E142,TRUE,FALSE)</f>
        <v>1</v>
      </c>
      <c r="J142" s="25">
        <f>F142-C142</f>
        <v>78</v>
      </c>
      <c r="K142" s="4">
        <f>F142/C142-1</f>
        <v>0.12600969305331189</v>
      </c>
      <c r="M142" s="5">
        <v>1045.56</v>
      </c>
      <c r="N142" s="5">
        <v>1242.77</v>
      </c>
      <c r="Q142" s="159">
        <v>5934.48</v>
      </c>
      <c r="U142" s="146">
        <f>N142-M142</f>
        <v>197.21000000000004</v>
      </c>
      <c r="V142" s="4">
        <f>IF(M142=0,0,N142/M142-1)</f>
        <v>0.18861662649680566</v>
      </c>
      <c r="W142" s="18">
        <v>12968.05</v>
      </c>
      <c r="X142" s="18">
        <v>15256.63</v>
      </c>
      <c r="Y142" s="4">
        <f>X142/W142-1</f>
        <v>0.17647834485524028</v>
      </c>
    </row>
    <row r="143" spans="1:25">
      <c r="A143" t="s">
        <v>294</v>
      </c>
      <c r="B143" t="s">
        <v>295</v>
      </c>
      <c r="C143" s="28">
        <v>984</v>
      </c>
      <c r="E143" t="s">
        <v>295</v>
      </c>
      <c r="F143" s="28">
        <v>1061</v>
      </c>
      <c r="G143" t="b">
        <f>IF(B143=E143,TRUE,FALSE)</f>
        <v>1</v>
      </c>
      <c r="J143" s="25">
        <f>F143-C143</f>
        <v>77</v>
      </c>
      <c r="K143" s="4">
        <f>F143/C143-1</f>
        <v>7.825203252032531E-2</v>
      </c>
      <c r="M143" s="5">
        <v>1566.13</v>
      </c>
      <c r="N143" s="5">
        <v>1630.5</v>
      </c>
      <c r="Q143" s="159">
        <v>12662.43</v>
      </c>
      <c r="U143" s="146">
        <f>N143-M143</f>
        <v>64.369999999999891</v>
      </c>
      <c r="V143" s="4">
        <f>IF(M143=0,0,N143/M143-1)</f>
        <v>4.1101313428642428E-2</v>
      </c>
      <c r="W143" s="18">
        <v>29470.799999999999</v>
      </c>
      <c r="X143" s="18">
        <v>31776.35</v>
      </c>
      <c r="Y143" s="4">
        <f>X143/W143-1</f>
        <v>7.8231673385181333E-2</v>
      </c>
    </row>
    <row r="144" spans="1:25">
      <c r="A144" t="s">
        <v>296</v>
      </c>
      <c r="B144" t="s">
        <v>297</v>
      </c>
      <c r="C144" s="28">
        <v>0</v>
      </c>
      <c r="E144" t="s">
        <v>297</v>
      </c>
      <c r="F144" s="28">
        <v>77</v>
      </c>
      <c r="G144" t="b">
        <f>IF(B144=E144,TRUE,FALSE)</f>
        <v>1</v>
      </c>
      <c r="J144" s="25">
        <f>F144-C144</f>
        <v>77</v>
      </c>
      <c r="K144" s="4" t="e">
        <f>F144/C144-1</f>
        <v>#DIV/0!</v>
      </c>
      <c r="M144" s="5">
        <v>0</v>
      </c>
      <c r="N144" s="5">
        <v>101.46</v>
      </c>
      <c r="Q144" s="159">
        <v>530.61</v>
      </c>
      <c r="U144" s="146">
        <f>N144-M144</f>
        <v>101.46</v>
      </c>
      <c r="V144" s="4">
        <f>IF(M144=0,0,N144/M144-1)</f>
        <v>0</v>
      </c>
      <c r="W144" s="18">
        <v>0</v>
      </c>
      <c r="X144" s="18">
        <v>1077.23</v>
      </c>
      <c r="Y144" s="4" t="e">
        <f>X144/W144-1</f>
        <v>#DIV/0!</v>
      </c>
    </row>
    <row r="145" spans="1:25">
      <c r="A145" t="s">
        <v>298</v>
      </c>
      <c r="B145" t="s">
        <v>299</v>
      </c>
      <c r="C145" s="28">
        <v>0</v>
      </c>
      <c r="E145" t="s">
        <v>299</v>
      </c>
      <c r="F145" s="28">
        <v>76</v>
      </c>
      <c r="G145" t="b">
        <f>IF(B145=E145,TRUE,FALSE)</f>
        <v>1</v>
      </c>
      <c r="J145" s="25">
        <f>F145-C145</f>
        <v>76</v>
      </c>
      <c r="K145" s="4" t="e">
        <f>F145/C145-1</f>
        <v>#DIV/0!</v>
      </c>
      <c r="M145" s="5">
        <v>0</v>
      </c>
      <c r="N145" s="5">
        <v>118.18</v>
      </c>
      <c r="Q145" s="159">
        <v>621.23</v>
      </c>
      <c r="U145" s="146">
        <f>N145-M145</f>
        <v>118.18</v>
      </c>
      <c r="V145" s="4">
        <f>IF(M145=0,0,N145/M145-1)</f>
        <v>0</v>
      </c>
      <c r="W145" s="18">
        <v>0</v>
      </c>
      <c r="X145" s="18">
        <v>1519.24</v>
      </c>
      <c r="Y145" s="4" t="e">
        <f>X145/W145-1</f>
        <v>#DIV/0!</v>
      </c>
    </row>
    <row r="146" spans="1:25">
      <c r="A146" s="57" t="s">
        <v>300</v>
      </c>
      <c r="B146" s="37" t="s">
        <v>301</v>
      </c>
      <c r="C146" s="28">
        <v>1081</v>
      </c>
      <c r="E146" s="37" t="s">
        <v>301</v>
      </c>
      <c r="F146" s="28">
        <v>1150</v>
      </c>
      <c r="G146" t="b">
        <f>IF(B146=E146,TRUE,FALSE)</f>
        <v>1</v>
      </c>
      <c r="J146" s="25">
        <f>F146-C146</f>
        <v>69</v>
      </c>
      <c r="K146" s="4">
        <f>F146/C146-1</f>
        <v>6.3829787234042534E-2</v>
      </c>
      <c r="M146" s="5">
        <v>1345.13</v>
      </c>
      <c r="N146" s="5">
        <v>1852.23</v>
      </c>
      <c r="Q146" s="159">
        <v>11811.56</v>
      </c>
      <c r="U146" s="146">
        <f>N146-M146</f>
        <v>507.09999999999991</v>
      </c>
      <c r="V146" s="4">
        <f>IF(M146=0,0,N146/M146-1)</f>
        <v>0.3769895846498108</v>
      </c>
      <c r="W146" s="18">
        <v>17285.189999999999</v>
      </c>
      <c r="X146" s="18">
        <v>18388.5</v>
      </c>
      <c r="Y146" s="4">
        <f>X146/W146-1</f>
        <v>6.3829787234042534E-2</v>
      </c>
    </row>
    <row r="147" spans="1:25">
      <c r="A147" s="55" t="s">
        <v>302</v>
      </c>
      <c r="B147" s="37" t="s">
        <v>303</v>
      </c>
      <c r="C147" s="28">
        <v>1073</v>
      </c>
      <c r="E147" s="37" t="s">
        <v>303</v>
      </c>
      <c r="F147" s="28">
        <v>1142</v>
      </c>
      <c r="G147" t="b">
        <f>IF(B147=E147,TRUE,FALSE)</f>
        <v>1</v>
      </c>
      <c r="J147" s="25">
        <f>F147-C147</f>
        <v>69</v>
      </c>
      <c r="K147" s="4">
        <f>F147/C147-1</f>
        <v>6.4305684995340062E-2</v>
      </c>
      <c r="M147" s="5">
        <v>1798.06</v>
      </c>
      <c r="N147" s="5">
        <v>1950.15</v>
      </c>
      <c r="Q147" s="158">
        <v>7090.14</v>
      </c>
      <c r="U147" s="146">
        <f>N147-M147</f>
        <v>152.09000000000015</v>
      </c>
      <c r="V147" s="4">
        <f>IF(M147=0,0,N147/M147-1)</f>
        <v>8.458560893407352E-2</v>
      </c>
      <c r="W147" s="18">
        <v>10719.27</v>
      </c>
      <c r="X147" s="18">
        <v>11468.58</v>
      </c>
      <c r="Y147" s="4">
        <f>X147/W147-1</f>
        <v>6.9903081086678531E-2</v>
      </c>
    </row>
    <row r="148" spans="1:25">
      <c r="A148" s="56" t="s">
        <v>304</v>
      </c>
      <c r="B148" s="37" t="s">
        <v>305</v>
      </c>
      <c r="C148" s="28">
        <v>1401</v>
      </c>
      <c r="E148" s="37" t="s">
        <v>305</v>
      </c>
      <c r="F148" s="28">
        <v>1470</v>
      </c>
      <c r="G148" t="b">
        <f>IF(B148=E148,TRUE,FALSE)</f>
        <v>1</v>
      </c>
      <c r="J148" s="25">
        <f>F148-C148</f>
        <v>69</v>
      </c>
      <c r="K148" s="4">
        <f>F148/C148-1</f>
        <v>4.9250535331905709E-2</v>
      </c>
      <c r="M148" s="5">
        <v>3325.78</v>
      </c>
      <c r="N148" s="5">
        <v>3086.03</v>
      </c>
      <c r="Q148" s="159">
        <v>21991.58</v>
      </c>
      <c r="U148" s="146">
        <f>N148-M148</f>
        <v>-239.75</v>
      </c>
      <c r="V148" s="4">
        <f>IF(M148=0,0,N148/M148-1)</f>
        <v>-7.2088352206098993E-2</v>
      </c>
      <c r="W148" s="18">
        <v>28005.99</v>
      </c>
      <c r="X148" s="18">
        <v>28305.11</v>
      </c>
      <c r="Y148" s="4">
        <f>X148/W148-1</f>
        <v>1.0680572263290777E-2</v>
      </c>
    </row>
    <row r="149" spans="1:25">
      <c r="A149" t="s">
        <v>306</v>
      </c>
      <c r="B149" t="s">
        <v>307</v>
      </c>
      <c r="C149" s="28">
        <v>835</v>
      </c>
      <c r="E149" t="s">
        <v>307</v>
      </c>
      <c r="F149" s="28">
        <v>900</v>
      </c>
      <c r="G149" t="b">
        <f>IF(B149=E149,TRUE,FALSE)</f>
        <v>1</v>
      </c>
      <c r="J149" s="25">
        <f>F149-C149</f>
        <v>65</v>
      </c>
      <c r="K149" s="4">
        <f>F149/C149-1</f>
        <v>7.7844311377245567E-2</v>
      </c>
      <c r="M149" s="5">
        <v>1541.34</v>
      </c>
      <c r="N149" s="5">
        <v>1514.84</v>
      </c>
      <c r="Q149" s="159">
        <v>6362.78</v>
      </c>
      <c r="U149" s="146">
        <f>N149-M149</f>
        <v>-26.5</v>
      </c>
      <c r="V149" s="4">
        <f>IF(M149=0,0,N149/M149-1)</f>
        <v>-1.7192832210933373E-2</v>
      </c>
      <c r="W149" s="18">
        <v>8341.65</v>
      </c>
      <c r="X149" s="18">
        <v>8991</v>
      </c>
      <c r="Y149" s="4">
        <f>X149/W149-1</f>
        <v>7.7844311377245567E-2</v>
      </c>
    </row>
    <row r="150" spans="1:25">
      <c r="A150" t="s">
        <v>308</v>
      </c>
      <c r="B150" t="s">
        <v>309</v>
      </c>
      <c r="C150" s="28">
        <v>254</v>
      </c>
      <c r="E150" t="s">
        <v>309</v>
      </c>
      <c r="F150" s="28">
        <v>317</v>
      </c>
      <c r="G150" t="b">
        <f>IF(B150=E150,TRUE,FALSE)</f>
        <v>1</v>
      </c>
      <c r="J150" s="25">
        <f>F150-C150</f>
        <v>63</v>
      </c>
      <c r="K150" s="4">
        <f>F150/C150-1</f>
        <v>0.24803149606299213</v>
      </c>
      <c r="M150" s="5">
        <v>1058.94</v>
      </c>
      <c r="N150" s="5">
        <v>1082.57</v>
      </c>
      <c r="Q150" s="159">
        <v>7404.29</v>
      </c>
      <c r="U150" s="146">
        <f>N150-M150</f>
        <v>23.629999999999882</v>
      </c>
      <c r="V150" s="4">
        <f>IF(M150=0,0,N150/M150-1)</f>
        <v>2.2314767597786389E-2</v>
      </c>
      <c r="W150" s="18">
        <v>5047.3500000000004</v>
      </c>
      <c r="X150" s="18">
        <v>6324.15</v>
      </c>
      <c r="Y150" s="4">
        <f>X150/W150-1</f>
        <v>0.25296442687747023</v>
      </c>
    </row>
    <row r="151" spans="1:25">
      <c r="A151" t="s">
        <v>310</v>
      </c>
      <c r="B151" t="s">
        <v>311</v>
      </c>
      <c r="C151" s="28">
        <v>1533</v>
      </c>
      <c r="E151" t="s">
        <v>311</v>
      </c>
      <c r="F151" s="28">
        <v>1596</v>
      </c>
      <c r="G151" t="b">
        <f>IF(B151=E151,TRUE,FALSE)</f>
        <v>1</v>
      </c>
      <c r="J151" s="25">
        <f>F151-C151</f>
        <v>63</v>
      </c>
      <c r="K151" s="4">
        <f>F151/C151-1</f>
        <v>4.1095890410958846E-2</v>
      </c>
      <c r="M151" s="5">
        <v>3698.85</v>
      </c>
      <c r="N151" s="5">
        <v>3766.46</v>
      </c>
      <c r="Q151" s="159">
        <v>19330.810000000001</v>
      </c>
      <c r="U151" s="146">
        <f>N151-M151</f>
        <v>67.610000000000127</v>
      </c>
      <c r="V151" s="4">
        <f>IF(M151=0,0,N151/M151-1)</f>
        <v>1.8278654176298037E-2</v>
      </c>
      <c r="W151" s="18">
        <v>39734.04</v>
      </c>
      <c r="X151" s="18">
        <v>41414.639999999999</v>
      </c>
      <c r="Y151" s="4">
        <f>X151/W151-1</f>
        <v>4.229622761742835E-2</v>
      </c>
    </row>
    <row r="152" spans="1:25">
      <c r="A152" s="55" t="s">
        <v>312</v>
      </c>
      <c r="B152" s="37" t="s">
        <v>313</v>
      </c>
      <c r="C152" s="28">
        <v>50</v>
      </c>
      <c r="E152" s="37" t="s">
        <v>313</v>
      </c>
      <c r="F152" s="28">
        <v>112</v>
      </c>
      <c r="G152" t="b">
        <f>IF(B152=E152,TRUE,FALSE)</f>
        <v>1</v>
      </c>
      <c r="J152" s="25">
        <f>F152-C152</f>
        <v>62</v>
      </c>
      <c r="K152" s="4">
        <f>F152/C152-1</f>
        <v>1.2400000000000002</v>
      </c>
      <c r="M152" s="5">
        <v>114.62</v>
      </c>
      <c r="N152" s="5">
        <v>502.16</v>
      </c>
      <c r="Q152" s="158">
        <v>3631.73</v>
      </c>
      <c r="U152" s="146">
        <f>N152-M152</f>
        <v>387.54</v>
      </c>
      <c r="V152" s="4">
        <f>IF(M152=0,0,N152/M152-1)</f>
        <v>3.381085325423137</v>
      </c>
      <c r="W152" s="18">
        <v>999.5</v>
      </c>
      <c r="X152" s="18">
        <v>2238.6799999999998</v>
      </c>
      <c r="Y152" s="4">
        <f>X152/W152-1</f>
        <v>1.2397998999499746</v>
      </c>
    </row>
    <row r="153" spans="1:25">
      <c r="A153" t="s">
        <v>314</v>
      </c>
      <c r="B153" t="s">
        <v>315</v>
      </c>
      <c r="C153" s="28">
        <v>0</v>
      </c>
      <c r="E153" t="s">
        <v>315</v>
      </c>
      <c r="F153" s="28">
        <v>59</v>
      </c>
      <c r="G153" t="b">
        <f>IF(B153=E153,TRUE,FALSE)</f>
        <v>1</v>
      </c>
      <c r="J153" s="25">
        <f>F153-C153</f>
        <v>59</v>
      </c>
      <c r="K153" s="4" t="e">
        <f>F153/C153-1</f>
        <v>#DIV/0!</v>
      </c>
      <c r="M153" s="5">
        <v>0</v>
      </c>
      <c r="N153" s="5">
        <v>236.37</v>
      </c>
      <c r="Q153" s="159">
        <v>1856.9</v>
      </c>
      <c r="U153" s="146">
        <f>N153-M153</f>
        <v>236.37</v>
      </c>
      <c r="V153" s="4">
        <f>IF(M153=0,0,N153/M153-1)</f>
        <v>0</v>
      </c>
      <c r="W153" s="18">
        <v>0</v>
      </c>
      <c r="X153" s="18">
        <v>1179.4100000000001</v>
      </c>
      <c r="Y153" s="4" t="e">
        <f>X153/W153-1</f>
        <v>#DIV/0!</v>
      </c>
    </row>
    <row r="154" spans="1:25">
      <c r="A154" t="s">
        <v>316</v>
      </c>
      <c r="B154" t="s">
        <v>317</v>
      </c>
      <c r="C154" s="28">
        <v>626</v>
      </c>
      <c r="E154" t="s">
        <v>317</v>
      </c>
      <c r="F154" s="28">
        <v>677</v>
      </c>
      <c r="G154" t="b">
        <f>IF(B154=E154,TRUE,FALSE)</f>
        <v>1</v>
      </c>
      <c r="J154" s="25">
        <f>F154-C154</f>
        <v>51</v>
      </c>
      <c r="K154" s="4">
        <f>F154/C154-1</f>
        <v>8.1469648562300323E-2</v>
      </c>
      <c r="M154" s="5">
        <v>385.45</v>
      </c>
      <c r="N154" s="5">
        <v>435.88</v>
      </c>
      <c r="Q154" s="159">
        <v>4476.6400000000003</v>
      </c>
      <c r="U154" s="146">
        <f>N154-M154</f>
        <v>50.430000000000007</v>
      </c>
      <c r="V154" s="4">
        <f>IF(M154=0,0,N154/M154-1)</f>
        <v>0.13083409002464652</v>
      </c>
      <c r="W154" s="18">
        <v>24378.799999999999</v>
      </c>
      <c r="X154" s="18">
        <v>26313.77</v>
      </c>
      <c r="Y154" s="4">
        <f>X154/W154-1</f>
        <v>7.9371010878304116E-2</v>
      </c>
    </row>
    <row r="155" spans="1:25">
      <c r="A155" t="s">
        <v>318</v>
      </c>
      <c r="B155" t="s">
        <v>319</v>
      </c>
      <c r="C155" s="28">
        <v>0</v>
      </c>
      <c r="E155" t="s">
        <v>319</v>
      </c>
      <c r="F155" s="28">
        <v>51</v>
      </c>
      <c r="G155" t="b">
        <f>IF(B155=E155,TRUE,FALSE)</f>
        <v>1</v>
      </c>
      <c r="J155" s="25">
        <f>F155-C155</f>
        <v>51</v>
      </c>
      <c r="K155" s="4" t="e">
        <f>F155/C155-1</f>
        <v>#DIV/0!</v>
      </c>
      <c r="M155" s="5">
        <v>0</v>
      </c>
      <c r="N155" s="5">
        <v>81.16</v>
      </c>
      <c r="Q155" s="159">
        <v>604.97</v>
      </c>
      <c r="U155" s="146">
        <f>N155-M155</f>
        <v>81.16</v>
      </c>
      <c r="V155" s="4">
        <f>IF(M155=0,0,N155/M155-1)</f>
        <v>0</v>
      </c>
      <c r="W155" s="18">
        <v>0</v>
      </c>
      <c r="X155" s="18">
        <v>1019.49</v>
      </c>
      <c r="Y155" s="4" t="e">
        <f>X155/W155-1</f>
        <v>#DIV/0!</v>
      </c>
    </row>
    <row r="156" spans="1:25">
      <c r="A156" s="55" t="s">
        <v>320</v>
      </c>
      <c r="B156" s="37" t="s">
        <v>321</v>
      </c>
      <c r="C156" s="28">
        <v>1123</v>
      </c>
      <c r="E156" s="37" t="s">
        <v>321</v>
      </c>
      <c r="F156" s="28">
        <v>1170</v>
      </c>
      <c r="G156" t="b">
        <f>IF(B156=E156,TRUE,FALSE)</f>
        <v>1</v>
      </c>
      <c r="J156" s="25">
        <f>F156-C156</f>
        <v>47</v>
      </c>
      <c r="K156" s="4">
        <f>F156/C156-1</f>
        <v>4.1852181656277798E-2</v>
      </c>
      <c r="M156" s="5">
        <v>1938.09</v>
      </c>
      <c r="N156" s="5">
        <v>1994.69</v>
      </c>
      <c r="Q156" s="158">
        <v>10628.57</v>
      </c>
      <c r="U156" s="146">
        <f>N156-M156</f>
        <v>56.600000000000136</v>
      </c>
      <c r="V156" s="4">
        <f>IF(M156=0,0,N156/M156-1)</f>
        <v>2.9204010133688341E-2</v>
      </c>
      <c r="W156" s="18">
        <v>15398.77</v>
      </c>
      <c r="X156" s="18">
        <v>16368.3</v>
      </c>
      <c r="Y156" s="4">
        <f>X156/W156-1</f>
        <v>6.2961522251452573E-2</v>
      </c>
    </row>
    <row r="157" spans="1:25">
      <c r="A157" s="55" t="s">
        <v>322</v>
      </c>
      <c r="B157" s="37" t="s">
        <v>323</v>
      </c>
      <c r="C157" s="19">
        <v>885</v>
      </c>
      <c r="E157" s="37" t="s">
        <v>323</v>
      </c>
      <c r="F157" s="19">
        <v>927</v>
      </c>
      <c r="G157" t="b">
        <f>IF(B157=E157,TRUE,FALSE)</f>
        <v>1</v>
      </c>
      <c r="J157" s="25">
        <f>F157-C157</f>
        <v>42</v>
      </c>
      <c r="K157" s="4">
        <f>F157/C157-1</f>
        <v>4.7457627118643986E-2</v>
      </c>
      <c r="M157" s="5">
        <v>1531.11</v>
      </c>
      <c r="N157" s="5">
        <v>1636.05</v>
      </c>
      <c r="Q157" s="158">
        <v>7699.05</v>
      </c>
      <c r="U157" s="146">
        <f>N157-M157</f>
        <v>104.94000000000005</v>
      </c>
      <c r="V157" s="4">
        <f>IF(M157=0,0,N157/M157-1)</f>
        <v>6.8538511276132974E-2</v>
      </c>
      <c r="W157">
        <v>9453.15</v>
      </c>
      <c r="X157">
        <v>9260.73</v>
      </c>
      <c r="Y157" s="4">
        <f>X157/W157-1</f>
        <v>-2.0355119721997439E-2</v>
      </c>
    </row>
    <row r="158" spans="1:25" ht="13.5" customHeight="1">
      <c r="A158" t="s">
        <v>324</v>
      </c>
      <c r="B158" t="s">
        <v>325</v>
      </c>
      <c r="C158" s="28">
        <v>433</v>
      </c>
      <c r="E158" t="s">
        <v>325</v>
      </c>
      <c r="F158" s="28">
        <v>475</v>
      </c>
      <c r="G158" t="b">
        <f>IF(B158=E158,TRUE,FALSE)</f>
        <v>1</v>
      </c>
      <c r="J158" s="25">
        <f>F158-C158</f>
        <v>42</v>
      </c>
      <c r="K158" s="4">
        <f>F158/C158-1</f>
        <v>9.6997690531177794E-2</v>
      </c>
      <c r="M158" s="5">
        <v>1116.33</v>
      </c>
      <c r="N158" s="5">
        <v>1280.27</v>
      </c>
      <c r="Q158" s="159">
        <v>7704.18</v>
      </c>
      <c r="U158" s="146">
        <f>N158-M158</f>
        <v>163.94000000000005</v>
      </c>
      <c r="V158" s="4">
        <f>IF(M158=0,0,N158/M158-1)</f>
        <v>0.14685621635179569</v>
      </c>
      <c r="W158" s="18">
        <v>9521.67</v>
      </c>
      <c r="X158" s="18">
        <v>10445.25</v>
      </c>
      <c r="Y158" s="4">
        <f>X158/W158-1</f>
        <v>9.6997690531177794E-2</v>
      </c>
    </row>
    <row r="159" spans="1:25">
      <c r="A159" s="55" t="s">
        <v>326</v>
      </c>
      <c r="B159" s="37" t="s">
        <v>327</v>
      </c>
      <c r="C159" s="28">
        <v>1012</v>
      </c>
      <c r="E159" s="37" t="s">
        <v>327</v>
      </c>
      <c r="F159" s="28">
        <v>1052</v>
      </c>
      <c r="G159" t="b">
        <f>IF(B159=E159,TRUE,FALSE)</f>
        <v>1</v>
      </c>
      <c r="J159" s="25">
        <f>F159-C159</f>
        <v>40</v>
      </c>
      <c r="K159" s="4">
        <f>F159/C159-1</f>
        <v>3.9525691699604737E-2</v>
      </c>
      <c r="M159" s="5">
        <v>1806.11</v>
      </c>
      <c r="N159" s="5">
        <v>2369.17</v>
      </c>
      <c r="Q159" s="159">
        <v>10331.970000000001</v>
      </c>
      <c r="U159" s="146">
        <f>N159-M159</f>
        <v>563.06000000000017</v>
      </c>
      <c r="V159" s="4">
        <f>IF(M159=0,0,N159/M159-1)</f>
        <v>0.31175288326846107</v>
      </c>
      <c r="W159" s="18">
        <v>14157.88</v>
      </c>
      <c r="X159" s="18">
        <v>14687.599999999999</v>
      </c>
      <c r="Y159" s="4">
        <f>X159/W159-1</f>
        <v>3.7415206231441456E-2</v>
      </c>
    </row>
    <row r="160" spans="1:25">
      <c r="A160" t="s">
        <v>328</v>
      </c>
      <c r="B160" t="s">
        <v>329</v>
      </c>
      <c r="C160" s="28">
        <v>2231</v>
      </c>
      <c r="E160" t="s">
        <v>329</v>
      </c>
      <c r="F160" s="28">
        <v>2268</v>
      </c>
      <c r="G160" t="b">
        <f>IF(B160=E160,TRUE,FALSE)</f>
        <v>1</v>
      </c>
      <c r="J160" s="25">
        <f>F160-C160</f>
        <v>37</v>
      </c>
      <c r="K160" s="4">
        <f>F160/C160-1</f>
        <v>1.658449125952477E-2</v>
      </c>
      <c r="M160" s="5">
        <v>4161.8500000000004</v>
      </c>
      <c r="N160" s="5">
        <v>4229.28</v>
      </c>
      <c r="Q160" s="159">
        <v>26763.759999999998</v>
      </c>
      <c r="U160" s="146">
        <f>N160-M160</f>
        <v>67.429999999999382</v>
      </c>
      <c r="V160" s="4">
        <f>IF(M160=0,0,N160/M160-1)</f>
        <v>1.6201929430421425E-2</v>
      </c>
      <c r="W160" s="18">
        <v>60214.689999999995</v>
      </c>
      <c r="X160" s="18">
        <v>61211.7</v>
      </c>
      <c r="Y160" s="4">
        <f>X160/W160-1</f>
        <v>1.6557587525569017E-2</v>
      </c>
    </row>
    <row r="161" spans="1:25">
      <c r="A161" t="s">
        <v>330</v>
      </c>
      <c r="B161" t="s">
        <v>331</v>
      </c>
      <c r="C161" s="28">
        <v>666</v>
      </c>
      <c r="E161" t="s">
        <v>331</v>
      </c>
      <c r="F161" s="28">
        <v>701</v>
      </c>
      <c r="G161" t="b">
        <f>IF(B161=E161,TRUE,FALSE)</f>
        <v>1</v>
      </c>
      <c r="J161" s="25">
        <f>F161-C161</f>
        <v>35</v>
      </c>
      <c r="K161" s="4">
        <f>F161/C161-1</f>
        <v>5.2552552552552534E-2</v>
      </c>
      <c r="M161" s="5">
        <v>1443.98</v>
      </c>
      <c r="N161" s="5">
        <v>1475.78</v>
      </c>
      <c r="Q161" s="159">
        <v>9640.36</v>
      </c>
      <c r="U161" s="146">
        <f>N161-M161</f>
        <v>31.799999999999955</v>
      </c>
      <c r="V161" s="4">
        <f>IF(M161=0,0,N161/M161-1)</f>
        <v>2.2022465685120229E-2</v>
      </c>
      <c r="W161" s="18">
        <v>16643.34</v>
      </c>
      <c r="X161" s="18">
        <v>17517.490000000002</v>
      </c>
      <c r="Y161" s="4">
        <f>X161/W161-1</f>
        <v>5.252251050570389E-2</v>
      </c>
    </row>
    <row r="162" spans="1:25" ht="15" customHeight="1">
      <c r="A162" t="s">
        <v>332</v>
      </c>
      <c r="B162" t="s">
        <v>333</v>
      </c>
      <c r="C162" s="28">
        <v>388</v>
      </c>
      <c r="E162" t="s">
        <v>333</v>
      </c>
      <c r="F162" s="28">
        <v>421</v>
      </c>
      <c r="G162" t="b">
        <f>IF(B162=E162,TRUE,FALSE)</f>
        <v>1</v>
      </c>
      <c r="J162" s="25">
        <f>F162-C162</f>
        <v>33</v>
      </c>
      <c r="K162" s="4">
        <f>F162/C162-1</f>
        <v>8.5051546391752497E-2</v>
      </c>
      <c r="M162" s="5">
        <v>514.97</v>
      </c>
      <c r="N162" s="5">
        <v>447.17</v>
      </c>
      <c r="Q162" s="159">
        <v>2803.5</v>
      </c>
      <c r="U162" s="146">
        <f>N162-M162</f>
        <v>-67.800000000000011</v>
      </c>
      <c r="V162" s="4">
        <f>IF(M162=0,0,N162/M162-1)</f>
        <v>-0.13165815484397148</v>
      </c>
      <c r="W162" s="18">
        <v>7740.6</v>
      </c>
      <c r="X162" s="18">
        <v>8398.9500000000007</v>
      </c>
      <c r="Y162" s="4">
        <f>X162/W162-1</f>
        <v>8.5051546391752719E-2</v>
      </c>
    </row>
    <row r="163" spans="1:25" ht="15" customHeight="1">
      <c r="A163" t="s">
        <v>334</v>
      </c>
      <c r="B163" t="s">
        <v>335</v>
      </c>
      <c r="C163" s="28">
        <v>599</v>
      </c>
      <c r="E163" t="s">
        <v>335</v>
      </c>
      <c r="F163" s="28">
        <v>631</v>
      </c>
      <c r="G163" t="b">
        <f>IF(B163=E163,TRUE,FALSE)</f>
        <v>1</v>
      </c>
      <c r="J163" s="25">
        <f>F163-C163</f>
        <v>32</v>
      </c>
      <c r="K163" s="4">
        <f>F163/C163-1</f>
        <v>5.3422370617696169E-2</v>
      </c>
      <c r="M163" s="5">
        <v>757.96</v>
      </c>
      <c r="N163" s="5">
        <v>831.37</v>
      </c>
      <c r="Q163" s="159">
        <v>6539.32</v>
      </c>
      <c r="U163" s="146">
        <f>N163-M163</f>
        <v>73.409999999999968</v>
      </c>
      <c r="V163" s="4">
        <f>IF(M163=0,0,N163/M163-1)</f>
        <v>9.6852076626734895E-2</v>
      </c>
      <c r="W163" s="18">
        <v>17940.05</v>
      </c>
      <c r="X163" s="18">
        <v>18898.45</v>
      </c>
      <c r="Y163" s="4">
        <f>X163/W163-1</f>
        <v>5.3422370617696169E-2</v>
      </c>
    </row>
    <row r="164" spans="1:25" ht="15" customHeight="1">
      <c r="A164" t="s">
        <v>336</v>
      </c>
      <c r="B164" t="s">
        <v>337</v>
      </c>
      <c r="C164" s="28">
        <v>1106</v>
      </c>
      <c r="E164" t="s">
        <v>337</v>
      </c>
      <c r="F164" s="28">
        <v>1136</v>
      </c>
      <c r="G164" t="b">
        <f>IF(B164=E164,TRUE,FALSE)</f>
        <v>1</v>
      </c>
      <c r="J164" s="25">
        <f>F164-C164</f>
        <v>30</v>
      </c>
      <c r="K164" s="4">
        <f>F164/C164-1</f>
        <v>2.7124773960216952E-2</v>
      </c>
      <c r="M164" s="5">
        <v>695.64</v>
      </c>
      <c r="N164" s="5">
        <v>802.04</v>
      </c>
      <c r="Q164" s="159">
        <v>4802.58</v>
      </c>
      <c r="U164" s="146">
        <f>N164-M164</f>
        <v>106.39999999999998</v>
      </c>
      <c r="V164" s="4">
        <f>IF(M164=0,0,N164/M164-1)</f>
        <v>0.15295267667184165</v>
      </c>
      <c r="W164" s="18">
        <v>39804.94</v>
      </c>
      <c r="X164" s="18">
        <v>40884.639999999999</v>
      </c>
      <c r="Y164" s="4">
        <f>X164/W164-1</f>
        <v>2.7124773960216952E-2</v>
      </c>
    </row>
    <row r="165" spans="1:25" ht="15" customHeight="1">
      <c r="A165" t="s">
        <v>338</v>
      </c>
      <c r="B165" t="s">
        <v>339</v>
      </c>
      <c r="C165" s="28">
        <v>919</v>
      </c>
      <c r="E165" t="s">
        <v>339</v>
      </c>
      <c r="F165" s="28">
        <v>947</v>
      </c>
      <c r="G165" t="b">
        <f>IF(B165=E165,TRUE,FALSE)</f>
        <v>1</v>
      </c>
      <c r="J165" s="25">
        <f>F165-C165</f>
        <v>28</v>
      </c>
      <c r="K165" s="4">
        <f>F165/C165-1</f>
        <v>3.0467899891186034E-2</v>
      </c>
      <c r="M165" s="5">
        <v>1648.84</v>
      </c>
      <c r="N165" s="5">
        <v>1486.2</v>
      </c>
      <c r="Q165" s="159">
        <v>9390.2800000000007</v>
      </c>
      <c r="U165" s="146">
        <f>N165-M165</f>
        <v>-162.63999999999987</v>
      </c>
      <c r="V165" s="4">
        <f>IF(M165=0,0,N165/M165-1)</f>
        <v>-9.8639043206132704E-2</v>
      </c>
      <c r="W165" s="18">
        <v>27560.81</v>
      </c>
      <c r="X165" s="18">
        <v>26780.55</v>
      </c>
      <c r="Y165" s="4">
        <f>X165/W165-1</f>
        <v>-2.8310488697538383E-2</v>
      </c>
    </row>
    <row r="166" spans="1:25" ht="15" customHeight="1">
      <c r="A166" t="s">
        <v>340</v>
      </c>
      <c r="B166" t="s">
        <v>341</v>
      </c>
      <c r="C166" s="28">
        <v>352</v>
      </c>
      <c r="E166" t="s">
        <v>341</v>
      </c>
      <c r="F166" s="28">
        <v>379</v>
      </c>
      <c r="G166" t="b">
        <f>IF(B166=E166,TRUE,FALSE)</f>
        <v>1</v>
      </c>
      <c r="J166" s="25">
        <f>F166-C166</f>
        <v>27</v>
      </c>
      <c r="K166" s="4">
        <f>F166/C166-1</f>
        <v>7.6704545454545414E-2</v>
      </c>
      <c r="M166" s="5">
        <v>402.23</v>
      </c>
      <c r="N166" s="5">
        <v>476.69</v>
      </c>
      <c r="Q166" s="159">
        <v>3815.08</v>
      </c>
      <c r="U166" s="146">
        <f>N166-M166</f>
        <v>74.45999999999998</v>
      </c>
      <c r="V166" s="4">
        <f>IF(M166=0,0,N166/M166-1)</f>
        <v>0.18511796733212327</v>
      </c>
      <c r="W166" s="18">
        <v>7704.45</v>
      </c>
      <c r="X166" s="18">
        <v>7810.97</v>
      </c>
      <c r="Y166" s="4">
        <f>X166/W166-1</f>
        <v>1.3825776012564184E-2</v>
      </c>
    </row>
    <row r="167" spans="1:25" ht="15" customHeight="1">
      <c r="A167" t="s">
        <v>342</v>
      </c>
      <c r="B167" t="s">
        <v>343</v>
      </c>
      <c r="C167" s="28">
        <v>459</v>
      </c>
      <c r="E167" t="s">
        <v>343</v>
      </c>
      <c r="F167" s="28">
        <v>482</v>
      </c>
      <c r="G167" t="b">
        <f>IF(B167=E167,TRUE,FALSE)</f>
        <v>1</v>
      </c>
      <c r="J167" s="25">
        <f>F167-C167</f>
        <v>23</v>
      </c>
      <c r="K167" s="4">
        <f>F167/C167-1</f>
        <v>5.0108932461873534E-2</v>
      </c>
      <c r="M167" s="5">
        <v>894.97</v>
      </c>
      <c r="N167" s="5">
        <v>1067.6600000000001</v>
      </c>
      <c r="Q167" s="159">
        <v>6273.39</v>
      </c>
      <c r="U167" s="146">
        <f>N167-M167</f>
        <v>172.69000000000005</v>
      </c>
      <c r="V167" s="4">
        <f>IF(M167=0,0,N167/M167-1)</f>
        <v>0.19295618847559148</v>
      </c>
      <c r="W167" s="18">
        <v>7339.41</v>
      </c>
      <c r="X167" s="18">
        <v>7707.18</v>
      </c>
      <c r="Y167" s="4">
        <f>X167/W167-1</f>
        <v>5.0108932461873756E-2</v>
      </c>
    </row>
    <row r="168" spans="1:25">
      <c r="A168" t="s">
        <v>344</v>
      </c>
      <c r="B168" t="s">
        <v>345</v>
      </c>
      <c r="C168" s="28">
        <v>380</v>
      </c>
      <c r="E168" t="s">
        <v>345</v>
      </c>
      <c r="F168" s="28">
        <v>398</v>
      </c>
      <c r="G168" t="b">
        <f>IF(B168=E168,TRUE,FALSE)</f>
        <v>1</v>
      </c>
      <c r="J168" s="25">
        <f>F168-C168</f>
        <v>18</v>
      </c>
      <c r="K168" s="4">
        <f>F168/C168-1</f>
        <v>4.7368421052631504E-2</v>
      </c>
      <c r="M168" s="5">
        <v>610.02</v>
      </c>
      <c r="N168" s="5">
        <v>659.02</v>
      </c>
      <c r="Q168" s="159">
        <v>4196.51</v>
      </c>
      <c r="U168" s="146">
        <f>N168-M168</f>
        <v>49</v>
      </c>
      <c r="V168" s="4">
        <f>IF(M168=0,0,N168/M168-1)</f>
        <v>8.0325235238188908E-2</v>
      </c>
      <c r="W168" s="18">
        <v>8356.2000000000007</v>
      </c>
      <c r="X168" s="18">
        <v>8751.58</v>
      </c>
      <c r="Y168" s="4">
        <f>X168/W168-1</f>
        <v>4.73157655393599E-2</v>
      </c>
    </row>
    <row r="169" spans="1:25" ht="15" customHeight="1">
      <c r="A169" t="s">
        <v>346</v>
      </c>
      <c r="B169" t="s">
        <v>347</v>
      </c>
      <c r="C169" s="28">
        <v>553</v>
      </c>
      <c r="E169" t="s">
        <v>347</v>
      </c>
      <c r="F169" s="28">
        <v>570</v>
      </c>
      <c r="G169" t="b">
        <f>IF(B169=E169,TRUE,FALSE)</f>
        <v>1</v>
      </c>
      <c r="J169" s="25">
        <f>F169-C169</f>
        <v>17</v>
      </c>
      <c r="K169" s="4">
        <f>F169/C169-1</f>
        <v>3.0741410488245968E-2</v>
      </c>
      <c r="M169" s="5">
        <v>1294.72</v>
      </c>
      <c r="N169" s="5">
        <v>1355.55</v>
      </c>
      <c r="Q169" s="159">
        <v>6221.79</v>
      </c>
      <c r="U169" s="146">
        <f>N169-M169</f>
        <v>60.829999999999927</v>
      </c>
      <c r="V169" s="4">
        <f>IF(M169=0,0,N169/M169-1)</f>
        <v>4.698313148788924E-2</v>
      </c>
      <c r="W169" s="18">
        <v>16562.349999999999</v>
      </c>
      <c r="X169" s="18">
        <v>17071.5</v>
      </c>
      <c r="Y169" s="4">
        <f>X169/W169-1</f>
        <v>3.0741410488245968E-2</v>
      </c>
    </row>
    <row r="170" spans="1:25" ht="15" customHeight="1">
      <c r="A170" t="s">
        <v>348</v>
      </c>
      <c r="B170" t="s">
        <v>349</v>
      </c>
      <c r="C170" s="28">
        <v>1671</v>
      </c>
      <c r="E170" t="s">
        <v>349</v>
      </c>
      <c r="F170" s="28">
        <v>1688</v>
      </c>
      <c r="G170" t="b">
        <f>IF(B170=E170,TRUE,FALSE)</f>
        <v>1</v>
      </c>
      <c r="J170" s="25">
        <f>F170-C170</f>
        <v>17</v>
      </c>
      <c r="K170" s="4">
        <f>F170/C170-1</f>
        <v>1.0173548773189767E-2</v>
      </c>
      <c r="M170" s="5">
        <v>3068.82</v>
      </c>
      <c r="N170" s="5">
        <v>2775.83</v>
      </c>
      <c r="Q170" s="159">
        <v>19596.21</v>
      </c>
      <c r="U170" s="146">
        <f>N170-M170</f>
        <v>-292.99000000000024</v>
      </c>
      <c r="V170" s="4">
        <f>IF(M170=0,0,N170/M170-1)</f>
        <v>-9.5473178615885002E-2</v>
      </c>
      <c r="W170" s="18">
        <v>40087.29</v>
      </c>
      <c r="X170" s="18">
        <v>40190.199999999997</v>
      </c>
      <c r="Y170" s="4">
        <f>X170/W170-1</f>
        <v>2.5671478416224858E-3</v>
      </c>
    </row>
    <row r="171" spans="1:25" ht="15" customHeight="1">
      <c r="A171" t="s">
        <v>350</v>
      </c>
      <c r="B171" t="s">
        <v>351</v>
      </c>
      <c r="C171" s="28">
        <v>904</v>
      </c>
      <c r="E171" t="s">
        <v>351</v>
      </c>
      <c r="F171" s="28">
        <v>920</v>
      </c>
      <c r="G171" t="b">
        <f>IF(B171=E171,TRUE,FALSE)</f>
        <v>1</v>
      </c>
      <c r="J171" s="25">
        <f>F171-C171</f>
        <v>16</v>
      </c>
      <c r="K171" s="4">
        <f>F171/C171-1</f>
        <v>1.7699115044247815E-2</v>
      </c>
      <c r="M171" s="5">
        <v>993.14</v>
      </c>
      <c r="N171" s="5">
        <v>1376.71</v>
      </c>
      <c r="Q171" s="159">
        <v>4786.59</v>
      </c>
      <c r="U171" s="146">
        <f>N171-M171</f>
        <v>383.57000000000005</v>
      </c>
      <c r="V171" s="4">
        <f>IF(M171=0,0,N171/M171-1)</f>
        <v>0.38621946553356024</v>
      </c>
      <c r="W171" s="18">
        <v>14418.8</v>
      </c>
      <c r="X171" s="18">
        <v>14658.05</v>
      </c>
      <c r="Y171" s="4">
        <f>X171/W171-1</f>
        <v>1.6592920353982299E-2</v>
      </c>
    </row>
    <row r="172" spans="1:25" ht="15" customHeight="1">
      <c r="A172" t="s">
        <v>352</v>
      </c>
      <c r="B172" t="s">
        <v>353</v>
      </c>
      <c r="C172" s="28">
        <v>602</v>
      </c>
      <c r="E172" t="s">
        <v>353</v>
      </c>
      <c r="F172" s="28">
        <v>618</v>
      </c>
      <c r="G172" t="b">
        <f>IF(B172=E172,TRUE,FALSE)</f>
        <v>1</v>
      </c>
      <c r="J172" s="25">
        <f>F172-C172</f>
        <v>16</v>
      </c>
      <c r="K172" s="4">
        <f>F172/C172-1</f>
        <v>2.6578073089700949E-2</v>
      </c>
      <c r="M172" s="5">
        <v>425.92</v>
      </c>
      <c r="N172" s="5">
        <v>409.65</v>
      </c>
      <c r="Q172" s="159">
        <v>2897.4</v>
      </c>
      <c r="U172" s="146">
        <f>N172-M172</f>
        <v>-16.270000000000039</v>
      </c>
      <c r="V172" s="4">
        <f>IF(M172=0,0,N172/M172-1)</f>
        <v>-3.8199661908339677E-2</v>
      </c>
      <c r="W172" s="18">
        <v>13213.9</v>
      </c>
      <c r="X172" s="18">
        <v>13565.1</v>
      </c>
      <c r="Y172" s="4">
        <f>X172/W172-1</f>
        <v>2.6578073089700949E-2</v>
      </c>
    </row>
    <row r="173" spans="1:25" ht="15" customHeight="1">
      <c r="A173" t="s">
        <v>354</v>
      </c>
      <c r="B173" t="s">
        <v>355</v>
      </c>
      <c r="C173" s="28">
        <v>1386</v>
      </c>
      <c r="E173" t="s">
        <v>355</v>
      </c>
      <c r="F173" s="28">
        <v>1400</v>
      </c>
      <c r="G173" t="b">
        <f>IF(B173=E173,TRUE,FALSE)</f>
        <v>1</v>
      </c>
      <c r="J173" s="25">
        <f>F173-C173</f>
        <v>14</v>
      </c>
      <c r="K173" s="4">
        <f>F173/C173-1</f>
        <v>1.0101010101010166E-2</v>
      </c>
      <c r="M173" s="5">
        <v>1552.96</v>
      </c>
      <c r="N173" s="5">
        <v>1441.01</v>
      </c>
      <c r="Q173" s="159">
        <v>15358.76</v>
      </c>
      <c r="U173" s="146">
        <f>N173-M173</f>
        <v>-111.95000000000005</v>
      </c>
      <c r="V173" s="4">
        <f>IF(M173=0,0,N173/M173-1)</f>
        <v>-7.208814135586239E-2</v>
      </c>
      <c r="W173" s="18">
        <v>51175.75</v>
      </c>
      <c r="X173" s="18">
        <v>51728.89</v>
      </c>
      <c r="Y173" s="4">
        <f>X173/W173-1</f>
        <v>1.0808634949170282E-2</v>
      </c>
    </row>
    <row r="174" spans="1:25" ht="15" customHeight="1">
      <c r="A174" t="s">
        <v>356</v>
      </c>
      <c r="B174" t="s">
        <v>357</v>
      </c>
      <c r="C174" s="28">
        <v>0</v>
      </c>
      <c r="E174" t="s">
        <v>357</v>
      </c>
      <c r="F174" s="28">
        <v>12</v>
      </c>
      <c r="G174" t="b">
        <f>IF(B174=E174,TRUE,FALSE)</f>
        <v>1</v>
      </c>
      <c r="J174" s="25">
        <f>F174-C174</f>
        <v>12</v>
      </c>
      <c r="K174" s="4" t="e">
        <f>F174/C174-1</f>
        <v>#DIV/0!</v>
      </c>
      <c r="M174" s="5">
        <v>0</v>
      </c>
      <c r="N174" s="5">
        <v>94.2</v>
      </c>
      <c r="Q174" s="159">
        <v>420.63</v>
      </c>
      <c r="U174" s="146">
        <f>N174-M174</f>
        <v>94.2</v>
      </c>
      <c r="V174" s="4">
        <f>IF(M174=0,0,N174/M174-1)</f>
        <v>0</v>
      </c>
      <c r="W174" s="18">
        <v>0</v>
      </c>
      <c r="X174" s="18">
        <v>424.6</v>
      </c>
      <c r="Y174" s="4" t="e">
        <f>X174/W174-1</f>
        <v>#DIV/0!</v>
      </c>
    </row>
    <row r="175" spans="1:25" ht="15" customHeight="1">
      <c r="A175" t="s">
        <v>358</v>
      </c>
      <c r="B175" t="s">
        <v>359</v>
      </c>
      <c r="C175" s="28">
        <v>1417</v>
      </c>
      <c r="E175" t="s">
        <v>359</v>
      </c>
      <c r="F175" s="28">
        <v>1428</v>
      </c>
      <c r="G175" t="b">
        <f>IF(B175=E175,TRUE,FALSE)</f>
        <v>1</v>
      </c>
      <c r="J175" s="25">
        <f>F175-C175</f>
        <v>11</v>
      </c>
      <c r="K175" s="4">
        <f>F175/C175-1</f>
        <v>7.762879322512406E-3</v>
      </c>
      <c r="M175" s="5">
        <v>1629.45</v>
      </c>
      <c r="N175" s="5">
        <v>2018.39</v>
      </c>
      <c r="Q175" s="159">
        <v>16983.759999999998</v>
      </c>
      <c r="U175" s="146">
        <f>N175-M175</f>
        <v>388.94000000000005</v>
      </c>
      <c r="V175" s="4">
        <f>IF(M175=0,0,N175/M175-1)</f>
        <v>0.23869403786553756</v>
      </c>
      <c r="W175" s="18">
        <v>55248.83</v>
      </c>
      <c r="X175" s="18">
        <v>55676.55</v>
      </c>
      <c r="Y175" s="4">
        <f>X175/W175-1</f>
        <v>7.7417024034718285E-3</v>
      </c>
    </row>
    <row r="176" spans="1:25" ht="15" customHeight="1">
      <c r="A176" s="57" t="s">
        <v>360</v>
      </c>
      <c r="B176" s="37" t="s">
        <v>361</v>
      </c>
      <c r="C176" s="28">
        <v>279</v>
      </c>
      <c r="E176" s="37" t="s">
        <v>361</v>
      </c>
      <c r="F176" s="28">
        <v>287</v>
      </c>
      <c r="G176" t="b">
        <f>IF(B176=E176,TRUE,FALSE)</f>
        <v>1</v>
      </c>
      <c r="J176" s="25">
        <f>F176-C176</f>
        <v>8</v>
      </c>
      <c r="K176" s="4">
        <f>F176/C176-1</f>
        <v>2.8673835125448077E-2</v>
      </c>
      <c r="M176" s="5">
        <v>29.19</v>
      </c>
      <c r="N176" s="5">
        <v>97.86</v>
      </c>
      <c r="Q176" s="159">
        <v>554.15</v>
      </c>
      <c r="U176" s="146">
        <f>N176-M176</f>
        <v>68.67</v>
      </c>
      <c r="V176" s="4">
        <f>IF(M176=0,0,N176/M176-1)</f>
        <v>2.3525179856115108</v>
      </c>
      <c r="W176" s="18">
        <v>6892.21</v>
      </c>
      <c r="X176" s="18">
        <v>7172.13</v>
      </c>
      <c r="Y176" s="4">
        <f>X176/W176-1</f>
        <v>4.0613968523884214E-2</v>
      </c>
    </row>
    <row r="177" spans="1:25" ht="15" customHeight="1">
      <c r="A177" t="s">
        <v>362</v>
      </c>
      <c r="B177" t="s">
        <v>363</v>
      </c>
      <c r="C177" s="28">
        <v>1091</v>
      </c>
      <c r="E177" t="s">
        <v>363</v>
      </c>
      <c r="F177" s="28">
        <v>1099</v>
      </c>
      <c r="G177" t="b">
        <f>IF(B177=E177,TRUE,FALSE)</f>
        <v>1</v>
      </c>
      <c r="J177" s="25">
        <f>F177-C177</f>
        <v>8</v>
      </c>
      <c r="K177" s="4">
        <f>F177/C177-1</f>
        <v>7.3327222731438546E-3</v>
      </c>
      <c r="M177" s="5">
        <v>2511.0100000000002</v>
      </c>
      <c r="N177" s="5">
        <v>2288.0100000000002</v>
      </c>
      <c r="Q177" s="159">
        <v>10998.02</v>
      </c>
      <c r="U177" s="146">
        <f>N177-M177</f>
        <v>-223</v>
      </c>
      <c r="V177" s="4">
        <f>IF(M177=0,0,N177/M177-1)</f>
        <v>-8.880888566752021E-2</v>
      </c>
      <c r="W177" s="18">
        <v>32719.09</v>
      </c>
      <c r="X177" s="18">
        <v>32959.01</v>
      </c>
      <c r="Y177" s="4">
        <f>X177/W177-1</f>
        <v>7.3327222731438546E-3</v>
      </c>
    </row>
    <row r="178" spans="1:25" ht="15" customHeight="1">
      <c r="A178" t="s">
        <v>364</v>
      </c>
      <c r="B178" t="s">
        <v>365</v>
      </c>
      <c r="C178" s="28">
        <v>554</v>
      </c>
      <c r="E178" t="s">
        <v>365</v>
      </c>
      <c r="F178" s="28">
        <v>562</v>
      </c>
      <c r="G178" t="b">
        <f>IF(B178=E178,TRUE,FALSE)</f>
        <v>1</v>
      </c>
      <c r="J178" s="25">
        <f>F178-C178</f>
        <v>8</v>
      </c>
      <c r="K178" s="4">
        <f>F178/C178-1</f>
        <v>1.4440433212996373E-2</v>
      </c>
      <c r="M178" s="5">
        <v>1325.24</v>
      </c>
      <c r="N178" s="5">
        <v>1148.8599999999999</v>
      </c>
      <c r="Q178" s="159">
        <v>6197.63</v>
      </c>
      <c r="U178" s="146">
        <f>N178-M178</f>
        <v>-176.38000000000011</v>
      </c>
      <c r="V178" s="4">
        <f>IF(M178=0,0,N178/M178-1)</f>
        <v>-0.13309287374362389</v>
      </c>
      <c r="W178" s="18">
        <v>13266.47</v>
      </c>
      <c r="X178" s="18">
        <v>12737.18</v>
      </c>
      <c r="Y178" s="4">
        <f>X178/W178-1</f>
        <v>-3.9896822591088621E-2</v>
      </c>
    </row>
    <row r="179" spans="1:25" ht="15" customHeight="1">
      <c r="A179" t="s">
        <v>366</v>
      </c>
      <c r="B179" t="s">
        <v>367</v>
      </c>
      <c r="C179" s="28">
        <v>0</v>
      </c>
      <c r="E179" t="s">
        <v>367</v>
      </c>
      <c r="F179" s="28">
        <v>8</v>
      </c>
      <c r="G179" t="b">
        <f>IF(B179=E179,TRUE,FALSE)</f>
        <v>1</v>
      </c>
      <c r="J179" s="25">
        <f>F179-C179</f>
        <v>8</v>
      </c>
      <c r="K179" s="4" t="e">
        <f>F179/C179-1</f>
        <v>#DIV/0!</v>
      </c>
      <c r="M179" s="5">
        <v>0</v>
      </c>
      <c r="N179" s="5">
        <v>85.7</v>
      </c>
      <c r="Q179" s="159">
        <v>383.75</v>
      </c>
      <c r="U179" s="146">
        <f>N179-M179</f>
        <v>85.7</v>
      </c>
      <c r="V179" s="4">
        <f>IF(M179=0,0,N179/M179-1)</f>
        <v>0</v>
      </c>
      <c r="W179" s="18">
        <v>0</v>
      </c>
      <c r="X179" s="18">
        <v>239.92</v>
      </c>
      <c r="Y179" s="4" t="e">
        <f>X179/W179-1</f>
        <v>#DIV/0!</v>
      </c>
    </row>
    <row r="180" spans="1:25" ht="15" customHeight="1">
      <c r="A180" t="s">
        <v>368</v>
      </c>
      <c r="B180" t="s">
        <v>369</v>
      </c>
      <c r="C180" s="28">
        <v>750</v>
      </c>
      <c r="E180" t="s">
        <v>369</v>
      </c>
      <c r="F180" s="28">
        <v>756</v>
      </c>
      <c r="G180" t="b">
        <f>IF(B180=E180,TRUE,FALSE)</f>
        <v>1</v>
      </c>
      <c r="J180" s="25">
        <f>F180-C180</f>
        <v>6</v>
      </c>
      <c r="K180" s="4">
        <f>F180/C180-1</f>
        <v>8.0000000000000071E-3</v>
      </c>
      <c r="M180" s="5">
        <v>1390.13</v>
      </c>
      <c r="N180" s="5">
        <v>1212</v>
      </c>
      <c r="Q180" s="159">
        <v>6926.15</v>
      </c>
      <c r="U180" s="146">
        <f>N180-M180</f>
        <v>-178.13000000000011</v>
      </c>
      <c r="V180" s="4">
        <f>IF(M180=0,0,N180/M180-1)</f>
        <v>-0.12813909490479314</v>
      </c>
      <c r="W180" s="18">
        <v>20239.45</v>
      </c>
      <c r="X180" s="18">
        <v>20374.2</v>
      </c>
      <c r="Y180" s="4">
        <f>X180/W180-1</f>
        <v>6.6577896138482195E-3</v>
      </c>
    </row>
    <row r="181" spans="1:25" ht="15" customHeight="1">
      <c r="A181" t="s">
        <v>370</v>
      </c>
      <c r="B181" t="s">
        <v>371</v>
      </c>
      <c r="C181" s="28">
        <v>0</v>
      </c>
      <c r="E181" t="s">
        <v>371</v>
      </c>
      <c r="F181" s="28">
        <v>6</v>
      </c>
      <c r="G181" t="b">
        <f>IF(B181=E181,TRUE,FALSE)</f>
        <v>1</v>
      </c>
      <c r="J181" s="25">
        <f>F181-C181</f>
        <v>6</v>
      </c>
      <c r="K181" s="4" t="e">
        <f>F181/C181-1</f>
        <v>#DIV/0!</v>
      </c>
      <c r="M181" s="5">
        <v>0</v>
      </c>
      <c r="N181" s="5">
        <v>30.33</v>
      </c>
      <c r="Q181" s="159">
        <v>200.88</v>
      </c>
      <c r="U181" s="146">
        <f>N181-M181</f>
        <v>30.33</v>
      </c>
      <c r="V181" s="4">
        <f>IF(M181=0,0,N181/M181-1)</f>
        <v>0</v>
      </c>
      <c r="W181" s="18">
        <v>0</v>
      </c>
      <c r="X181" s="18">
        <v>131.94</v>
      </c>
      <c r="Y181" s="4" t="e">
        <f>X181/W181-1</f>
        <v>#DIV/0!</v>
      </c>
    </row>
    <row r="182" spans="1:25" ht="15" customHeight="1">
      <c r="A182" t="s">
        <v>372</v>
      </c>
      <c r="B182" t="s">
        <v>373</v>
      </c>
      <c r="C182" s="28">
        <v>636</v>
      </c>
      <c r="E182" t="s">
        <v>373</v>
      </c>
      <c r="F182" s="28">
        <v>641</v>
      </c>
      <c r="G182" t="b">
        <f>IF(B182=E182,TRUE,FALSE)</f>
        <v>1</v>
      </c>
      <c r="J182" s="25">
        <f>F182-C182</f>
        <v>5</v>
      </c>
      <c r="K182" s="4">
        <f>F182/C182-1</f>
        <v>7.8616352201257289E-3</v>
      </c>
      <c r="M182" s="5">
        <v>1226.98</v>
      </c>
      <c r="N182" s="5">
        <v>1306.53</v>
      </c>
      <c r="Q182" s="159">
        <v>7488.61</v>
      </c>
      <c r="U182" s="146">
        <f>N182-M182</f>
        <v>79.549999999999955</v>
      </c>
      <c r="V182" s="4">
        <f>IF(M182=0,0,N182/M182-1)</f>
        <v>6.4833982624003639E-2</v>
      </c>
      <c r="W182" s="18">
        <v>12052.2</v>
      </c>
      <c r="X182" s="18">
        <v>12146.38</v>
      </c>
      <c r="Y182" s="4">
        <f>X182/W182-1</f>
        <v>7.8143409501998384E-3</v>
      </c>
    </row>
    <row r="183" spans="1:25" ht="15" customHeight="1">
      <c r="A183" t="s">
        <v>374</v>
      </c>
      <c r="B183" t="s">
        <v>375</v>
      </c>
      <c r="C183" s="28">
        <v>1550</v>
      </c>
      <c r="E183" t="s">
        <v>375</v>
      </c>
      <c r="F183" s="28">
        <v>1553</v>
      </c>
      <c r="G183" t="b">
        <f>IF(B183=E183,TRUE,FALSE)</f>
        <v>1</v>
      </c>
      <c r="J183" s="25">
        <f>F183-C183</f>
        <v>3</v>
      </c>
      <c r="K183" s="4">
        <f>F183/C183-1</f>
        <v>1.935483870967758E-3</v>
      </c>
      <c r="M183" s="5">
        <v>2711.98</v>
      </c>
      <c r="N183" s="5">
        <v>2063.19</v>
      </c>
      <c r="Q183" s="159">
        <v>19574.919999999998</v>
      </c>
      <c r="U183" s="146">
        <f>N183-M183</f>
        <v>-648.79</v>
      </c>
      <c r="V183" s="4">
        <f>IF(M183=0,0,N183/M183-1)</f>
        <v>-0.23923111527371144</v>
      </c>
      <c r="W183" s="18">
        <v>41772.5</v>
      </c>
      <c r="X183" s="18">
        <v>41823.160000000003</v>
      </c>
      <c r="Y183" s="4">
        <f>X183/W183-1</f>
        <v>1.2127595906399335E-3</v>
      </c>
    </row>
    <row r="184" spans="1:25" ht="15" customHeight="1">
      <c r="A184" t="s">
        <v>376</v>
      </c>
      <c r="B184" t="s">
        <v>377</v>
      </c>
      <c r="C184" s="28">
        <v>0</v>
      </c>
      <c r="E184" t="s">
        <v>377</v>
      </c>
      <c r="F184" s="28">
        <v>2</v>
      </c>
      <c r="G184" t="b">
        <f>IF(B184=E184,TRUE,FALSE)</f>
        <v>1</v>
      </c>
      <c r="J184" s="25">
        <f>F184-C184</f>
        <v>2</v>
      </c>
      <c r="K184" s="4" t="e">
        <f>F184/C184-1</f>
        <v>#DIV/0!</v>
      </c>
      <c r="M184" s="5">
        <v>0</v>
      </c>
      <c r="N184" s="5">
        <v>65.180000000000007</v>
      </c>
      <c r="Q184" s="159">
        <v>125.49</v>
      </c>
      <c r="U184" s="146">
        <f>N184-M184</f>
        <v>65.180000000000007</v>
      </c>
      <c r="V184" s="4">
        <f>IF(M184=0,0,N184/M184-1)</f>
        <v>0</v>
      </c>
      <c r="W184" s="18">
        <v>0</v>
      </c>
      <c r="X184" s="18">
        <v>63.98</v>
      </c>
      <c r="Y184" s="4" t="e">
        <f>X184/W184-1</f>
        <v>#DIV/0!</v>
      </c>
    </row>
    <row r="185" spans="1:25" ht="15" customHeight="1">
      <c r="A185" t="s">
        <v>378</v>
      </c>
      <c r="B185" t="s">
        <v>379</v>
      </c>
      <c r="C185" s="28">
        <v>0</v>
      </c>
      <c r="E185" t="s">
        <v>379</v>
      </c>
      <c r="F185" s="28">
        <v>2</v>
      </c>
      <c r="G185" t="b">
        <f>IF(B185=E185,TRUE,FALSE)</f>
        <v>1</v>
      </c>
      <c r="J185" s="25">
        <f>F185-C185</f>
        <v>2</v>
      </c>
      <c r="K185" s="4" t="e">
        <f>F185/C185-1</f>
        <v>#DIV/0!</v>
      </c>
      <c r="M185" s="5">
        <v>0</v>
      </c>
      <c r="N185" s="5">
        <v>12.9</v>
      </c>
      <c r="Q185" s="159">
        <v>39.94</v>
      </c>
      <c r="U185" s="146">
        <f>N185-M185</f>
        <v>12.9</v>
      </c>
      <c r="V185" s="4">
        <f>IF(M185=0,0,N185/M185-1)</f>
        <v>0</v>
      </c>
      <c r="W185" s="18">
        <v>0</v>
      </c>
      <c r="X185" s="18">
        <v>69.98</v>
      </c>
      <c r="Y185" s="4" t="e">
        <f>X185/W185-1</f>
        <v>#DIV/0!</v>
      </c>
    </row>
    <row r="186" spans="1:25" ht="15" customHeight="1">
      <c r="A186" t="s">
        <v>380</v>
      </c>
      <c r="B186" t="s">
        <v>381</v>
      </c>
      <c r="C186" s="28">
        <v>0</v>
      </c>
      <c r="E186" t="s">
        <v>381</v>
      </c>
      <c r="F186" s="28">
        <v>1</v>
      </c>
      <c r="G186" t="b">
        <f>IF(B186=E186,TRUE,FALSE)</f>
        <v>1</v>
      </c>
      <c r="J186" s="25">
        <f>F186-C186</f>
        <v>1</v>
      </c>
      <c r="K186" s="4" t="e">
        <f>F186/C186-1</f>
        <v>#DIV/0!</v>
      </c>
      <c r="M186" s="5">
        <v>0</v>
      </c>
      <c r="N186" s="5">
        <v>0</v>
      </c>
      <c r="Q186" s="159">
        <v>0</v>
      </c>
      <c r="U186" s="146">
        <f>N186-M186</f>
        <v>0</v>
      </c>
      <c r="V186" s="4">
        <f>IF(M186=0,0,N186/M186-1)</f>
        <v>0</v>
      </c>
      <c r="W186" s="18">
        <v>0</v>
      </c>
      <c r="X186" s="18">
        <v>19.989999999999998</v>
      </c>
      <c r="Y186" s="4" t="e">
        <f>X186/W186-1</f>
        <v>#DIV/0!</v>
      </c>
    </row>
    <row r="187" spans="1:25" ht="15" customHeight="1">
      <c r="A187" t="s">
        <v>382</v>
      </c>
      <c r="B187" t="s">
        <v>383</v>
      </c>
      <c r="C187" s="28">
        <v>703</v>
      </c>
      <c r="E187" t="s">
        <v>383</v>
      </c>
      <c r="F187" s="28">
        <v>703</v>
      </c>
      <c r="G187" t="b">
        <f>IF(B187=E187,TRUE,FALSE)</f>
        <v>1</v>
      </c>
      <c r="J187" s="25">
        <f>F187-C187</f>
        <v>0</v>
      </c>
      <c r="K187" s="4">
        <f>F187/C187-1</f>
        <v>0</v>
      </c>
      <c r="M187" s="5">
        <v>737.82</v>
      </c>
      <c r="N187" s="5">
        <v>684.87</v>
      </c>
      <c r="Q187" s="159">
        <v>5201.17</v>
      </c>
      <c r="U187" s="146">
        <f>N187-M187</f>
        <v>-52.950000000000045</v>
      </c>
      <c r="V187" s="4">
        <f>IF(M187=0,0,N187/M187-1)</f>
        <v>-7.1765471253151247E-2</v>
      </c>
      <c r="W187" s="18">
        <v>17520.849999999999</v>
      </c>
      <c r="X187" s="18">
        <v>17503.900000000001</v>
      </c>
      <c r="Y187" s="4">
        <f>X187/W187-1</f>
        <v>-9.6741881815076702E-4</v>
      </c>
    </row>
    <row r="188" spans="1:25" ht="15" customHeight="1">
      <c r="A188" t="s">
        <v>384</v>
      </c>
      <c r="B188" t="s">
        <v>385</v>
      </c>
      <c r="C188" s="28">
        <v>0</v>
      </c>
      <c r="E188" t="s">
        <v>385</v>
      </c>
      <c r="F188" s="28">
        <v>0</v>
      </c>
      <c r="G188" t="b">
        <f>IF(B188=E188,TRUE,FALSE)</f>
        <v>1</v>
      </c>
      <c r="J188" s="25">
        <f>F188-C188</f>
        <v>0</v>
      </c>
      <c r="K188" s="4" t="e">
        <f>F188/C188-1</f>
        <v>#DIV/0!</v>
      </c>
      <c r="M188" s="5">
        <v>0</v>
      </c>
      <c r="N188" s="5">
        <v>5.01</v>
      </c>
      <c r="Q188" s="159">
        <v>0</v>
      </c>
      <c r="U188" s="146">
        <f>N188-M188</f>
        <v>5.01</v>
      </c>
      <c r="V188" s="4">
        <f>IF(M188=0,0,N188/M188-1)</f>
        <v>0</v>
      </c>
      <c r="W188" s="18">
        <v>0</v>
      </c>
      <c r="X188" s="18">
        <v>0</v>
      </c>
      <c r="Y188" s="4" t="e">
        <f>X188/W188-1</f>
        <v>#DIV/0!</v>
      </c>
    </row>
    <row r="189" spans="1:25" ht="14.25" customHeight="1">
      <c r="A189" t="s">
        <v>386</v>
      </c>
      <c r="B189" t="s">
        <v>387</v>
      </c>
      <c r="C189" s="28">
        <v>0</v>
      </c>
      <c r="E189" t="s">
        <v>387</v>
      </c>
      <c r="F189" s="28">
        <v>0</v>
      </c>
      <c r="G189" t="b">
        <f>IF(B189=E189,TRUE,FALSE)</f>
        <v>1</v>
      </c>
      <c r="J189" s="25">
        <f>F189-C189</f>
        <v>0</v>
      </c>
      <c r="K189" s="4" t="e">
        <f>F189/C189-1</f>
        <v>#DIV/0!</v>
      </c>
      <c r="M189" s="5">
        <v>0</v>
      </c>
      <c r="N189" s="5">
        <v>0</v>
      </c>
      <c r="Q189" s="159">
        <v>0</v>
      </c>
      <c r="U189" s="146">
        <f>N189-M189</f>
        <v>0</v>
      </c>
      <c r="V189" s="4">
        <f>IF(M189=0,0,N189/M189-1)</f>
        <v>0</v>
      </c>
      <c r="W189" s="18">
        <v>0</v>
      </c>
      <c r="X189" s="18">
        <v>0</v>
      </c>
      <c r="Y189" s="4" t="e">
        <f>X189/W189-1</f>
        <v>#DIV/0!</v>
      </c>
    </row>
    <row r="190" spans="1:25" ht="15" customHeight="1">
      <c r="A190" t="s">
        <v>388</v>
      </c>
      <c r="B190" t="s">
        <v>389</v>
      </c>
      <c r="C190" s="28">
        <v>0</v>
      </c>
      <c r="E190" t="s">
        <v>389</v>
      </c>
      <c r="F190" s="28">
        <v>0</v>
      </c>
      <c r="G190" t="b">
        <f>IF(B190=E190,TRUE,FALSE)</f>
        <v>1</v>
      </c>
      <c r="J190" s="25">
        <f>F190-C190</f>
        <v>0</v>
      </c>
      <c r="K190" s="4" t="e">
        <f>F190/C190-1</f>
        <v>#DIV/0!</v>
      </c>
      <c r="M190" s="5">
        <v>0</v>
      </c>
      <c r="N190" s="5">
        <v>0</v>
      </c>
      <c r="Q190" s="159">
        <v>0</v>
      </c>
      <c r="U190" s="146">
        <f>N190-M190</f>
        <v>0</v>
      </c>
      <c r="V190" s="4">
        <f>IF(M190=0,0,N190/M190-1)</f>
        <v>0</v>
      </c>
      <c r="W190" s="18">
        <v>0</v>
      </c>
      <c r="X190" s="18">
        <v>0</v>
      </c>
      <c r="Y190" s="4" t="e">
        <f>X190/W190-1</f>
        <v>#DIV/0!</v>
      </c>
    </row>
    <row r="191" spans="1:25" ht="15" customHeight="1">
      <c r="A191" t="s">
        <v>390</v>
      </c>
      <c r="B191" t="s">
        <v>391</v>
      </c>
      <c r="C191" s="28">
        <v>0</v>
      </c>
      <c r="E191" t="s">
        <v>391</v>
      </c>
      <c r="F191" s="28">
        <v>0</v>
      </c>
      <c r="G191" t="b">
        <f>IF(B191=E191,TRUE,FALSE)</f>
        <v>1</v>
      </c>
      <c r="J191" s="25">
        <f>F191-C191</f>
        <v>0</v>
      </c>
      <c r="K191" s="4" t="e">
        <f>F191/C191-1</f>
        <v>#DIV/0!</v>
      </c>
      <c r="M191" s="5">
        <v>0</v>
      </c>
      <c r="N191" s="5">
        <v>0</v>
      </c>
      <c r="Q191" s="159">
        <v>0</v>
      </c>
      <c r="U191" s="146">
        <f>N191-M191</f>
        <v>0</v>
      </c>
      <c r="V191" s="4">
        <f>IF(M191=0,0,N191/M191-1)</f>
        <v>0</v>
      </c>
      <c r="W191" s="18">
        <v>0</v>
      </c>
      <c r="X191" s="18">
        <v>0</v>
      </c>
      <c r="Y191" s="4" t="e">
        <f>X191/W191-1</f>
        <v>#DIV/0!</v>
      </c>
    </row>
    <row r="192" spans="1:25" ht="15" customHeight="1">
      <c r="A192" t="s">
        <v>392</v>
      </c>
      <c r="B192" t="s">
        <v>393</v>
      </c>
      <c r="C192" s="28">
        <v>0</v>
      </c>
      <c r="E192" t="s">
        <v>393</v>
      </c>
      <c r="F192" s="28">
        <v>0</v>
      </c>
      <c r="G192" t="b">
        <f>IF(B192=E192,TRUE,FALSE)</f>
        <v>1</v>
      </c>
      <c r="J192" s="25">
        <f>F192-C192</f>
        <v>0</v>
      </c>
      <c r="K192" s="4" t="e">
        <f>F192/C192-1</f>
        <v>#DIV/0!</v>
      </c>
      <c r="M192" s="5">
        <v>0</v>
      </c>
      <c r="N192" s="5">
        <v>0</v>
      </c>
      <c r="Q192" s="159">
        <v>0</v>
      </c>
      <c r="U192" s="146">
        <f>N192-M192</f>
        <v>0</v>
      </c>
      <c r="V192" s="4">
        <f>IF(M192=0,0,N192/M192-1)</f>
        <v>0</v>
      </c>
      <c r="W192" s="18">
        <v>0</v>
      </c>
      <c r="X192" s="18">
        <v>0</v>
      </c>
      <c r="Y192" s="4" t="e">
        <f>X192/W192-1</f>
        <v>#DIV/0!</v>
      </c>
    </row>
    <row r="193" spans="1:25" ht="15" customHeight="1">
      <c r="A193" t="s">
        <v>394</v>
      </c>
      <c r="B193" t="s">
        <v>395</v>
      </c>
      <c r="C193" s="28">
        <v>0</v>
      </c>
      <c r="E193" t="s">
        <v>395</v>
      </c>
      <c r="F193" s="28">
        <v>0</v>
      </c>
      <c r="G193" t="b">
        <f>IF(B193=E193,TRUE,FALSE)</f>
        <v>1</v>
      </c>
      <c r="J193" s="25">
        <f>F193-C193</f>
        <v>0</v>
      </c>
      <c r="K193" s="4" t="e">
        <f>F193/C193-1</f>
        <v>#DIV/0!</v>
      </c>
      <c r="M193" s="5">
        <v>0</v>
      </c>
      <c r="N193" s="5">
        <v>0</v>
      </c>
      <c r="Q193" s="159">
        <v>0</v>
      </c>
      <c r="U193" s="146">
        <f>N193-M193</f>
        <v>0</v>
      </c>
      <c r="V193" s="4">
        <f>IF(M193=0,0,N193/M193-1)</f>
        <v>0</v>
      </c>
      <c r="W193" s="18">
        <v>0</v>
      </c>
      <c r="X193" s="18">
        <v>0</v>
      </c>
      <c r="Y193" s="4" t="e">
        <f>X193/W193-1</f>
        <v>#DIV/0!</v>
      </c>
    </row>
    <row r="194" spans="1:25" ht="15" customHeight="1">
      <c r="A194" t="s">
        <v>396</v>
      </c>
      <c r="B194" t="s">
        <v>397</v>
      </c>
      <c r="C194" s="28">
        <v>0</v>
      </c>
      <c r="E194" t="s">
        <v>397</v>
      </c>
      <c r="F194" s="28">
        <v>0</v>
      </c>
      <c r="G194" t="b">
        <f>IF(B194=E194,TRUE,FALSE)</f>
        <v>1</v>
      </c>
      <c r="J194" s="25">
        <f>F194-C194</f>
        <v>0</v>
      </c>
      <c r="K194" s="4" t="e">
        <f>F194/C194-1</f>
        <v>#DIV/0!</v>
      </c>
      <c r="M194" s="5">
        <v>0</v>
      </c>
      <c r="N194" s="5">
        <v>0</v>
      </c>
      <c r="Q194" s="159">
        <v>0</v>
      </c>
      <c r="U194" s="146">
        <f>N194-M194</f>
        <v>0</v>
      </c>
      <c r="V194" s="4">
        <f>IF(M194=0,0,N194/M194-1)</f>
        <v>0</v>
      </c>
      <c r="W194" s="18">
        <v>0</v>
      </c>
      <c r="X194" s="18">
        <v>0</v>
      </c>
      <c r="Y194" s="4" t="e">
        <f>X194/W194-1</f>
        <v>#DIV/0!</v>
      </c>
    </row>
    <row r="195" spans="1:25" ht="15" customHeight="1">
      <c r="A195" t="s">
        <v>398</v>
      </c>
      <c r="B195" t="s">
        <v>399</v>
      </c>
      <c r="C195" s="28">
        <v>0</v>
      </c>
      <c r="E195" t="s">
        <v>399</v>
      </c>
      <c r="F195" s="28">
        <v>0</v>
      </c>
      <c r="G195" t="b">
        <f>IF(B195=E195,TRUE,FALSE)</f>
        <v>1</v>
      </c>
      <c r="J195" s="25">
        <f>F195-C195</f>
        <v>0</v>
      </c>
      <c r="K195" s="4" t="e">
        <f>F195/C195-1</f>
        <v>#DIV/0!</v>
      </c>
      <c r="M195" s="5">
        <v>0</v>
      </c>
      <c r="N195" s="5">
        <v>0</v>
      </c>
      <c r="Q195" s="159">
        <v>0</v>
      </c>
      <c r="V195" s="4"/>
      <c r="W195" s="18">
        <v>0</v>
      </c>
      <c r="X195" s="18">
        <v>0</v>
      </c>
      <c r="Y195" s="4" t="e">
        <f>X195/W195-1</f>
        <v>#DIV/0!</v>
      </c>
    </row>
    <row r="196" spans="1:25" ht="15" customHeight="1">
      <c r="A196" t="s">
        <v>400</v>
      </c>
      <c r="B196" t="s">
        <v>401</v>
      </c>
      <c r="C196" s="28">
        <v>1193</v>
      </c>
      <c r="E196" t="s">
        <v>401</v>
      </c>
      <c r="F196" s="28">
        <v>1191</v>
      </c>
      <c r="G196" t="b">
        <f>IF(B196=E196,TRUE,FALSE)</f>
        <v>1</v>
      </c>
      <c r="J196" s="25">
        <f>F196-C196</f>
        <v>-2</v>
      </c>
      <c r="K196" s="4">
        <f>F196/C196-1</f>
        <v>-1.6764459346185756E-3</v>
      </c>
      <c r="M196" s="5">
        <v>1457.68</v>
      </c>
      <c r="N196" s="5">
        <v>1386.39</v>
      </c>
      <c r="Q196" s="159">
        <v>5755.15</v>
      </c>
      <c r="U196" s="146">
        <f>N196-M196</f>
        <v>-71.289999999999964</v>
      </c>
      <c r="V196" s="4">
        <f>IF(M196=0,0,N196/M196-1)</f>
        <v>-4.8906481532297819E-2</v>
      </c>
      <c r="W196" s="18">
        <v>28572.35</v>
      </c>
      <c r="X196" s="18">
        <v>28524.45</v>
      </c>
      <c r="Y196" s="4">
        <f>X196/W196-1</f>
        <v>-1.6764459346185756E-3</v>
      </c>
    </row>
    <row r="197" spans="1:25" ht="15" customHeight="1">
      <c r="A197" t="s">
        <v>402</v>
      </c>
      <c r="B197" t="s">
        <v>403</v>
      </c>
      <c r="C197" s="28">
        <v>293</v>
      </c>
      <c r="E197" t="s">
        <v>403</v>
      </c>
      <c r="F197" s="28">
        <v>291</v>
      </c>
      <c r="G197" t="b">
        <f>IF(B197=E197,TRUE,FALSE)</f>
        <v>1</v>
      </c>
      <c r="J197" s="25">
        <f>F197-C197</f>
        <v>-2</v>
      </c>
      <c r="K197" s="4">
        <f>F197/C197-1</f>
        <v>-6.8259385665528916E-3</v>
      </c>
      <c r="M197" s="5">
        <v>200.74</v>
      </c>
      <c r="N197" s="5">
        <v>192.83</v>
      </c>
      <c r="Q197" s="159">
        <v>1354.54</v>
      </c>
      <c r="U197" s="146">
        <f>N197-M197</f>
        <v>-7.9099999999999966</v>
      </c>
      <c r="V197" s="4">
        <f>IF(M197=0,0,N197/M197-1)</f>
        <v>-3.9404204443558855E-2</v>
      </c>
      <c r="W197" s="18">
        <v>7017.35</v>
      </c>
      <c r="X197" s="18">
        <v>6969.45</v>
      </c>
      <c r="Y197" s="4">
        <f>X197/W197-1</f>
        <v>-6.8259385665530026E-3</v>
      </c>
    </row>
    <row r="198" spans="1:25" ht="15" customHeight="1">
      <c r="A198" s="55" t="s">
        <v>404</v>
      </c>
      <c r="B198" s="37" t="s">
        <v>405</v>
      </c>
      <c r="C198" s="28">
        <v>816</v>
      </c>
      <c r="E198" s="37" t="s">
        <v>405</v>
      </c>
      <c r="F198" s="28">
        <v>813</v>
      </c>
      <c r="G198" t="b">
        <f>IF(B198=E198,TRUE,FALSE)</f>
        <v>1</v>
      </c>
      <c r="J198" s="25">
        <f>F198-C198</f>
        <v>-3</v>
      </c>
      <c r="K198" s="4">
        <f>F198/C198-1</f>
        <v>-3.6764705882352811E-3</v>
      </c>
      <c r="M198" s="5">
        <v>1432.62</v>
      </c>
      <c r="N198" s="5">
        <v>2077.21</v>
      </c>
      <c r="Q198" s="159">
        <v>9514.09</v>
      </c>
      <c r="U198" s="146">
        <f>N198-M198</f>
        <v>644.59000000000015</v>
      </c>
      <c r="V198" s="4">
        <f>IF(M198=0,0,N198/M198-1)</f>
        <v>0.44993787605924829</v>
      </c>
      <c r="W198" s="18">
        <v>17273.84</v>
      </c>
      <c r="X198" s="18">
        <v>17833.89</v>
      </c>
      <c r="Y198" s="4">
        <f>X198/W198-1</f>
        <v>3.2421858718154173E-2</v>
      </c>
    </row>
    <row r="199" spans="1:25" ht="15" customHeight="1">
      <c r="A199" t="s">
        <v>406</v>
      </c>
      <c r="B199" t="s">
        <v>407</v>
      </c>
      <c r="C199" s="28">
        <v>4</v>
      </c>
      <c r="E199" t="s">
        <v>407</v>
      </c>
      <c r="F199" s="28">
        <v>0</v>
      </c>
      <c r="G199" t="b">
        <f>IF(B199=E199,TRUE,FALSE)</f>
        <v>1</v>
      </c>
      <c r="J199" s="25">
        <f>F199-C199</f>
        <v>-4</v>
      </c>
      <c r="K199" s="4">
        <f>F199/C199-1</f>
        <v>-1</v>
      </c>
      <c r="M199" s="5">
        <v>1.98</v>
      </c>
      <c r="N199" s="5">
        <v>0</v>
      </c>
      <c r="Q199" s="159">
        <v>0</v>
      </c>
      <c r="U199" s="146">
        <f>N199-M199</f>
        <v>-1.98</v>
      </c>
      <c r="V199" s="4">
        <f>IF(M199=0,0,N199/M199-1)</f>
        <v>-1</v>
      </c>
      <c r="W199" s="18">
        <v>79.959999999999994</v>
      </c>
      <c r="X199" s="18">
        <v>0</v>
      </c>
      <c r="Y199" s="4">
        <f>X199/W199-1</f>
        <v>-1</v>
      </c>
    </row>
    <row r="200" spans="1:25" ht="15" customHeight="1">
      <c r="A200" t="s">
        <v>408</v>
      </c>
      <c r="B200" t="s">
        <v>409</v>
      </c>
      <c r="C200" s="28">
        <v>445</v>
      </c>
      <c r="E200" t="s">
        <v>409</v>
      </c>
      <c r="F200" s="28">
        <v>440</v>
      </c>
      <c r="G200" t="b">
        <f>IF(B200=E200,TRUE,FALSE)</f>
        <v>1</v>
      </c>
      <c r="J200" s="25">
        <f>F200-C200</f>
        <v>-5</v>
      </c>
      <c r="K200" s="4">
        <f>F200/C200-1</f>
        <v>-1.1235955056179803E-2</v>
      </c>
      <c r="M200" s="5">
        <v>705.72</v>
      </c>
      <c r="N200" s="5">
        <v>725.56</v>
      </c>
      <c r="Q200" s="159">
        <v>1728.5</v>
      </c>
      <c r="U200" s="146">
        <f>N200-M200</f>
        <v>19.839999999999918</v>
      </c>
      <c r="V200" s="4">
        <f>IF(M200=0,0,N200/M200-1)</f>
        <v>2.8113132687184628E-2</v>
      </c>
      <c r="W200" s="18">
        <v>8432.75</v>
      </c>
      <c r="X200" s="18">
        <v>8338</v>
      </c>
      <c r="Y200" s="4">
        <f>X200/W200-1</f>
        <v>-1.1235955056179803E-2</v>
      </c>
    </row>
    <row r="201" spans="1:25" ht="15" customHeight="1">
      <c r="A201" s="57" t="s">
        <v>410</v>
      </c>
      <c r="B201" s="37" t="s">
        <v>411</v>
      </c>
      <c r="C201" s="28">
        <v>103</v>
      </c>
      <c r="E201" s="37" t="s">
        <v>411</v>
      </c>
      <c r="F201" s="28">
        <v>97</v>
      </c>
      <c r="G201" t="b">
        <f>IF(B201=E201,TRUE,FALSE)</f>
        <v>1</v>
      </c>
      <c r="J201" s="25">
        <f>F201-C201</f>
        <v>-6</v>
      </c>
      <c r="K201" s="4">
        <f>F201/C201-1</f>
        <v>-5.8252427184465994E-2</v>
      </c>
      <c r="M201" s="5">
        <v>134.18</v>
      </c>
      <c r="N201" s="5">
        <v>279.05</v>
      </c>
      <c r="Q201" s="158">
        <v>785.33</v>
      </c>
      <c r="U201" s="146">
        <f>N201-M201</f>
        <v>144.87</v>
      </c>
      <c r="V201" s="4">
        <f>IF(M201=0,0,N201/M201-1)</f>
        <v>1.0796691012073336</v>
      </c>
      <c r="W201" s="18">
        <v>1938.87</v>
      </c>
      <c r="X201" s="18">
        <v>1758.43</v>
      </c>
      <c r="Y201" s="4">
        <f>X201/W201-1</f>
        <v>-9.3064516960910115E-2</v>
      </c>
    </row>
    <row r="202" spans="1:25" ht="15" customHeight="1">
      <c r="A202" t="s">
        <v>412</v>
      </c>
      <c r="B202" t="s">
        <v>413</v>
      </c>
      <c r="C202" s="28">
        <v>552</v>
      </c>
      <c r="E202" t="s">
        <v>413</v>
      </c>
      <c r="F202" s="28">
        <v>546</v>
      </c>
      <c r="G202" t="b">
        <f>IF(B202=E202,TRUE,FALSE)</f>
        <v>1</v>
      </c>
      <c r="J202" s="25">
        <f>F202-C202</f>
        <v>-6</v>
      </c>
      <c r="K202" s="4">
        <f>F202/C202-1</f>
        <v>-1.0869565217391353E-2</v>
      </c>
      <c r="M202" s="5">
        <v>658.55</v>
      </c>
      <c r="N202" s="5">
        <v>607.29999999999995</v>
      </c>
      <c r="Q202" s="159">
        <v>3073.76</v>
      </c>
      <c r="U202" s="146">
        <f>N202-M202</f>
        <v>-51.25</v>
      </c>
      <c r="V202" s="4">
        <f>IF(M202=0,0,N202/M202-1)</f>
        <v>-7.7822488801154055E-2</v>
      </c>
      <c r="W202" s="18">
        <v>14346.48</v>
      </c>
      <c r="X202" s="18">
        <v>14190.54</v>
      </c>
      <c r="Y202" s="4">
        <f>X202/W202-1</f>
        <v>-1.0869565217391242E-2</v>
      </c>
    </row>
    <row r="203" spans="1:25" ht="15" customHeight="1">
      <c r="A203" t="s">
        <v>414</v>
      </c>
      <c r="B203" t="s">
        <v>415</v>
      </c>
      <c r="C203" s="28">
        <v>679</v>
      </c>
      <c r="E203" t="s">
        <v>415</v>
      </c>
      <c r="F203" s="28">
        <v>672</v>
      </c>
      <c r="G203" t="b">
        <f>IF(B203=E203,TRUE,FALSE)</f>
        <v>1</v>
      </c>
      <c r="J203" s="25">
        <f>F203-C203</f>
        <v>-7</v>
      </c>
      <c r="K203" s="4">
        <f>F203/C203-1</f>
        <v>-1.0309278350515427E-2</v>
      </c>
      <c r="M203" s="5">
        <v>1055.81</v>
      </c>
      <c r="N203" s="5">
        <v>998.75</v>
      </c>
      <c r="Q203" s="159">
        <v>6262.27</v>
      </c>
      <c r="U203" s="146">
        <f>N203-M203</f>
        <v>-57.059999999999945</v>
      </c>
      <c r="V203" s="4">
        <f>IF(M203=0,0,N203/M203-1)</f>
        <v>-5.4043814701508763E-2</v>
      </c>
      <c r="W203" s="18">
        <v>19684.21</v>
      </c>
      <c r="X203" s="18">
        <v>18569.810000000001</v>
      </c>
      <c r="Y203" s="4">
        <f>X203/W203-1</f>
        <v>-5.661390525705623E-2</v>
      </c>
    </row>
    <row r="204" spans="1:25" ht="15" customHeight="1">
      <c r="A204" t="s">
        <v>416</v>
      </c>
      <c r="B204" t="s">
        <v>417</v>
      </c>
      <c r="C204" s="28">
        <v>473</v>
      </c>
      <c r="E204" t="s">
        <v>417</v>
      </c>
      <c r="F204" s="28">
        <v>462</v>
      </c>
      <c r="G204" t="b">
        <f>IF(B204=E204,TRUE,FALSE)</f>
        <v>1</v>
      </c>
      <c r="J204" s="25">
        <f>F204-C204</f>
        <v>-11</v>
      </c>
      <c r="K204" s="4">
        <f>F204/C204-1</f>
        <v>-2.3255813953488413E-2</v>
      </c>
      <c r="M204" s="5">
        <v>481.98</v>
      </c>
      <c r="N204" s="5">
        <v>478.98</v>
      </c>
      <c r="Q204" s="159">
        <v>2710.76</v>
      </c>
      <c r="U204" s="146">
        <f>N204-M204</f>
        <v>-3</v>
      </c>
      <c r="V204" s="4">
        <f>IF(M204=0,0,N204/M204-1)</f>
        <v>-6.2243246607742719E-3</v>
      </c>
      <c r="W204" s="18">
        <v>11801.35</v>
      </c>
      <c r="X204" s="18">
        <v>11526.9</v>
      </c>
      <c r="Y204" s="4">
        <f>X204/W204-1</f>
        <v>-2.3255813953488413E-2</v>
      </c>
    </row>
    <row r="205" spans="1:25" ht="15" customHeight="1">
      <c r="A205" t="s">
        <v>418</v>
      </c>
      <c r="B205" t="s">
        <v>419</v>
      </c>
      <c r="C205" s="28">
        <v>1483</v>
      </c>
      <c r="E205" t="s">
        <v>419</v>
      </c>
      <c r="F205" s="28">
        <v>1472</v>
      </c>
      <c r="G205" t="b">
        <f>IF(B205=E205,TRUE,FALSE)</f>
        <v>1</v>
      </c>
      <c r="J205" s="25">
        <f>F205-C205</f>
        <v>-11</v>
      </c>
      <c r="K205" s="4">
        <f>F205/C205-1</f>
        <v>-7.417397167902906E-3</v>
      </c>
      <c r="M205" s="5">
        <v>2532.27</v>
      </c>
      <c r="N205" s="5">
        <v>1343.86</v>
      </c>
      <c r="Q205" s="159">
        <v>7914.72</v>
      </c>
      <c r="U205" s="146">
        <f>N205-M205</f>
        <v>-1188.4100000000001</v>
      </c>
      <c r="V205" s="4">
        <f>IF(M205=0,0,N205/M205-1)</f>
        <v>-0.46930619562684872</v>
      </c>
      <c r="W205" s="18">
        <v>32611.17</v>
      </c>
      <c r="X205" s="18">
        <v>30763.07</v>
      </c>
      <c r="Y205" s="4">
        <f>X205/W205-1</f>
        <v>-5.6670766488905455E-2</v>
      </c>
    </row>
    <row r="206" spans="1:25" ht="15" customHeight="1">
      <c r="A206" t="s">
        <v>420</v>
      </c>
      <c r="B206" t="s">
        <v>421</v>
      </c>
      <c r="C206" s="28">
        <v>2519</v>
      </c>
      <c r="E206" t="s">
        <v>421</v>
      </c>
      <c r="F206" s="28">
        <v>2506</v>
      </c>
      <c r="G206" t="b">
        <f>IF(B206=E206,TRUE,FALSE)</f>
        <v>1</v>
      </c>
      <c r="J206" s="25">
        <f>F206-C206</f>
        <v>-13</v>
      </c>
      <c r="K206" s="4">
        <f>F206/C206-1</f>
        <v>-5.1607780865422503E-3</v>
      </c>
      <c r="M206" s="5">
        <v>3250.02</v>
      </c>
      <c r="N206" s="5">
        <v>3057.39</v>
      </c>
      <c r="Q206" s="159">
        <v>30081.91</v>
      </c>
      <c r="U206" s="146">
        <f>N206-M206</f>
        <v>-192.63000000000011</v>
      </c>
      <c r="V206" s="4">
        <f>IF(M206=0,0,N206/M206-1)</f>
        <v>-5.9270404489818573E-2</v>
      </c>
      <c r="W206" s="18">
        <v>62946.02</v>
      </c>
      <c r="X206" s="18">
        <v>58310.73</v>
      </c>
      <c r="Y206" s="4">
        <f>X206/W206-1</f>
        <v>-7.3639127620777178E-2</v>
      </c>
    </row>
    <row r="207" spans="1:25" ht="15" customHeight="1">
      <c r="A207" t="s">
        <v>422</v>
      </c>
      <c r="B207" t="s">
        <v>423</v>
      </c>
      <c r="C207" s="28">
        <v>600</v>
      </c>
      <c r="E207" t="s">
        <v>423</v>
      </c>
      <c r="F207" s="28">
        <v>575</v>
      </c>
      <c r="G207" t="b">
        <f>IF(B207=E207,TRUE,FALSE)</f>
        <v>1</v>
      </c>
      <c r="J207" s="25">
        <f>F207-C207</f>
        <v>-25</v>
      </c>
      <c r="K207" s="4">
        <f>F207/C207-1</f>
        <v>-4.166666666666663E-2</v>
      </c>
      <c r="M207" s="5">
        <v>0</v>
      </c>
      <c r="N207" s="5">
        <v>1.1499999999999999</v>
      </c>
      <c r="Q207" s="159">
        <v>21.95</v>
      </c>
      <c r="U207" s="146">
        <f>N207-M207</f>
        <v>1.1499999999999999</v>
      </c>
      <c r="V207" s="4">
        <f>IF(M207=0,0,N207/M207-1)</f>
        <v>0</v>
      </c>
      <c r="W207" s="18">
        <v>13194</v>
      </c>
      <c r="X207" s="18">
        <v>12814.49</v>
      </c>
      <c r="Y207" s="4">
        <f>X207/W207-1</f>
        <v>-2.8763832044868876E-2</v>
      </c>
    </row>
    <row r="208" spans="1:25" ht="15" customHeight="1">
      <c r="A208" t="s">
        <v>424</v>
      </c>
      <c r="B208" t="s">
        <v>425</v>
      </c>
      <c r="C208" s="28">
        <v>374</v>
      </c>
      <c r="E208" t="s">
        <v>425</v>
      </c>
      <c r="F208" s="28">
        <v>349</v>
      </c>
      <c r="G208" t="b">
        <f>IF(B208=E208,TRUE,FALSE)</f>
        <v>1</v>
      </c>
      <c r="J208" s="25">
        <f>F208-C208</f>
        <v>-25</v>
      </c>
      <c r="K208" s="4">
        <f>F208/C208-1</f>
        <v>-6.6844919786096302E-2</v>
      </c>
      <c r="M208" s="5">
        <v>462.03999999999996</v>
      </c>
      <c r="N208" s="5">
        <v>422.34000000000003</v>
      </c>
      <c r="Q208" s="159">
        <v>2305.02</v>
      </c>
      <c r="U208" s="146">
        <f>N208-M208</f>
        <v>-39.699999999999932</v>
      </c>
      <c r="V208" s="4">
        <f>IF(M208=0,0,N208/M208-1)</f>
        <v>-8.5923296684269568E-2</v>
      </c>
      <c r="W208" s="18">
        <v>8216.6200000000008</v>
      </c>
      <c r="X208" s="18">
        <v>7646.44</v>
      </c>
      <c r="Y208" s="4">
        <f>X208/W208-1</f>
        <v>-6.939349756956037E-2</v>
      </c>
    </row>
    <row r="209" spans="1:25" ht="15" customHeight="1">
      <c r="A209" s="55" t="s">
        <v>426</v>
      </c>
      <c r="B209" s="37" t="s">
        <v>427</v>
      </c>
      <c r="C209" s="19">
        <v>1515</v>
      </c>
      <c r="E209" s="37" t="s">
        <v>427</v>
      </c>
      <c r="F209" s="19">
        <v>1488</v>
      </c>
      <c r="G209" t="b">
        <f>IF(B209=E209,TRUE,FALSE)</f>
        <v>1</v>
      </c>
      <c r="J209" s="25">
        <f>F209-C209</f>
        <v>-27</v>
      </c>
      <c r="K209" s="4">
        <f>F209/C209-1</f>
        <v>-1.7821782178217838E-2</v>
      </c>
      <c r="M209" s="5">
        <v>2474.25</v>
      </c>
      <c r="N209" s="5">
        <v>2910.39</v>
      </c>
      <c r="Q209" s="158">
        <v>17435.560000000001</v>
      </c>
      <c r="U209" s="146">
        <f>N209-M209</f>
        <v>436.13999999999987</v>
      </c>
      <c r="V209" s="4">
        <f>IF(M209=0,0,N209/M209-1)</f>
        <v>0.17627159745377385</v>
      </c>
      <c r="W209">
        <v>18020.86</v>
      </c>
      <c r="X209">
        <v>22904.37</v>
      </c>
      <c r="Y209" s="4">
        <f>X209/W209-1</f>
        <v>0.27099206142215171</v>
      </c>
    </row>
    <row r="210" spans="1:25" ht="15" customHeight="1">
      <c r="A210" t="s">
        <v>428</v>
      </c>
      <c r="B210" t="s">
        <v>429</v>
      </c>
      <c r="C210" s="28">
        <v>491</v>
      </c>
      <c r="E210" t="s">
        <v>429</v>
      </c>
      <c r="F210" s="28">
        <v>464</v>
      </c>
      <c r="G210" t="b">
        <f>IF(B210=E210,TRUE,FALSE)</f>
        <v>1</v>
      </c>
      <c r="J210" s="25">
        <f>F210-C210</f>
        <v>-27</v>
      </c>
      <c r="K210" s="4">
        <f>F210/C210-1</f>
        <v>-5.4989816700610983E-2</v>
      </c>
      <c r="M210" s="5">
        <v>898.23</v>
      </c>
      <c r="N210" s="5">
        <v>514.92999999999995</v>
      </c>
      <c r="Q210" s="159">
        <v>2572.3200000000002</v>
      </c>
      <c r="U210" s="146">
        <f>N210-M210</f>
        <v>-383.30000000000007</v>
      </c>
      <c r="V210" s="4">
        <f>IF(M210=0,0,N210/M210-1)</f>
        <v>-0.42672812085991341</v>
      </c>
      <c r="W210" s="18">
        <v>10777.45</v>
      </c>
      <c r="X210" s="18">
        <v>10184.799999999999</v>
      </c>
      <c r="Y210" s="4">
        <f>X210/W210-1</f>
        <v>-5.4989816700611094E-2</v>
      </c>
    </row>
    <row r="211" spans="1:25" ht="15" customHeight="1">
      <c r="A211" t="s">
        <v>430</v>
      </c>
      <c r="B211" t="s">
        <v>431</v>
      </c>
      <c r="C211" s="28">
        <v>639</v>
      </c>
      <c r="E211" t="s">
        <v>431</v>
      </c>
      <c r="F211" s="28">
        <v>611</v>
      </c>
      <c r="G211" t="b">
        <f>IF(B211=E211,TRUE,FALSE)</f>
        <v>1</v>
      </c>
      <c r="J211" s="25">
        <f>F211-C211</f>
        <v>-28</v>
      </c>
      <c r="K211" s="4">
        <f>F211/C211-1</f>
        <v>-4.3818466353677588E-2</v>
      </c>
      <c r="M211" s="5">
        <v>1600.14</v>
      </c>
      <c r="N211" s="5">
        <v>1485.62</v>
      </c>
      <c r="Q211" s="159">
        <v>7951.82</v>
      </c>
      <c r="U211" s="146">
        <f>N211-M211</f>
        <v>-114.52000000000021</v>
      </c>
      <c r="V211" s="4">
        <f>IF(M211=0,0,N211/M211-1)</f>
        <v>-7.1568737735448251E-2</v>
      </c>
      <c r="W211" s="18">
        <v>15893.64</v>
      </c>
      <c r="X211" s="18">
        <v>15268.89</v>
      </c>
      <c r="Y211" s="4">
        <f>X211/W211-1</f>
        <v>-3.9308176100628978E-2</v>
      </c>
    </row>
    <row r="212" spans="1:25" ht="15" customHeight="1">
      <c r="A212" t="s">
        <v>432</v>
      </c>
      <c r="B212" t="s">
        <v>433</v>
      </c>
      <c r="C212" s="28">
        <v>1616</v>
      </c>
      <c r="E212" t="s">
        <v>433</v>
      </c>
      <c r="F212" s="28">
        <v>1588</v>
      </c>
      <c r="G212" t="b">
        <f>IF(B212=E212,TRUE,FALSE)</f>
        <v>1</v>
      </c>
      <c r="J212" s="25">
        <f>F212-C212</f>
        <v>-28</v>
      </c>
      <c r="K212" s="4">
        <f>F212/C212-1</f>
        <v>-1.7326732673267342E-2</v>
      </c>
      <c r="M212" s="5">
        <v>2955.41</v>
      </c>
      <c r="N212" s="5">
        <v>2935.36</v>
      </c>
      <c r="Q212" s="159">
        <v>21956.04</v>
      </c>
      <c r="U212" s="146">
        <f>N212-M212</f>
        <v>-20.049999999999727</v>
      </c>
      <c r="V212" s="4">
        <f>IF(M212=0,0,N212/M212-1)</f>
        <v>-6.7841686940220969E-3</v>
      </c>
      <c r="W212" s="18">
        <v>43615.839999999997</v>
      </c>
      <c r="X212" s="18">
        <v>42857.69</v>
      </c>
      <c r="Y212" s="4">
        <f>X212/W212-1</f>
        <v>-1.738244637727937E-2</v>
      </c>
    </row>
    <row r="213" spans="1:25" ht="15" customHeight="1">
      <c r="A213" t="s">
        <v>434</v>
      </c>
      <c r="B213" t="s">
        <v>435</v>
      </c>
      <c r="C213" s="28">
        <v>1964</v>
      </c>
      <c r="E213" t="s">
        <v>435</v>
      </c>
      <c r="F213" s="28">
        <v>1935</v>
      </c>
      <c r="G213" t="b">
        <f>IF(B213=E213,TRUE,FALSE)</f>
        <v>1</v>
      </c>
      <c r="J213" s="25">
        <f>F213-C213</f>
        <v>-29</v>
      </c>
      <c r="K213" s="4">
        <f>F213/C213-1</f>
        <v>-1.4765784114052938E-2</v>
      </c>
      <c r="L213" s="5"/>
      <c r="M213" s="5">
        <v>3671.38</v>
      </c>
      <c r="N213" s="5">
        <v>3348.92</v>
      </c>
      <c r="O213" s="5"/>
      <c r="P213" s="5"/>
      <c r="Q213" s="159">
        <v>20894.93</v>
      </c>
      <c r="R213" s="5"/>
      <c r="S213" s="5"/>
      <c r="T213" s="5"/>
      <c r="U213" s="146">
        <f>N213-M213</f>
        <v>-322.46000000000004</v>
      </c>
      <c r="V213" s="4">
        <f>IF(M213=0,0,N213/M213-1)</f>
        <v>-8.7830733947452999E-2</v>
      </c>
      <c r="W213" s="18">
        <v>58900.36</v>
      </c>
      <c r="X213" s="18">
        <v>54796.36</v>
      </c>
      <c r="Y213" s="4">
        <f>X213/W213-1</f>
        <v>-6.9676993485269012E-2</v>
      </c>
    </row>
    <row r="214" spans="1:25" ht="15" customHeight="1">
      <c r="A214" t="s">
        <v>436</v>
      </c>
      <c r="B214" t="s">
        <v>437</v>
      </c>
      <c r="C214" s="28">
        <v>571</v>
      </c>
      <c r="E214" t="s">
        <v>437</v>
      </c>
      <c r="F214" s="28">
        <v>542</v>
      </c>
      <c r="G214" t="b">
        <f>IF(B214=E214,TRUE,FALSE)</f>
        <v>1</v>
      </c>
      <c r="J214" s="25">
        <f>F214-C214</f>
        <v>-29</v>
      </c>
      <c r="K214" s="4">
        <f>F214/C214-1</f>
        <v>-5.0788091068301178E-2</v>
      </c>
      <c r="M214" s="5">
        <v>592.74</v>
      </c>
      <c r="N214" s="5">
        <v>451.59</v>
      </c>
      <c r="Q214" s="159">
        <v>2452.8000000000002</v>
      </c>
      <c r="U214" s="146">
        <f>N214-M214</f>
        <v>-141.15000000000003</v>
      </c>
      <c r="V214" s="4">
        <f>IF(M214=0,0,N214/M214-1)</f>
        <v>-0.23813138981678317</v>
      </c>
      <c r="W214" s="18">
        <v>17124.29</v>
      </c>
      <c r="X214" s="18">
        <v>16254.58</v>
      </c>
      <c r="Y214" s="4">
        <f>X214/W214-1</f>
        <v>-5.0788091068301289E-2</v>
      </c>
    </row>
    <row r="215" spans="1:25" ht="15" customHeight="1">
      <c r="A215" t="s">
        <v>438</v>
      </c>
      <c r="B215" t="s">
        <v>439</v>
      </c>
      <c r="C215" s="28">
        <v>384</v>
      </c>
      <c r="E215" t="s">
        <v>439</v>
      </c>
      <c r="F215" s="28">
        <v>355</v>
      </c>
      <c r="G215" t="b">
        <f>IF(B215=E215,TRUE,FALSE)</f>
        <v>1</v>
      </c>
      <c r="J215" s="25">
        <f>F215-C215</f>
        <v>-29</v>
      </c>
      <c r="K215" s="4">
        <f>F215/C215-1</f>
        <v>-7.552083333333337E-2</v>
      </c>
      <c r="M215" s="5">
        <v>570.19000000000005</v>
      </c>
      <c r="N215" s="5">
        <v>495.27</v>
      </c>
      <c r="Q215" s="159">
        <v>2837.22</v>
      </c>
      <c r="U215" s="146">
        <f>N215-M215</f>
        <v>-74.920000000000073</v>
      </c>
      <c r="V215" s="4">
        <f>IF(M215=0,0,N215/M215-1)</f>
        <v>-0.1313947982251531</v>
      </c>
      <c r="W215" s="18">
        <v>9196.7999999999993</v>
      </c>
      <c r="X215" s="18">
        <v>8502.25</v>
      </c>
      <c r="Y215" s="4">
        <f>X215/W215-1</f>
        <v>-7.5520833333333259E-2</v>
      </c>
    </row>
    <row r="216" spans="1:25" ht="15" customHeight="1">
      <c r="A216" t="s">
        <v>440</v>
      </c>
      <c r="B216" t="s">
        <v>441</v>
      </c>
      <c r="C216" s="28">
        <v>962</v>
      </c>
      <c r="E216" t="s">
        <v>441</v>
      </c>
      <c r="F216" s="28">
        <v>931</v>
      </c>
      <c r="G216" t="b">
        <f>IF(B216=E216,TRUE,FALSE)</f>
        <v>1</v>
      </c>
      <c r="J216" s="25">
        <f>F216-C216</f>
        <v>-31</v>
      </c>
      <c r="K216" s="4">
        <f>F216/C216-1</f>
        <v>-3.2224532224532254E-2</v>
      </c>
      <c r="M216" s="5">
        <v>1579.94</v>
      </c>
      <c r="N216" s="5">
        <v>1182</v>
      </c>
      <c r="Q216" s="159">
        <v>8309.33</v>
      </c>
      <c r="U216" s="146">
        <f>N216-M216</f>
        <v>-397.94000000000005</v>
      </c>
      <c r="V216" s="4">
        <f>IF(M216=0,0,N216/M216-1)</f>
        <v>-0.25187032418952626</v>
      </c>
      <c r="W216" s="18">
        <v>25002.38</v>
      </c>
      <c r="X216" s="18">
        <v>24172.81</v>
      </c>
      <c r="Y216" s="4">
        <f>X216/W216-1</f>
        <v>-3.3179641298148432E-2</v>
      </c>
    </row>
    <row r="217" spans="1:25" ht="15" customHeight="1">
      <c r="A217" t="s">
        <v>442</v>
      </c>
      <c r="B217" t="s">
        <v>443</v>
      </c>
      <c r="C217" s="28">
        <v>300</v>
      </c>
      <c r="E217" t="s">
        <v>443</v>
      </c>
      <c r="F217" s="28">
        <v>268</v>
      </c>
      <c r="G217" t="b">
        <f>IF(B217=E217,TRUE,FALSE)</f>
        <v>1</v>
      </c>
      <c r="J217" s="25">
        <f>F217-C217</f>
        <v>-32</v>
      </c>
      <c r="K217" s="4">
        <f>F217/C217-1</f>
        <v>-0.10666666666666669</v>
      </c>
      <c r="M217" s="5">
        <v>398.39</v>
      </c>
      <c r="N217" s="5">
        <v>394.45</v>
      </c>
      <c r="Q217" s="159">
        <v>1165.67</v>
      </c>
      <c r="U217" s="146">
        <f>N217-M217</f>
        <v>-3.9399999999999977</v>
      </c>
      <c r="V217" s="4">
        <f>IF(M217=0,0,N217/M217-1)</f>
        <v>-9.889806471045981E-3</v>
      </c>
      <c r="W217" s="18">
        <v>7185</v>
      </c>
      <c r="X217" s="18">
        <v>6418.6</v>
      </c>
      <c r="Y217" s="4">
        <f>X217/W217-1</f>
        <v>-0.10666666666666658</v>
      </c>
    </row>
    <row r="218" spans="1:25" ht="15" customHeight="1">
      <c r="A218" t="s">
        <v>444</v>
      </c>
      <c r="B218" t="s">
        <v>445</v>
      </c>
      <c r="C218" s="28">
        <v>1315</v>
      </c>
      <c r="E218" t="s">
        <v>445</v>
      </c>
      <c r="F218" s="28">
        <v>1283</v>
      </c>
      <c r="G218" t="b">
        <f>IF(B218=E218,TRUE,FALSE)</f>
        <v>1</v>
      </c>
      <c r="J218" s="25">
        <f>F218-C218</f>
        <v>-32</v>
      </c>
      <c r="K218" s="4">
        <f>F218/C218-1</f>
        <v>-2.4334600760456238E-2</v>
      </c>
      <c r="L218" s="5"/>
      <c r="M218" s="5">
        <v>1804.13</v>
      </c>
      <c r="N218" s="5">
        <v>1300</v>
      </c>
      <c r="O218" s="5"/>
      <c r="P218" s="5"/>
      <c r="Q218" s="159">
        <v>8042.69</v>
      </c>
      <c r="R218" s="5"/>
      <c r="S218" s="5"/>
      <c r="T218" s="5"/>
      <c r="U218" s="146">
        <f>N218-M218</f>
        <v>-504.13000000000011</v>
      </c>
      <c r="V218" s="4">
        <f>IF(M218=0,0,N218/M218-1)</f>
        <v>-0.27943108312593889</v>
      </c>
      <c r="W218" s="18">
        <v>35385.35</v>
      </c>
      <c r="X218" s="18">
        <v>34576.58</v>
      </c>
      <c r="Y218" s="4">
        <f>X218/W218-1</f>
        <v>-2.285606896639425E-2</v>
      </c>
    </row>
    <row r="219" spans="1:25" ht="15" customHeight="1">
      <c r="A219" t="s">
        <v>446</v>
      </c>
      <c r="B219" t="s">
        <v>447</v>
      </c>
      <c r="C219" s="28">
        <v>148</v>
      </c>
      <c r="E219" t="s">
        <v>447</v>
      </c>
      <c r="F219" s="28">
        <v>115</v>
      </c>
      <c r="G219" t="b">
        <f>IF(B219=E219,TRUE,FALSE)</f>
        <v>1</v>
      </c>
      <c r="J219" s="25">
        <f>F219-C219</f>
        <v>-33</v>
      </c>
      <c r="K219" s="4">
        <f>F219/C219-1</f>
        <v>-0.22297297297297303</v>
      </c>
      <c r="M219" s="5">
        <v>245.24</v>
      </c>
      <c r="N219" s="5">
        <v>221.44</v>
      </c>
      <c r="Q219" s="159">
        <v>1047.49</v>
      </c>
      <c r="U219" s="146">
        <f>N219-M219</f>
        <v>-23.800000000000011</v>
      </c>
      <c r="V219" s="4">
        <f>IF(M219=0,0,N219/M219-1)</f>
        <v>-9.7047789920078342E-2</v>
      </c>
      <c r="W219" s="18">
        <v>4284.6000000000004</v>
      </c>
      <c r="X219" s="18">
        <v>3329.25</v>
      </c>
      <c r="Y219" s="4">
        <f>X219/W219-1</f>
        <v>-0.22297297297297303</v>
      </c>
    </row>
    <row r="220" spans="1:25" ht="15" customHeight="1">
      <c r="A220" t="s">
        <v>448</v>
      </c>
      <c r="B220" t="s">
        <v>449</v>
      </c>
      <c r="C220" s="28">
        <v>392</v>
      </c>
      <c r="E220" t="s">
        <v>449</v>
      </c>
      <c r="F220" s="28">
        <v>359</v>
      </c>
      <c r="G220" t="b">
        <f>IF(B220=E220,TRUE,FALSE)</f>
        <v>1</v>
      </c>
      <c r="J220" s="25">
        <f>F220-C220</f>
        <v>-33</v>
      </c>
      <c r="K220" s="4">
        <f>F220/C220-1</f>
        <v>-8.418367346938771E-2</v>
      </c>
      <c r="M220" s="5">
        <v>331.71</v>
      </c>
      <c r="N220" s="5">
        <v>286.92</v>
      </c>
      <c r="Q220" s="159">
        <v>1415.84</v>
      </c>
      <c r="U220" s="146">
        <f>N220-M220</f>
        <v>-44.789999999999964</v>
      </c>
      <c r="V220" s="4">
        <f>IF(M220=0,0,N220/M220-1)</f>
        <v>-0.13502758433571482</v>
      </c>
      <c r="W220" s="18">
        <v>8604.4</v>
      </c>
      <c r="X220" s="18">
        <v>7880.05</v>
      </c>
      <c r="Y220" s="4">
        <f>X220/W220-1</f>
        <v>-8.418367346938771E-2</v>
      </c>
    </row>
    <row r="221" spans="1:25" ht="15" customHeight="1">
      <c r="A221" s="55" t="s">
        <v>450</v>
      </c>
      <c r="B221" s="37" t="s">
        <v>451</v>
      </c>
      <c r="C221" s="28">
        <v>1657</v>
      </c>
      <c r="E221" s="37" t="s">
        <v>451</v>
      </c>
      <c r="F221" s="28">
        <v>1621</v>
      </c>
      <c r="G221" t="b">
        <f>IF(B221=E221,TRUE,FALSE)</f>
        <v>1</v>
      </c>
      <c r="J221" s="25">
        <f>F221-C221</f>
        <v>-36</v>
      </c>
      <c r="K221" s="4">
        <f>F221/C221-1</f>
        <v>-2.1726010863005407E-2</v>
      </c>
      <c r="M221" s="5">
        <v>3006.82</v>
      </c>
      <c r="N221" s="5">
        <v>3654.11</v>
      </c>
      <c r="Q221" s="158">
        <v>23391</v>
      </c>
      <c r="U221" s="146">
        <f>N221-M221</f>
        <v>647.29</v>
      </c>
      <c r="V221" s="4">
        <f>IF(M221=0,0,N221/M221-1)</f>
        <v>0.21527394390086529</v>
      </c>
      <c r="W221" s="18">
        <v>31708.45</v>
      </c>
      <c r="X221" s="18">
        <v>32403.39</v>
      </c>
      <c r="Y221" s="4">
        <f>X221/W221-1</f>
        <v>2.1916555366156221E-2</v>
      </c>
    </row>
    <row r="222" spans="1:25" ht="15" customHeight="1">
      <c r="A222" t="s">
        <v>452</v>
      </c>
      <c r="B222" t="s">
        <v>453</v>
      </c>
      <c r="C222" s="28">
        <v>1240</v>
      </c>
      <c r="E222" t="s">
        <v>453</v>
      </c>
      <c r="F222" s="28">
        <v>1203</v>
      </c>
      <c r="G222" t="b">
        <f>IF(B222=E222,TRUE,FALSE)</f>
        <v>1</v>
      </c>
      <c r="J222" s="25">
        <f>F222-C222</f>
        <v>-37</v>
      </c>
      <c r="K222" s="4">
        <f>F222/C222-1</f>
        <v>-2.9838709677419306E-2</v>
      </c>
      <c r="M222" s="5">
        <v>927.62</v>
      </c>
      <c r="N222" s="5">
        <v>1059.6600000000001</v>
      </c>
      <c r="Q222" s="159">
        <v>5031.6000000000004</v>
      </c>
      <c r="U222" s="146">
        <f>N222-M222</f>
        <v>132.04000000000008</v>
      </c>
      <c r="V222" s="4">
        <f>IF(M222=0,0,N222/M222-1)</f>
        <v>0.14234276966861437</v>
      </c>
      <c r="W222" s="18">
        <v>37138</v>
      </c>
      <c r="X222" s="18">
        <v>36029.85</v>
      </c>
      <c r="Y222" s="4">
        <f>X222/W222-1</f>
        <v>-2.9838709677419417E-2</v>
      </c>
    </row>
    <row r="223" spans="1:25" ht="15" customHeight="1">
      <c r="A223" t="s">
        <v>454</v>
      </c>
      <c r="B223" t="s">
        <v>455</v>
      </c>
      <c r="C223" s="28">
        <v>996</v>
      </c>
      <c r="E223" t="s">
        <v>455</v>
      </c>
      <c r="F223" s="28">
        <v>953</v>
      </c>
      <c r="G223" t="b">
        <f>IF(B223=E223,TRUE,FALSE)</f>
        <v>1</v>
      </c>
      <c r="J223" s="25">
        <f>F223-C223</f>
        <v>-43</v>
      </c>
      <c r="K223" s="4">
        <f>F223/C223-1</f>
        <v>-4.3172690763052191E-2</v>
      </c>
      <c r="M223" s="5">
        <v>927.44</v>
      </c>
      <c r="N223" s="5">
        <v>799.38</v>
      </c>
      <c r="Q223" s="159">
        <v>4840.68</v>
      </c>
      <c r="U223" s="146">
        <f>N223-M223</f>
        <v>-128.06000000000006</v>
      </c>
      <c r="V223" s="4">
        <f>IF(M223=0,0,N223/M223-1)</f>
        <v>-0.13807901319761928</v>
      </c>
      <c r="W223" s="18">
        <v>26029.82</v>
      </c>
      <c r="X223" s="18">
        <v>24066.080000000002</v>
      </c>
      <c r="Y223" s="4">
        <f>X223/W223-1</f>
        <v>-7.5441935441735608E-2</v>
      </c>
    </row>
    <row r="224" spans="1:25" ht="15" customHeight="1">
      <c r="A224" s="57" t="s">
        <v>456</v>
      </c>
      <c r="B224" s="37" t="s">
        <v>457</v>
      </c>
      <c r="C224" s="28">
        <v>975</v>
      </c>
      <c r="E224" s="37" t="s">
        <v>457</v>
      </c>
      <c r="F224" s="28">
        <v>927</v>
      </c>
      <c r="G224" t="b">
        <f>IF(B224=E224,TRUE,FALSE)</f>
        <v>1</v>
      </c>
      <c r="J224" s="25">
        <f>F224-C224</f>
        <v>-48</v>
      </c>
      <c r="K224" s="4">
        <f>F224/C224-1</f>
        <v>-4.9230769230769189E-2</v>
      </c>
      <c r="M224" s="5">
        <v>2062.9899999999998</v>
      </c>
      <c r="N224" s="5">
        <v>2254.19</v>
      </c>
      <c r="Q224" s="159">
        <v>8432.43</v>
      </c>
      <c r="U224" s="146">
        <f>N224-M224</f>
        <v>191.20000000000027</v>
      </c>
      <c r="V224" s="4">
        <f>IF(M224=0,0,N224/M224-1)</f>
        <v>9.2681011541500657E-2</v>
      </c>
      <c r="W224" s="18">
        <v>26228.79</v>
      </c>
      <c r="X224" s="18">
        <v>23007.43</v>
      </c>
      <c r="Y224" s="4">
        <f>X224/W224-1</f>
        <v>-0.12281771290250143</v>
      </c>
    </row>
    <row r="225" spans="1:25" ht="15" customHeight="1">
      <c r="A225" t="s">
        <v>458</v>
      </c>
      <c r="B225" t="s">
        <v>459</v>
      </c>
      <c r="C225" s="28">
        <v>672</v>
      </c>
      <c r="E225" t="s">
        <v>459</v>
      </c>
      <c r="F225" s="28">
        <v>623</v>
      </c>
      <c r="G225" t="b">
        <f>IF(B225=E225,TRUE,FALSE)</f>
        <v>1</v>
      </c>
      <c r="J225" s="25">
        <f>F225-C225</f>
        <v>-49</v>
      </c>
      <c r="K225" s="4">
        <f>F225/C225-1</f>
        <v>-7.291666666666663E-2</v>
      </c>
      <c r="M225" s="5">
        <v>1447.8</v>
      </c>
      <c r="N225" s="5">
        <v>1339.71</v>
      </c>
      <c r="Q225" s="159">
        <v>6459.08</v>
      </c>
      <c r="U225" s="146">
        <f>N225-M225</f>
        <v>-108.08999999999992</v>
      </c>
      <c r="V225" s="4">
        <f>IF(M225=0,0,N225/M225-1)</f>
        <v>-7.4658101947782773E-2</v>
      </c>
      <c r="W225" s="18">
        <v>10745.28</v>
      </c>
      <c r="X225" s="18">
        <v>9735.4699999999993</v>
      </c>
      <c r="Y225" s="4">
        <f>X225/W225-1</f>
        <v>-9.3977076446588703E-2</v>
      </c>
    </row>
    <row r="226" spans="1:25" ht="15" customHeight="1">
      <c r="A226" t="s">
        <v>460</v>
      </c>
      <c r="B226" t="s">
        <v>461</v>
      </c>
      <c r="C226" s="28">
        <v>2765</v>
      </c>
      <c r="E226" t="s">
        <v>461</v>
      </c>
      <c r="F226" s="28">
        <v>2715</v>
      </c>
      <c r="G226" t="b">
        <f>IF(B226=E226,TRUE,FALSE)</f>
        <v>1</v>
      </c>
      <c r="J226" s="25">
        <f>F226-C226</f>
        <v>-50</v>
      </c>
      <c r="K226" s="4">
        <f>F226/C226-1</f>
        <v>-1.8083182640144635E-2</v>
      </c>
      <c r="M226" s="5">
        <v>2885.68</v>
      </c>
      <c r="N226" s="5">
        <v>2473.13</v>
      </c>
      <c r="Q226" s="159">
        <v>16096.54</v>
      </c>
      <c r="U226" s="146">
        <f>N226-M226</f>
        <v>-412.54999999999973</v>
      </c>
      <c r="V226" s="4">
        <f>IF(M226=0,0,N226/M226-1)</f>
        <v>-0.14296456987607764</v>
      </c>
      <c r="W226" s="18">
        <v>80046.75</v>
      </c>
      <c r="X226" s="18">
        <v>71914.27</v>
      </c>
      <c r="Y226" s="4">
        <f>X226/W226-1</f>
        <v>-0.10159662946965364</v>
      </c>
    </row>
    <row r="227" spans="1:25" ht="15" customHeight="1">
      <c r="A227" t="s">
        <v>462</v>
      </c>
      <c r="B227" t="s">
        <v>463</v>
      </c>
      <c r="C227" s="28">
        <v>860</v>
      </c>
      <c r="E227" t="s">
        <v>463</v>
      </c>
      <c r="F227" s="28">
        <v>806</v>
      </c>
      <c r="G227" t="b">
        <f>IF(B227=E227,TRUE,FALSE)</f>
        <v>1</v>
      </c>
      <c r="J227" s="25">
        <f>F227-C227</f>
        <v>-54</v>
      </c>
      <c r="K227" s="4">
        <f>F227/C227-1</f>
        <v>-6.2790697674418583E-2</v>
      </c>
      <c r="M227" s="5">
        <v>1397.41</v>
      </c>
      <c r="N227" s="5">
        <v>1124.42</v>
      </c>
      <c r="Q227" s="159">
        <v>7391.9</v>
      </c>
      <c r="U227" s="146">
        <f>N227-M227</f>
        <v>-272.99</v>
      </c>
      <c r="V227" s="4">
        <f>IF(M227=0,0,N227/M227-1)</f>
        <v>-0.19535426252853494</v>
      </c>
      <c r="W227" s="18">
        <v>17157</v>
      </c>
      <c r="X227" s="18">
        <v>16079.7</v>
      </c>
      <c r="Y227" s="4">
        <f>X227/W227-1</f>
        <v>-6.2790697674418583E-2</v>
      </c>
    </row>
    <row r="228" spans="1:25" ht="15" customHeight="1">
      <c r="A228" t="s">
        <v>464</v>
      </c>
      <c r="B228" t="s">
        <v>465</v>
      </c>
      <c r="C228" s="28">
        <v>1112</v>
      </c>
      <c r="E228" t="s">
        <v>465</v>
      </c>
      <c r="F228" s="28">
        <v>1057</v>
      </c>
      <c r="G228" t="b">
        <f>IF(B228=E228,TRUE,FALSE)</f>
        <v>1</v>
      </c>
      <c r="J228" s="25">
        <f>F228-C228</f>
        <v>-55</v>
      </c>
      <c r="K228" s="4">
        <f>F228/C228-1</f>
        <v>-4.9460431654676285E-2</v>
      </c>
      <c r="M228" s="5">
        <v>1132.2</v>
      </c>
      <c r="N228" s="5">
        <v>783.64</v>
      </c>
      <c r="Q228" s="159">
        <v>7554.56</v>
      </c>
      <c r="U228" s="146">
        <f>N228-M228</f>
        <v>-348.56000000000006</v>
      </c>
      <c r="V228" s="4">
        <f>IF(M228=0,0,N228/M228-1)</f>
        <v>-0.30786080197844912</v>
      </c>
      <c r="W228" s="18">
        <v>32317.7</v>
      </c>
      <c r="X228" s="18">
        <v>29491.56</v>
      </c>
      <c r="Y228" s="4">
        <f>X228/W228-1</f>
        <v>-8.7448673637047225E-2</v>
      </c>
    </row>
    <row r="229" spans="1:25" ht="15" customHeight="1">
      <c r="A229" t="s">
        <v>466</v>
      </c>
      <c r="B229" t="s">
        <v>467</v>
      </c>
      <c r="C229" s="28">
        <v>593</v>
      </c>
      <c r="E229" t="s">
        <v>467</v>
      </c>
      <c r="F229" s="28">
        <v>534</v>
      </c>
      <c r="G229" t="b">
        <f>IF(B229=E229,TRUE,FALSE)</f>
        <v>1</v>
      </c>
      <c r="J229" s="25">
        <f>F229-C229</f>
        <v>-59</v>
      </c>
      <c r="K229" s="4">
        <f>F229/C229-1</f>
        <v>-9.9494097807757198E-2</v>
      </c>
      <c r="M229" s="5">
        <v>1065.78</v>
      </c>
      <c r="N229" s="5">
        <v>931.32</v>
      </c>
      <c r="Q229" s="159">
        <v>7560.76</v>
      </c>
      <c r="U229" s="146">
        <f>N229-M229</f>
        <v>-134.45999999999992</v>
      </c>
      <c r="V229" s="4">
        <f>IF(M229=0,0,N229/M229-1)</f>
        <v>-0.12616112143219049</v>
      </c>
      <c r="W229" s="18">
        <v>13488.07</v>
      </c>
      <c r="X229" s="18">
        <v>12810.66</v>
      </c>
      <c r="Y229" s="4">
        <f>X229/W229-1</f>
        <v>-5.022290068186186E-2</v>
      </c>
    </row>
    <row r="230" spans="1:25" ht="15" customHeight="1">
      <c r="A230" t="s">
        <v>468</v>
      </c>
      <c r="B230" t="s">
        <v>469</v>
      </c>
      <c r="C230" s="28">
        <v>647</v>
      </c>
      <c r="E230" t="s">
        <v>469</v>
      </c>
      <c r="F230" s="28">
        <v>587</v>
      </c>
      <c r="G230" t="b">
        <f>IF(B230=E230,TRUE,FALSE)</f>
        <v>1</v>
      </c>
      <c r="J230" s="25">
        <f>F230-C230</f>
        <v>-60</v>
      </c>
      <c r="K230" s="4">
        <f>F230/C230-1</f>
        <v>-9.2735703245749646E-2</v>
      </c>
      <c r="M230" s="5">
        <v>901.64</v>
      </c>
      <c r="N230" s="5">
        <v>852.58</v>
      </c>
      <c r="Q230" s="159">
        <v>5413.24</v>
      </c>
      <c r="U230" s="146">
        <f>N230-M230</f>
        <v>-49.059999999999945</v>
      </c>
      <c r="V230" s="4">
        <f>IF(M230=0,0,N230/M230-1)</f>
        <v>-5.4411960427665051E-2</v>
      </c>
      <c r="W230" s="18">
        <v>16117.7</v>
      </c>
      <c r="X230" s="18">
        <v>14645.65</v>
      </c>
      <c r="Y230" s="4">
        <f>X230/W230-1</f>
        <v>-9.1331269349845257E-2</v>
      </c>
    </row>
    <row r="231" spans="1:25" ht="15" customHeight="1">
      <c r="A231" s="55" t="s">
        <v>470</v>
      </c>
      <c r="B231" s="37" t="s">
        <v>471</v>
      </c>
      <c r="C231" s="28">
        <v>649</v>
      </c>
      <c r="E231" s="37" t="s">
        <v>471</v>
      </c>
      <c r="F231" s="28">
        <v>586</v>
      </c>
      <c r="G231" t="b">
        <f>IF(B231=E231,TRUE,FALSE)</f>
        <v>1</v>
      </c>
      <c r="J231" s="25">
        <f>F231-C231</f>
        <v>-63</v>
      </c>
      <c r="K231" s="4">
        <f>F231/C231-1</f>
        <v>-9.7072419106317365E-2</v>
      </c>
      <c r="M231" s="5">
        <v>1606.35</v>
      </c>
      <c r="N231" s="5">
        <v>1472.21</v>
      </c>
      <c r="Q231" s="159">
        <v>6374.39</v>
      </c>
      <c r="U231" s="146">
        <f>N231-M231</f>
        <v>-134.13999999999987</v>
      </c>
      <c r="V231" s="4">
        <f>IF(M231=0,0,N231/M231-1)</f>
        <v>-8.3506085224266169E-2</v>
      </c>
      <c r="W231" s="18">
        <v>9079.51</v>
      </c>
      <c r="X231" s="18">
        <v>8198.14</v>
      </c>
      <c r="Y231" s="4">
        <f>X231/W231-1</f>
        <v>-9.7072419106317476E-2</v>
      </c>
    </row>
    <row r="232" spans="1:25" ht="15" customHeight="1">
      <c r="A232" s="54" t="s">
        <v>472</v>
      </c>
      <c r="B232" s="37" t="s">
        <v>473</v>
      </c>
      <c r="C232" s="28">
        <v>236</v>
      </c>
      <c r="E232" s="37" t="s">
        <v>473</v>
      </c>
      <c r="F232" s="28">
        <v>173</v>
      </c>
      <c r="G232" t="b">
        <f>IF(B232=E232,TRUE,FALSE)</f>
        <v>1</v>
      </c>
      <c r="J232" s="25">
        <f>F232-C232</f>
        <v>-63</v>
      </c>
      <c r="K232" s="4">
        <f>F232/C232-1</f>
        <v>-0.26694915254237284</v>
      </c>
      <c r="M232" s="5">
        <v>850.04</v>
      </c>
      <c r="N232" s="5">
        <v>824.09</v>
      </c>
      <c r="Q232" s="159">
        <v>2092.59</v>
      </c>
      <c r="U232" s="146">
        <f>N232-M232</f>
        <v>-25.949999999999932</v>
      </c>
      <c r="V232" s="4">
        <f>IF(M232=0,0,N232/M232-1)</f>
        <v>-3.0527975154110321E-2</v>
      </c>
      <c r="W232" s="18">
        <v>4481.6400000000003</v>
      </c>
      <c r="X232" s="18">
        <v>3275.27</v>
      </c>
      <c r="Y232" s="4">
        <f>X232/W232-1</f>
        <v>-0.26918047857480754</v>
      </c>
    </row>
    <row r="233" spans="1:25" ht="15" customHeight="1">
      <c r="A233" t="s">
        <v>474</v>
      </c>
      <c r="B233" t="s">
        <v>475</v>
      </c>
      <c r="C233" s="28">
        <v>728</v>
      </c>
      <c r="E233" t="s">
        <v>475</v>
      </c>
      <c r="F233" s="28">
        <v>664</v>
      </c>
      <c r="G233" t="b">
        <f>IF(B233=E233,TRUE,FALSE)</f>
        <v>1</v>
      </c>
      <c r="J233" s="25">
        <f>F233-C233</f>
        <v>-64</v>
      </c>
      <c r="K233" s="4">
        <f>F233/C233-1</f>
        <v>-8.7912087912087933E-2</v>
      </c>
      <c r="M233" s="5">
        <v>813.23</v>
      </c>
      <c r="N233" s="5">
        <v>813.56</v>
      </c>
      <c r="Q233" s="159">
        <v>3630.08</v>
      </c>
      <c r="U233" s="146">
        <f>N233-M233</f>
        <v>0.32999999999992724</v>
      </c>
      <c r="V233" s="4">
        <f>IF(M233=0,0,N233/M233-1)</f>
        <v>4.0578926011081151E-4</v>
      </c>
      <c r="W233" s="18">
        <v>19567.75</v>
      </c>
      <c r="X233" s="18">
        <v>17921.36</v>
      </c>
      <c r="Y233" s="4">
        <f>X233/W233-1</f>
        <v>-8.4137931034482749E-2</v>
      </c>
    </row>
    <row r="234" spans="1:25" ht="15" customHeight="1">
      <c r="A234" t="s">
        <v>476</v>
      </c>
      <c r="B234" t="s">
        <v>477</v>
      </c>
      <c r="C234" s="28">
        <v>2376</v>
      </c>
      <c r="E234" t="s">
        <v>477</v>
      </c>
      <c r="F234" s="28">
        <v>2311</v>
      </c>
      <c r="G234" t="b">
        <f>IF(B234=E234,TRUE,FALSE)</f>
        <v>1</v>
      </c>
      <c r="J234" s="25">
        <f>F234-C234</f>
        <v>-65</v>
      </c>
      <c r="K234" s="4">
        <f>F234/C234-1</f>
        <v>-2.7356902356902357E-2</v>
      </c>
      <c r="M234" s="5">
        <v>4569.32</v>
      </c>
      <c r="N234" s="5">
        <v>3921.69</v>
      </c>
      <c r="Q234" s="159">
        <v>23564.33</v>
      </c>
      <c r="U234" s="146">
        <f>N234-M234</f>
        <v>-647.62999999999965</v>
      </c>
      <c r="V234" s="4">
        <f>IF(M234=0,0,N234/M234-1)</f>
        <v>-0.14173443750930115</v>
      </c>
      <c r="W234" s="18">
        <v>47215.6</v>
      </c>
      <c r="X234" s="18">
        <v>44375.17</v>
      </c>
      <c r="Y234" s="4">
        <f>X234/W234-1</f>
        <v>-6.0158718728555827E-2</v>
      </c>
    </row>
    <row r="235" spans="1:25" ht="15" customHeight="1">
      <c r="A235" t="s">
        <v>478</v>
      </c>
      <c r="B235" t="s">
        <v>479</v>
      </c>
      <c r="C235" s="28">
        <v>567</v>
      </c>
      <c r="E235" t="s">
        <v>479</v>
      </c>
      <c r="F235" s="28">
        <v>496</v>
      </c>
      <c r="G235" t="b">
        <f>IF(B235=E235,TRUE,FALSE)</f>
        <v>1</v>
      </c>
      <c r="J235" s="25">
        <f>F235-C235</f>
        <v>-71</v>
      </c>
      <c r="K235" s="4">
        <f>F235/C235-1</f>
        <v>-0.12522045855379194</v>
      </c>
      <c r="M235" s="5">
        <v>558.55999999999995</v>
      </c>
      <c r="N235" s="5">
        <v>541.12</v>
      </c>
      <c r="Q235" s="159">
        <v>1882.99</v>
      </c>
      <c r="U235" s="146">
        <f>N235-M235</f>
        <v>-17.439999999999941</v>
      </c>
      <c r="V235" s="4">
        <f>IF(M235=0,0,N235/M235-1)</f>
        <v>-3.1223145230592886E-2</v>
      </c>
      <c r="W235" s="18">
        <v>10748.34</v>
      </c>
      <c r="X235" s="18">
        <v>9419</v>
      </c>
      <c r="Y235" s="4">
        <f>X235/W235-1</f>
        <v>-0.12367863316567951</v>
      </c>
    </row>
    <row r="236" spans="1:25" ht="15" customHeight="1">
      <c r="A236" t="s">
        <v>480</v>
      </c>
      <c r="B236" t="s">
        <v>481</v>
      </c>
      <c r="C236" s="28">
        <v>526</v>
      </c>
      <c r="E236" t="s">
        <v>481</v>
      </c>
      <c r="F236" s="28">
        <v>453</v>
      </c>
      <c r="G236" t="b">
        <f>IF(B236=E236,TRUE,FALSE)</f>
        <v>1</v>
      </c>
      <c r="J236" s="25">
        <f>F236-C236</f>
        <v>-73</v>
      </c>
      <c r="K236" s="4">
        <f>F236/C236-1</f>
        <v>-0.13878326996197721</v>
      </c>
      <c r="M236" s="5">
        <v>597.26</v>
      </c>
      <c r="N236" s="5">
        <v>523.13</v>
      </c>
      <c r="Q236" s="159">
        <v>3170.01</v>
      </c>
      <c r="U236" s="146">
        <f>N236-M236</f>
        <v>-74.13</v>
      </c>
      <c r="V236" s="4">
        <f>IF(M236=0,0,N236/M236-1)</f>
        <v>-0.12411680005357795</v>
      </c>
      <c r="W236" s="18">
        <v>11545.7</v>
      </c>
      <c r="X236" s="18">
        <v>9943.35</v>
      </c>
      <c r="Y236" s="4">
        <f>X236/W236-1</f>
        <v>-0.13878326996197721</v>
      </c>
    </row>
    <row r="237" spans="1:25" ht="15" customHeight="1">
      <c r="A237" t="s">
        <v>482</v>
      </c>
      <c r="B237" t="s">
        <v>483</v>
      </c>
      <c r="C237" s="28">
        <v>928</v>
      </c>
      <c r="E237" t="s">
        <v>483</v>
      </c>
      <c r="F237" s="28">
        <v>854</v>
      </c>
      <c r="G237" t="b">
        <f>IF(B237=E237,TRUE,FALSE)</f>
        <v>1</v>
      </c>
      <c r="J237" s="25">
        <f>F237-C237</f>
        <v>-74</v>
      </c>
      <c r="K237" s="4">
        <f>F237/C237-1</f>
        <v>-7.9741379310344862E-2</v>
      </c>
      <c r="M237" s="5">
        <v>1281.6600000000001</v>
      </c>
      <c r="N237" s="5">
        <v>1615.44</v>
      </c>
      <c r="Q237" s="159">
        <v>8944.98</v>
      </c>
      <c r="U237" s="146">
        <f>N237-M237</f>
        <v>333.78</v>
      </c>
      <c r="V237" s="4">
        <f>IF(M237=0,0,N237/M237-1)</f>
        <v>0.26042788258976635</v>
      </c>
      <c r="W237" s="18">
        <v>25073.71</v>
      </c>
      <c r="X237" s="18">
        <v>22819.96</v>
      </c>
      <c r="Y237" s="4">
        <f>X237/W237-1</f>
        <v>-8.9884983115781414E-2</v>
      </c>
    </row>
    <row r="238" spans="1:25" ht="15" customHeight="1">
      <c r="A238" t="s">
        <v>484</v>
      </c>
      <c r="B238" t="s">
        <v>485</v>
      </c>
      <c r="C238" s="28">
        <v>940</v>
      </c>
      <c r="E238" t="s">
        <v>485</v>
      </c>
      <c r="F238" s="28">
        <v>865</v>
      </c>
      <c r="G238" t="b">
        <f>IF(B238=E238,TRUE,FALSE)</f>
        <v>1</v>
      </c>
      <c r="J238" s="25">
        <f>F238-C238</f>
        <v>-75</v>
      </c>
      <c r="K238" s="4">
        <f>F238/C238-1</f>
        <v>-7.9787234042553168E-2</v>
      </c>
      <c r="M238" s="5">
        <v>1914.38</v>
      </c>
      <c r="N238" s="5">
        <v>1699.98</v>
      </c>
      <c r="Q238" s="159">
        <v>11464.35</v>
      </c>
      <c r="U238" s="146">
        <f>N238-M238</f>
        <v>-214.40000000000009</v>
      </c>
      <c r="V238" s="4">
        <f>IF(M238=0,0,N238/M238-1)</f>
        <v>-0.11199448385378041</v>
      </c>
      <c r="W238" s="18">
        <v>22550.6</v>
      </c>
      <c r="X238" s="18">
        <v>20750.87</v>
      </c>
      <c r="Y238" s="4">
        <f>X238/W238-1</f>
        <v>-7.9808519507241438E-2</v>
      </c>
    </row>
    <row r="239" spans="1:25" ht="15" customHeight="1">
      <c r="A239" t="s">
        <v>486</v>
      </c>
      <c r="B239" t="s">
        <v>487</v>
      </c>
      <c r="C239" s="28">
        <v>1079</v>
      </c>
      <c r="E239" t="s">
        <v>487</v>
      </c>
      <c r="F239" s="28">
        <v>1003</v>
      </c>
      <c r="G239" t="b">
        <f>IF(B239=E239,TRUE,FALSE)</f>
        <v>1</v>
      </c>
      <c r="J239" s="25">
        <f>F239-C239</f>
        <v>-76</v>
      </c>
      <c r="K239" s="4">
        <f>F239/C239-1</f>
        <v>-7.0435588507877678E-2</v>
      </c>
      <c r="M239" s="5">
        <v>1449.09</v>
      </c>
      <c r="N239" s="5">
        <v>1259.96</v>
      </c>
      <c r="Q239" s="159">
        <v>9581.84</v>
      </c>
      <c r="U239" s="146">
        <f>N239-M239</f>
        <v>-189.12999999999988</v>
      </c>
      <c r="V239" s="4">
        <f>IF(M239=0,0,N239/M239-1)</f>
        <v>-0.13051639304667062</v>
      </c>
      <c r="W239" s="18">
        <v>23254</v>
      </c>
      <c r="X239" s="18">
        <v>21540.400000000001</v>
      </c>
      <c r="Y239" s="4">
        <f>X239/W239-1</f>
        <v>-7.3690547862733213E-2</v>
      </c>
    </row>
    <row r="240" spans="1:25" ht="15" customHeight="1">
      <c r="A240" t="s">
        <v>488</v>
      </c>
      <c r="B240" t="s">
        <v>489</v>
      </c>
      <c r="C240" s="28">
        <v>765</v>
      </c>
      <c r="E240" t="s">
        <v>489</v>
      </c>
      <c r="F240" s="28">
        <v>688</v>
      </c>
      <c r="G240" t="b">
        <f>IF(B240=E240,TRUE,FALSE)</f>
        <v>1</v>
      </c>
      <c r="J240" s="25">
        <f>F240-C240</f>
        <v>-77</v>
      </c>
      <c r="K240" s="4">
        <f>F240/C240-1</f>
        <v>-0.10065359477124181</v>
      </c>
      <c r="M240" s="5">
        <v>756.67</v>
      </c>
      <c r="N240" s="5">
        <v>656.43</v>
      </c>
      <c r="Q240" s="159">
        <v>3164.52</v>
      </c>
      <c r="U240" s="146">
        <f>N240-M240</f>
        <v>-100.24000000000001</v>
      </c>
      <c r="V240" s="4">
        <f>IF(M240=0,0,N240/M240-1)</f>
        <v>-0.13247518733397656</v>
      </c>
      <c r="W240" s="18">
        <v>22911.360000000001</v>
      </c>
      <c r="X240" s="18">
        <v>20633.12</v>
      </c>
      <c r="Y240" s="4">
        <f>X240/W240-1</f>
        <v>-9.9437135115506115E-2</v>
      </c>
    </row>
    <row r="241" spans="1:25" ht="15" customHeight="1">
      <c r="A241" s="55" t="s">
        <v>490</v>
      </c>
      <c r="B241" s="37" t="s">
        <v>491</v>
      </c>
      <c r="C241" s="28">
        <v>1325</v>
      </c>
      <c r="E241" s="37" t="s">
        <v>491</v>
      </c>
      <c r="F241" s="28">
        <v>1243</v>
      </c>
      <c r="G241" t="b">
        <f>IF(B241=E241,TRUE,FALSE)</f>
        <v>1</v>
      </c>
      <c r="J241" s="25">
        <f>F241-C241</f>
        <v>-82</v>
      </c>
      <c r="K241" s="4">
        <f>F241/C241-1</f>
        <v>-6.1886792452830242E-2</v>
      </c>
      <c r="M241" s="5">
        <v>2917.54</v>
      </c>
      <c r="N241" s="5">
        <v>3207.28</v>
      </c>
      <c r="Q241" s="159">
        <v>12279.56</v>
      </c>
      <c r="U241" s="146">
        <f>N241-M241</f>
        <v>289.74000000000024</v>
      </c>
      <c r="V241" s="4">
        <f>IF(M241=0,0,N241/M241-1)</f>
        <v>9.9309692412100636E-2</v>
      </c>
      <c r="W241" s="18">
        <v>34722.75</v>
      </c>
      <c r="X241" s="18">
        <v>33547.760000000002</v>
      </c>
      <c r="Y241" s="4">
        <f>X241/W241-1</f>
        <v>-3.383919764419574E-2</v>
      </c>
    </row>
    <row r="242" spans="1:25" ht="15" customHeight="1">
      <c r="A242" t="s">
        <v>492</v>
      </c>
      <c r="B242" t="s">
        <v>493</v>
      </c>
      <c r="C242" s="28">
        <v>431</v>
      </c>
      <c r="E242" t="s">
        <v>493</v>
      </c>
      <c r="F242" s="28">
        <v>349</v>
      </c>
      <c r="G242" t="b">
        <f>IF(B242=E242,TRUE,FALSE)</f>
        <v>1</v>
      </c>
      <c r="J242" s="25">
        <f>F242-C242</f>
        <v>-82</v>
      </c>
      <c r="K242" s="4">
        <f>F242/C242-1</f>
        <v>-0.19025522041763343</v>
      </c>
      <c r="M242" s="5">
        <v>404.17</v>
      </c>
      <c r="N242" s="5">
        <v>507.77</v>
      </c>
      <c r="Q242" s="159">
        <v>2558.38</v>
      </c>
      <c r="U242" s="146">
        <f>N242-M242</f>
        <v>103.59999999999997</v>
      </c>
      <c r="V242" s="4">
        <f>IF(M242=0,0,N242/M242-1)</f>
        <v>0.25632778286364633</v>
      </c>
      <c r="W242" s="18">
        <v>21478.5</v>
      </c>
      <c r="X242" s="18">
        <v>17432.55</v>
      </c>
      <c r="Y242" s="4">
        <f>X242/W242-1</f>
        <v>-0.18837209302325586</v>
      </c>
    </row>
    <row r="243" spans="1:25" ht="15" customHeight="1">
      <c r="A243" t="s">
        <v>494</v>
      </c>
      <c r="B243" t="s">
        <v>495</v>
      </c>
      <c r="C243" s="28">
        <v>486</v>
      </c>
      <c r="E243" t="s">
        <v>495</v>
      </c>
      <c r="F243" s="28">
        <v>403</v>
      </c>
      <c r="G243" t="b">
        <f>IF(B243=E243,TRUE,FALSE)</f>
        <v>1</v>
      </c>
      <c r="J243" s="25">
        <f>F243-C243</f>
        <v>-83</v>
      </c>
      <c r="K243" s="4">
        <f>F243/C243-1</f>
        <v>-0.17078189300411528</v>
      </c>
      <c r="M243" s="5">
        <v>1310.87</v>
      </c>
      <c r="N243" s="5">
        <v>786.34</v>
      </c>
      <c r="Q243" s="159">
        <v>4448.3999999999996</v>
      </c>
      <c r="U243" s="146">
        <f>N243-M243</f>
        <v>-524.52999999999986</v>
      </c>
      <c r="V243" s="4">
        <f>IF(M243=0,0,N243/M243-1)</f>
        <v>-0.40013883909159553</v>
      </c>
      <c r="W243" s="18">
        <v>14089.14</v>
      </c>
      <c r="X243" s="18">
        <v>11613.97</v>
      </c>
      <c r="Y243" s="4">
        <f>X243/W243-1</f>
        <v>-0.17567928205696015</v>
      </c>
    </row>
    <row r="244" spans="1:25" ht="15" customHeight="1">
      <c r="A244" t="s">
        <v>496</v>
      </c>
      <c r="B244" t="s">
        <v>497</v>
      </c>
      <c r="C244" s="28">
        <v>760</v>
      </c>
      <c r="E244" t="s">
        <v>497</v>
      </c>
      <c r="F244" s="28">
        <v>676</v>
      </c>
      <c r="G244" t="b">
        <f>IF(B244=E244,TRUE,FALSE)</f>
        <v>1</v>
      </c>
      <c r="J244" s="25">
        <f>F244-C244</f>
        <v>-84</v>
      </c>
      <c r="K244" s="4">
        <f>F244/C244-1</f>
        <v>-0.11052631578947369</v>
      </c>
      <c r="M244" s="5">
        <v>80.239999999999995</v>
      </c>
      <c r="N244" s="5">
        <v>61.65</v>
      </c>
      <c r="Q244" s="159">
        <v>919.3</v>
      </c>
      <c r="U244" s="146">
        <f>N244-M244</f>
        <v>-18.589999999999996</v>
      </c>
      <c r="V244" s="4">
        <f>IF(M244=0,0,N244/M244-1)</f>
        <v>-0.23167996011964109</v>
      </c>
      <c r="W244" s="18">
        <v>20482</v>
      </c>
      <c r="X244" s="18">
        <v>18218.2</v>
      </c>
      <c r="Y244" s="4">
        <f>X244/W244-1</f>
        <v>-0.11052631578947369</v>
      </c>
    </row>
    <row r="245" spans="1:25" ht="15" customHeight="1">
      <c r="A245" t="s">
        <v>498</v>
      </c>
      <c r="B245" t="s">
        <v>499</v>
      </c>
      <c r="C245" s="28">
        <v>723</v>
      </c>
      <c r="E245" t="s">
        <v>499</v>
      </c>
      <c r="F245" s="28">
        <v>638</v>
      </c>
      <c r="G245" t="b">
        <f>IF(B245=E245,TRUE,FALSE)</f>
        <v>1</v>
      </c>
      <c r="J245" s="25">
        <f>F245-C245</f>
        <v>-85</v>
      </c>
      <c r="K245" s="4">
        <f>F245/C245-1</f>
        <v>-0.11756569847856158</v>
      </c>
      <c r="M245" s="5">
        <v>1276.73</v>
      </c>
      <c r="N245" s="5">
        <v>1163.97</v>
      </c>
      <c r="Q245" s="159">
        <v>7024.33</v>
      </c>
      <c r="U245" s="146">
        <f>N245-M245</f>
        <v>-112.75999999999999</v>
      </c>
      <c r="V245" s="4">
        <f>IF(M245=0,0,N245/M245-1)</f>
        <v>-8.8319378412036964E-2</v>
      </c>
      <c r="W245" s="18">
        <v>17342.82</v>
      </c>
      <c r="X245" s="18">
        <v>13810.31</v>
      </c>
      <c r="Y245" s="4">
        <f>X245/W245-1</f>
        <v>-0.2036871742888412</v>
      </c>
    </row>
    <row r="246" spans="1:25" ht="15" customHeight="1">
      <c r="A246" t="s">
        <v>500</v>
      </c>
      <c r="B246" t="s">
        <v>501</v>
      </c>
      <c r="C246" s="28">
        <v>821</v>
      </c>
      <c r="E246" t="s">
        <v>501</v>
      </c>
      <c r="F246" s="28">
        <v>731</v>
      </c>
      <c r="G246" t="b">
        <f>IF(B246=E246,TRUE,FALSE)</f>
        <v>1</v>
      </c>
      <c r="J246" s="25">
        <f>F246-C246</f>
        <v>-90</v>
      </c>
      <c r="K246" s="4">
        <f>F246/C246-1</f>
        <v>-0.1096224116930572</v>
      </c>
      <c r="M246" s="5">
        <v>1155.6099999999999</v>
      </c>
      <c r="N246" s="5">
        <v>917.7</v>
      </c>
      <c r="Q246" s="159">
        <v>6454.09</v>
      </c>
      <c r="U246" s="146">
        <f>N246-M246</f>
        <v>-237.90999999999985</v>
      </c>
      <c r="V246" s="4">
        <f>IF(M246=0,0,N246/M246-1)</f>
        <v>-0.20587395401562802</v>
      </c>
      <c r="W246" s="18">
        <v>24609.83</v>
      </c>
      <c r="X246" s="18">
        <v>21468.66</v>
      </c>
      <c r="Y246" s="4">
        <f>X246/W246-1</f>
        <v>-0.12763883375057861</v>
      </c>
    </row>
    <row r="247" spans="1:25" ht="15" customHeight="1">
      <c r="A247" t="s">
        <v>502</v>
      </c>
      <c r="B247" t="s">
        <v>503</v>
      </c>
      <c r="C247" s="28">
        <v>604</v>
      </c>
      <c r="E247" t="s">
        <v>503</v>
      </c>
      <c r="F247" s="28">
        <v>514</v>
      </c>
      <c r="G247" t="b">
        <f>IF(B247=E247,TRUE,FALSE)</f>
        <v>1</v>
      </c>
      <c r="J247" s="25">
        <f>F247-C247</f>
        <v>-90</v>
      </c>
      <c r="K247" s="4">
        <f>F247/C247-1</f>
        <v>-0.14900662251655628</v>
      </c>
      <c r="M247" s="5">
        <v>786.37</v>
      </c>
      <c r="N247" s="5">
        <v>22.42</v>
      </c>
      <c r="Q247" s="159">
        <v>129.65</v>
      </c>
      <c r="U247" s="146">
        <f>N247-M247</f>
        <v>-763.95</v>
      </c>
      <c r="V247" s="4">
        <f>IF(M247=0,0,N247/M247-1)</f>
        <v>-0.97148924806388848</v>
      </c>
      <c r="W247" s="18">
        <v>11445.8</v>
      </c>
      <c r="X247" s="18">
        <v>9739.92</v>
      </c>
      <c r="Y247" s="4">
        <f>X247/W247-1</f>
        <v>-0.14903982246763003</v>
      </c>
    </row>
    <row r="248" spans="1:25" ht="15" customHeight="1">
      <c r="A248" s="55" t="s">
        <v>504</v>
      </c>
      <c r="B248" s="37" t="s">
        <v>505</v>
      </c>
      <c r="C248" s="28">
        <v>562</v>
      </c>
      <c r="E248" s="37" t="s">
        <v>505</v>
      </c>
      <c r="F248" s="28">
        <v>471</v>
      </c>
      <c r="G248" t="b">
        <f>IF(B248=E248,TRUE,FALSE)</f>
        <v>1</v>
      </c>
      <c r="J248" s="25">
        <f>F248-C248</f>
        <v>-91</v>
      </c>
      <c r="K248" s="4">
        <f>F248/C248-1</f>
        <v>-0.16192170818505336</v>
      </c>
      <c r="M248" s="5">
        <v>1553.64</v>
      </c>
      <c r="N248" s="5">
        <v>1512.32</v>
      </c>
      <c r="Q248" s="158">
        <v>5875.51</v>
      </c>
      <c r="U248" s="146">
        <f>N248-M248</f>
        <v>-41.320000000000164</v>
      </c>
      <c r="V248" s="4">
        <f>IF(M248=0,0,N248/M248-1)</f>
        <v>-2.6595607734095528E-2</v>
      </c>
      <c r="W248" s="18">
        <v>8261.3799999999992</v>
      </c>
      <c r="X248" s="18">
        <v>7968.14</v>
      </c>
      <c r="Y248" s="4">
        <f>X248/W248-1</f>
        <v>-3.5495280449513111E-2</v>
      </c>
    </row>
    <row r="249" spans="1:25" ht="13.5" customHeight="1">
      <c r="A249" s="57" t="s">
        <v>506</v>
      </c>
      <c r="B249" s="37" t="s">
        <v>507</v>
      </c>
      <c r="C249" s="28">
        <v>1602</v>
      </c>
      <c r="E249" s="37" t="s">
        <v>507</v>
      </c>
      <c r="F249" s="28">
        <v>1508</v>
      </c>
      <c r="G249" t="b">
        <f>IF(B249=E249,TRUE,FALSE)</f>
        <v>1</v>
      </c>
      <c r="J249" s="25">
        <f>F249-C249</f>
        <v>-94</v>
      </c>
      <c r="K249" s="4">
        <f>F249/C249-1</f>
        <v>-5.8676654182272192E-2</v>
      </c>
      <c r="M249" s="5">
        <v>2265.15</v>
      </c>
      <c r="N249" s="5">
        <v>2114.23</v>
      </c>
      <c r="Q249" s="159">
        <v>10842.8</v>
      </c>
      <c r="U249" s="146">
        <f>N249-M249</f>
        <v>-150.92000000000007</v>
      </c>
      <c r="V249" s="4">
        <f>IF(M249=0,0,N249/M249-1)</f>
        <v>-6.6626934198618204E-2</v>
      </c>
      <c r="W249" s="18">
        <v>20963</v>
      </c>
      <c r="X249" s="18">
        <v>19160.490000000002</v>
      </c>
      <c r="Y249" s="4">
        <f>X249/W249-1</f>
        <v>-8.5985307446453163E-2</v>
      </c>
    </row>
    <row r="250" spans="1:25" ht="17.25" customHeight="1">
      <c r="A250" t="s">
        <v>508</v>
      </c>
      <c r="B250" t="s">
        <v>509</v>
      </c>
      <c r="C250" s="28">
        <v>897</v>
      </c>
      <c r="E250" t="s">
        <v>509</v>
      </c>
      <c r="F250" s="28">
        <v>802</v>
      </c>
      <c r="G250" t="b">
        <f>IF(B250=E250,TRUE,FALSE)</f>
        <v>1</v>
      </c>
      <c r="J250" s="25">
        <f>F250-C250</f>
        <v>-95</v>
      </c>
      <c r="K250" s="4">
        <f>F250/C250-1</f>
        <v>-0.1059085841694537</v>
      </c>
      <c r="M250" s="5">
        <v>1534.23</v>
      </c>
      <c r="N250" s="5">
        <v>1323.91</v>
      </c>
      <c r="Q250" s="159">
        <v>6329.35</v>
      </c>
      <c r="U250" s="146">
        <f>N250-M250</f>
        <v>-210.31999999999994</v>
      </c>
      <c r="V250" s="4">
        <f>IF(M250=0,0,N250/M250-1)</f>
        <v>-0.13708505243672719</v>
      </c>
      <c r="W250" s="18">
        <v>22416.030000000002</v>
      </c>
      <c r="X250" s="18">
        <v>20041.98</v>
      </c>
      <c r="Y250" s="4">
        <f>X250/W250-1</f>
        <v>-0.10590858416945381</v>
      </c>
    </row>
    <row r="251" spans="1:25" ht="17.25" customHeight="1">
      <c r="A251" t="s">
        <v>510</v>
      </c>
      <c r="B251" t="s">
        <v>511</v>
      </c>
      <c r="C251" s="28">
        <v>5041</v>
      </c>
      <c r="E251" t="s">
        <v>511</v>
      </c>
      <c r="F251" s="28">
        <v>4945</v>
      </c>
      <c r="G251" t="b">
        <f>IF(B251=E251,TRUE,FALSE)</f>
        <v>1</v>
      </c>
      <c r="J251" s="25">
        <f>F251-C251</f>
        <v>-96</v>
      </c>
      <c r="K251" s="4">
        <f>F251/C251-1</f>
        <v>-1.9043840507835696E-2</v>
      </c>
      <c r="M251" s="5">
        <v>8108.22</v>
      </c>
      <c r="N251" s="5">
        <v>7836.39</v>
      </c>
      <c r="Q251" s="159">
        <v>57039.5</v>
      </c>
      <c r="U251" s="146">
        <f>N251-M251</f>
        <v>-271.82999999999993</v>
      </c>
      <c r="V251" s="4">
        <f>IF(M251=0,0,N251/M251-1)</f>
        <v>-3.3525237351724524E-2</v>
      </c>
      <c r="W251" s="18">
        <v>175843.5</v>
      </c>
      <c r="X251" s="18">
        <v>170876.82</v>
      </c>
      <c r="Y251" s="4">
        <f>X251/W251-1</f>
        <v>-2.8244888210255059E-2</v>
      </c>
    </row>
    <row r="252" spans="1:25" ht="17.25" customHeight="1">
      <c r="A252" s="55" t="s">
        <v>512</v>
      </c>
      <c r="B252" s="37" t="s">
        <v>513</v>
      </c>
      <c r="C252" s="19">
        <v>1387</v>
      </c>
      <c r="E252" s="37" t="s">
        <v>513</v>
      </c>
      <c r="F252" s="19">
        <v>1290</v>
      </c>
      <c r="G252" t="b">
        <f>IF(B252=E252,TRUE,FALSE)</f>
        <v>1</v>
      </c>
      <c r="J252" s="25">
        <f>F252-C252</f>
        <v>-97</v>
      </c>
      <c r="K252" s="4">
        <f>F252/C252-1</f>
        <v>-6.9935111751982748E-2</v>
      </c>
      <c r="M252" s="5">
        <v>2212.17</v>
      </c>
      <c r="N252" s="5">
        <v>2036.72</v>
      </c>
      <c r="Q252" s="158">
        <v>7263.75</v>
      </c>
      <c r="U252" s="146">
        <f>N252-M252</f>
        <v>-175.45000000000005</v>
      </c>
      <c r="V252" s="4">
        <f>IF(M252=0,0,N252/M252-1)</f>
        <v>-7.9311264504988377E-2</v>
      </c>
      <c r="W252">
        <v>14684.130000000001</v>
      </c>
      <c r="X252">
        <v>18033.11</v>
      </c>
      <c r="Y252" s="4">
        <f>X252/W252-1</f>
        <v>0.22806798904667813</v>
      </c>
    </row>
    <row r="253" spans="1:25" ht="17.25" customHeight="1">
      <c r="A253" t="s">
        <v>514</v>
      </c>
      <c r="B253" t="s">
        <v>515</v>
      </c>
      <c r="C253" s="28">
        <v>647</v>
      </c>
      <c r="E253" t="s">
        <v>515</v>
      </c>
      <c r="F253" s="28">
        <v>548</v>
      </c>
      <c r="G253" t="b">
        <f>IF(B253=E253,TRUE,FALSE)</f>
        <v>1</v>
      </c>
      <c r="J253" s="25">
        <f>F253-C253</f>
        <v>-99</v>
      </c>
      <c r="K253" s="4">
        <f>F253/C253-1</f>
        <v>-0.15301391035548684</v>
      </c>
      <c r="M253" s="5">
        <v>621.98</v>
      </c>
      <c r="N253" s="5">
        <v>541.04</v>
      </c>
      <c r="Q253" s="159">
        <v>3587.88</v>
      </c>
      <c r="U253" s="146">
        <f>N253-M253</f>
        <v>-80.940000000000055</v>
      </c>
      <c r="V253" s="4">
        <f>IF(M253=0,0,N253/M253-1)</f>
        <v>-0.13013280169780383</v>
      </c>
      <c r="W253" s="18">
        <v>19347.7</v>
      </c>
      <c r="X253" s="18">
        <v>16352.7</v>
      </c>
      <c r="Y253" s="4">
        <f>X253/W253-1</f>
        <v>-0.15479876160990713</v>
      </c>
    </row>
    <row r="254" spans="1:25" ht="17.25" customHeight="1">
      <c r="A254" t="s">
        <v>516</v>
      </c>
      <c r="B254" t="s">
        <v>517</v>
      </c>
      <c r="C254" s="28">
        <v>579</v>
      </c>
      <c r="E254" t="s">
        <v>517</v>
      </c>
      <c r="F254" s="28">
        <v>479</v>
      </c>
      <c r="G254" t="b">
        <f>IF(B254=E254,TRUE,FALSE)</f>
        <v>1</v>
      </c>
      <c r="J254" s="25">
        <f>F254-C254</f>
        <v>-100</v>
      </c>
      <c r="K254" s="4">
        <f>F254/C254-1</f>
        <v>-0.17271157167530227</v>
      </c>
      <c r="M254" s="5">
        <v>1531.81</v>
      </c>
      <c r="N254" s="5">
        <v>1329.44</v>
      </c>
      <c r="Q254" s="159">
        <v>6185.22</v>
      </c>
      <c r="U254" s="146">
        <f>N254-M254</f>
        <v>-202.36999999999989</v>
      </c>
      <c r="V254" s="4">
        <f>IF(M254=0,0,N254/M254-1)</f>
        <v>-0.1321116848695334</v>
      </c>
      <c r="W254" s="18">
        <v>12732.210000000001</v>
      </c>
      <c r="X254" s="18">
        <v>10532.55</v>
      </c>
      <c r="Y254" s="4">
        <f>X254/W254-1</f>
        <v>-0.17276340870909301</v>
      </c>
    </row>
    <row r="255" spans="1:25" ht="17.25" customHeight="1">
      <c r="A255" t="s">
        <v>518</v>
      </c>
      <c r="B255" t="s">
        <v>519</v>
      </c>
      <c r="C255" s="28">
        <v>457</v>
      </c>
      <c r="E255" t="s">
        <v>519</v>
      </c>
      <c r="F255" s="28">
        <v>356</v>
      </c>
      <c r="G255" t="b">
        <f>IF(B255=E255,TRUE,FALSE)</f>
        <v>1</v>
      </c>
      <c r="J255" s="25">
        <f>F255-C255</f>
        <v>-101</v>
      </c>
      <c r="K255" s="4">
        <f>F255/C255-1</f>
        <v>-0.22100656455142231</v>
      </c>
      <c r="M255" s="5">
        <v>1032.99</v>
      </c>
      <c r="N255" s="5">
        <v>682.51</v>
      </c>
      <c r="Q255" s="159">
        <v>2240.87</v>
      </c>
      <c r="U255" s="146">
        <f>N255-M255</f>
        <v>-350.48</v>
      </c>
      <c r="V255" s="4">
        <f>IF(M255=0,0,N255/M255-1)</f>
        <v>-0.33928692436519237</v>
      </c>
      <c r="W255" s="18">
        <v>12316.150000000001</v>
      </c>
      <c r="X255" s="18">
        <v>9594.2000000000007</v>
      </c>
      <c r="Y255" s="4">
        <f>X255/W255-1</f>
        <v>-0.22100656455142231</v>
      </c>
    </row>
    <row r="256" spans="1:25" ht="13.5" customHeight="1">
      <c r="A256" t="s">
        <v>520</v>
      </c>
      <c r="B256" t="s">
        <v>521</v>
      </c>
      <c r="C256" s="28">
        <v>1054</v>
      </c>
      <c r="E256" t="s">
        <v>521</v>
      </c>
      <c r="F256" s="28">
        <v>953</v>
      </c>
      <c r="G256" t="b">
        <f>IF(B256=E256,TRUE,FALSE)</f>
        <v>1</v>
      </c>
      <c r="J256" s="25">
        <f>F256-C256</f>
        <v>-101</v>
      </c>
      <c r="K256" s="4">
        <f>F256/C256-1</f>
        <v>-9.5825426944971537E-2</v>
      </c>
      <c r="M256" s="5">
        <v>1195.6500000000001</v>
      </c>
      <c r="N256" s="5">
        <v>980.29</v>
      </c>
      <c r="Q256" s="159">
        <v>9636.58</v>
      </c>
      <c r="U256" s="146">
        <f>N256-M256</f>
        <v>-215.36000000000013</v>
      </c>
      <c r="V256" s="4">
        <f>IF(M256=0,0,N256/M256-1)</f>
        <v>-0.18011960021745499</v>
      </c>
      <c r="W256" s="18">
        <v>31609.460000000003</v>
      </c>
      <c r="X256" s="18">
        <v>28576.87</v>
      </c>
      <c r="Y256" s="4">
        <f>X256/W256-1</f>
        <v>-9.5939316900700122E-2</v>
      </c>
    </row>
    <row r="257" spans="1:25" ht="15" customHeight="1">
      <c r="A257" s="55" t="s">
        <v>522</v>
      </c>
      <c r="B257" s="37" t="s">
        <v>523</v>
      </c>
      <c r="C257" s="28">
        <v>1053</v>
      </c>
      <c r="E257" s="37" t="s">
        <v>523</v>
      </c>
      <c r="F257" s="28">
        <v>951</v>
      </c>
      <c r="G257" t="b">
        <f>IF(B257=E257,TRUE,FALSE)</f>
        <v>1</v>
      </c>
      <c r="J257" s="25">
        <f>F257-C257</f>
        <v>-102</v>
      </c>
      <c r="K257" s="4">
        <f>F257/C257-1</f>
        <v>-9.6866096866096818E-2</v>
      </c>
      <c r="M257" s="5">
        <v>2852.61</v>
      </c>
      <c r="N257" s="5">
        <v>2669.95</v>
      </c>
      <c r="Q257" s="159">
        <v>14634.1</v>
      </c>
      <c r="U257" s="146">
        <f>N257-M257</f>
        <v>-182.66000000000031</v>
      </c>
      <c r="V257" s="4">
        <f>IF(M257=0,0,N257/M257-1)</f>
        <v>-6.4032587700386778E-2</v>
      </c>
      <c r="W257" s="18">
        <v>23155.47</v>
      </c>
      <c r="X257" s="18">
        <v>20912.05</v>
      </c>
      <c r="Y257" s="4">
        <f>X257/W257-1</f>
        <v>-9.6885098855691631E-2</v>
      </c>
    </row>
    <row r="258" spans="1:25" ht="15" customHeight="1">
      <c r="A258" t="s">
        <v>524</v>
      </c>
      <c r="B258" t="s">
        <v>525</v>
      </c>
      <c r="C258" s="28">
        <v>666</v>
      </c>
      <c r="E258" t="s">
        <v>525</v>
      </c>
      <c r="F258" s="28">
        <v>560</v>
      </c>
      <c r="G258" t="b">
        <f>IF(B258=E258,TRUE,FALSE)</f>
        <v>1</v>
      </c>
      <c r="J258" s="25">
        <f>F258-C258</f>
        <v>-106</v>
      </c>
      <c r="K258" s="4">
        <f>F258/C258-1</f>
        <v>-0.15915915915915912</v>
      </c>
      <c r="M258" s="5">
        <v>381.36</v>
      </c>
      <c r="N258" s="5">
        <v>261.95999999999998</v>
      </c>
      <c r="Q258" s="159">
        <v>1666.11</v>
      </c>
      <c r="U258" s="146">
        <f>N258-M258</f>
        <v>-119.40000000000003</v>
      </c>
      <c r="V258" s="4">
        <f>IF(M258=0,0,N258/M258-1)</f>
        <v>-0.31308999370673385</v>
      </c>
      <c r="W258" s="18">
        <v>13286.7</v>
      </c>
      <c r="X258" s="18">
        <v>11172</v>
      </c>
      <c r="Y258" s="4">
        <f>X258/W258-1</f>
        <v>-0.15915915915915924</v>
      </c>
    </row>
    <row r="259" spans="1:25" ht="15" customHeight="1">
      <c r="A259" t="s">
        <v>526</v>
      </c>
      <c r="B259" t="s">
        <v>527</v>
      </c>
      <c r="C259" s="28">
        <v>930</v>
      </c>
      <c r="E259" t="s">
        <v>527</v>
      </c>
      <c r="F259" s="28">
        <v>822</v>
      </c>
      <c r="G259" t="b">
        <f>IF(B259=E259,TRUE,FALSE)</f>
        <v>1</v>
      </c>
      <c r="J259" s="25">
        <f>F259-C259</f>
        <v>-108</v>
      </c>
      <c r="K259" s="4">
        <f>F259/C259-1</f>
        <v>-0.11612903225806448</v>
      </c>
      <c r="M259" s="5">
        <v>702.15</v>
      </c>
      <c r="N259" s="5">
        <v>463.14</v>
      </c>
      <c r="Q259" s="159">
        <v>2408.04</v>
      </c>
      <c r="U259" s="146">
        <f>N259-M259</f>
        <v>-239.01</v>
      </c>
      <c r="V259" s="4">
        <f>IF(M259=0,0,N259/M259-1)</f>
        <v>-0.34039735099337753</v>
      </c>
      <c r="W259" s="18">
        <v>18553.5</v>
      </c>
      <c r="X259" s="18">
        <v>16378.95</v>
      </c>
      <c r="Y259" s="4">
        <f>X259/W259-1</f>
        <v>-0.1172043010752688</v>
      </c>
    </row>
    <row r="260" spans="1:25" ht="15" customHeight="1">
      <c r="A260" t="s">
        <v>528</v>
      </c>
      <c r="B260" t="s">
        <v>529</v>
      </c>
      <c r="C260" s="28">
        <v>539</v>
      </c>
      <c r="E260" t="s">
        <v>529</v>
      </c>
      <c r="F260" s="28">
        <v>430</v>
      </c>
      <c r="G260" t="b">
        <f>IF(B260=E260,TRUE,FALSE)</f>
        <v>1</v>
      </c>
      <c r="J260" s="25">
        <f>F260-C260</f>
        <v>-109</v>
      </c>
      <c r="K260" s="4">
        <f>F260/C260-1</f>
        <v>-0.20222634508348791</v>
      </c>
      <c r="M260" s="5">
        <v>413.96</v>
      </c>
      <c r="N260" s="5">
        <v>332.4</v>
      </c>
      <c r="Q260" s="159">
        <v>2101</v>
      </c>
      <c r="U260" s="146">
        <f>N260-M260</f>
        <v>-81.56</v>
      </c>
      <c r="V260" s="4">
        <f>IF(M260=0,0,N260/M260-1)</f>
        <v>-0.19702386704029373</v>
      </c>
      <c r="W260" s="18">
        <v>12391.61</v>
      </c>
      <c r="X260" s="18">
        <v>9885.7000000000007</v>
      </c>
      <c r="Y260" s="4">
        <f>X260/W260-1</f>
        <v>-0.20222634508348791</v>
      </c>
    </row>
    <row r="261" spans="1:25" ht="15" customHeight="1">
      <c r="A261" s="55" t="s">
        <v>530</v>
      </c>
      <c r="B261" s="37" t="s">
        <v>531</v>
      </c>
      <c r="C261" s="19">
        <v>1509</v>
      </c>
      <c r="E261" s="37" t="s">
        <v>531</v>
      </c>
      <c r="F261" s="19">
        <v>1398</v>
      </c>
      <c r="G261" t="b">
        <f>IF(B261=E261,TRUE,FALSE)</f>
        <v>1</v>
      </c>
      <c r="J261" s="25">
        <f>F261-C261</f>
        <v>-111</v>
      </c>
      <c r="K261" s="4">
        <f>F261/C261-1</f>
        <v>-7.3558648111332059E-2</v>
      </c>
      <c r="M261" s="5">
        <v>2726.57</v>
      </c>
      <c r="N261" s="5">
        <v>3346.69</v>
      </c>
      <c r="Q261" s="158">
        <v>16665.43</v>
      </c>
      <c r="U261" s="146">
        <f>N261-M261</f>
        <v>620.11999999999989</v>
      </c>
      <c r="V261" s="4">
        <f>IF(M261=0,0,N261/M261-1)</f>
        <v>0.22743593599284084</v>
      </c>
      <c r="W261">
        <v>21562.91</v>
      </c>
      <c r="X261">
        <v>22680.02</v>
      </c>
      <c r="Y261" s="4">
        <f>X261/W261-1</f>
        <v>5.1807014915890237E-2</v>
      </c>
    </row>
    <row r="262" spans="1:25" ht="15" customHeight="1">
      <c r="A262" s="55" t="s">
        <v>532</v>
      </c>
      <c r="B262" s="37" t="s">
        <v>533</v>
      </c>
      <c r="C262" s="28">
        <v>316</v>
      </c>
      <c r="E262" s="37" t="s">
        <v>533</v>
      </c>
      <c r="F262" s="28">
        <v>200</v>
      </c>
      <c r="G262" t="b">
        <f>IF(B262=E262,TRUE,FALSE)</f>
        <v>1</v>
      </c>
      <c r="J262" s="25">
        <f>F262-C262</f>
        <v>-116</v>
      </c>
      <c r="K262" s="4">
        <f>F262/C262-1</f>
        <v>-0.36708860759493667</v>
      </c>
      <c r="M262" s="5">
        <v>732.37</v>
      </c>
      <c r="N262" s="5">
        <v>365.02</v>
      </c>
      <c r="Q262" s="158">
        <v>2033.67</v>
      </c>
      <c r="U262" s="146">
        <f>N262-M262</f>
        <v>-367.35</v>
      </c>
      <c r="V262" s="4">
        <f>IF(M262=0,0,N262/M262-1)</f>
        <v>-0.50159072599915344</v>
      </c>
      <c r="W262" s="18">
        <v>3156.84</v>
      </c>
      <c r="X262" s="18">
        <v>1998</v>
      </c>
      <c r="Y262" s="4">
        <f>X262/W262-1</f>
        <v>-0.36708860759493678</v>
      </c>
    </row>
    <row r="263" spans="1:25" ht="15" customHeight="1">
      <c r="A263" t="s">
        <v>534</v>
      </c>
      <c r="B263" t="s">
        <v>535</v>
      </c>
      <c r="C263" s="28">
        <v>979</v>
      </c>
      <c r="E263" t="s">
        <v>535</v>
      </c>
      <c r="F263" s="28">
        <v>845</v>
      </c>
      <c r="G263" t="b">
        <f>IF(B263=E263,TRUE,FALSE)</f>
        <v>1</v>
      </c>
      <c r="J263" s="25">
        <f>F263-C263</f>
        <v>-134</v>
      </c>
      <c r="K263" s="4">
        <f>F263/C263-1</f>
        <v>-0.13687436159346267</v>
      </c>
      <c r="M263" s="5">
        <v>1371.6</v>
      </c>
      <c r="N263" s="5">
        <v>1154.71</v>
      </c>
      <c r="Q263" s="159">
        <v>9386.24</v>
      </c>
      <c r="U263" s="146">
        <f>N263-M263</f>
        <v>-216.88999999999987</v>
      </c>
      <c r="V263" s="4">
        <f>IF(M263=0,0,N263/M263-1)</f>
        <v>-0.15812919218431021</v>
      </c>
      <c r="W263" s="18">
        <v>24426.05</v>
      </c>
      <c r="X263" s="18">
        <v>21057.3</v>
      </c>
      <c r="Y263" s="4">
        <f>X263/W263-1</f>
        <v>-0.13791628200220662</v>
      </c>
    </row>
    <row r="264" spans="1:25" ht="15" customHeight="1">
      <c r="A264" t="s">
        <v>536</v>
      </c>
      <c r="B264" t="s">
        <v>537</v>
      </c>
      <c r="C264" s="28">
        <v>590</v>
      </c>
      <c r="E264" t="s">
        <v>537</v>
      </c>
      <c r="F264" s="28">
        <v>453</v>
      </c>
      <c r="G264" t="b">
        <f>IF(B264=E264,TRUE,FALSE)</f>
        <v>1</v>
      </c>
      <c r="J264" s="25">
        <f>F264-C264</f>
        <v>-137</v>
      </c>
      <c r="K264" s="4">
        <f>F264/C264-1</f>
        <v>-0.23220338983050848</v>
      </c>
      <c r="M264" s="5">
        <v>751.36</v>
      </c>
      <c r="N264" s="5">
        <v>588.36</v>
      </c>
      <c r="Q264" s="159">
        <v>5936.44</v>
      </c>
      <c r="U264" s="146">
        <f>N264-M264</f>
        <v>-163</v>
      </c>
      <c r="V264" s="4">
        <f>IF(M264=0,0,N264/M264-1)</f>
        <v>-0.21693994889267465</v>
      </c>
      <c r="W264" s="18">
        <v>20620.5</v>
      </c>
      <c r="X264" s="18">
        <v>15832.35</v>
      </c>
      <c r="Y264" s="4">
        <f>X264/W264-1</f>
        <v>-0.23220338983050848</v>
      </c>
    </row>
    <row r="265" spans="1:25" ht="15" customHeight="1">
      <c r="A265" t="s">
        <v>538</v>
      </c>
      <c r="B265" t="s">
        <v>539</v>
      </c>
      <c r="C265" s="28">
        <v>1256</v>
      </c>
      <c r="E265" t="s">
        <v>539</v>
      </c>
      <c r="F265" s="28">
        <v>1113</v>
      </c>
      <c r="G265" t="b">
        <f>IF(B265=E265,TRUE,FALSE)</f>
        <v>1</v>
      </c>
      <c r="J265" s="25">
        <f>F265-C265</f>
        <v>-143</v>
      </c>
      <c r="K265" s="4">
        <f>F265/C265-1</f>
        <v>-0.11385350318471332</v>
      </c>
      <c r="M265" s="5">
        <v>1414.09</v>
      </c>
      <c r="N265" s="5">
        <v>1104.8900000000001</v>
      </c>
      <c r="Q265" s="159">
        <v>9743.52</v>
      </c>
      <c r="U265" s="146">
        <f>N265-M265</f>
        <v>-309.19999999999982</v>
      </c>
      <c r="V265" s="4">
        <f>IF(M265=0,0,N265/M265-1)</f>
        <v>-0.2186565211549476</v>
      </c>
      <c r="W265" s="18">
        <v>21323.4</v>
      </c>
      <c r="X265" s="18">
        <v>18865.349999999999</v>
      </c>
      <c r="Y265" s="4">
        <f>X265/W265-1</f>
        <v>-0.11527476856411278</v>
      </c>
    </row>
    <row r="266" spans="1:25" ht="15" customHeight="1">
      <c r="A266" s="55" t="s">
        <v>540</v>
      </c>
      <c r="B266" s="37" t="s">
        <v>541</v>
      </c>
      <c r="C266" s="28">
        <v>944</v>
      </c>
      <c r="E266" s="37" t="s">
        <v>541</v>
      </c>
      <c r="F266" s="28">
        <v>801</v>
      </c>
      <c r="G266" t="b">
        <f>IF(B266=E266,TRUE,FALSE)</f>
        <v>1</v>
      </c>
      <c r="J266" s="25">
        <f>F266-C266</f>
        <v>-143</v>
      </c>
      <c r="K266" s="4">
        <f>F266/C266-1</f>
        <v>-0.15148305084745761</v>
      </c>
      <c r="M266" s="5">
        <v>2403.9499999999998</v>
      </c>
      <c r="N266" s="5">
        <v>1784.39</v>
      </c>
      <c r="Q266" s="158">
        <v>9136.64</v>
      </c>
      <c r="U266" s="146">
        <f>N266-M266</f>
        <v>-619.55999999999972</v>
      </c>
      <c r="V266" s="4">
        <f>IF(M266=0,0,N266/M266-1)</f>
        <v>-0.25772582624430618</v>
      </c>
      <c r="W266" s="18">
        <v>13206.560000000001</v>
      </c>
      <c r="X266" s="18">
        <v>11205.99</v>
      </c>
      <c r="Y266" s="4">
        <f>X266/W266-1</f>
        <v>-0.15148305084745772</v>
      </c>
    </row>
    <row r="267" spans="1:25" ht="15" customHeight="1">
      <c r="A267" t="s">
        <v>542</v>
      </c>
      <c r="B267" t="s">
        <v>543</v>
      </c>
      <c r="C267" s="28">
        <v>1144</v>
      </c>
      <c r="E267" t="s">
        <v>543</v>
      </c>
      <c r="F267" s="28">
        <v>992</v>
      </c>
      <c r="G267" t="b">
        <f>IF(B267=E267,TRUE,FALSE)</f>
        <v>1</v>
      </c>
      <c r="J267" s="25">
        <f>F267-C267</f>
        <v>-152</v>
      </c>
      <c r="K267" s="4">
        <f>F267/C267-1</f>
        <v>-0.13286713286713292</v>
      </c>
      <c r="M267" s="5">
        <v>2053.88</v>
      </c>
      <c r="N267" s="5">
        <v>1537.6</v>
      </c>
      <c r="Q267" s="159">
        <v>9100.42</v>
      </c>
      <c r="U267" s="146">
        <f>N267-M267</f>
        <v>-516.2800000000002</v>
      </c>
      <c r="V267" s="4">
        <f>IF(M267=0,0,N267/M267-1)</f>
        <v>-0.25136814224784321</v>
      </c>
      <c r="W267" s="18">
        <v>34308.559999999998</v>
      </c>
      <c r="X267" s="18">
        <v>29750.080000000002</v>
      </c>
      <c r="Y267" s="4">
        <f>X267/W267-1</f>
        <v>-0.13286713286713281</v>
      </c>
    </row>
    <row r="268" spans="1:25" ht="15" customHeight="1">
      <c r="A268" t="s">
        <v>544</v>
      </c>
      <c r="B268" t="s">
        <v>545</v>
      </c>
      <c r="C268" s="28">
        <v>4860</v>
      </c>
      <c r="E268" t="s">
        <v>545</v>
      </c>
      <c r="F268" s="28">
        <v>4704</v>
      </c>
      <c r="G268" t="b">
        <f>IF(B268=E268,TRUE,FALSE)</f>
        <v>1</v>
      </c>
      <c r="J268" s="25">
        <f>F268-C268</f>
        <v>-156</v>
      </c>
      <c r="K268" s="4">
        <f>F268/C268-1</f>
        <v>-3.2098765432098775E-2</v>
      </c>
      <c r="M268" s="5">
        <v>8639.85</v>
      </c>
      <c r="N268" s="5">
        <v>7667.42</v>
      </c>
      <c r="Q268" s="159">
        <v>50688.99</v>
      </c>
      <c r="U268" s="146">
        <f>N268-M268</f>
        <v>-972.43000000000029</v>
      </c>
      <c r="V268" s="4">
        <f>IF(M268=0,0,N268/M268-1)</f>
        <v>-0.11255172254147938</v>
      </c>
      <c r="W268" s="18">
        <v>144468.24</v>
      </c>
      <c r="X268" s="18">
        <v>136011.09999999998</v>
      </c>
      <c r="Y268" s="4">
        <f>X268/W268-1</f>
        <v>-5.8539787014779243E-2</v>
      </c>
    </row>
    <row r="269" spans="1:25" ht="15" customHeight="1">
      <c r="A269" t="s">
        <v>546</v>
      </c>
      <c r="B269" t="s">
        <v>547</v>
      </c>
      <c r="C269" s="28">
        <v>480</v>
      </c>
      <c r="E269" t="s">
        <v>547</v>
      </c>
      <c r="F269" s="28">
        <v>322</v>
      </c>
      <c r="G269" t="b">
        <f>IF(B269=E269,TRUE,FALSE)</f>
        <v>1</v>
      </c>
      <c r="J269" s="25">
        <f>F269-C269</f>
        <v>-158</v>
      </c>
      <c r="K269" s="4">
        <f>F269/C269-1</f>
        <v>-0.32916666666666672</v>
      </c>
      <c r="M269" s="5">
        <v>299.45</v>
      </c>
      <c r="N269" s="5">
        <v>147.97</v>
      </c>
      <c r="Q269" s="159">
        <v>1222.99</v>
      </c>
      <c r="U269" s="146">
        <f>N269-M269</f>
        <v>-151.47999999999999</v>
      </c>
      <c r="V269" s="4">
        <f>IF(M269=0,0,N269/M269-1)</f>
        <v>-0.50586074469861408</v>
      </c>
      <c r="W269" s="18">
        <v>14376</v>
      </c>
      <c r="X269" s="18">
        <v>9613.9500000000007</v>
      </c>
      <c r="Y269" s="4">
        <f>X269/W269-1</f>
        <v>-0.33124999999999993</v>
      </c>
    </row>
    <row r="270" spans="1:25" ht="15" customHeight="1">
      <c r="A270" t="s">
        <v>548</v>
      </c>
      <c r="B270" t="s">
        <v>549</v>
      </c>
      <c r="C270" s="28">
        <v>597</v>
      </c>
      <c r="E270" t="s">
        <v>549</v>
      </c>
      <c r="F270" s="28">
        <v>438</v>
      </c>
      <c r="G270" t="b">
        <f>IF(B270=E270,TRUE,FALSE)</f>
        <v>1</v>
      </c>
      <c r="J270" s="25">
        <f>F270-C270</f>
        <v>-159</v>
      </c>
      <c r="K270" s="4">
        <f>F270/C270-1</f>
        <v>-0.26633165829145733</v>
      </c>
      <c r="M270" s="5">
        <v>1089.03</v>
      </c>
      <c r="N270" s="5">
        <v>1051.29</v>
      </c>
      <c r="Q270" s="159">
        <v>5098.7700000000004</v>
      </c>
      <c r="U270" s="146">
        <f>N270-M270</f>
        <v>-37.740000000000009</v>
      </c>
      <c r="V270" s="4">
        <f>IF(M270=0,0,N270/M270-1)</f>
        <v>-3.4654692708189883E-2</v>
      </c>
      <c r="W270" s="18">
        <v>17307.03</v>
      </c>
      <c r="X270" s="18">
        <v>12696.17</v>
      </c>
      <c r="Y270" s="4">
        <f>X270/W270-1</f>
        <v>-0.26641543927525402</v>
      </c>
    </row>
    <row r="271" spans="1:25" ht="15" customHeight="1">
      <c r="A271" t="s">
        <v>550</v>
      </c>
      <c r="B271" t="s">
        <v>551</v>
      </c>
      <c r="C271" s="28">
        <v>576</v>
      </c>
      <c r="E271" t="s">
        <v>551</v>
      </c>
      <c r="F271" s="28">
        <v>408</v>
      </c>
      <c r="G271" t="b">
        <f>IF(B271=E271,TRUE,FALSE)</f>
        <v>1</v>
      </c>
      <c r="J271" s="25">
        <f>F271-C271</f>
        <v>-168</v>
      </c>
      <c r="K271" s="4">
        <f>F271/C271-1</f>
        <v>-0.29166666666666663</v>
      </c>
      <c r="M271" s="5">
        <v>390.56</v>
      </c>
      <c r="N271" s="5">
        <v>246.22</v>
      </c>
      <c r="Q271" s="159">
        <v>1769.15</v>
      </c>
      <c r="U271" s="146">
        <f>N271-M271</f>
        <v>-144.34</v>
      </c>
      <c r="V271" s="4">
        <f>IF(M271=0,0,N271/M271-1)</f>
        <v>-0.36957189676362145</v>
      </c>
      <c r="W271" s="18">
        <v>14394.24</v>
      </c>
      <c r="X271" s="18">
        <v>10449.92</v>
      </c>
      <c r="Y271" s="4">
        <f>X271/W271-1</f>
        <v>-0.27402071939887063</v>
      </c>
    </row>
    <row r="272" spans="1:25" ht="15" customHeight="1">
      <c r="A272" t="s">
        <v>552</v>
      </c>
      <c r="B272" t="s">
        <v>553</v>
      </c>
      <c r="C272" s="28">
        <v>1439</v>
      </c>
      <c r="E272" t="s">
        <v>553</v>
      </c>
      <c r="F272" s="28">
        <v>1271</v>
      </c>
      <c r="G272" t="b">
        <f>IF(B272=E272,TRUE,FALSE)</f>
        <v>1</v>
      </c>
      <c r="J272" s="25">
        <f>F272-C272</f>
        <v>-168</v>
      </c>
      <c r="K272" s="4">
        <f>F272/C272-1</f>
        <v>-0.11674774148714384</v>
      </c>
      <c r="M272" s="5">
        <v>1641.19</v>
      </c>
      <c r="N272" s="5">
        <v>1451.3899999999999</v>
      </c>
      <c r="Q272" s="159">
        <v>10722.699999999999</v>
      </c>
      <c r="U272" s="146">
        <f>N272-M272</f>
        <v>-189.80000000000018</v>
      </c>
      <c r="V272" s="4">
        <f>IF(M272=0,0,N272/M272-1)</f>
        <v>-0.11564779215081755</v>
      </c>
      <c r="W272" s="18">
        <v>42978.62</v>
      </c>
      <c r="X272" s="18">
        <v>38114.29</v>
      </c>
      <c r="Y272" s="4">
        <f>X272/W272-1</f>
        <v>-0.113180227750449</v>
      </c>
    </row>
    <row r="273" spans="1:25" ht="15" customHeight="1">
      <c r="A273" s="57" t="s">
        <v>554</v>
      </c>
      <c r="B273" s="37" t="s">
        <v>555</v>
      </c>
      <c r="C273" s="28">
        <v>410</v>
      </c>
      <c r="E273" s="37" t="s">
        <v>555</v>
      </c>
      <c r="F273" s="28">
        <v>241</v>
      </c>
      <c r="G273" t="b">
        <f>IF(B273=E273,TRUE,FALSE)</f>
        <v>1</v>
      </c>
      <c r="J273" s="25">
        <f>F273-C273</f>
        <v>-169</v>
      </c>
      <c r="K273" s="4">
        <f>F273/C273-1</f>
        <v>-0.41219512195121955</v>
      </c>
      <c r="M273" s="5">
        <v>842.36</v>
      </c>
      <c r="N273" s="5">
        <v>841.24</v>
      </c>
      <c r="Q273" s="159">
        <v>3900.7</v>
      </c>
      <c r="U273" s="146">
        <f>N273-M273</f>
        <v>-1.1200000000000045</v>
      </c>
      <c r="V273" s="4">
        <f>IF(M273=0,0,N273/M273-1)</f>
        <v>-1.3295977966665262E-3</v>
      </c>
      <c r="W273" s="18">
        <v>6949.5</v>
      </c>
      <c r="X273" s="18">
        <v>4067.83</v>
      </c>
      <c r="Y273" s="4">
        <f>X273/W273-1</f>
        <v>-0.41465860853298797</v>
      </c>
    </row>
    <row r="274" spans="1:25" ht="15" customHeight="1">
      <c r="A274" t="s">
        <v>556</v>
      </c>
      <c r="B274" t="s">
        <v>557</v>
      </c>
      <c r="C274" s="28">
        <v>1269</v>
      </c>
      <c r="E274" t="s">
        <v>557</v>
      </c>
      <c r="F274" s="28">
        <v>1098</v>
      </c>
      <c r="G274" t="b">
        <f>IF(B274=E274,TRUE,FALSE)</f>
        <v>1</v>
      </c>
      <c r="J274" s="25">
        <f>F274-C274</f>
        <v>-171</v>
      </c>
      <c r="K274" s="4">
        <f>F274/C274-1</f>
        <v>-0.13475177304964536</v>
      </c>
      <c r="M274" s="5">
        <v>1673.66</v>
      </c>
      <c r="N274" s="5">
        <v>1950.81</v>
      </c>
      <c r="Q274" s="159">
        <v>11281.85</v>
      </c>
      <c r="U274" s="146">
        <f>N274-M274</f>
        <v>277.14999999999986</v>
      </c>
      <c r="V274" s="4">
        <f>IF(M274=0,0,N274/M274-1)</f>
        <v>0.165595162697322</v>
      </c>
      <c r="W274" s="18">
        <v>55823.31</v>
      </c>
      <c r="X274" s="18">
        <v>48344.57</v>
      </c>
      <c r="Y274" s="4">
        <f>X274/W274-1</f>
        <v>-0.13397163299704007</v>
      </c>
    </row>
    <row r="275" spans="1:25" ht="15" customHeight="1">
      <c r="A275" s="37" t="s">
        <v>558</v>
      </c>
      <c r="B275" s="37" t="s">
        <v>559</v>
      </c>
      <c r="C275" s="28">
        <v>1374</v>
      </c>
      <c r="E275" s="37" t="s">
        <v>559</v>
      </c>
      <c r="F275" s="28">
        <v>1201</v>
      </c>
      <c r="G275" t="b">
        <f>IF(B275=E275,TRUE,FALSE)</f>
        <v>1</v>
      </c>
      <c r="J275" s="25">
        <f>F275-C275</f>
        <v>-173</v>
      </c>
      <c r="K275" s="4">
        <f>F275/C275-1</f>
        <v>-0.12590975254730719</v>
      </c>
      <c r="M275" s="5">
        <v>2861.83</v>
      </c>
      <c r="N275" s="5">
        <v>3116.3</v>
      </c>
      <c r="Q275" s="159">
        <v>17547.52</v>
      </c>
      <c r="U275" s="146">
        <f>N275-M275</f>
        <v>254.47000000000025</v>
      </c>
      <c r="V275" s="4">
        <f>IF(M275=0,0,N275/M275-1)</f>
        <v>8.8918628989143489E-2</v>
      </c>
      <c r="W275" s="18">
        <v>26922.57</v>
      </c>
      <c r="X275" s="18">
        <v>22960.32</v>
      </c>
      <c r="Y275" s="4">
        <f>X275/W275-1</f>
        <v>-0.14717205675386857</v>
      </c>
    </row>
    <row r="276" spans="1:25" ht="15" customHeight="1">
      <c r="A276" s="55" t="s">
        <v>560</v>
      </c>
      <c r="B276" s="37" t="s">
        <v>561</v>
      </c>
      <c r="C276" s="19">
        <v>1061</v>
      </c>
      <c r="E276" s="37" t="s">
        <v>561</v>
      </c>
      <c r="F276" s="19">
        <v>885</v>
      </c>
      <c r="G276" t="b">
        <f>IF(B276=E276,TRUE,FALSE)</f>
        <v>1</v>
      </c>
      <c r="J276" s="25">
        <f>F276-C276</f>
        <v>-176</v>
      </c>
      <c r="K276" s="4">
        <f>F276/C276-1</f>
        <v>-0.16588124410933081</v>
      </c>
      <c r="M276" s="5">
        <v>2016.18</v>
      </c>
      <c r="N276" s="5">
        <v>1718.61</v>
      </c>
      <c r="Q276" s="158">
        <v>19959.349999999999</v>
      </c>
      <c r="U276" s="146">
        <f>N276-M276</f>
        <v>-297.57000000000016</v>
      </c>
      <c r="V276" s="4">
        <f>IF(M276=0,0,N276/M276-1)</f>
        <v>-0.14759098889980071</v>
      </c>
      <c r="W276">
        <v>12627.39</v>
      </c>
      <c r="X276">
        <v>13911.12</v>
      </c>
      <c r="Y276" s="4">
        <f>X276/W276-1</f>
        <v>0.10166233877309572</v>
      </c>
    </row>
    <row r="277" spans="1:25" ht="15" customHeight="1">
      <c r="A277" s="55" t="s">
        <v>562</v>
      </c>
      <c r="B277" s="37" t="s">
        <v>563</v>
      </c>
      <c r="C277" s="28">
        <v>1266</v>
      </c>
      <c r="E277" s="37" t="s">
        <v>563</v>
      </c>
      <c r="F277" s="28">
        <v>1090</v>
      </c>
      <c r="G277" t="b">
        <f>IF(B277=E277,TRUE,FALSE)</f>
        <v>1</v>
      </c>
      <c r="J277" s="25">
        <f>F277-C277</f>
        <v>-176</v>
      </c>
      <c r="K277" s="4">
        <f>F277/C277-1</f>
        <v>-0.13902053712480256</v>
      </c>
      <c r="M277" s="5">
        <v>2609</v>
      </c>
      <c r="N277" s="5">
        <v>2630.19</v>
      </c>
      <c r="Q277" s="159">
        <v>11914.33</v>
      </c>
      <c r="U277" s="146">
        <f>N277-M277</f>
        <v>21.190000000000055</v>
      </c>
      <c r="V277" s="4">
        <f>IF(M277=0,0,N277/M277-1)</f>
        <v>8.1218857799922883E-3</v>
      </c>
      <c r="W277" s="18">
        <v>23665.31</v>
      </c>
      <c r="X277" s="18">
        <v>19664.79</v>
      </c>
      <c r="Y277" s="4">
        <f>X277/W277-1</f>
        <v>-0.16904574670688866</v>
      </c>
    </row>
    <row r="278" spans="1:25" ht="15" customHeight="1">
      <c r="A278" t="s">
        <v>564</v>
      </c>
      <c r="B278" t="s">
        <v>565</v>
      </c>
      <c r="C278" s="28">
        <v>2504</v>
      </c>
      <c r="E278" t="s">
        <v>565</v>
      </c>
      <c r="F278" s="28">
        <v>2326</v>
      </c>
      <c r="G278" t="b">
        <f>IF(B278=E278,TRUE,FALSE)</f>
        <v>1</v>
      </c>
      <c r="J278" s="25">
        <f>F278-C278</f>
        <v>-178</v>
      </c>
      <c r="K278" s="4">
        <f>F278/C278-1</f>
        <v>-7.1086261980830678E-2</v>
      </c>
      <c r="M278" s="5">
        <v>4005.54</v>
      </c>
      <c r="N278" s="5">
        <v>4727.3599999999997</v>
      </c>
      <c r="Q278" s="159">
        <v>31223.9</v>
      </c>
      <c r="U278" s="146">
        <f>N278-M278</f>
        <v>721.81999999999971</v>
      </c>
      <c r="V278" s="4">
        <f>IF(M278=0,0,N278/M278-1)</f>
        <v>0.18020541549953317</v>
      </c>
      <c r="W278" s="18">
        <v>81231.450000000012</v>
      </c>
      <c r="X278" s="18">
        <v>74345.530000000013</v>
      </c>
      <c r="Y278" s="4">
        <f>X278/W278-1</f>
        <v>-8.4769138061674409E-2</v>
      </c>
    </row>
    <row r="279" spans="1:25" ht="15" customHeight="1">
      <c r="A279" t="s">
        <v>566</v>
      </c>
      <c r="B279" t="s">
        <v>567</v>
      </c>
      <c r="C279" s="28">
        <v>949</v>
      </c>
      <c r="E279" t="s">
        <v>567</v>
      </c>
      <c r="F279" s="28">
        <v>765</v>
      </c>
      <c r="G279" t="b">
        <f>IF(B279=E279,TRUE,FALSE)</f>
        <v>1</v>
      </c>
      <c r="J279" s="25">
        <f>F279-C279</f>
        <v>-184</v>
      </c>
      <c r="K279" s="4">
        <f>F279/C279-1</f>
        <v>-0.19388830347734454</v>
      </c>
      <c r="M279" s="5">
        <v>2302.62</v>
      </c>
      <c r="N279" s="5">
        <v>2012.66</v>
      </c>
      <c r="Q279" s="159">
        <v>13135.24</v>
      </c>
      <c r="U279" s="146">
        <f>N279-M279</f>
        <v>-289.95999999999981</v>
      </c>
      <c r="V279" s="4">
        <f>IF(M279=0,0,N279/M279-1)</f>
        <v>-0.1259261189427695</v>
      </c>
      <c r="W279" s="18">
        <v>27511.510000000002</v>
      </c>
      <c r="X279" s="18">
        <v>22176.190000000002</v>
      </c>
      <c r="Y279" s="4">
        <f>X279/W279-1</f>
        <v>-0.19393046764790445</v>
      </c>
    </row>
    <row r="280" spans="1:25" ht="15" customHeight="1">
      <c r="A280" s="56" t="s">
        <v>568</v>
      </c>
      <c r="B280" s="37" t="s">
        <v>569</v>
      </c>
      <c r="C280" s="28">
        <v>1264</v>
      </c>
      <c r="E280" s="37" t="s">
        <v>569</v>
      </c>
      <c r="F280" s="28">
        <v>1077</v>
      </c>
      <c r="G280" t="b">
        <f>IF(B280=E280,TRUE,FALSE)</f>
        <v>1</v>
      </c>
      <c r="J280" s="25">
        <f>F280-C280</f>
        <v>-187</v>
      </c>
      <c r="K280" s="4">
        <f>F280/C280-1</f>
        <v>-0.14794303797468356</v>
      </c>
      <c r="M280" s="5">
        <v>2450.83</v>
      </c>
      <c r="N280" s="5">
        <v>2268.12</v>
      </c>
      <c r="Q280" s="159">
        <v>21126.21</v>
      </c>
      <c r="U280" s="146">
        <f>N280-M280</f>
        <v>-182.71000000000004</v>
      </c>
      <c r="V280" s="4">
        <f>IF(M280=0,0,N280/M280-1)</f>
        <v>-7.4550254403610183E-2</v>
      </c>
      <c r="W280" s="18">
        <v>36643.360000000001</v>
      </c>
      <c r="X280" s="18">
        <v>31222.23</v>
      </c>
      <c r="Y280" s="4">
        <f>X280/W280-1</f>
        <v>-0.14794303797468356</v>
      </c>
    </row>
    <row r="281" spans="1:25" ht="15" customHeight="1">
      <c r="A281" t="s">
        <v>570</v>
      </c>
      <c r="B281" t="s">
        <v>571</v>
      </c>
      <c r="C281" s="28">
        <v>4146</v>
      </c>
      <c r="E281" t="s">
        <v>571</v>
      </c>
      <c r="F281" s="28">
        <v>3957</v>
      </c>
      <c r="G281" t="b">
        <f>IF(B281=E281,TRUE,FALSE)</f>
        <v>1</v>
      </c>
      <c r="J281" s="25">
        <f>F281-C281</f>
        <v>-189</v>
      </c>
      <c r="K281" s="4">
        <f>F281/C281-1</f>
        <v>-4.5586107091172168E-2</v>
      </c>
      <c r="M281" s="5">
        <v>6266.04</v>
      </c>
      <c r="N281" s="5">
        <v>6084.69</v>
      </c>
      <c r="Q281" s="159">
        <v>35588.129999999997</v>
      </c>
      <c r="U281" s="146">
        <f>N281-M281</f>
        <v>-181.35000000000036</v>
      </c>
      <c r="V281" s="4">
        <f>IF(M281=0,0,N281/M281-1)</f>
        <v>-2.8941723959630017E-2</v>
      </c>
      <c r="W281" s="18">
        <v>119426.83</v>
      </c>
      <c r="X281" s="18">
        <v>114588.87999999999</v>
      </c>
      <c r="Y281" s="4">
        <f>X281/W281-1</f>
        <v>-4.050974140400454E-2</v>
      </c>
    </row>
    <row r="282" spans="1:25" ht="15" customHeight="1">
      <c r="A282" s="57" t="s">
        <v>572</v>
      </c>
      <c r="B282" s="37" t="s">
        <v>573</v>
      </c>
      <c r="C282" s="28">
        <v>866</v>
      </c>
      <c r="E282" s="37" t="s">
        <v>573</v>
      </c>
      <c r="F282" s="28">
        <v>669</v>
      </c>
      <c r="G282" t="b">
        <f>IF(B282=E282,TRUE,FALSE)</f>
        <v>1</v>
      </c>
      <c r="J282" s="25">
        <f>F282-C282</f>
        <v>-197</v>
      </c>
      <c r="K282" s="4">
        <f>F282/C282-1</f>
        <v>-0.22748267898383367</v>
      </c>
      <c r="M282" s="5">
        <v>1890.21</v>
      </c>
      <c r="N282" s="5">
        <v>1596.27</v>
      </c>
      <c r="Q282" s="159">
        <v>7693.07</v>
      </c>
      <c r="U282" s="146">
        <f>N282-M282</f>
        <v>-293.94000000000005</v>
      </c>
      <c r="V282" s="4">
        <f>IF(M282=0,0,N282/M282-1)</f>
        <v>-0.15550653102036283</v>
      </c>
      <c r="W282" s="18">
        <v>14713.34</v>
      </c>
      <c r="X282" s="18">
        <v>11366.140000000001</v>
      </c>
      <c r="Y282" s="4">
        <f>X282/W282-1</f>
        <v>-0.22749423312449779</v>
      </c>
    </row>
    <row r="283" spans="1:25" ht="15" customHeight="1">
      <c r="A283" s="57" t="s">
        <v>574</v>
      </c>
      <c r="B283" s="37" t="s">
        <v>575</v>
      </c>
      <c r="C283" s="28">
        <v>1459</v>
      </c>
      <c r="E283" s="37" t="s">
        <v>575</v>
      </c>
      <c r="F283" s="28">
        <v>1261</v>
      </c>
      <c r="G283" t="b">
        <f>IF(B283=E283,TRUE,FALSE)</f>
        <v>1</v>
      </c>
      <c r="J283" s="25">
        <f>F283-C283</f>
        <v>-198</v>
      </c>
      <c r="K283" s="4">
        <f>F283/C283-1</f>
        <v>-0.13570938999314597</v>
      </c>
      <c r="M283" s="5">
        <v>2923.82</v>
      </c>
      <c r="N283" s="5">
        <v>2626.91</v>
      </c>
      <c r="Q283" s="159">
        <v>15213.72</v>
      </c>
      <c r="U283" s="146">
        <f>N283-M283</f>
        <v>-296.91000000000031</v>
      </c>
      <c r="V283" s="4">
        <f>IF(M283=0,0,N283/M283-1)</f>
        <v>-0.10154865894617326</v>
      </c>
      <c r="W283" s="18">
        <v>23329.41</v>
      </c>
      <c r="X283" s="18">
        <v>20163.39</v>
      </c>
      <c r="Y283" s="4">
        <f>X283/W283-1</f>
        <v>-0.13570938999314597</v>
      </c>
    </row>
    <row r="284" spans="1:25" ht="15" customHeight="1">
      <c r="A284" t="s">
        <v>576</v>
      </c>
      <c r="B284" t="s">
        <v>577</v>
      </c>
      <c r="C284" s="28">
        <v>1460</v>
      </c>
      <c r="E284" t="s">
        <v>577</v>
      </c>
      <c r="F284" s="28">
        <v>1262</v>
      </c>
      <c r="G284" t="b">
        <f>IF(B284=E284,TRUE,FALSE)</f>
        <v>1</v>
      </c>
      <c r="J284" s="25">
        <f>F284-C284</f>
        <v>-198</v>
      </c>
      <c r="K284" s="4">
        <f>F284/C284-1</f>
        <v>-0.13561643835616444</v>
      </c>
      <c r="M284" s="5">
        <v>535.54</v>
      </c>
      <c r="N284" s="5">
        <v>450.35</v>
      </c>
      <c r="Q284" s="159">
        <v>1605.54</v>
      </c>
      <c r="U284" s="146">
        <f>N284-M284</f>
        <v>-85.189999999999941</v>
      </c>
      <c r="V284" s="4">
        <f>IF(M284=0,0,N284/M284-1)</f>
        <v>-0.15907308511035578</v>
      </c>
      <c r="W284" s="18">
        <v>29127</v>
      </c>
      <c r="X284" s="18">
        <v>25034.11</v>
      </c>
      <c r="Y284" s="4">
        <f>X284/W284-1</f>
        <v>-0.14051876266007479</v>
      </c>
    </row>
    <row r="285" spans="1:25" ht="15" customHeight="1">
      <c r="A285" t="s">
        <v>578</v>
      </c>
      <c r="B285" t="s">
        <v>579</v>
      </c>
      <c r="C285" s="28">
        <v>623</v>
      </c>
      <c r="E285" t="s">
        <v>579</v>
      </c>
      <c r="F285" s="28">
        <v>421</v>
      </c>
      <c r="G285" t="b">
        <f>IF(B285=E285,TRUE,FALSE)</f>
        <v>1</v>
      </c>
      <c r="J285" s="25">
        <f>F285-C285</f>
        <v>-202</v>
      </c>
      <c r="K285" s="4">
        <f>F285/C285-1</f>
        <v>-0.3242375601926164</v>
      </c>
      <c r="M285" s="5">
        <v>0</v>
      </c>
      <c r="N285" s="5">
        <v>0</v>
      </c>
      <c r="Q285" s="159">
        <v>0</v>
      </c>
      <c r="U285" s="146">
        <f>N285-M285</f>
        <v>0</v>
      </c>
      <c r="V285" s="4">
        <f>IF(M285=0,0,N285/M285-1)</f>
        <v>0</v>
      </c>
      <c r="W285" s="18">
        <v>12428.85</v>
      </c>
      <c r="X285" s="18">
        <v>8398.9500000000007</v>
      </c>
      <c r="Y285" s="4">
        <f>X285/W285-1</f>
        <v>-0.32423756019261629</v>
      </c>
    </row>
    <row r="286" spans="1:25" ht="15" customHeight="1">
      <c r="A286" t="s">
        <v>580</v>
      </c>
      <c r="B286" t="s">
        <v>581</v>
      </c>
      <c r="C286" s="28">
        <v>1449</v>
      </c>
      <c r="E286" t="s">
        <v>581</v>
      </c>
      <c r="F286" s="28">
        <v>1246</v>
      </c>
      <c r="G286" t="b">
        <f>IF(B286=E286,TRUE,FALSE)</f>
        <v>1</v>
      </c>
      <c r="J286" s="25">
        <f>F286-C286</f>
        <v>-203</v>
      </c>
      <c r="K286" s="4">
        <f>F286/C286-1</f>
        <v>-0.14009661835748788</v>
      </c>
      <c r="M286" s="5">
        <v>2816.33</v>
      </c>
      <c r="N286" s="5">
        <v>2294.4299999999998</v>
      </c>
      <c r="Q286" s="159">
        <v>15742.16</v>
      </c>
      <c r="U286" s="146">
        <f>N286-M286</f>
        <v>-521.90000000000009</v>
      </c>
      <c r="V286" s="4">
        <f>IF(M286=0,0,N286/M286-1)</f>
        <v>-0.18531209055756959</v>
      </c>
      <c r="W286" s="18">
        <v>41982.61</v>
      </c>
      <c r="X286" s="18">
        <v>36097.410000000003</v>
      </c>
      <c r="Y286" s="4">
        <f>X286/W286-1</f>
        <v>-0.14018185148565077</v>
      </c>
    </row>
    <row r="287" spans="1:25" ht="15" customHeight="1">
      <c r="A287" t="s">
        <v>582</v>
      </c>
      <c r="B287" t="s">
        <v>583</v>
      </c>
      <c r="C287" s="28">
        <v>630</v>
      </c>
      <c r="E287" t="s">
        <v>583</v>
      </c>
      <c r="F287" s="28">
        <v>410</v>
      </c>
      <c r="G287" t="b">
        <f>IF(B287=E287,TRUE,FALSE)</f>
        <v>1</v>
      </c>
      <c r="J287" s="25">
        <f>F287-C287</f>
        <v>-220</v>
      </c>
      <c r="K287" s="4">
        <f>F287/C287-1</f>
        <v>-0.34920634920634919</v>
      </c>
      <c r="M287" s="5">
        <v>1502.64</v>
      </c>
      <c r="N287" s="5">
        <v>1214.3800000000001</v>
      </c>
      <c r="Q287" s="159">
        <v>4674.6400000000003</v>
      </c>
      <c r="U287" s="146">
        <f>N287-M287</f>
        <v>-288.26</v>
      </c>
      <c r="V287" s="4">
        <f>IF(M287=0,0,N287/M287-1)</f>
        <v>-0.19183570249693871</v>
      </c>
      <c r="W287" s="18">
        <v>12544.7</v>
      </c>
      <c r="X287" s="18">
        <v>8195.9</v>
      </c>
      <c r="Y287" s="4">
        <f>X287/W287-1</f>
        <v>-0.3466643283617783</v>
      </c>
    </row>
    <row r="288" spans="1:25" ht="15" customHeight="1">
      <c r="A288" t="s">
        <v>584</v>
      </c>
      <c r="B288" t="s">
        <v>585</v>
      </c>
      <c r="C288" s="28">
        <v>1345</v>
      </c>
      <c r="E288" t="s">
        <v>585</v>
      </c>
      <c r="F288" s="28">
        <v>1122</v>
      </c>
      <c r="G288" t="b">
        <f>IF(B288=E288,TRUE,FALSE)</f>
        <v>1</v>
      </c>
      <c r="J288" s="25">
        <f>F288-C288</f>
        <v>-223</v>
      </c>
      <c r="K288" s="4">
        <f>F288/C288-1</f>
        <v>-0.16579925650557625</v>
      </c>
      <c r="M288" s="5">
        <v>2182.9699999999998</v>
      </c>
      <c r="N288" s="5">
        <v>1921.04</v>
      </c>
      <c r="Q288" s="159">
        <v>16547.580000000002</v>
      </c>
      <c r="U288" s="146">
        <f>N288-M288</f>
        <v>-261.92999999999984</v>
      </c>
      <c r="V288" s="4">
        <f>IF(M288=0,0,N288/M288-1)</f>
        <v>-0.11998790638442114</v>
      </c>
      <c r="W288" s="18">
        <v>33557.75</v>
      </c>
      <c r="X288" s="18">
        <v>27992.9</v>
      </c>
      <c r="Y288" s="4">
        <f>X288/W288-1</f>
        <v>-0.16582905588127927</v>
      </c>
    </row>
    <row r="289" spans="1:25" ht="15" customHeight="1">
      <c r="A289" t="s">
        <v>586</v>
      </c>
      <c r="B289" t="s">
        <v>587</v>
      </c>
      <c r="C289" s="28">
        <v>1226</v>
      </c>
      <c r="E289" t="s">
        <v>587</v>
      </c>
      <c r="F289" s="28">
        <v>1001</v>
      </c>
      <c r="G289" t="b">
        <f>IF(B289=E289,TRUE,FALSE)</f>
        <v>1</v>
      </c>
      <c r="J289" s="25">
        <f>F289-C289</f>
        <v>-225</v>
      </c>
      <c r="K289" s="4">
        <f>F289/C289-1</f>
        <v>-0.18352365415986949</v>
      </c>
      <c r="M289" s="5">
        <v>2404.59</v>
      </c>
      <c r="N289" s="5">
        <v>2375.91</v>
      </c>
      <c r="Q289" s="159">
        <v>16320.77</v>
      </c>
      <c r="U289" s="146">
        <f>N289-M289</f>
        <v>-28.680000000000291</v>
      </c>
      <c r="V289" s="4">
        <f>IF(M289=0,0,N289/M289-1)</f>
        <v>-1.1927189250558468E-2</v>
      </c>
      <c r="W289" s="18">
        <v>35029.699999999997</v>
      </c>
      <c r="X289" s="18">
        <v>28944</v>
      </c>
      <c r="Y289" s="4">
        <f>X289/W289-1</f>
        <v>-0.17372972077979532</v>
      </c>
    </row>
    <row r="290" spans="1:25" ht="15" customHeight="1">
      <c r="A290" s="55" t="s">
        <v>588</v>
      </c>
      <c r="B290" s="37" t="s">
        <v>589</v>
      </c>
      <c r="C290" s="28">
        <v>1294</v>
      </c>
      <c r="E290" s="37" t="s">
        <v>589</v>
      </c>
      <c r="F290" s="28">
        <v>1062</v>
      </c>
      <c r="G290" t="b">
        <f>IF(B290=E290,TRUE,FALSE)</f>
        <v>1</v>
      </c>
      <c r="J290" s="25">
        <f>F290-C290</f>
        <v>-232</v>
      </c>
      <c r="K290" s="4">
        <f>F290/C290-1</f>
        <v>-0.17928902627511589</v>
      </c>
      <c r="M290" s="5">
        <v>2121.96</v>
      </c>
      <c r="N290" s="5">
        <v>1404.08</v>
      </c>
      <c r="Q290" s="159">
        <v>5248.79</v>
      </c>
      <c r="U290" s="146">
        <f>N290-M290</f>
        <v>-717.88000000000011</v>
      </c>
      <c r="V290" s="4">
        <f>IF(M290=0,0,N290/M290-1)</f>
        <v>-0.33830986446492872</v>
      </c>
      <c r="W290" s="18">
        <v>20659.080000000002</v>
      </c>
      <c r="X290" s="18">
        <v>16977.12</v>
      </c>
      <c r="Y290" s="4">
        <f>X290/W290-1</f>
        <v>-0.17822478058074231</v>
      </c>
    </row>
    <row r="291" spans="1:25" ht="15" customHeight="1">
      <c r="A291" s="55" t="s">
        <v>590</v>
      </c>
      <c r="B291" s="37" t="s">
        <v>591</v>
      </c>
      <c r="C291" s="28">
        <v>1915</v>
      </c>
      <c r="E291" s="37" t="s">
        <v>591</v>
      </c>
      <c r="F291" s="28">
        <v>1682</v>
      </c>
      <c r="G291" t="b">
        <f>IF(B291=E291,TRUE,FALSE)</f>
        <v>1</v>
      </c>
      <c r="J291" s="25">
        <f>F291-C291</f>
        <v>-233</v>
      </c>
      <c r="K291" s="4">
        <f>F291/C291-1</f>
        <v>-0.12167101827676241</v>
      </c>
      <c r="M291" s="5">
        <v>3105.17</v>
      </c>
      <c r="N291" s="5">
        <v>1753.87</v>
      </c>
      <c r="Q291" s="159">
        <v>11042.96</v>
      </c>
      <c r="U291" s="146">
        <f>N291-M291</f>
        <v>-1351.3000000000002</v>
      </c>
      <c r="V291" s="4">
        <f>IF(M291=0,0,N291/M291-1)</f>
        <v>-0.43517746210352415</v>
      </c>
      <c r="W291" s="18">
        <v>46510.25</v>
      </c>
      <c r="X291" s="18">
        <v>41672.1</v>
      </c>
      <c r="Y291" s="4">
        <f>X291/W291-1</f>
        <v>-0.10402330669046078</v>
      </c>
    </row>
    <row r="292" spans="1:25" ht="15" customHeight="1">
      <c r="A292" t="s">
        <v>592</v>
      </c>
      <c r="B292" t="s">
        <v>593</v>
      </c>
      <c r="C292" s="28">
        <v>13805</v>
      </c>
      <c r="E292" t="s">
        <v>593</v>
      </c>
      <c r="F292" s="28">
        <v>13570</v>
      </c>
      <c r="G292" t="b">
        <f>IF(B292=E292,TRUE,FALSE)</f>
        <v>1</v>
      </c>
      <c r="J292" s="25">
        <f>F292-C292</f>
        <v>-235</v>
      </c>
      <c r="K292" s="4">
        <f>F292/C292-1</f>
        <v>-1.7022817819630554E-2</v>
      </c>
      <c r="M292" s="5">
        <v>12853.48</v>
      </c>
      <c r="N292" s="5">
        <v>12448.06</v>
      </c>
      <c r="Q292" s="159">
        <v>116210.05</v>
      </c>
      <c r="U292" s="146">
        <f>N292-M292</f>
        <v>-405.42000000000007</v>
      </c>
      <c r="V292" s="4">
        <f>IF(M292=0,0,N292/M292-1)</f>
        <v>-3.1541652533010556E-2</v>
      </c>
      <c r="W292" s="18">
        <v>476623.73000000004</v>
      </c>
      <c r="X292" s="18">
        <v>446690.52</v>
      </c>
      <c r="Y292" s="4">
        <f>X292/W292-1</f>
        <v>-6.2802601121014323E-2</v>
      </c>
    </row>
    <row r="293" spans="1:25" ht="15" customHeight="1">
      <c r="A293" s="57" t="s">
        <v>594</v>
      </c>
      <c r="B293" s="37" t="s">
        <v>595</v>
      </c>
      <c r="C293" s="28">
        <v>1802</v>
      </c>
      <c r="E293" s="37" t="s">
        <v>595</v>
      </c>
      <c r="F293" s="28">
        <v>1563</v>
      </c>
      <c r="G293" t="b">
        <f>IF(B293=E293,TRUE,FALSE)</f>
        <v>1</v>
      </c>
      <c r="J293" s="25">
        <f>F293-C293</f>
        <v>-239</v>
      </c>
      <c r="K293" s="4">
        <f>F293/C293-1</f>
        <v>-0.13263041065482795</v>
      </c>
      <c r="M293" s="5">
        <v>3447.25</v>
      </c>
      <c r="N293" s="5">
        <v>3761.82</v>
      </c>
      <c r="Q293" s="159">
        <v>20417.990000000002</v>
      </c>
      <c r="U293" s="146">
        <f>N293-M293</f>
        <v>314.57000000000016</v>
      </c>
      <c r="V293" s="4">
        <f>IF(M293=0,0,N293/M293-1)</f>
        <v>9.1252447603161979E-2</v>
      </c>
      <c r="W293" s="18">
        <v>39603.99</v>
      </c>
      <c r="X293" s="18">
        <v>31457.969999999998</v>
      </c>
      <c r="Y293" s="4">
        <f>X293/W293-1</f>
        <v>-0.20568685124907871</v>
      </c>
    </row>
    <row r="294" spans="1:25" ht="15" customHeight="1">
      <c r="A294" s="37" t="s">
        <v>594</v>
      </c>
      <c r="B294" s="37" t="s">
        <v>595</v>
      </c>
      <c r="C294" s="28">
        <v>1802</v>
      </c>
      <c r="E294" s="37" t="s">
        <v>595</v>
      </c>
      <c r="F294" s="28">
        <v>1563</v>
      </c>
      <c r="G294" t="b">
        <f>IF(B294=E294,TRUE,FALSE)</f>
        <v>1</v>
      </c>
      <c r="J294" s="25">
        <f>F294-C294</f>
        <v>-239</v>
      </c>
      <c r="K294" s="4">
        <f>F294/C294-1</f>
        <v>-0.13263041065482795</v>
      </c>
      <c r="M294" s="5">
        <v>3447.25</v>
      </c>
      <c r="N294" s="5">
        <v>3761.82</v>
      </c>
      <c r="Q294" s="159">
        <v>20417.990000000002</v>
      </c>
      <c r="U294" s="146">
        <f>N294-M294</f>
        <v>314.57000000000016</v>
      </c>
      <c r="V294" s="4">
        <f>IF(M294=0,0,N294/M294-1)</f>
        <v>9.1252447603161979E-2</v>
      </c>
      <c r="W294" s="18">
        <v>39603.99</v>
      </c>
      <c r="X294" s="18">
        <v>31457.969999999998</v>
      </c>
      <c r="Y294" s="4">
        <f>X294/W294-1</f>
        <v>-0.20568685124907871</v>
      </c>
    </row>
    <row r="295" spans="1:25" ht="15" customHeight="1">
      <c r="A295" t="s">
        <v>596</v>
      </c>
      <c r="B295" t="s">
        <v>597</v>
      </c>
      <c r="C295" s="28">
        <v>1240</v>
      </c>
      <c r="E295" t="s">
        <v>597</v>
      </c>
      <c r="F295" s="28">
        <v>1001</v>
      </c>
      <c r="G295" t="b">
        <f>IF(B295=E295,TRUE,FALSE)</f>
        <v>1</v>
      </c>
      <c r="J295" s="25">
        <f>F295-C295</f>
        <v>-239</v>
      </c>
      <c r="K295" s="4">
        <f>F295/C295-1</f>
        <v>-0.19274193548387097</v>
      </c>
      <c r="M295" s="5">
        <v>36.25</v>
      </c>
      <c r="N295" s="5">
        <v>0</v>
      </c>
      <c r="Q295" s="159">
        <v>0</v>
      </c>
      <c r="U295" s="146">
        <f>N295-M295</f>
        <v>-36.25</v>
      </c>
      <c r="V295" s="4">
        <f>IF(M295=0,0,N295/M295-1)</f>
        <v>-1</v>
      </c>
      <c r="W295" s="18">
        <v>35947.599999999999</v>
      </c>
      <c r="X295" s="18">
        <v>29017.83</v>
      </c>
      <c r="Y295" s="4">
        <f>X295/W295-1</f>
        <v>-0.1927742046756945</v>
      </c>
    </row>
    <row r="296" spans="1:25" ht="15" customHeight="1">
      <c r="A296" t="s">
        <v>598</v>
      </c>
      <c r="B296" t="s">
        <v>599</v>
      </c>
      <c r="C296" s="28">
        <v>1470</v>
      </c>
      <c r="E296" t="s">
        <v>599</v>
      </c>
      <c r="F296" s="28">
        <v>1216</v>
      </c>
      <c r="G296" t="b">
        <f>IF(B296=E296,TRUE,FALSE)</f>
        <v>1</v>
      </c>
      <c r="J296" s="25">
        <f>F296-C296</f>
        <v>-254</v>
      </c>
      <c r="K296" s="4">
        <f>F296/C296-1</f>
        <v>-0.17278911564625854</v>
      </c>
      <c r="M296" s="5">
        <v>1341.77</v>
      </c>
      <c r="N296" s="5">
        <v>1014.25</v>
      </c>
      <c r="Q296" s="159">
        <v>6039.44</v>
      </c>
      <c r="U296" s="146">
        <f>N296-M296</f>
        <v>-327.52</v>
      </c>
      <c r="V296" s="4">
        <f>IF(M296=0,0,N296/M296-1)</f>
        <v>-0.24409548581351492</v>
      </c>
      <c r="W296" s="18">
        <v>39573.22</v>
      </c>
      <c r="X296" s="18">
        <v>32823.760000000002</v>
      </c>
      <c r="Y296" s="4">
        <f>X296/W296-1</f>
        <v>-0.17055624990839757</v>
      </c>
    </row>
    <row r="297" spans="1:25" ht="15" customHeight="1">
      <c r="A297" t="s">
        <v>600</v>
      </c>
      <c r="B297" t="s">
        <v>601</v>
      </c>
      <c r="C297" s="28">
        <v>1481</v>
      </c>
      <c r="E297" t="s">
        <v>601</v>
      </c>
      <c r="F297" s="28">
        <v>1198</v>
      </c>
      <c r="G297" t="b">
        <f>IF(B297=E297,TRUE,FALSE)</f>
        <v>1</v>
      </c>
      <c r="J297" s="25">
        <f>F297-C297</f>
        <v>-283</v>
      </c>
      <c r="K297" s="4">
        <f>F297/C297-1</f>
        <v>-0.19108710330857526</v>
      </c>
      <c r="M297" s="5">
        <v>2519.67</v>
      </c>
      <c r="N297" s="5">
        <v>1838.45</v>
      </c>
      <c r="Q297" s="159">
        <v>9102.3799999999992</v>
      </c>
      <c r="U297" s="146">
        <f>N297-M297</f>
        <v>-681.22</v>
      </c>
      <c r="V297" s="4">
        <f>IF(M297=0,0,N297/M297-1)</f>
        <v>-0.27036080121603223</v>
      </c>
      <c r="W297" s="18">
        <v>36960.21</v>
      </c>
      <c r="X297" s="18">
        <v>29887.79</v>
      </c>
      <c r="Y297" s="4">
        <f>X297/W297-1</f>
        <v>-0.19135226774956093</v>
      </c>
    </row>
    <row r="298" spans="1:25" ht="15" customHeight="1">
      <c r="A298" t="s">
        <v>602</v>
      </c>
      <c r="B298" t="s">
        <v>603</v>
      </c>
      <c r="C298" s="28">
        <v>1655</v>
      </c>
      <c r="E298" t="s">
        <v>603</v>
      </c>
      <c r="F298" s="28">
        <v>1370</v>
      </c>
      <c r="G298" t="b">
        <f>IF(B298=E298,TRUE,FALSE)</f>
        <v>1</v>
      </c>
      <c r="J298" s="25">
        <f>F298-C298</f>
        <v>-285</v>
      </c>
      <c r="K298" s="4">
        <f>F298/C298-1</f>
        <v>-0.17220543806646527</v>
      </c>
      <c r="M298" s="5">
        <v>2062.69</v>
      </c>
      <c r="N298" s="5">
        <v>1307</v>
      </c>
      <c r="Q298" s="159">
        <v>10043.36</v>
      </c>
      <c r="U298" s="146">
        <f>N298-M298</f>
        <v>-755.69</v>
      </c>
      <c r="V298" s="4">
        <f>IF(M298=0,0,N298/M298-1)</f>
        <v>-0.36636140185873789</v>
      </c>
      <c r="W298" s="18">
        <v>37982.25</v>
      </c>
      <c r="X298" s="18">
        <v>31349.24</v>
      </c>
      <c r="Y298" s="4">
        <f>X298/W298-1</f>
        <v>-0.17463446741570077</v>
      </c>
    </row>
    <row r="299" spans="1:25" ht="15" customHeight="1">
      <c r="A299" t="s">
        <v>604</v>
      </c>
      <c r="B299" t="s">
        <v>605</v>
      </c>
      <c r="C299" s="28">
        <v>1290</v>
      </c>
      <c r="E299" t="s">
        <v>605</v>
      </c>
      <c r="F299" s="28">
        <v>991</v>
      </c>
      <c r="G299" t="b">
        <f>IF(B299=E299,TRUE,FALSE)</f>
        <v>1</v>
      </c>
      <c r="J299" s="25">
        <f>F299-C299</f>
        <v>-299</v>
      </c>
      <c r="K299" s="4">
        <f>F299/C299-1</f>
        <v>-0.2317829457364341</v>
      </c>
      <c r="M299" s="5">
        <v>2196.7999999999997</v>
      </c>
      <c r="N299" s="5">
        <v>1641.08</v>
      </c>
      <c r="Q299" s="159">
        <v>12152.4</v>
      </c>
      <c r="U299" s="146">
        <f>N299-M299</f>
        <v>-555.7199999999998</v>
      </c>
      <c r="V299" s="4">
        <f>IF(M299=0,0,N299/M299-1)</f>
        <v>-0.25296795338674427</v>
      </c>
      <c r="W299" s="18">
        <v>31432.82</v>
      </c>
      <c r="X299" s="18">
        <v>23254.86</v>
      </c>
      <c r="Y299" s="4">
        <f>X299/W299-1</f>
        <v>-0.26017264757027847</v>
      </c>
    </row>
    <row r="300" spans="1:25" ht="15" customHeight="1">
      <c r="A300" t="s">
        <v>606</v>
      </c>
      <c r="B300" t="s">
        <v>607</v>
      </c>
      <c r="C300" s="28">
        <v>1560</v>
      </c>
      <c r="E300" t="s">
        <v>607</v>
      </c>
      <c r="F300" s="28">
        <v>1257</v>
      </c>
      <c r="G300" t="b">
        <f>IF(B300=E300,TRUE,FALSE)</f>
        <v>1</v>
      </c>
      <c r="J300" s="25">
        <f>F300-C300</f>
        <v>-303</v>
      </c>
      <c r="K300" s="4">
        <f>F300/C300-1</f>
        <v>-0.19423076923076921</v>
      </c>
      <c r="M300" s="5">
        <v>3029</v>
      </c>
      <c r="N300" s="5">
        <v>1787.86</v>
      </c>
      <c r="Q300" s="159">
        <v>11405.85</v>
      </c>
      <c r="U300" s="146">
        <f>N300-M300</f>
        <v>-1241.1400000000001</v>
      </c>
      <c r="V300" s="4">
        <f>IF(M300=0,0,N300/M300-1)</f>
        <v>-0.40975239352921755</v>
      </c>
      <c r="W300" s="18">
        <v>54522</v>
      </c>
      <c r="X300" s="18">
        <v>43932.15</v>
      </c>
      <c r="Y300" s="4">
        <f>X300/W300-1</f>
        <v>-0.19423076923076921</v>
      </c>
    </row>
    <row r="301" spans="1:25" ht="15" customHeight="1">
      <c r="A301" t="s">
        <v>608</v>
      </c>
      <c r="B301" t="s">
        <v>609</v>
      </c>
      <c r="C301" s="28">
        <v>1282</v>
      </c>
      <c r="E301" t="s">
        <v>609</v>
      </c>
      <c r="F301" s="28">
        <v>977</v>
      </c>
      <c r="G301" t="b">
        <f>IF(B301=E301,TRUE,FALSE)</f>
        <v>1</v>
      </c>
      <c r="J301" s="25">
        <f>F301-C301</f>
        <v>-305</v>
      </c>
      <c r="K301" s="4">
        <f>F301/C301-1</f>
        <v>-0.23790951638065527</v>
      </c>
      <c r="M301" s="5">
        <v>1296.02</v>
      </c>
      <c r="N301" s="5">
        <v>1069.8399999999999</v>
      </c>
      <c r="Q301" s="159">
        <v>4271.45</v>
      </c>
      <c r="U301" s="146">
        <f>N301-M301</f>
        <v>-226.18000000000006</v>
      </c>
      <c r="V301" s="4">
        <f>IF(M301=0,0,N301/M301-1)</f>
        <v>-0.17451891174518919</v>
      </c>
      <c r="W301" s="18">
        <v>20387.36</v>
      </c>
      <c r="X301" s="18">
        <v>15524.02</v>
      </c>
      <c r="Y301" s="4">
        <f>X301/W301-1</f>
        <v>-0.23854682509162539</v>
      </c>
    </row>
    <row r="302" spans="1:25" ht="15" customHeight="1">
      <c r="A302" t="s">
        <v>610</v>
      </c>
      <c r="B302" t="s">
        <v>611</v>
      </c>
      <c r="C302" s="28">
        <v>1358</v>
      </c>
      <c r="E302" t="s">
        <v>611</v>
      </c>
      <c r="F302" s="28">
        <v>1046</v>
      </c>
      <c r="G302" t="b">
        <f>IF(B302=E302,TRUE,FALSE)</f>
        <v>1</v>
      </c>
      <c r="J302" s="25">
        <f>F302-C302</f>
        <v>-312</v>
      </c>
      <c r="K302" s="4">
        <f>F302/C302-1</f>
        <v>-0.22974963181148744</v>
      </c>
      <c r="M302" s="5">
        <v>1834.72</v>
      </c>
      <c r="N302" s="5">
        <v>2609.1999999999998</v>
      </c>
      <c r="Q302" s="159">
        <v>16002.09</v>
      </c>
      <c r="U302" s="146">
        <f>N302-M302</f>
        <v>774.47999999999979</v>
      </c>
      <c r="V302" s="4">
        <f>IF(M302=0,0,N302/M302-1)</f>
        <v>0.42212435685009142</v>
      </c>
      <c r="W302" s="18">
        <v>40726.42</v>
      </c>
      <c r="X302" s="18">
        <v>31219.759999999998</v>
      </c>
      <c r="Y302" s="4">
        <f>X302/W302-1</f>
        <v>-0.23342734274213151</v>
      </c>
    </row>
    <row r="303" spans="1:25" ht="15" customHeight="1">
      <c r="A303" t="s">
        <v>612</v>
      </c>
      <c r="B303" t="s">
        <v>613</v>
      </c>
      <c r="C303" s="28">
        <v>1508</v>
      </c>
      <c r="E303" t="s">
        <v>613</v>
      </c>
      <c r="F303" s="28">
        <v>1193</v>
      </c>
      <c r="G303" t="b">
        <f>IF(B303=E303,TRUE,FALSE)</f>
        <v>1</v>
      </c>
      <c r="J303" s="25">
        <f>F303-C303</f>
        <v>-315</v>
      </c>
      <c r="K303" s="4">
        <f>F303/C303-1</f>
        <v>-0.20888594164456231</v>
      </c>
      <c r="M303" s="5">
        <v>2928.24</v>
      </c>
      <c r="N303" s="5">
        <v>2734.41</v>
      </c>
      <c r="Q303" s="159">
        <v>19181.900000000001</v>
      </c>
      <c r="U303" s="146">
        <f>N303-M303</f>
        <v>-193.82999999999993</v>
      </c>
      <c r="V303" s="4">
        <f>IF(M303=0,0,N303/M303-1)</f>
        <v>-6.619334480780259E-2</v>
      </c>
      <c r="W303" s="18">
        <v>45191.93</v>
      </c>
      <c r="X303" s="18">
        <v>35772.370000000003</v>
      </c>
      <c r="Y303" s="4">
        <f>X303/W303-1</f>
        <v>-0.20843455900201646</v>
      </c>
    </row>
    <row r="304" spans="1:25" ht="15" customHeight="1">
      <c r="A304" s="55" t="s">
        <v>614</v>
      </c>
      <c r="B304" s="37" t="s">
        <v>615</v>
      </c>
      <c r="C304" s="19">
        <v>924</v>
      </c>
      <c r="E304" s="37" t="s">
        <v>615</v>
      </c>
      <c r="F304" s="19">
        <v>607</v>
      </c>
      <c r="G304" t="b">
        <f>IF(B304=E304,TRUE,FALSE)</f>
        <v>1</v>
      </c>
      <c r="J304" s="25">
        <f>F304-C304</f>
        <v>-317</v>
      </c>
      <c r="K304" s="4">
        <f>F304/C304-1</f>
        <v>-0.34307359307359309</v>
      </c>
      <c r="M304" s="5">
        <v>1845.71</v>
      </c>
      <c r="N304" s="5">
        <v>1591.37</v>
      </c>
      <c r="Q304" s="158">
        <v>5738.72</v>
      </c>
      <c r="U304" s="146">
        <f>N304-M304</f>
        <v>-254.34000000000015</v>
      </c>
      <c r="V304" s="4">
        <f>IF(M304=0,0,N304/M304-1)</f>
        <v>-0.13780062956802541</v>
      </c>
      <c r="W304">
        <v>11312.96</v>
      </c>
      <c r="X304">
        <v>8491.93</v>
      </c>
      <c r="Y304" s="4">
        <f>X304/W304-1</f>
        <v>-0.24936267784912158</v>
      </c>
    </row>
    <row r="305" spans="1:25" ht="15" customHeight="1">
      <c r="A305" t="s">
        <v>616</v>
      </c>
      <c r="B305" t="s">
        <v>617</v>
      </c>
      <c r="C305" s="28">
        <v>2135</v>
      </c>
      <c r="E305" t="s">
        <v>617</v>
      </c>
      <c r="F305" s="28">
        <v>1796</v>
      </c>
      <c r="G305" t="b">
        <f>IF(B305=E305,TRUE,FALSE)</f>
        <v>1</v>
      </c>
      <c r="J305" s="25">
        <f>F305-C305</f>
        <v>-339</v>
      </c>
      <c r="K305" s="4">
        <f>F305/C305-1</f>
        <v>-0.1587822014051522</v>
      </c>
      <c r="M305" s="5">
        <v>3907.35</v>
      </c>
      <c r="N305" s="5">
        <v>2867.69</v>
      </c>
      <c r="Q305" s="159">
        <v>21634.51</v>
      </c>
      <c r="U305" s="146">
        <f>N305-M305</f>
        <v>-1039.6599999999999</v>
      </c>
      <c r="V305" s="4">
        <f>IF(M305=0,0,N305/M305-1)</f>
        <v>-0.26607803242606876</v>
      </c>
      <c r="W305" s="18">
        <v>63943.25</v>
      </c>
      <c r="X305" s="18">
        <v>53788.399999999994</v>
      </c>
      <c r="Y305" s="4">
        <f>X305/W305-1</f>
        <v>-0.15881035136625066</v>
      </c>
    </row>
    <row r="306" spans="1:25" ht="15" customHeight="1">
      <c r="A306" t="s">
        <v>618</v>
      </c>
      <c r="B306" t="s">
        <v>619</v>
      </c>
      <c r="C306" s="28">
        <v>833</v>
      </c>
      <c r="E306" t="s">
        <v>619</v>
      </c>
      <c r="F306" s="28">
        <v>480</v>
      </c>
      <c r="G306" t="b">
        <f>IF(B306=E306,TRUE,FALSE)</f>
        <v>1</v>
      </c>
      <c r="J306" s="25">
        <f>F306-C306</f>
        <v>-353</v>
      </c>
      <c r="K306" s="4">
        <f>F306/C306-1</f>
        <v>-0.42376950780312128</v>
      </c>
      <c r="M306" s="5">
        <v>792.81</v>
      </c>
      <c r="N306" s="5">
        <v>461.1</v>
      </c>
      <c r="Q306" s="159">
        <v>2503.5300000000002</v>
      </c>
      <c r="U306" s="146">
        <f>N306-M306</f>
        <v>-331.70999999999992</v>
      </c>
      <c r="V306" s="4">
        <f>IF(M306=0,0,N306/M306-1)</f>
        <v>-0.41839785068301349</v>
      </c>
      <c r="W306" s="18">
        <v>15785.35</v>
      </c>
      <c r="X306" s="18">
        <v>9096</v>
      </c>
      <c r="Y306" s="4">
        <f>X306/W306-1</f>
        <v>-0.42376950780312128</v>
      </c>
    </row>
    <row r="307" spans="1:25" ht="15" customHeight="1">
      <c r="A307" s="55" t="s">
        <v>620</v>
      </c>
      <c r="B307" s="37" t="s">
        <v>621</v>
      </c>
      <c r="C307" s="28">
        <v>1451</v>
      </c>
      <c r="E307" s="37" t="s">
        <v>621</v>
      </c>
      <c r="F307" s="28">
        <v>1073</v>
      </c>
      <c r="G307" t="b">
        <f>IF(B307=E307,TRUE,FALSE)</f>
        <v>1</v>
      </c>
      <c r="J307" s="25">
        <f>F307-C307</f>
        <v>-378</v>
      </c>
      <c r="K307" s="4">
        <f>F307/C307-1</f>
        <v>-0.26050999310820122</v>
      </c>
      <c r="M307" s="5">
        <v>3555.1</v>
      </c>
      <c r="N307" s="5">
        <v>3452.91</v>
      </c>
      <c r="Q307" s="159">
        <v>21417.21</v>
      </c>
      <c r="U307" s="146">
        <f>N307-M307</f>
        <v>-102.19000000000005</v>
      </c>
      <c r="V307" s="4">
        <f>IF(M307=0,0,N307/M307-1)</f>
        <v>-2.8744620404489329E-2</v>
      </c>
      <c r="W307" s="18">
        <v>34809.49</v>
      </c>
      <c r="X307" s="18">
        <v>25410.079999999998</v>
      </c>
      <c r="Y307" s="4">
        <f>X307/W307-1</f>
        <v>-0.27002435255443269</v>
      </c>
    </row>
    <row r="308" spans="1:25" ht="15" customHeight="1">
      <c r="A308" t="s">
        <v>622</v>
      </c>
      <c r="B308" t="s">
        <v>623</v>
      </c>
      <c r="C308" s="28">
        <v>4311</v>
      </c>
      <c r="E308" t="s">
        <v>623</v>
      </c>
      <c r="F308" s="28">
        <v>3854</v>
      </c>
      <c r="G308" t="b">
        <f>IF(B308=E308,TRUE,FALSE)</f>
        <v>1</v>
      </c>
      <c r="J308" s="25">
        <f>F308-C308</f>
        <v>-457</v>
      </c>
      <c r="K308" s="4">
        <f>F308/C308-1</f>
        <v>-0.10600788680120621</v>
      </c>
      <c r="M308" s="5">
        <v>4937.08</v>
      </c>
      <c r="N308" s="5">
        <v>3843.55</v>
      </c>
      <c r="Q308" s="159">
        <v>23183.22</v>
      </c>
      <c r="U308" s="146">
        <f>N308-M308</f>
        <v>-1093.5299999999997</v>
      </c>
      <c r="V308" s="4">
        <f>IF(M308=0,0,N308/M308-1)</f>
        <v>-0.22149327132637098</v>
      </c>
      <c r="W308" s="18">
        <v>100301.53</v>
      </c>
      <c r="X308" s="18">
        <v>87247.93</v>
      </c>
      <c r="Y308" s="4">
        <f>X308/W308-1</f>
        <v>-0.13014357806904842</v>
      </c>
    </row>
    <row r="309" spans="1:25" ht="15" customHeight="1">
      <c r="A309" t="s">
        <v>624</v>
      </c>
      <c r="B309" t="s">
        <v>625</v>
      </c>
      <c r="C309" s="28">
        <v>3402</v>
      </c>
      <c r="E309" t="s">
        <v>625</v>
      </c>
      <c r="F309" s="28">
        <v>2919</v>
      </c>
      <c r="G309" t="b">
        <f>IF(B309=E309,TRUE,FALSE)</f>
        <v>1</v>
      </c>
      <c r="J309" s="25">
        <f>F309-C309</f>
        <v>-483</v>
      </c>
      <c r="K309" s="4">
        <f>F309/C309-1</f>
        <v>-0.14197530864197527</v>
      </c>
      <c r="M309" s="5">
        <v>4839.01</v>
      </c>
      <c r="N309" s="5">
        <v>4300.84</v>
      </c>
      <c r="Q309" s="159">
        <v>26184.81</v>
      </c>
      <c r="U309" s="146">
        <f>N309-M309</f>
        <v>-538.17000000000007</v>
      </c>
      <c r="V309" s="4">
        <f>IF(M309=0,0,N309/M309-1)</f>
        <v>-0.11121489726204326</v>
      </c>
      <c r="W309" s="18">
        <v>84621.59</v>
      </c>
      <c r="X309" s="18">
        <v>77599.929999999993</v>
      </c>
      <c r="Y309" s="4">
        <f>X309/W309-1</f>
        <v>-8.2977169301593157E-2</v>
      </c>
    </row>
    <row r="310" spans="1:25" ht="15" customHeight="1">
      <c r="A310" t="s">
        <v>626</v>
      </c>
      <c r="B310" t="s">
        <v>627</v>
      </c>
      <c r="C310" s="28">
        <v>10379</v>
      </c>
      <c r="E310" t="s">
        <v>627</v>
      </c>
      <c r="F310" s="28">
        <v>9857</v>
      </c>
      <c r="G310" t="b">
        <f>IF(B310=E310,TRUE,FALSE)</f>
        <v>1</v>
      </c>
      <c r="J310" s="25">
        <f>F310-C310</f>
        <v>-522</v>
      </c>
      <c r="K310" s="4">
        <f>F310/C310-1</f>
        <v>-5.02938626071876E-2</v>
      </c>
      <c r="M310" s="5">
        <v>16530.63</v>
      </c>
      <c r="N310" s="5">
        <v>14796.09</v>
      </c>
      <c r="Q310" s="159">
        <v>129759.03999999999</v>
      </c>
      <c r="U310" s="146">
        <f>N310-M310</f>
        <v>-1734.5400000000009</v>
      </c>
      <c r="V310" s="4">
        <f>IF(M310=0,0,N310/M310-1)</f>
        <v>-0.10492885026160537</v>
      </c>
      <c r="W310" s="18">
        <v>361995.3</v>
      </c>
      <c r="X310" s="18">
        <v>322572.65999999997</v>
      </c>
      <c r="Y310" s="4">
        <f>X310/W310-1</f>
        <v>-0.10890373438550172</v>
      </c>
    </row>
    <row r="311" spans="1:25" ht="15" customHeight="1">
      <c r="A311" t="s">
        <v>628</v>
      </c>
      <c r="B311" t="s">
        <v>629</v>
      </c>
      <c r="C311" s="28">
        <v>17536</v>
      </c>
      <c r="E311" t="s">
        <v>629</v>
      </c>
      <c r="F311" s="28">
        <v>16986</v>
      </c>
      <c r="G311" t="b">
        <f>IF(B311=E311,TRUE,FALSE)</f>
        <v>1</v>
      </c>
      <c r="J311" s="25">
        <f>F311-C311</f>
        <v>-550</v>
      </c>
      <c r="K311" s="4">
        <f>F311/C311-1</f>
        <v>-3.1364051094890488E-2</v>
      </c>
      <c r="M311" s="5">
        <v>13173.48</v>
      </c>
      <c r="N311" s="5">
        <v>10504.81</v>
      </c>
      <c r="Q311" s="159">
        <v>154133.49000000002</v>
      </c>
      <c r="U311" s="146">
        <f>N311-M311</f>
        <v>-2668.67</v>
      </c>
      <c r="V311" s="4">
        <f>IF(M311=0,0,N311/M311-1)</f>
        <v>-0.20257896926248797</v>
      </c>
      <c r="W311" s="18">
        <v>612440.31999999995</v>
      </c>
      <c r="X311" s="18">
        <v>564171.68999999994</v>
      </c>
      <c r="Y311" s="4">
        <f>X311/W311-1</f>
        <v>-7.8813605871017822E-2</v>
      </c>
    </row>
    <row r="312" spans="1:25" ht="15" customHeight="1">
      <c r="A312" t="s">
        <v>630</v>
      </c>
      <c r="B312" t="s">
        <v>631</v>
      </c>
      <c r="C312" s="28">
        <v>1775</v>
      </c>
      <c r="E312" t="s">
        <v>631</v>
      </c>
      <c r="F312" s="28">
        <v>1214</v>
      </c>
      <c r="G312" t="b">
        <f>IF(B312=E312,TRUE,FALSE)</f>
        <v>1</v>
      </c>
      <c r="J312" s="25">
        <f>F312-C312</f>
        <v>-561</v>
      </c>
      <c r="K312" s="4">
        <f>F312/C312-1</f>
        <v>-0.31605633802816901</v>
      </c>
      <c r="M312" s="5">
        <v>2656.94</v>
      </c>
      <c r="N312" s="5">
        <v>1483.26</v>
      </c>
      <c r="Q312" s="159">
        <v>11224.7</v>
      </c>
      <c r="U312" s="146">
        <f>N312-M312</f>
        <v>-1173.68</v>
      </c>
      <c r="V312" s="4">
        <f>IF(M312=0,0,N312/M312-1)</f>
        <v>-0.44174125121380237</v>
      </c>
      <c r="W312" s="18">
        <v>39010.26</v>
      </c>
      <c r="X312" s="18">
        <v>26317.46</v>
      </c>
      <c r="Y312" s="4">
        <f>X312/W312-1</f>
        <v>-0.32537081270414503</v>
      </c>
    </row>
    <row r="313" spans="1:25" ht="15" customHeight="1">
      <c r="A313" s="57" t="s">
        <v>632</v>
      </c>
      <c r="B313" s="37" t="s">
        <v>633</v>
      </c>
      <c r="C313" s="28">
        <v>2654</v>
      </c>
      <c r="E313" s="37" t="s">
        <v>633</v>
      </c>
      <c r="F313" s="28">
        <v>1992</v>
      </c>
      <c r="G313" t="b">
        <f>IF(B313=E313,TRUE,FALSE)</f>
        <v>1</v>
      </c>
      <c r="J313" s="25">
        <f>F313-C313</f>
        <v>-662</v>
      </c>
      <c r="K313" s="4">
        <f>F313/C313-1</f>
        <v>-0.24943481537302181</v>
      </c>
      <c r="M313" s="5">
        <v>5442.71</v>
      </c>
      <c r="N313" s="5">
        <v>3373.6</v>
      </c>
      <c r="Q313" s="159">
        <v>23713.05</v>
      </c>
      <c r="U313" s="146">
        <f>N313-M313</f>
        <v>-2069.11</v>
      </c>
      <c r="V313" s="4">
        <f>IF(M313=0,0,N313/M313-1)</f>
        <v>-0.38016172090741562</v>
      </c>
      <c r="W313" s="18">
        <v>60771.72</v>
      </c>
      <c r="X313" s="18">
        <v>46576.66</v>
      </c>
      <c r="Y313" s="4">
        <f>X313/W313-1</f>
        <v>-0.23358002702572833</v>
      </c>
    </row>
    <row r="314" spans="1:25" ht="15" customHeight="1">
      <c r="A314" s="56" t="s">
        <v>634</v>
      </c>
      <c r="B314" s="37" t="s">
        <v>635</v>
      </c>
      <c r="C314" s="28">
        <v>3567</v>
      </c>
      <c r="E314" s="37" t="s">
        <v>635</v>
      </c>
      <c r="F314" s="28">
        <v>2753</v>
      </c>
      <c r="G314" t="b">
        <f>IF(B314=E314,TRUE,FALSE)</f>
        <v>1</v>
      </c>
      <c r="J314" s="25">
        <f>F314-C314</f>
        <v>-814</v>
      </c>
      <c r="K314" s="4">
        <f>F314/C314-1</f>
        <v>-0.22820297168488923</v>
      </c>
      <c r="M314" s="5">
        <v>4478.75</v>
      </c>
      <c r="N314" s="5">
        <v>3809.03</v>
      </c>
      <c r="Q314" s="159">
        <v>24063.81</v>
      </c>
      <c r="U314" s="146">
        <f>N314-M314</f>
        <v>-669.7199999999998</v>
      </c>
      <c r="V314" s="4">
        <f>IF(M314=0,0,N314/M314-1)</f>
        <v>-0.14953279374825557</v>
      </c>
      <c r="W314" s="18">
        <v>71304.33</v>
      </c>
      <c r="X314" s="18">
        <v>55031.470000000008</v>
      </c>
      <c r="Y314" s="4">
        <f>X314/W314-1</f>
        <v>-0.22821699607863921</v>
      </c>
    </row>
    <row r="315" spans="1:25" ht="15" customHeight="1">
      <c r="A315" s="55" t="s">
        <v>636</v>
      </c>
      <c r="B315" s="37" t="s">
        <v>637</v>
      </c>
      <c r="C315" s="28">
        <v>1895</v>
      </c>
      <c r="E315" s="37" t="s">
        <v>637</v>
      </c>
      <c r="F315" s="28">
        <v>1081</v>
      </c>
      <c r="G315" t="b">
        <f>IF(B315=E315,TRUE,FALSE)</f>
        <v>1</v>
      </c>
      <c r="J315" s="25">
        <f>F315-C315</f>
        <v>-814</v>
      </c>
      <c r="K315" s="4">
        <f>F315/C315-1</f>
        <v>-0.42955145118733506</v>
      </c>
      <c r="M315" s="5">
        <v>2872.5</v>
      </c>
      <c r="N315" s="5">
        <v>2676.34</v>
      </c>
      <c r="Q315" s="158">
        <v>11995.99</v>
      </c>
      <c r="U315" s="146">
        <f>N315-M315</f>
        <v>-196.15999999999985</v>
      </c>
      <c r="V315" s="4">
        <f>IF(M315=0,0,N315/M315-1)</f>
        <v>-6.8288946910356807E-2</v>
      </c>
      <c r="W315" s="18">
        <v>23533.049999999996</v>
      </c>
      <c r="X315" s="18">
        <v>17123.05</v>
      </c>
      <c r="Y315" s="4">
        <f>X315/W315-1</f>
        <v>-0.27238288279674749</v>
      </c>
    </row>
    <row r="316" spans="1:25" ht="15" customHeight="1">
      <c r="A316" s="27" t="s">
        <v>638</v>
      </c>
      <c r="B316" s="27" t="s">
        <v>639</v>
      </c>
      <c r="C316" s="28">
        <v>2727</v>
      </c>
      <c r="D316" s="19"/>
      <c r="E316" s="27" t="s">
        <v>639</v>
      </c>
      <c r="F316" s="28">
        <v>1820</v>
      </c>
      <c r="G316" t="b">
        <f>IF(B316=E316,TRUE,FALSE)</f>
        <v>1</v>
      </c>
      <c r="H316" s="19"/>
      <c r="I316" s="19"/>
      <c r="J316" s="25">
        <f>F316-C316</f>
        <v>-907</v>
      </c>
      <c r="K316" s="4">
        <f>F316/C316-1</f>
        <v>-0.33259992665933258</v>
      </c>
      <c r="M316" s="18">
        <v>3641.84</v>
      </c>
      <c r="N316" s="18">
        <v>2329.9899999999998</v>
      </c>
      <c r="O316" s="18"/>
      <c r="P316" s="18"/>
      <c r="Q316" s="159">
        <v>14865.2</v>
      </c>
      <c r="U316" s="146">
        <f>N316-M316</f>
        <v>-1311.8500000000004</v>
      </c>
      <c r="V316" s="4">
        <f>IF(M316=0,0,N316/M316-1)</f>
        <v>-0.36021626430595532</v>
      </c>
      <c r="W316" s="18">
        <v>63469.53</v>
      </c>
      <c r="X316" s="18">
        <v>40992.28</v>
      </c>
      <c r="Y316" s="4">
        <f>X316/W316-1</f>
        <v>-0.35414237351371591</v>
      </c>
    </row>
    <row r="317" spans="1:25" ht="15" customHeight="1">
      <c r="A317" s="55" t="s">
        <v>640</v>
      </c>
      <c r="B317" s="37" t="s">
        <v>641</v>
      </c>
      <c r="C317" s="19">
        <v>1700</v>
      </c>
      <c r="E317" s="37" t="s">
        <v>641</v>
      </c>
      <c r="F317" s="19">
        <v>747</v>
      </c>
      <c r="G317" t="b">
        <f>IF(B317=E317,TRUE,FALSE)</f>
        <v>1</v>
      </c>
      <c r="J317" s="25">
        <f>F317-C317</f>
        <v>-953</v>
      </c>
      <c r="K317" s="4">
        <f>F317/C317-1</f>
        <v>-0.56058823529411761</v>
      </c>
      <c r="M317" s="5">
        <v>2964.22</v>
      </c>
      <c r="N317" s="5">
        <v>56.08</v>
      </c>
      <c r="Q317" s="158">
        <v>204.03</v>
      </c>
      <c r="U317" s="146">
        <f>N317-M317</f>
        <v>-2908.14</v>
      </c>
      <c r="V317" s="4">
        <f>IF(M317=0,0,N317/M317-1)</f>
        <v>-0.98108102637456063</v>
      </c>
      <c r="W317">
        <v>22549.010000000002</v>
      </c>
      <c r="X317">
        <v>13332.53</v>
      </c>
      <c r="Y317" s="4">
        <f>X317/W317-1</f>
        <v>-0.40873102632887215</v>
      </c>
    </row>
    <row r="318" spans="1:25" ht="15" customHeight="1">
      <c r="A318" s="57" t="s">
        <v>642</v>
      </c>
      <c r="B318" s="37" t="s">
        <v>643</v>
      </c>
      <c r="C318" s="28">
        <v>17366</v>
      </c>
      <c r="E318" s="37" t="s">
        <v>643</v>
      </c>
      <c r="F318" s="28">
        <v>14321</v>
      </c>
      <c r="G318" t="b">
        <f>IF(B318=E318,TRUE,FALSE)</f>
        <v>1</v>
      </c>
      <c r="J318" s="25">
        <f>F318-C318</f>
        <v>-3045</v>
      </c>
      <c r="K318" s="4">
        <f>F318/C318-1</f>
        <v>-0.17534262351721752</v>
      </c>
      <c r="M318" s="5">
        <v>115.19</v>
      </c>
      <c r="N318" s="5">
        <v>8592.65</v>
      </c>
      <c r="Q318" s="158">
        <v>48772.22</v>
      </c>
      <c r="U318" s="146">
        <f>N318-M318</f>
        <v>8477.4599999999991</v>
      </c>
      <c r="V318" s="4">
        <f>IF(M318=0,0,N318/M318-1)</f>
        <v>73.595450994009894</v>
      </c>
      <c r="W318" s="18">
        <v>433081.39</v>
      </c>
      <c r="X318" s="18">
        <v>341975.17000000004</v>
      </c>
      <c r="Y318" s="4">
        <f>X318/W318-1</f>
        <v>-0.21036743232028499</v>
      </c>
    </row>
    <row r="319" spans="1:25" ht="15" customHeight="1">
      <c r="C319" s="28"/>
      <c r="F319" s="28"/>
      <c r="J319" s="25"/>
      <c r="K319" s="4"/>
      <c r="Q319" s="159"/>
      <c r="V319" s="4"/>
      <c r="W319" s="18">
        <v>0</v>
      </c>
      <c r="X319" s="18">
        <v>0</v>
      </c>
      <c r="Y319" s="4" t="e">
        <f t="shared" ref="Y257:Y319" si="0">X319/W319-1</f>
        <v>#DIV/0!</v>
      </c>
    </row>
    <row r="320" spans="1:25" ht="15" customHeight="1">
      <c r="A320" s="55"/>
      <c r="B320" s="37"/>
      <c r="E320" s="37"/>
    </row>
    <row r="321" spans="1:25" ht="15" customHeight="1">
      <c r="C321" s="3" t="s">
        <v>644</v>
      </c>
      <c r="D321" s="3"/>
      <c r="E321" s="3"/>
      <c r="F321" s="3" t="s">
        <v>644</v>
      </c>
      <c r="G321" s="3"/>
      <c r="H321" s="3"/>
      <c r="I321" s="3"/>
      <c r="J321" s="3" t="s">
        <v>645</v>
      </c>
      <c r="K321" s="31"/>
      <c r="L321" s="3"/>
      <c r="M321" s="33" t="s">
        <v>646</v>
      </c>
      <c r="N321" s="33" t="s">
        <v>646</v>
      </c>
      <c r="O321" s="3"/>
      <c r="Q321" s="33" t="s">
        <v>647</v>
      </c>
      <c r="R321" s="3"/>
      <c r="U321" s="147" t="s">
        <v>648</v>
      </c>
      <c r="V321" s="3"/>
      <c r="W321" s="35" t="s">
        <v>3</v>
      </c>
      <c r="X321" s="35" t="s">
        <v>3</v>
      </c>
      <c r="Y321" s="35"/>
    </row>
    <row r="322" spans="1:25" ht="15" customHeight="1">
      <c r="A322" s="20"/>
      <c r="C322" s="25">
        <f>SUM(C3:C318)</f>
        <v>621194</v>
      </c>
      <c r="F322" s="25">
        <f>SUM(F3:F318)</f>
        <v>689495</v>
      </c>
      <c r="J322" s="25">
        <f>SUM(J3:J318)</f>
        <v>68301</v>
      </c>
      <c r="M322" s="18">
        <f>SUM(M3:M318)</f>
        <v>784754.1599999998</v>
      </c>
      <c r="N322" s="18">
        <f>SUM(N3:N318)</f>
        <v>879983.59999999974</v>
      </c>
      <c r="Q322" s="18">
        <f>SUM(Q3:Q318)</f>
        <v>6201229.5999999968</v>
      </c>
      <c r="U322" s="146">
        <f>N322-M322</f>
        <v>95229.439999999944</v>
      </c>
      <c r="V322" s="4">
        <f>IF(M322=0,0,N322/M322-1)</f>
        <v>0.12134939176365744</v>
      </c>
      <c r="W322" s="30">
        <f>SUM(W3:W319)</f>
        <v>17998356.520000007</v>
      </c>
      <c r="X322" s="30">
        <f>SUM(X3:X319)</f>
        <v>18949710.700000003</v>
      </c>
      <c r="Y322" s="31">
        <f>X322/W322-1</f>
        <v>5.2857836155364435E-2</v>
      </c>
    </row>
    <row r="324" spans="1:25" ht="15" customHeight="1">
      <c r="F324" s="19">
        <f>F322-C322</f>
        <v>68301</v>
      </c>
      <c r="N324" s="33" t="s">
        <v>649</v>
      </c>
      <c r="Q324" s="26">
        <f>N322/Q322</f>
        <v>0.1419046958041999</v>
      </c>
      <c r="W324" s="3" t="s">
        <v>650</v>
      </c>
      <c r="X324" s="3" t="s">
        <v>650</v>
      </c>
    </row>
    <row r="325" spans="1:25" ht="15" customHeight="1">
      <c r="F325" s="4">
        <f>F322/C322-1</f>
        <v>0.10995115857525994</v>
      </c>
      <c r="W325" s="32">
        <f>M322/W322</f>
        <v>4.3601434338072523E-2</v>
      </c>
      <c r="X325" s="32">
        <f>N322/X322</f>
        <v>4.6437838230427422E-2</v>
      </c>
    </row>
    <row r="328" spans="1:25" ht="15" customHeight="1">
      <c r="W328" s="35"/>
      <c r="X328" s="35"/>
    </row>
    <row r="329" spans="1:25" ht="15" customHeight="1">
      <c r="V329" s="3"/>
      <c r="W329" s="30"/>
      <c r="X329" s="30"/>
    </row>
    <row r="330" spans="1:25" ht="15" customHeight="1">
      <c r="V330" s="3"/>
    </row>
    <row r="331" spans="1:25" ht="15" customHeight="1">
      <c r="V331" s="3"/>
    </row>
    <row r="335" spans="1:25" ht="15" customHeight="1">
      <c r="W335" s="3"/>
      <c r="X335" s="3"/>
    </row>
  </sheetData>
  <autoFilter ref="A2:AA295" xr:uid="{00000000-0001-0000-0000-000000000000}">
    <sortState xmlns:xlrd2="http://schemas.microsoft.com/office/spreadsheetml/2017/richdata2" ref="A3:AA318">
      <sortCondition descending="1" ref="J2:J295"/>
    </sortState>
  </autoFilter>
  <sortState xmlns:xlrd2="http://schemas.microsoft.com/office/spreadsheetml/2017/richdata2" ref="J3:K221">
    <sortCondition descending="1" ref="J3:J221"/>
  </sortState>
  <mergeCells count="6">
    <mergeCell ref="W1:X1"/>
    <mergeCell ref="U1:V1"/>
    <mergeCell ref="B1:C1"/>
    <mergeCell ref="J1:K1"/>
    <mergeCell ref="M1:N1"/>
    <mergeCell ref="E1:F1"/>
  </mergeCells>
  <phoneticPr fontId="3" type="noConversion"/>
  <conditionalFormatting sqref="J2:J319 D172 H172:I172 L172 O172:P172 R172:T172 J321:J325 J329:J1048576">
    <cfRule type="cellIs" dxfId="43" priority="23" operator="greaterThan">
      <formula>500</formula>
    </cfRule>
  </conditionalFormatting>
  <conditionalFormatting sqref="J3:J319">
    <cfRule type="cellIs" dxfId="42" priority="29" operator="lessThan">
      <formula>-100</formula>
    </cfRule>
  </conditionalFormatting>
  <conditionalFormatting sqref="J321">
    <cfRule type="cellIs" dxfId="41" priority="2" operator="lessThan">
      <formula>-100</formula>
    </cfRule>
  </conditionalFormatting>
  <conditionalFormatting sqref="K3:K319 K321:K1048576">
    <cfRule type="cellIs" dxfId="40" priority="3" operator="lessThan">
      <formula>-0.2</formula>
    </cfRule>
  </conditionalFormatting>
  <conditionalFormatting sqref="K3:K319">
    <cfRule type="cellIs" dxfId="39" priority="15" operator="lessThan">
      <formula>-10%</formula>
    </cfRule>
    <cfRule type="cellIs" dxfId="38" priority="46" operator="greaterThan">
      <formula>0.2</formula>
    </cfRule>
  </conditionalFormatting>
  <conditionalFormatting sqref="K321">
    <cfRule type="cellIs" dxfId="37" priority="5" operator="greaterThan">
      <formula>0.2</formula>
    </cfRule>
  </conditionalFormatting>
  <conditionalFormatting sqref="V322 V3:V319">
    <cfRule type="cellIs" dxfId="36" priority="14" operator="greaterThan">
      <formula>0.5</formula>
    </cfRule>
  </conditionalFormatting>
  <conditionalFormatting sqref="Y3:Y319">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22">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C209"/>
  <sheetViews>
    <sheetView zoomScale="85" zoomScaleNormal="85" workbookViewId="0">
      <pane xSplit="2" ySplit="2" topLeftCell="K132" activePane="bottomRight" state="frozen"/>
      <selection pane="bottomRight" activeCell="Q144" sqref="Q144"/>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58" customWidth="1"/>
    <col min="18" max="19" width="0.85546875" customWidth="1"/>
    <col min="20" max="20" width="11.85546875" style="134"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29">
      <c r="B1" s="163">
        <v>45809</v>
      </c>
      <c r="C1" s="162"/>
      <c r="E1" s="163">
        <v>45839</v>
      </c>
      <c r="F1" s="162"/>
      <c r="J1" s="164"/>
      <c r="K1" s="164"/>
      <c r="M1" s="165" t="s">
        <v>0</v>
      </c>
      <c r="N1" s="165"/>
      <c r="O1" s="1"/>
      <c r="Q1" s="157" t="s">
        <v>1</v>
      </c>
      <c r="R1" s="1"/>
      <c r="T1" s="162" t="s">
        <v>2</v>
      </c>
      <c r="U1" s="162"/>
      <c r="W1" s="164" t="s">
        <v>651</v>
      </c>
      <c r="X1" s="164"/>
      <c r="Y1" s="164"/>
      <c r="Z1" s="164"/>
      <c r="AA1" s="162" t="s">
        <v>3</v>
      </c>
      <c r="AB1" s="162"/>
    </row>
    <row r="2" spans="1:29">
      <c r="A2" t="s">
        <v>4</v>
      </c>
      <c r="B2" s="3" t="s">
        <v>5</v>
      </c>
      <c r="C2" s="3" t="s">
        <v>6</v>
      </c>
      <c r="E2" s="3" t="s">
        <v>5</v>
      </c>
      <c r="F2" s="3" t="s">
        <v>6</v>
      </c>
      <c r="G2" t="s">
        <v>7</v>
      </c>
      <c r="J2" t="s">
        <v>652</v>
      </c>
      <c r="K2" t="s">
        <v>9</v>
      </c>
      <c r="M2" t="s">
        <v>10</v>
      </c>
      <c r="N2" t="s">
        <v>13</v>
      </c>
      <c r="Q2" s="158" t="s">
        <v>11</v>
      </c>
      <c r="T2" s="134" t="s">
        <v>12</v>
      </c>
      <c r="U2" t="s">
        <v>9</v>
      </c>
      <c r="W2" t="s">
        <v>653</v>
      </c>
      <c r="X2" t="s">
        <v>654</v>
      </c>
      <c r="Y2" t="s">
        <v>655</v>
      </c>
      <c r="Z2" s="14" t="s">
        <v>656</v>
      </c>
      <c r="AA2" t="s">
        <v>10</v>
      </c>
      <c r="AB2" t="s">
        <v>13</v>
      </c>
      <c r="AC2" t="s">
        <v>9</v>
      </c>
    </row>
    <row r="3" spans="1:29" ht="13.5" customHeight="1">
      <c r="A3" t="s">
        <v>657</v>
      </c>
      <c r="B3" t="s">
        <v>658</v>
      </c>
      <c r="C3" s="19">
        <v>8843</v>
      </c>
      <c r="E3" t="s">
        <v>658</v>
      </c>
      <c r="F3" s="19">
        <v>7893</v>
      </c>
      <c r="G3" t="b">
        <f t="shared" ref="G3:G34" si="0">IF(B3=E3,TRUE,FALSE)</f>
        <v>1</v>
      </c>
      <c r="J3" s="25">
        <f t="shared" ref="J3:J34" si="1">F3-C3</f>
        <v>-950</v>
      </c>
      <c r="K3" s="4">
        <f>F3/C3-1</f>
        <v>-0.10742960533755508</v>
      </c>
      <c r="M3" s="5">
        <v>7952.11</v>
      </c>
      <c r="N3" s="5">
        <v>9410.9599999999991</v>
      </c>
      <c r="Q3" s="159">
        <v>39153.410000000003</v>
      </c>
      <c r="T3" s="132">
        <f t="shared" ref="T3:T19" si="2">N3-M3</f>
        <v>1458.8499999999995</v>
      </c>
      <c r="U3" s="4">
        <f t="shared" ref="U3:U45" si="3">IF(M3=0,0,N3/M3-1)</f>
        <v>0.18345445422661411</v>
      </c>
      <c r="AA3" s="18">
        <v>180819.68999999997</v>
      </c>
      <c r="AB3" s="18">
        <v>155450.03</v>
      </c>
      <c r="AC3" s="4">
        <f t="shared" ref="AC3:AC34" si="4">AB3/AA3-1</f>
        <v>-0.14030363618032959</v>
      </c>
    </row>
    <row r="4" spans="1:29" ht="13.9" customHeight="1">
      <c r="A4" t="s">
        <v>659</v>
      </c>
      <c r="B4" t="s">
        <v>660</v>
      </c>
      <c r="C4">
        <v>48553</v>
      </c>
      <c r="E4" t="s">
        <v>660</v>
      </c>
      <c r="F4">
        <v>56071</v>
      </c>
      <c r="G4" t="b">
        <f t="shared" si="0"/>
        <v>1</v>
      </c>
      <c r="J4" s="25">
        <f t="shared" si="1"/>
        <v>7518</v>
      </c>
      <c r="K4" s="4">
        <f>F7/C4-1</f>
        <v>-0.92095236133709557</v>
      </c>
      <c r="M4" s="5">
        <v>30710.85</v>
      </c>
      <c r="N4" s="5">
        <v>35185.050000000003</v>
      </c>
      <c r="Q4" s="159">
        <v>158651.19</v>
      </c>
      <c r="T4" s="132">
        <f t="shared" si="2"/>
        <v>4474.2000000000044</v>
      </c>
      <c r="U4" s="4">
        <f t="shared" si="3"/>
        <v>0.14568792462598745</v>
      </c>
      <c r="W4" t="s">
        <v>661</v>
      </c>
      <c r="AA4" s="18">
        <v>923221.74000000011</v>
      </c>
      <c r="AB4" s="18">
        <v>961789.88</v>
      </c>
      <c r="AC4" s="4">
        <f t="shared" si="4"/>
        <v>4.1775597702021106E-2</v>
      </c>
    </row>
    <row r="5" spans="1:29" ht="14.25" customHeight="1">
      <c r="A5" s="149" t="s">
        <v>662</v>
      </c>
      <c r="B5" s="37" t="s">
        <v>663</v>
      </c>
      <c r="C5">
        <v>1716</v>
      </c>
      <c r="E5" s="37" t="s">
        <v>663</v>
      </c>
      <c r="F5">
        <v>377</v>
      </c>
      <c r="G5" t="b">
        <f t="shared" si="0"/>
        <v>1</v>
      </c>
      <c r="J5" s="25">
        <f t="shared" si="1"/>
        <v>-1339</v>
      </c>
      <c r="K5" s="4">
        <f t="shared" ref="K5:K16" si="5">F5/C5-1</f>
        <v>-0.78030303030303028</v>
      </c>
      <c r="M5" s="151">
        <v>2287.66</v>
      </c>
      <c r="N5" s="151">
        <v>424.15</v>
      </c>
      <c r="Q5" s="159">
        <v>2167.7199999999998</v>
      </c>
      <c r="T5" s="132">
        <f t="shared" si="2"/>
        <v>-1863.5099999999998</v>
      </c>
      <c r="U5" s="4">
        <f t="shared" si="3"/>
        <v>-0.81459220338686689</v>
      </c>
      <c r="AA5">
        <v>42599.45</v>
      </c>
      <c r="AB5">
        <v>9491.43</v>
      </c>
      <c r="AC5" s="4">
        <f t="shared" si="4"/>
        <v>-0.77719360226481793</v>
      </c>
    </row>
    <row r="6" spans="1:29" ht="13.9" customHeight="1">
      <c r="A6" t="s">
        <v>664</v>
      </c>
      <c r="B6" t="s">
        <v>665</v>
      </c>
      <c r="C6" s="19">
        <v>1050</v>
      </c>
      <c r="E6" t="s">
        <v>665</v>
      </c>
      <c r="F6" s="19">
        <v>1314</v>
      </c>
      <c r="G6" t="b">
        <f t="shared" si="0"/>
        <v>1</v>
      </c>
      <c r="J6" s="25">
        <f t="shared" si="1"/>
        <v>264</v>
      </c>
      <c r="K6" s="4">
        <f t="shared" si="5"/>
        <v>0.25142857142857133</v>
      </c>
      <c r="M6" s="5">
        <v>1661.23</v>
      </c>
      <c r="N6" s="5">
        <v>1789.22</v>
      </c>
      <c r="Q6" s="159">
        <v>15751.63</v>
      </c>
      <c r="T6" s="132">
        <f t="shared" si="2"/>
        <v>127.99000000000001</v>
      </c>
      <c r="U6" s="4">
        <f t="shared" si="3"/>
        <v>7.7045321839841474E-2</v>
      </c>
      <c r="AA6" s="18">
        <v>31036.54</v>
      </c>
      <c r="AB6" s="18">
        <v>36658.86</v>
      </c>
      <c r="AC6" s="4">
        <f t="shared" si="4"/>
        <v>0.18115163610376661</v>
      </c>
    </row>
    <row r="7" spans="1:29" ht="13.9" customHeight="1">
      <c r="A7" t="s">
        <v>666</v>
      </c>
      <c r="B7" t="s">
        <v>667</v>
      </c>
      <c r="C7" s="19">
        <v>3526</v>
      </c>
      <c r="E7" t="s">
        <v>667</v>
      </c>
      <c r="F7" s="19">
        <v>3838</v>
      </c>
      <c r="G7" t="b">
        <f t="shared" si="0"/>
        <v>1</v>
      </c>
      <c r="J7" s="25">
        <f t="shared" si="1"/>
        <v>312</v>
      </c>
      <c r="K7" s="4">
        <f t="shared" si="5"/>
        <v>8.8485536018150901E-2</v>
      </c>
      <c r="M7" s="5">
        <v>4702.67</v>
      </c>
      <c r="N7" s="5">
        <v>4747.54</v>
      </c>
      <c r="Q7" s="159">
        <v>27040.720000000001</v>
      </c>
      <c r="T7" s="132">
        <f t="shared" si="2"/>
        <v>44.869999999999891</v>
      </c>
      <c r="U7" s="4">
        <f t="shared" si="3"/>
        <v>9.541388190113187E-3</v>
      </c>
      <c r="AA7" s="18">
        <v>91854.510000000009</v>
      </c>
      <c r="AB7" s="18">
        <v>96691.82</v>
      </c>
      <c r="AC7" s="4">
        <f t="shared" si="4"/>
        <v>5.2662738062616565E-2</v>
      </c>
    </row>
    <row r="8" spans="1:29" ht="13.5" customHeight="1">
      <c r="A8" t="s">
        <v>668</v>
      </c>
      <c r="B8" t="s">
        <v>669</v>
      </c>
      <c r="C8" s="19">
        <v>2439</v>
      </c>
      <c r="E8" t="s">
        <v>669</v>
      </c>
      <c r="F8" s="19">
        <v>1412</v>
      </c>
      <c r="G8" t="b">
        <f t="shared" si="0"/>
        <v>1</v>
      </c>
      <c r="J8" s="25">
        <f t="shared" si="1"/>
        <v>-1027</v>
      </c>
      <c r="K8" s="4">
        <f t="shared" si="5"/>
        <v>-0.42107421074210738</v>
      </c>
      <c r="M8" s="5">
        <v>3630.13</v>
      </c>
      <c r="N8" s="5">
        <v>2225.1999999999998</v>
      </c>
      <c r="Q8" s="159">
        <v>11589.98</v>
      </c>
      <c r="T8" s="132">
        <f t="shared" si="2"/>
        <v>-1404.9300000000003</v>
      </c>
      <c r="U8" s="4">
        <f t="shared" si="3"/>
        <v>-0.38701919765958803</v>
      </c>
      <c r="AA8" s="18">
        <v>82901.61</v>
      </c>
      <c r="AB8" s="18">
        <v>44457.88</v>
      </c>
      <c r="AC8" s="4">
        <f t="shared" si="4"/>
        <v>-0.46372718213795849</v>
      </c>
    </row>
    <row r="9" spans="1:29" ht="12.75" customHeight="1">
      <c r="A9" t="s">
        <v>670</v>
      </c>
      <c r="B9" t="s">
        <v>671</v>
      </c>
      <c r="C9" s="19">
        <v>9697</v>
      </c>
      <c r="E9" t="s">
        <v>671</v>
      </c>
      <c r="F9" s="19">
        <v>8848</v>
      </c>
      <c r="G9" t="b">
        <f t="shared" si="0"/>
        <v>1</v>
      </c>
      <c r="J9" s="25">
        <f t="shared" si="1"/>
        <v>-849</v>
      </c>
      <c r="K9" s="4">
        <f t="shared" si="5"/>
        <v>-8.7552851397339371E-2</v>
      </c>
      <c r="M9" s="5">
        <v>7245.96</v>
      </c>
      <c r="N9" s="5">
        <v>4514.4399999999996</v>
      </c>
      <c r="Q9" s="159">
        <v>22654.53</v>
      </c>
      <c r="T9" s="132">
        <f t="shared" si="2"/>
        <v>-2731.5200000000004</v>
      </c>
      <c r="U9" s="4">
        <f t="shared" si="3"/>
        <v>-0.37697144339742428</v>
      </c>
      <c r="W9" t="s">
        <v>672</v>
      </c>
      <c r="Y9" t="s">
        <v>673</v>
      </c>
      <c r="AA9" s="18">
        <v>186939.22</v>
      </c>
      <c r="AB9" s="18">
        <v>171271.47</v>
      </c>
      <c r="AC9" s="4">
        <f t="shared" si="4"/>
        <v>-8.3812000499413619E-2</v>
      </c>
    </row>
    <row r="10" spans="1:29" ht="13.9" customHeight="1">
      <c r="A10" t="s">
        <v>674</v>
      </c>
      <c r="B10" t="s">
        <v>675</v>
      </c>
      <c r="C10" s="19">
        <v>2740</v>
      </c>
      <c r="E10" t="s">
        <v>675</v>
      </c>
      <c r="F10" s="19">
        <v>2167</v>
      </c>
      <c r="G10" t="b">
        <f t="shared" si="0"/>
        <v>1</v>
      </c>
      <c r="J10" s="25">
        <f t="shared" si="1"/>
        <v>-573</v>
      </c>
      <c r="K10" s="4">
        <f t="shared" si="5"/>
        <v>-0.2091240875912409</v>
      </c>
      <c r="M10" s="5">
        <v>2685.64</v>
      </c>
      <c r="N10" s="5">
        <v>2260.54</v>
      </c>
      <c r="Q10" s="159">
        <v>13368.39</v>
      </c>
      <c r="T10" s="132">
        <f t="shared" si="2"/>
        <v>-425.09999999999991</v>
      </c>
      <c r="U10" s="4">
        <f t="shared" si="3"/>
        <v>-0.1582862930251262</v>
      </c>
      <c r="AA10" s="18">
        <v>55400.6</v>
      </c>
      <c r="AB10" s="18">
        <v>47652.33</v>
      </c>
      <c r="AC10" s="4">
        <f t="shared" si="4"/>
        <v>-0.1398589545961596</v>
      </c>
    </row>
    <row r="11" spans="1:29" ht="13.9" customHeight="1">
      <c r="A11" s="149" t="s">
        <v>676</v>
      </c>
      <c r="B11" s="37" t="s">
        <v>677</v>
      </c>
      <c r="C11">
        <v>1363</v>
      </c>
      <c r="E11" s="37" t="s">
        <v>677</v>
      </c>
      <c r="F11">
        <v>952</v>
      </c>
      <c r="G11" t="b">
        <f t="shared" si="0"/>
        <v>1</v>
      </c>
      <c r="J11" s="25">
        <f t="shared" si="1"/>
        <v>-411</v>
      </c>
      <c r="K11" s="4">
        <f t="shared" si="5"/>
        <v>-0.30154071900220103</v>
      </c>
      <c r="M11" s="151">
        <v>2059.9899999999998</v>
      </c>
      <c r="N11" s="151">
        <v>1245.75</v>
      </c>
      <c r="Q11" s="159">
        <v>5614.21</v>
      </c>
      <c r="T11" s="132">
        <f t="shared" si="2"/>
        <v>-814.23999999999978</v>
      </c>
      <c r="U11" s="4">
        <f t="shared" si="3"/>
        <v>-0.39526405467987702</v>
      </c>
      <c r="AA11">
        <v>31940.57</v>
      </c>
      <c r="AB11">
        <v>22876.28</v>
      </c>
      <c r="AC11" s="4">
        <f t="shared" si="4"/>
        <v>-0.2837861065096835</v>
      </c>
    </row>
    <row r="12" spans="1:29" ht="13.9" customHeight="1">
      <c r="A12" t="s">
        <v>678</v>
      </c>
      <c r="B12" t="s">
        <v>679</v>
      </c>
      <c r="C12" s="19">
        <v>489</v>
      </c>
      <c r="E12" t="s">
        <v>679</v>
      </c>
      <c r="F12" s="19">
        <v>769</v>
      </c>
      <c r="G12" t="b">
        <f t="shared" si="0"/>
        <v>1</v>
      </c>
      <c r="J12" s="25">
        <f t="shared" si="1"/>
        <v>280</v>
      </c>
      <c r="K12" s="4">
        <f t="shared" si="5"/>
        <v>0.57259713701431503</v>
      </c>
      <c r="M12" s="5">
        <v>1413.41</v>
      </c>
      <c r="N12" s="5">
        <v>1478.22</v>
      </c>
      <c r="Q12" s="159">
        <v>7108.91</v>
      </c>
      <c r="T12" s="132">
        <f t="shared" si="2"/>
        <v>64.809999999999945</v>
      </c>
      <c r="U12" s="4">
        <f t="shared" si="3"/>
        <v>4.5853644731535859E-2</v>
      </c>
      <c r="AA12" s="18">
        <v>7136.1100000000006</v>
      </c>
      <c r="AB12" s="18">
        <v>8776.31</v>
      </c>
      <c r="AC12" s="4">
        <f t="shared" si="4"/>
        <v>0.22984511169250466</v>
      </c>
    </row>
    <row r="13" spans="1:29" ht="13.9" customHeight="1">
      <c r="A13" s="27" t="s">
        <v>680</v>
      </c>
      <c r="B13" s="27" t="s">
        <v>681</v>
      </c>
      <c r="C13" s="19">
        <v>990</v>
      </c>
      <c r="E13" s="27" t="s">
        <v>681</v>
      </c>
      <c r="F13" s="19">
        <v>925</v>
      </c>
      <c r="G13" t="b">
        <f t="shared" si="0"/>
        <v>1</v>
      </c>
      <c r="J13" s="25">
        <f t="shared" si="1"/>
        <v>-65</v>
      </c>
      <c r="K13" s="4">
        <f t="shared" si="5"/>
        <v>-6.5656565656565635E-2</v>
      </c>
      <c r="M13" s="5">
        <v>1036.19</v>
      </c>
      <c r="N13" s="5">
        <v>949.03</v>
      </c>
      <c r="Q13" s="159">
        <v>3688.17</v>
      </c>
      <c r="T13" s="132">
        <f t="shared" si="2"/>
        <v>-87.160000000000082</v>
      </c>
      <c r="U13" s="4">
        <f t="shared" si="3"/>
        <v>-8.4115847479709349E-2</v>
      </c>
      <c r="AA13" s="18">
        <v>13731.7</v>
      </c>
      <c r="AB13" s="18">
        <v>12849.99</v>
      </c>
      <c r="AC13" s="4">
        <f t="shared" si="4"/>
        <v>-6.4209821070952633E-2</v>
      </c>
    </row>
    <row r="14" spans="1:29" ht="13.9" customHeight="1">
      <c r="A14" t="s">
        <v>682</v>
      </c>
      <c r="B14" t="s">
        <v>683</v>
      </c>
      <c r="C14" s="19">
        <v>941</v>
      </c>
      <c r="E14" t="s">
        <v>683</v>
      </c>
      <c r="F14" s="19">
        <v>917</v>
      </c>
      <c r="G14" t="b">
        <f t="shared" si="0"/>
        <v>1</v>
      </c>
      <c r="J14" s="25">
        <f t="shared" si="1"/>
        <v>-24</v>
      </c>
      <c r="K14" s="4">
        <f t="shared" si="5"/>
        <v>-2.5504782146652527E-2</v>
      </c>
      <c r="M14" s="5">
        <v>1268.77</v>
      </c>
      <c r="N14" s="5">
        <v>1150.79</v>
      </c>
      <c r="Q14" s="159">
        <v>9378.5499999999993</v>
      </c>
      <c r="T14" s="132">
        <f t="shared" si="2"/>
        <v>-117.98000000000002</v>
      </c>
      <c r="U14" s="4">
        <f t="shared" si="3"/>
        <v>-9.2987696745667092E-2</v>
      </c>
      <c r="AA14" s="18">
        <v>27279.590000000004</v>
      </c>
      <c r="AB14" s="18">
        <v>26583.829999999998</v>
      </c>
      <c r="AC14" s="4">
        <f t="shared" si="4"/>
        <v>-2.5504782146652749E-2</v>
      </c>
    </row>
    <row r="15" spans="1:29" ht="13.9" customHeight="1">
      <c r="A15" s="150" t="s">
        <v>684</v>
      </c>
      <c r="B15" s="37" t="s">
        <v>685</v>
      </c>
      <c r="C15">
        <v>949</v>
      </c>
      <c r="E15" s="37" t="s">
        <v>685</v>
      </c>
      <c r="F15">
        <v>825</v>
      </c>
      <c r="G15" t="b">
        <f t="shared" si="0"/>
        <v>1</v>
      </c>
      <c r="J15" s="25">
        <f t="shared" si="1"/>
        <v>-124</v>
      </c>
      <c r="K15" s="4">
        <f t="shared" si="5"/>
        <v>-0.13066385669125391</v>
      </c>
      <c r="M15" s="151">
        <v>1868.5</v>
      </c>
      <c r="N15" s="151">
        <v>1468.79</v>
      </c>
      <c r="Q15" s="159">
        <v>6803.71</v>
      </c>
      <c r="T15" s="134">
        <f t="shared" si="2"/>
        <v>-399.71000000000004</v>
      </c>
      <c r="U15" s="4">
        <f t="shared" si="3"/>
        <v>-0.21392025689055394</v>
      </c>
      <c r="AA15">
        <v>13276.509999999998</v>
      </c>
      <c r="AB15">
        <v>11359.76</v>
      </c>
      <c r="AC15" s="4">
        <f t="shared" si="4"/>
        <v>-0.14437152534815234</v>
      </c>
    </row>
    <row r="16" spans="1:29" ht="13.9" customHeight="1">
      <c r="A16" t="s">
        <v>686</v>
      </c>
      <c r="B16" t="s">
        <v>687</v>
      </c>
      <c r="C16" s="19">
        <v>1156</v>
      </c>
      <c r="E16" t="s">
        <v>687</v>
      </c>
      <c r="F16" s="19">
        <v>1158</v>
      </c>
      <c r="G16" t="b">
        <f t="shared" si="0"/>
        <v>1</v>
      </c>
      <c r="J16" s="25">
        <f t="shared" si="1"/>
        <v>2</v>
      </c>
      <c r="K16" s="4">
        <f t="shared" si="5"/>
        <v>1.7301038062282892E-3</v>
      </c>
      <c r="M16" s="5">
        <v>871.11</v>
      </c>
      <c r="N16" s="5">
        <v>886.11</v>
      </c>
      <c r="Q16" s="159">
        <v>4729.3100000000004</v>
      </c>
      <c r="T16" s="132">
        <f t="shared" si="2"/>
        <v>15</v>
      </c>
      <c r="U16" s="4">
        <f t="shared" si="3"/>
        <v>1.7219409718634893E-2</v>
      </c>
      <c r="AA16" s="18">
        <v>23062.2</v>
      </c>
      <c r="AB16" s="18">
        <v>21538.019999999997</v>
      </c>
      <c r="AC16" s="4">
        <f t="shared" si="4"/>
        <v>-6.6089965397924E-2</v>
      </c>
    </row>
    <row r="17" spans="1:29" ht="13.9" customHeight="1">
      <c r="A17" s="54" t="s">
        <v>688</v>
      </c>
      <c r="B17" s="37" t="s">
        <v>689</v>
      </c>
      <c r="C17" s="19">
        <v>743</v>
      </c>
      <c r="E17" s="37" t="s">
        <v>689</v>
      </c>
      <c r="F17" s="19">
        <v>1089</v>
      </c>
      <c r="G17" t="b">
        <f t="shared" si="0"/>
        <v>1</v>
      </c>
      <c r="J17" s="25">
        <f t="shared" si="1"/>
        <v>346</v>
      </c>
      <c r="K17" s="4">
        <f>F17/C18-1</f>
        <v>3.8131553860819789E-2</v>
      </c>
      <c r="M17" s="5">
        <v>1205.44</v>
      </c>
      <c r="N17" s="5">
        <v>2326.63</v>
      </c>
      <c r="Q17" s="159">
        <v>11219.18</v>
      </c>
      <c r="T17" s="132">
        <f t="shared" si="2"/>
        <v>1121.19</v>
      </c>
      <c r="U17" s="4">
        <f t="shared" si="3"/>
        <v>0.93010850809662871</v>
      </c>
      <c r="AA17" s="18">
        <v>16336.600000000002</v>
      </c>
      <c r="AB17" s="18">
        <v>22235.52</v>
      </c>
      <c r="AC17" s="4">
        <f t="shared" si="4"/>
        <v>0.36108615011691514</v>
      </c>
    </row>
    <row r="18" spans="1:29" ht="13.9" customHeight="1">
      <c r="A18" t="s">
        <v>690</v>
      </c>
      <c r="B18" t="s">
        <v>691</v>
      </c>
      <c r="C18" s="19">
        <v>1049</v>
      </c>
      <c r="E18" t="s">
        <v>691</v>
      </c>
      <c r="F18" s="19">
        <v>726</v>
      </c>
      <c r="G18" t="b">
        <f t="shared" si="0"/>
        <v>1</v>
      </c>
      <c r="J18" s="25">
        <f t="shared" si="1"/>
        <v>-323</v>
      </c>
      <c r="K18" s="4">
        <f t="shared" ref="K18:K30" si="6">F18/C18-1</f>
        <v>-0.30791229742612014</v>
      </c>
      <c r="M18" s="5">
        <v>161.54</v>
      </c>
      <c r="N18" s="5">
        <v>200.68</v>
      </c>
      <c r="Q18" s="159">
        <v>1917.76</v>
      </c>
      <c r="T18" s="132">
        <f t="shared" si="2"/>
        <v>39.140000000000015</v>
      </c>
      <c r="U18" s="4">
        <f t="shared" si="3"/>
        <v>0.24229293054351864</v>
      </c>
      <c r="AA18" s="18">
        <v>36188.1</v>
      </c>
      <c r="AB18" s="18">
        <v>25781.88</v>
      </c>
      <c r="AC18" s="4">
        <f t="shared" si="4"/>
        <v>-0.28755917000339881</v>
      </c>
    </row>
    <row r="19" spans="1:29" ht="13.9" customHeight="1">
      <c r="A19" t="s">
        <v>692</v>
      </c>
      <c r="B19" t="s">
        <v>693</v>
      </c>
      <c r="C19" s="19">
        <v>2222</v>
      </c>
      <c r="E19" t="s">
        <v>693</v>
      </c>
      <c r="F19" s="19">
        <v>2429</v>
      </c>
      <c r="G19" t="b">
        <f t="shared" si="0"/>
        <v>1</v>
      </c>
      <c r="J19" s="25">
        <f t="shared" si="1"/>
        <v>207</v>
      </c>
      <c r="K19" s="4">
        <f t="shared" si="6"/>
        <v>9.3159315931593101E-2</v>
      </c>
      <c r="M19" s="5">
        <v>6688.66</v>
      </c>
      <c r="N19" s="5">
        <v>2854.78</v>
      </c>
      <c r="Q19" s="159">
        <v>13473.5</v>
      </c>
      <c r="T19" s="132">
        <f t="shared" si="2"/>
        <v>-3833.8799999999997</v>
      </c>
      <c r="U19" s="4">
        <f t="shared" si="3"/>
        <v>-0.57319104274996779</v>
      </c>
      <c r="AA19" s="18">
        <v>66548.899999999994</v>
      </c>
      <c r="AB19" s="18">
        <v>70124.929999999993</v>
      </c>
      <c r="AC19" s="4">
        <f t="shared" si="4"/>
        <v>5.3735373537353803E-2</v>
      </c>
    </row>
    <row r="20" spans="1:29" ht="13.9" customHeight="1">
      <c r="A20" t="s">
        <v>694</v>
      </c>
      <c r="B20" t="s">
        <v>695</v>
      </c>
      <c r="C20" s="19">
        <v>1228</v>
      </c>
      <c r="E20" t="s">
        <v>695</v>
      </c>
      <c r="F20" s="19">
        <v>1505</v>
      </c>
      <c r="G20" t="b">
        <f t="shared" si="0"/>
        <v>1</v>
      </c>
      <c r="J20" s="25">
        <f t="shared" si="1"/>
        <v>277</v>
      </c>
      <c r="K20" s="4">
        <f t="shared" si="6"/>
        <v>0.22557003257328989</v>
      </c>
      <c r="M20" s="5">
        <v>0</v>
      </c>
      <c r="N20" s="5">
        <v>0</v>
      </c>
      <c r="Q20" s="159">
        <v>0</v>
      </c>
      <c r="T20" s="132">
        <v>0</v>
      </c>
      <c r="U20" s="4">
        <f t="shared" si="3"/>
        <v>0</v>
      </c>
      <c r="AA20" s="18">
        <v>46484.66</v>
      </c>
      <c r="AB20" s="18">
        <v>54272.93</v>
      </c>
      <c r="AC20" s="4">
        <f t="shared" si="4"/>
        <v>0.16754494923701713</v>
      </c>
    </row>
    <row r="21" spans="1:29" ht="13.9" customHeight="1">
      <c r="A21" t="s">
        <v>696</v>
      </c>
      <c r="B21" s="5" t="s">
        <v>697</v>
      </c>
      <c r="C21" s="19">
        <v>1948</v>
      </c>
      <c r="D21" s="5"/>
      <c r="E21" t="s">
        <v>697</v>
      </c>
      <c r="F21" s="19">
        <v>1820</v>
      </c>
      <c r="G21" t="b">
        <f t="shared" si="0"/>
        <v>1</v>
      </c>
      <c r="H21" s="5"/>
      <c r="I21" s="5"/>
      <c r="J21" s="25">
        <f t="shared" si="1"/>
        <v>-128</v>
      </c>
      <c r="K21" s="4">
        <f t="shared" si="6"/>
        <v>-6.5708418891170406E-2</v>
      </c>
      <c r="L21" s="5"/>
      <c r="M21" s="5">
        <v>2202.17</v>
      </c>
      <c r="N21" s="5">
        <v>2433.23</v>
      </c>
      <c r="O21" s="5"/>
      <c r="P21" s="5"/>
      <c r="Q21" s="159">
        <v>13939.28</v>
      </c>
      <c r="R21" s="5"/>
      <c r="S21" s="5"/>
      <c r="T21" s="132">
        <f t="shared" ref="T21:T45" si="7">N21-M21</f>
        <v>231.05999999999995</v>
      </c>
      <c r="U21" s="4">
        <f t="shared" si="3"/>
        <v>0.10492377972636069</v>
      </c>
      <c r="V21" s="5"/>
      <c r="W21" s="5"/>
      <c r="X21" s="5"/>
      <c r="Y21" s="5"/>
      <c r="Z21" s="15"/>
      <c r="AA21" s="18">
        <v>52498.6</v>
      </c>
      <c r="AB21" s="18">
        <v>49022.05</v>
      </c>
      <c r="AC21" s="4">
        <f t="shared" si="4"/>
        <v>-6.6221765913757613E-2</v>
      </c>
    </row>
    <row r="22" spans="1:29" ht="13.9" customHeight="1">
      <c r="A22" t="s">
        <v>698</v>
      </c>
      <c r="B22" t="s">
        <v>699</v>
      </c>
      <c r="C22" s="19">
        <v>2789</v>
      </c>
      <c r="E22" t="s">
        <v>699</v>
      </c>
      <c r="F22" s="19">
        <v>1951</v>
      </c>
      <c r="G22" t="b">
        <f t="shared" si="0"/>
        <v>1</v>
      </c>
      <c r="J22" s="25">
        <f t="shared" si="1"/>
        <v>-838</v>
      </c>
      <c r="K22" s="4">
        <f t="shared" si="6"/>
        <v>-0.30046611688777336</v>
      </c>
      <c r="M22" s="5">
        <v>3687.34</v>
      </c>
      <c r="N22" s="5">
        <v>3140.91</v>
      </c>
      <c r="Q22" s="159">
        <v>12128.36</v>
      </c>
      <c r="T22" s="132">
        <f t="shared" si="7"/>
        <v>-546.43000000000029</v>
      </c>
      <c r="U22" s="4">
        <f t="shared" si="3"/>
        <v>-0.14819083675495082</v>
      </c>
      <c r="AA22" s="18">
        <v>53020.12</v>
      </c>
      <c r="AB22" s="18">
        <v>35991.49</v>
      </c>
      <c r="AC22" s="4">
        <f t="shared" si="4"/>
        <v>-0.32117298112490134</v>
      </c>
    </row>
    <row r="23" spans="1:29" ht="13.9" customHeight="1">
      <c r="A23" t="s">
        <v>700</v>
      </c>
      <c r="B23" t="s">
        <v>701</v>
      </c>
      <c r="C23" s="19">
        <v>1023</v>
      </c>
      <c r="E23" t="s">
        <v>701</v>
      </c>
      <c r="F23" s="19">
        <v>1116</v>
      </c>
      <c r="G23" t="b">
        <f t="shared" si="0"/>
        <v>1</v>
      </c>
      <c r="J23" s="25">
        <f t="shared" si="1"/>
        <v>93</v>
      </c>
      <c r="K23" s="4">
        <f t="shared" si="6"/>
        <v>9.0909090909090828E-2</v>
      </c>
      <c r="M23" s="5">
        <v>1278.44</v>
      </c>
      <c r="N23" s="5">
        <v>1315.27</v>
      </c>
      <c r="Q23" s="159">
        <v>10748.18</v>
      </c>
      <c r="T23" s="132">
        <f t="shared" si="7"/>
        <v>36.829999999999927</v>
      </c>
      <c r="U23" s="4">
        <f t="shared" si="3"/>
        <v>2.8808547917774652E-2</v>
      </c>
      <c r="AA23" s="18">
        <v>25523.85</v>
      </c>
      <c r="AB23" s="18">
        <v>26287.32</v>
      </c>
      <c r="AC23" s="4">
        <f t="shared" si="4"/>
        <v>2.9912023460410664E-2</v>
      </c>
    </row>
    <row r="24" spans="1:29" ht="13.9" customHeight="1">
      <c r="A24" s="27" t="s">
        <v>702</v>
      </c>
      <c r="B24" s="27" t="s">
        <v>703</v>
      </c>
      <c r="C24" s="19">
        <v>1002</v>
      </c>
      <c r="E24" s="27" t="s">
        <v>703</v>
      </c>
      <c r="F24" s="19">
        <v>967</v>
      </c>
      <c r="G24" t="b">
        <f t="shared" si="0"/>
        <v>1</v>
      </c>
      <c r="J24" s="25">
        <f t="shared" si="1"/>
        <v>-35</v>
      </c>
      <c r="K24" s="4">
        <f t="shared" si="6"/>
        <v>-3.4930139720558917E-2</v>
      </c>
      <c r="M24" s="5">
        <v>1262.24</v>
      </c>
      <c r="N24" s="5">
        <v>1079.6600000000001</v>
      </c>
      <c r="Q24" s="159">
        <v>6878.41</v>
      </c>
      <c r="T24" s="132">
        <f t="shared" si="7"/>
        <v>-182.57999999999993</v>
      </c>
      <c r="U24" s="4">
        <f t="shared" si="3"/>
        <v>-0.14464761059703379</v>
      </c>
      <c r="AA24" s="18">
        <v>13931.89</v>
      </c>
      <c r="AB24" s="18">
        <v>13450.56</v>
      </c>
      <c r="AC24" s="4">
        <f t="shared" si="4"/>
        <v>-3.4548794169348196E-2</v>
      </c>
    </row>
    <row r="25" spans="1:29" ht="13.9" customHeight="1">
      <c r="A25" t="s">
        <v>704</v>
      </c>
      <c r="B25" t="s">
        <v>705</v>
      </c>
      <c r="C25" s="19">
        <v>2188</v>
      </c>
      <c r="E25" t="s">
        <v>705</v>
      </c>
      <c r="F25" s="19">
        <v>1952</v>
      </c>
      <c r="G25" t="b">
        <f t="shared" si="0"/>
        <v>1</v>
      </c>
      <c r="J25" s="25">
        <f t="shared" si="1"/>
        <v>-236</v>
      </c>
      <c r="K25" s="4">
        <f t="shared" si="6"/>
        <v>-0.10786106032906762</v>
      </c>
      <c r="M25" s="5">
        <v>2481.36</v>
      </c>
      <c r="N25" s="5">
        <v>2260.33</v>
      </c>
      <c r="Q25" s="159">
        <v>11877.92</v>
      </c>
      <c r="T25" s="132">
        <f t="shared" si="7"/>
        <v>-221.0300000000002</v>
      </c>
      <c r="U25" s="4">
        <f t="shared" si="3"/>
        <v>-8.907615178772943E-2</v>
      </c>
      <c r="AA25" s="18">
        <v>65588.13</v>
      </c>
      <c r="AB25" s="18">
        <v>58510.49</v>
      </c>
      <c r="AC25" s="4">
        <f t="shared" si="4"/>
        <v>-0.1079103795153179</v>
      </c>
    </row>
    <row r="26" spans="1:29" ht="13.9" customHeight="1">
      <c r="A26" t="s">
        <v>706</v>
      </c>
      <c r="B26" t="s">
        <v>707</v>
      </c>
      <c r="C26" s="19">
        <v>2346</v>
      </c>
      <c r="E26" t="s">
        <v>707</v>
      </c>
      <c r="F26" s="19">
        <v>977</v>
      </c>
      <c r="G26" t="b">
        <f t="shared" si="0"/>
        <v>1</v>
      </c>
      <c r="J26" s="25">
        <f t="shared" si="1"/>
        <v>-1369</v>
      </c>
      <c r="K26" s="4">
        <f t="shared" si="6"/>
        <v>-0.58354646206308614</v>
      </c>
      <c r="M26" s="5">
        <v>3815.7</v>
      </c>
      <c r="N26" s="5">
        <v>867.88</v>
      </c>
      <c r="Q26" s="159">
        <v>6014.27</v>
      </c>
      <c r="T26" s="132">
        <f t="shared" si="7"/>
        <v>-2947.8199999999997</v>
      </c>
      <c r="U26" s="4">
        <f t="shared" si="3"/>
        <v>-0.7725502529024818</v>
      </c>
      <c r="AA26" s="18">
        <v>70356.539999999994</v>
      </c>
      <c r="AB26" s="18">
        <v>29300.23</v>
      </c>
      <c r="AC26" s="4">
        <f t="shared" si="4"/>
        <v>-0.58354646206308614</v>
      </c>
    </row>
    <row r="27" spans="1:29" ht="13.9" customHeight="1">
      <c r="A27" t="s">
        <v>708</v>
      </c>
      <c r="B27" t="s">
        <v>709</v>
      </c>
      <c r="C27" s="19">
        <v>3729</v>
      </c>
      <c r="E27" t="s">
        <v>709</v>
      </c>
      <c r="F27" s="19">
        <v>3729</v>
      </c>
      <c r="G27" t="b">
        <f t="shared" si="0"/>
        <v>1</v>
      </c>
      <c r="J27" s="25">
        <f t="shared" si="1"/>
        <v>0</v>
      </c>
      <c r="K27" s="4">
        <f t="shared" si="6"/>
        <v>0</v>
      </c>
      <c r="M27" s="5">
        <v>4088.06</v>
      </c>
      <c r="N27" s="5">
        <v>3836.13</v>
      </c>
      <c r="Q27" s="159">
        <v>23456.98</v>
      </c>
      <c r="T27" s="132">
        <f t="shared" si="7"/>
        <v>-251.92999999999984</v>
      </c>
      <c r="U27" s="4">
        <f t="shared" si="3"/>
        <v>-6.1625807840393731E-2</v>
      </c>
      <c r="AA27" s="18">
        <v>101302.51</v>
      </c>
      <c r="AB27" s="18">
        <v>97821.310000000012</v>
      </c>
      <c r="AC27" s="4">
        <f t="shared" si="4"/>
        <v>-3.4364400250299632E-2</v>
      </c>
    </row>
    <row r="28" spans="1:29" ht="13.9" customHeight="1">
      <c r="A28" t="s">
        <v>710</v>
      </c>
      <c r="B28" t="s">
        <v>711</v>
      </c>
      <c r="C28" s="19">
        <v>535</v>
      </c>
      <c r="E28" t="s">
        <v>711</v>
      </c>
      <c r="F28" s="19">
        <v>423</v>
      </c>
      <c r="G28" t="b">
        <f t="shared" si="0"/>
        <v>1</v>
      </c>
      <c r="J28" s="25">
        <f t="shared" si="1"/>
        <v>-112</v>
      </c>
      <c r="K28" s="4">
        <f t="shared" si="6"/>
        <v>-0.20934579439252332</v>
      </c>
      <c r="M28" s="5">
        <v>0</v>
      </c>
      <c r="N28" s="5">
        <v>0</v>
      </c>
      <c r="Q28" s="159">
        <v>0</v>
      </c>
      <c r="T28" s="132">
        <f t="shared" si="7"/>
        <v>0</v>
      </c>
      <c r="U28" s="4">
        <f t="shared" si="3"/>
        <v>0</v>
      </c>
      <c r="AA28" s="18">
        <v>17125.2</v>
      </c>
      <c r="AB28" s="18">
        <v>13387.05</v>
      </c>
      <c r="AC28" s="4">
        <f t="shared" si="4"/>
        <v>-0.21828358208955234</v>
      </c>
    </row>
    <row r="29" spans="1:29" ht="13.9" customHeight="1">
      <c r="A29" t="s">
        <v>712</v>
      </c>
      <c r="B29" t="s">
        <v>713</v>
      </c>
      <c r="C29" s="19">
        <v>1593</v>
      </c>
      <c r="E29" t="s">
        <v>713</v>
      </c>
      <c r="F29" s="19">
        <v>1582</v>
      </c>
      <c r="G29" t="b">
        <f t="shared" si="0"/>
        <v>1</v>
      </c>
      <c r="J29" s="25">
        <f t="shared" si="1"/>
        <v>-11</v>
      </c>
      <c r="K29" s="4">
        <f t="shared" si="6"/>
        <v>-6.9052102950407646E-3</v>
      </c>
      <c r="M29" s="5">
        <v>394.14</v>
      </c>
      <c r="N29" s="5">
        <v>430.32</v>
      </c>
      <c r="Q29" s="159">
        <v>3146.42</v>
      </c>
      <c r="T29" s="132">
        <f t="shared" si="7"/>
        <v>36.180000000000007</v>
      </c>
      <c r="U29" s="4">
        <f t="shared" si="3"/>
        <v>9.1794793728116941E-2</v>
      </c>
      <c r="AA29" s="18">
        <v>31345.069999999996</v>
      </c>
      <c r="AB29" s="18">
        <v>29123.18</v>
      </c>
      <c r="AC29" s="4">
        <f t="shared" si="4"/>
        <v>-7.0884831330732312E-2</v>
      </c>
    </row>
    <row r="30" spans="1:29" ht="13.9" customHeight="1">
      <c r="A30" t="s">
        <v>714</v>
      </c>
      <c r="B30" t="s">
        <v>715</v>
      </c>
      <c r="C30" s="19">
        <v>1991</v>
      </c>
      <c r="D30" s="5"/>
      <c r="E30" t="s">
        <v>715</v>
      </c>
      <c r="F30" s="19">
        <v>1545</v>
      </c>
      <c r="G30" t="b">
        <f t="shared" si="0"/>
        <v>1</v>
      </c>
      <c r="H30" s="5"/>
      <c r="I30" s="5"/>
      <c r="J30" s="25">
        <f t="shared" si="1"/>
        <v>-446</v>
      </c>
      <c r="K30" s="4">
        <f t="shared" si="6"/>
        <v>-0.22400803616273235</v>
      </c>
      <c r="L30" s="5"/>
      <c r="M30" s="5">
        <v>2566.6999999999998</v>
      </c>
      <c r="N30" s="5">
        <v>2271.46</v>
      </c>
      <c r="O30" s="5"/>
      <c r="P30" s="5"/>
      <c r="Q30" s="159">
        <v>17319.400000000001</v>
      </c>
      <c r="R30" s="5"/>
      <c r="S30" s="5"/>
      <c r="T30" s="132">
        <f t="shared" si="7"/>
        <v>-295.23999999999978</v>
      </c>
      <c r="U30" s="4">
        <f t="shared" si="3"/>
        <v>-0.11502707757042108</v>
      </c>
      <c r="V30" s="5"/>
      <c r="W30" s="5"/>
      <c r="X30" s="5"/>
      <c r="Y30" s="5"/>
      <c r="Z30" s="15"/>
      <c r="AA30" s="18">
        <v>37619.599999999999</v>
      </c>
      <c r="AB30" s="18">
        <v>30864.559999999998</v>
      </c>
      <c r="AC30" s="4">
        <f t="shared" si="4"/>
        <v>-0.17956171782794084</v>
      </c>
    </row>
    <row r="31" spans="1:29" ht="13.9" customHeight="1">
      <c r="A31" s="56" t="s">
        <v>716</v>
      </c>
      <c r="B31" s="37" t="s">
        <v>717</v>
      </c>
      <c r="C31" s="19">
        <v>1018</v>
      </c>
      <c r="E31" s="37" t="s">
        <v>717</v>
      </c>
      <c r="F31" s="19">
        <v>1043</v>
      </c>
      <c r="G31" t="b">
        <f t="shared" si="0"/>
        <v>1</v>
      </c>
      <c r="J31" s="25">
        <f t="shared" si="1"/>
        <v>25</v>
      </c>
      <c r="K31" s="4">
        <f>F31/C32-1</f>
        <v>-0.72060005357621215</v>
      </c>
      <c r="M31" s="5">
        <v>2360.09</v>
      </c>
      <c r="N31" s="5">
        <v>2791.15</v>
      </c>
      <c r="Q31" s="159">
        <v>17479.73</v>
      </c>
      <c r="T31" s="132">
        <f t="shared" si="7"/>
        <v>431.05999999999995</v>
      </c>
      <c r="U31" s="4">
        <f t="shared" si="3"/>
        <v>0.18264557707545048</v>
      </c>
      <c r="AA31" s="18">
        <v>19331.82</v>
      </c>
      <c r="AB31" s="18">
        <v>19806.57</v>
      </c>
      <c r="AC31" s="4">
        <f t="shared" si="4"/>
        <v>2.4557956777996104E-2</v>
      </c>
    </row>
    <row r="32" spans="1:29" ht="13.9" customHeight="1">
      <c r="A32" t="s">
        <v>718</v>
      </c>
      <c r="B32" t="s">
        <v>719</v>
      </c>
      <c r="C32" s="19">
        <v>3733</v>
      </c>
      <c r="E32" t="s">
        <v>719</v>
      </c>
      <c r="F32" s="19">
        <v>3683</v>
      </c>
      <c r="G32" t="b">
        <f t="shared" si="0"/>
        <v>1</v>
      </c>
      <c r="J32" s="25">
        <f t="shared" si="1"/>
        <v>-50</v>
      </c>
      <c r="K32" s="4">
        <f t="shared" ref="K32:K38" si="8">F32/C32-1</f>
        <v>-1.3394053040450049E-2</v>
      </c>
      <c r="M32" s="5">
        <v>2473.02</v>
      </c>
      <c r="N32" s="5">
        <v>2245.91</v>
      </c>
      <c r="Q32" s="159">
        <v>12929.75</v>
      </c>
      <c r="T32" s="132">
        <f t="shared" si="7"/>
        <v>-227.11000000000013</v>
      </c>
      <c r="U32" s="4">
        <f t="shared" si="3"/>
        <v>-9.1835084228999442E-2</v>
      </c>
      <c r="AA32" s="18">
        <v>85735.849999999991</v>
      </c>
      <c r="AB32" s="18">
        <v>79354.37</v>
      </c>
      <c r="AC32" s="4">
        <f t="shared" si="4"/>
        <v>-7.443187418098729E-2</v>
      </c>
    </row>
    <row r="33" spans="1:29">
      <c r="A33" t="s">
        <v>720</v>
      </c>
      <c r="B33" t="s">
        <v>721</v>
      </c>
      <c r="C33" s="19">
        <v>534</v>
      </c>
      <c r="E33" t="s">
        <v>721</v>
      </c>
      <c r="F33" s="19">
        <v>410</v>
      </c>
      <c r="G33" t="b">
        <f t="shared" si="0"/>
        <v>1</v>
      </c>
      <c r="J33" s="25">
        <f t="shared" si="1"/>
        <v>-124</v>
      </c>
      <c r="K33" s="4">
        <f t="shared" si="8"/>
        <v>-0.23220973782771537</v>
      </c>
      <c r="M33" s="5">
        <v>338.05</v>
      </c>
      <c r="N33" s="5">
        <v>332.26</v>
      </c>
      <c r="Q33" s="159">
        <v>2172.0500000000002</v>
      </c>
      <c r="T33" s="132">
        <f t="shared" si="7"/>
        <v>-5.7900000000000205</v>
      </c>
      <c r="U33" s="4">
        <f t="shared" si="3"/>
        <v>-1.7127643839668694E-2</v>
      </c>
      <c r="AA33" s="18">
        <v>14391.3</v>
      </c>
      <c r="AB33" s="18">
        <v>11049.5</v>
      </c>
      <c r="AC33" s="4">
        <f t="shared" si="4"/>
        <v>-0.23220973782771537</v>
      </c>
    </row>
    <row r="34" spans="1:29">
      <c r="A34" t="s">
        <v>722</v>
      </c>
      <c r="B34" t="s">
        <v>723</v>
      </c>
      <c r="C34" s="19">
        <v>887</v>
      </c>
      <c r="E34" t="s">
        <v>723</v>
      </c>
      <c r="F34" s="19">
        <v>1135</v>
      </c>
      <c r="G34" t="b">
        <f t="shared" si="0"/>
        <v>1</v>
      </c>
      <c r="J34" s="25">
        <f t="shared" si="1"/>
        <v>248</v>
      </c>
      <c r="K34" s="4">
        <f t="shared" si="8"/>
        <v>0.27959413754227724</v>
      </c>
      <c r="M34" s="5">
        <v>606.36</v>
      </c>
      <c r="N34" s="5">
        <v>825.41</v>
      </c>
      <c r="Q34" s="159">
        <v>7513.69</v>
      </c>
      <c r="T34" s="132">
        <f t="shared" si="7"/>
        <v>219.04999999999995</v>
      </c>
      <c r="U34" s="4">
        <f t="shared" si="3"/>
        <v>0.36125404050399101</v>
      </c>
      <c r="AA34" s="18">
        <v>34548.649999999994</v>
      </c>
      <c r="AB34" s="18">
        <v>41022.14</v>
      </c>
      <c r="AC34" s="4">
        <f t="shared" si="4"/>
        <v>0.18737316798196191</v>
      </c>
    </row>
    <row r="35" spans="1:29">
      <c r="A35" t="s">
        <v>724</v>
      </c>
      <c r="B35" t="s">
        <v>725</v>
      </c>
      <c r="C35" s="19">
        <v>838</v>
      </c>
      <c r="E35" t="s">
        <v>725</v>
      </c>
      <c r="F35" s="19">
        <v>813</v>
      </c>
      <c r="G35" t="b">
        <f t="shared" ref="G35:G63" si="9">IF(B35=E35,TRUE,FALSE)</f>
        <v>1</v>
      </c>
      <c r="J35" s="25">
        <f t="shared" ref="J35:J63" si="10">F35-C35</f>
        <v>-25</v>
      </c>
      <c r="K35" s="4">
        <f t="shared" si="8"/>
        <v>-2.9832935560859197E-2</v>
      </c>
      <c r="M35" s="5">
        <v>1682.33</v>
      </c>
      <c r="N35" s="5">
        <v>1680.46</v>
      </c>
      <c r="Q35" s="159">
        <v>6534.74</v>
      </c>
      <c r="T35" s="132">
        <f t="shared" si="7"/>
        <v>-1.8699999999998909</v>
      </c>
      <c r="U35" s="4">
        <f t="shared" si="3"/>
        <v>-1.1115536190877684E-3</v>
      </c>
      <c r="W35" t="s">
        <v>726</v>
      </c>
      <c r="Y35" t="s">
        <v>727</v>
      </c>
      <c r="AA35" s="18">
        <v>16751.62</v>
      </c>
      <c r="AB35" s="18">
        <v>16251.87</v>
      </c>
      <c r="AC35" s="4">
        <f t="shared" ref="AC35:AC63" si="11">AB35/AA35-1</f>
        <v>-2.9832935560859086E-2</v>
      </c>
    </row>
    <row r="36" spans="1:29">
      <c r="A36" s="27" t="s">
        <v>728</v>
      </c>
      <c r="B36" s="27" t="s">
        <v>729</v>
      </c>
      <c r="C36" s="19">
        <v>1221</v>
      </c>
      <c r="E36" s="27" t="s">
        <v>729</v>
      </c>
      <c r="F36" s="19">
        <v>1386</v>
      </c>
      <c r="G36" t="b">
        <f t="shared" si="9"/>
        <v>1</v>
      </c>
      <c r="J36" s="25">
        <f t="shared" si="10"/>
        <v>165</v>
      </c>
      <c r="K36" s="4">
        <f t="shared" si="8"/>
        <v>0.13513513513513509</v>
      </c>
      <c r="M36" s="5">
        <v>2028.01</v>
      </c>
      <c r="N36" s="5">
        <v>2821.59</v>
      </c>
      <c r="Q36" s="159">
        <v>12407.91</v>
      </c>
      <c r="T36" s="132">
        <f t="shared" si="7"/>
        <v>793.58000000000015</v>
      </c>
      <c r="U36" s="4">
        <f t="shared" si="3"/>
        <v>0.39130970754582095</v>
      </c>
      <c r="AA36" s="18">
        <v>24387.8</v>
      </c>
      <c r="AB36" s="18">
        <v>26742.13</v>
      </c>
      <c r="AC36" s="4">
        <f t="shared" si="11"/>
        <v>9.6537203027743379E-2</v>
      </c>
    </row>
    <row r="37" spans="1:29">
      <c r="A37" t="s">
        <v>730</v>
      </c>
      <c r="B37" t="s">
        <v>731</v>
      </c>
      <c r="C37" s="19">
        <v>1061</v>
      </c>
      <c r="E37" t="s">
        <v>731</v>
      </c>
      <c r="F37" s="19">
        <v>1038</v>
      </c>
      <c r="G37" t="b">
        <f t="shared" si="9"/>
        <v>1</v>
      </c>
      <c r="J37" s="25">
        <f t="shared" si="10"/>
        <v>-23</v>
      </c>
      <c r="K37" s="4">
        <f t="shared" si="8"/>
        <v>-2.1677662582469392E-2</v>
      </c>
      <c r="M37" s="5">
        <v>682.65</v>
      </c>
      <c r="N37" s="5">
        <v>521.24</v>
      </c>
      <c r="Q37" s="159">
        <v>2095.0300000000002</v>
      </c>
      <c r="T37" s="132">
        <f t="shared" si="7"/>
        <v>-161.40999999999997</v>
      </c>
      <c r="U37" s="4">
        <f t="shared" si="3"/>
        <v>-0.2364462022998608</v>
      </c>
      <c r="Y37" t="s">
        <v>732</v>
      </c>
      <c r="AA37" s="18">
        <v>17473.89</v>
      </c>
      <c r="AB37" s="18">
        <v>17460.52</v>
      </c>
      <c r="AC37" s="4">
        <f t="shared" si="11"/>
        <v>-7.6514159125407044E-4</v>
      </c>
    </row>
    <row r="38" spans="1:29">
      <c r="A38" t="s">
        <v>733</v>
      </c>
      <c r="B38" t="s">
        <v>734</v>
      </c>
      <c r="C38" s="19">
        <v>1043</v>
      </c>
      <c r="E38" t="s">
        <v>734</v>
      </c>
      <c r="F38" s="19">
        <v>856</v>
      </c>
      <c r="G38" t="b">
        <f t="shared" si="9"/>
        <v>1</v>
      </c>
      <c r="J38" s="25">
        <f t="shared" si="10"/>
        <v>-187</v>
      </c>
      <c r="K38" s="4">
        <f t="shared" si="8"/>
        <v>-0.17929050814956859</v>
      </c>
      <c r="M38" s="5">
        <v>1795.04</v>
      </c>
      <c r="N38" s="5">
        <v>1247.3499999999999</v>
      </c>
      <c r="Q38" s="159">
        <v>5284.59</v>
      </c>
      <c r="T38" s="132">
        <f t="shared" si="7"/>
        <v>-547.69000000000005</v>
      </c>
      <c r="U38" s="4">
        <f t="shared" si="3"/>
        <v>-0.30511297798377757</v>
      </c>
      <c r="AA38" s="18">
        <v>16661.580000000002</v>
      </c>
      <c r="AB38" s="18">
        <v>13687.44</v>
      </c>
      <c r="AC38" s="4">
        <f t="shared" si="11"/>
        <v>-0.17850287907869489</v>
      </c>
    </row>
    <row r="39" spans="1:29">
      <c r="A39" s="56" t="s">
        <v>735</v>
      </c>
      <c r="B39" s="37" t="s">
        <v>736</v>
      </c>
      <c r="C39" s="19">
        <v>1116</v>
      </c>
      <c r="E39" s="37" t="s">
        <v>736</v>
      </c>
      <c r="F39" s="19">
        <v>1321</v>
      </c>
      <c r="G39" t="b">
        <f t="shared" si="9"/>
        <v>1</v>
      </c>
      <c r="J39" s="25">
        <f t="shared" si="10"/>
        <v>205</v>
      </c>
      <c r="K39" s="4">
        <f>F39/C40-1</f>
        <v>0.39936440677966112</v>
      </c>
      <c r="M39" s="5">
        <v>1967.95</v>
      </c>
      <c r="N39" s="5">
        <v>2080.81</v>
      </c>
      <c r="Q39" s="159">
        <v>10668.48</v>
      </c>
      <c r="T39" s="132">
        <f t="shared" si="7"/>
        <v>112.8599999999999</v>
      </c>
      <c r="U39" s="4">
        <f t="shared" si="3"/>
        <v>5.7349018013669095E-2</v>
      </c>
      <c r="AA39" s="18">
        <v>27863.85</v>
      </c>
      <c r="AB39" s="18">
        <v>31246.789999999997</v>
      </c>
      <c r="AC39" s="4">
        <f t="shared" si="11"/>
        <v>0.12140964008921951</v>
      </c>
    </row>
    <row r="40" spans="1:29">
      <c r="A40" t="s">
        <v>737</v>
      </c>
      <c r="B40" t="s">
        <v>738</v>
      </c>
      <c r="C40" s="19">
        <v>944</v>
      </c>
      <c r="E40" t="s">
        <v>738</v>
      </c>
      <c r="F40" s="19">
        <v>961</v>
      </c>
      <c r="G40" t="b">
        <f t="shared" si="9"/>
        <v>1</v>
      </c>
      <c r="J40" s="25">
        <f t="shared" si="10"/>
        <v>17</v>
      </c>
      <c r="K40" s="4">
        <f>F40/C40-1</f>
        <v>1.8008474576271194E-2</v>
      </c>
      <c r="M40" s="5">
        <v>1397.42</v>
      </c>
      <c r="N40" s="5">
        <v>1602.86</v>
      </c>
      <c r="Q40" s="159">
        <v>7977.7</v>
      </c>
      <c r="T40" s="132">
        <f t="shared" si="7"/>
        <v>205.43999999999983</v>
      </c>
      <c r="U40" s="4">
        <f t="shared" si="3"/>
        <v>0.14701378254211317</v>
      </c>
      <c r="AA40" s="18">
        <v>16038.56</v>
      </c>
      <c r="AB40" s="18">
        <v>16327.39</v>
      </c>
      <c r="AC40" s="4">
        <f t="shared" si="11"/>
        <v>1.8008474576271194E-2</v>
      </c>
    </row>
    <row r="41" spans="1:29">
      <c r="A41" s="55" t="s">
        <v>739</v>
      </c>
      <c r="B41" s="37" t="s">
        <v>740</v>
      </c>
      <c r="C41" s="19">
        <v>723</v>
      </c>
      <c r="E41" s="37" t="s">
        <v>740</v>
      </c>
      <c r="F41" s="19">
        <v>687</v>
      </c>
      <c r="G41" t="b">
        <f t="shared" si="9"/>
        <v>1</v>
      </c>
      <c r="J41" s="25">
        <f t="shared" si="10"/>
        <v>-36</v>
      </c>
      <c r="K41" s="4">
        <f>F41/C42-1</f>
        <v>9.2209856915739241E-2</v>
      </c>
      <c r="M41" s="5">
        <v>1319.44</v>
      </c>
      <c r="N41" s="5">
        <v>1342.13</v>
      </c>
      <c r="Q41" s="159">
        <v>6960.68</v>
      </c>
      <c r="T41" s="132">
        <f t="shared" si="7"/>
        <v>22.690000000000055</v>
      </c>
      <c r="U41" s="4">
        <f t="shared" si="3"/>
        <v>1.7196689504638263E-2</v>
      </c>
      <c r="AA41" s="18">
        <v>10114.77</v>
      </c>
      <c r="AB41" s="18">
        <v>9597.14</v>
      </c>
      <c r="AC41" s="4">
        <f t="shared" si="11"/>
        <v>-5.1175656984785767E-2</v>
      </c>
    </row>
    <row r="42" spans="1:29">
      <c r="A42" s="54" t="s">
        <v>741</v>
      </c>
      <c r="B42" s="37" t="s">
        <v>742</v>
      </c>
      <c r="C42" s="19">
        <v>629</v>
      </c>
      <c r="E42" s="37" t="s">
        <v>742</v>
      </c>
      <c r="F42" s="19">
        <v>1184</v>
      </c>
      <c r="G42" t="b">
        <f t="shared" si="9"/>
        <v>1</v>
      </c>
      <c r="J42" s="25">
        <f t="shared" si="10"/>
        <v>555</v>
      </c>
      <c r="K42" s="4">
        <f>F42/C43-1</f>
        <v>-0.6139550048907727</v>
      </c>
      <c r="M42" s="5">
        <v>934.61</v>
      </c>
      <c r="N42" s="5">
        <v>1495.52</v>
      </c>
      <c r="Q42" s="159">
        <v>3095.86</v>
      </c>
      <c r="T42" s="132">
        <f t="shared" si="7"/>
        <v>560.91</v>
      </c>
      <c r="U42" s="4">
        <f t="shared" si="3"/>
        <v>0.60015407496174866</v>
      </c>
      <c r="AA42" s="18">
        <v>8528.5999999999985</v>
      </c>
      <c r="AB42" s="18">
        <v>12222.41</v>
      </c>
      <c r="AC42" s="4">
        <f t="shared" si="11"/>
        <v>0.43310859930117518</v>
      </c>
    </row>
    <row r="43" spans="1:29">
      <c r="A43" t="s">
        <v>743</v>
      </c>
      <c r="B43" t="s">
        <v>744</v>
      </c>
      <c r="C43" s="19">
        <v>3067</v>
      </c>
      <c r="E43" t="s">
        <v>744</v>
      </c>
      <c r="F43" s="19">
        <v>3200</v>
      </c>
      <c r="G43" t="b">
        <f t="shared" si="9"/>
        <v>1</v>
      </c>
      <c r="J43" s="25">
        <f t="shared" si="10"/>
        <v>133</v>
      </c>
      <c r="K43" s="4">
        <f>F43/C43-1</f>
        <v>4.3364851646560121E-2</v>
      </c>
      <c r="M43" s="5">
        <v>4750.13</v>
      </c>
      <c r="N43" s="5">
        <v>4135.46</v>
      </c>
      <c r="Q43" s="159">
        <v>21488.21</v>
      </c>
      <c r="T43" s="132">
        <f t="shared" si="7"/>
        <v>-614.67000000000007</v>
      </c>
      <c r="U43" s="4">
        <f t="shared" si="3"/>
        <v>-0.12940066903432113</v>
      </c>
      <c r="W43" t="s">
        <v>745</v>
      </c>
      <c r="AA43" s="18">
        <v>82770.91</v>
      </c>
      <c r="AB43" s="18">
        <v>78759.399999999994</v>
      </c>
      <c r="AC43" s="4">
        <f t="shared" si="11"/>
        <v>-4.8465215617419344E-2</v>
      </c>
    </row>
    <row r="44" spans="1:29">
      <c r="A44" s="27" t="s">
        <v>746</v>
      </c>
      <c r="B44" s="27" t="s">
        <v>747</v>
      </c>
      <c r="C44" s="19">
        <v>1119</v>
      </c>
      <c r="E44" s="27" t="s">
        <v>747</v>
      </c>
      <c r="F44" s="19">
        <v>1277</v>
      </c>
      <c r="G44" t="b">
        <f t="shared" si="9"/>
        <v>1</v>
      </c>
      <c r="J44" s="25">
        <f t="shared" si="10"/>
        <v>158</v>
      </c>
      <c r="K44" s="4">
        <f>F44/C44-1</f>
        <v>0.14119749776586232</v>
      </c>
      <c r="M44" s="5">
        <v>1771.72</v>
      </c>
      <c r="N44" s="5">
        <v>2482.1999999999998</v>
      </c>
      <c r="Q44" s="159">
        <v>12006.2</v>
      </c>
      <c r="T44" s="132">
        <f t="shared" si="7"/>
        <v>710.47999999999979</v>
      </c>
      <c r="U44" s="4">
        <f t="shared" si="3"/>
        <v>0.40101144650396203</v>
      </c>
      <c r="AA44" s="18">
        <v>15654.81</v>
      </c>
      <c r="AB44" s="18">
        <v>18543.23</v>
      </c>
      <c r="AC44" s="4">
        <f t="shared" si="11"/>
        <v>0.18450687041235247</v>
      </c>
    </row>
    <row r="45" spans="1:29">
      <c r="A45" t="s">
        <v>748</v>
      </c>
      <c r="B45" t="s">
        <v>749</v>
      </c>
      <c r="C45" s="19">
        <v>856</v>
      </c>
      <c r="D45" s="5"/>
      <c r="E45" t="s">
        <v>749</v>
      </c>
      <c r="F45" s="19">
        <v>728</v>
      </c>
      <c r="G45" t="b">
        <f t="shared" si="9"/>
        <v>1</v>
      </c>
      <c r="H45" s="5"/>
      <c r="I45" s="5"/>
      <c r="J45" s="25">
        <f t="shared" si="10"/>
        <v>-128</v>
      </c>
      <c r="K45" s="4">
        <f>F45/C45-1</f>
        <v>-0.14953271028037385</v>
      </c>
      <c r="L45" s="5"/>
      <c r="M45" s="5">
        <v>1088.6300000000001</v>
      </c>
      <c r="N45" s="5">
        <v>1123.22</v>
      </c>
      <c r="O45" s="5"/>
      <c r="P45" s="5"/>
      <c r="Q45" s="159">
        <v>6008.44</v>
      </c>
      <c r="R45" s="5"/>
      <c r="S45" s="5"/>
      <c r="T45" s="132">
        <f t="shared" si="7"/>
        <v>34.589999999999918</v>
      </c>
      <c r="U45" s="4">
        <f t="shared" si="3"/>
        <v>3.1773880932915555E-2</v>
      </c>
      <c r="V45" s="5"/>
      <c r="W45" s="5"/>
      <c r="X45" s="5"/>
      <c r="Y45" s="5"/>
      <c r="Z45" s="15"/>
      <c r="AA45" s="18">
        <v>25637.200000000001</v>
      </c>
      <c r="AB45" s="18">
        <v>21803.599999999999</v>
      </c>
      <c r="AC45" s="4">
        <f t="shared" si="11"/>
        <v>-0.14953271028037396</v>
      </c>
    </row>
    <row r="46" spans="1:29">
      <c r="A46" s="55" t="s">
        <v>750</v>
      </c>
      <c r="B46" s="37" t="s">
        <v>751</v>
      </c>
      <c r="C46">
        <v>36</v>
      </c>
      <c r="E46" s="37" t="s">
        <v>751</v>
      </c>
      <c r="F46">
        <v>746</v>
      </c>
      <c r="G46" t="b">
        <f t="shared" si="9"/>
        <v>1</v>
      </c>
      <c r="J46" s="25">
        <f t="shared" si="10"/>
        <v>710</v>
      </c>
      <c r="K46" s="4">
        <f>F49/C46-1</f>
        <v>13.472222222222221</v>
      </c>
      <c r="M46" s="5">
        <v>9.9600000000000009</v>
      </c>
      <c r="N46" s="5">
        <v>1411.87</v>
      </c>
      <c r="Q46" s="159">
        <v>6742.29</v>
      </c>
      <c r="T46" s="132"/>
      <c r="U46" s="4"/>
      <c r="AA46" s="18">
        <v>719.64</v>
      </c>
      <c r="AB46" s="18">
        <v>7562.54</v>
      </c>
      <c r="AC46" s="4">
        <f t="shared" si="11"/>
        <v>9.5087821688622096</v>
      </c>
    </row>
    <row r="47" spans="1:29">
      <c r="A47" t="s">
        <v>752</v>
      </c>
      <c r="B47" t="s">
        <v>753</v>
      </c>
      <c r="C47" s="19">
        <v>982</v>
      </c>
      <c r="E47" t="s">
        <v>753</v>
      </c>
      <c r="F47" s="19">
        <v>921</v>
      </c>
      <c r="G47" t="b">
        <f t="shared" si="9"/>
        <v>1</v>
      </c>
      <c r="J47" s="25">
        <f t="shared" si="10"/>
        <v>-61</v>
      </c>
      <c r="K47" s="4">
        <f t="shared" ref="K47:K60" si="12">F47/C47-1</f>
        <v>-6.2118126272912466E-2</v>
      </c>
      <c r="M47" s="5">
        <v>2286.5700000000002</v>
      </c>
      <c r="N47" s="5">
        <v>1794.01</v>
      </c>
      <c r="Q47" s="159">
        <v>12097.99</v>
      </c>
      <c r="T47" s="132">
        <f>N47-M47</f>
        <v>-492.56000000000017</v>
      </c>
      <c r="U47" s="4">
        <f t="shared" ref="U47:U60" si="13">IF(M47=0,0,N47/M47-1)</f>
        <v>-0.21541435425112732</v>
      </c>
      <c r="Y47" t="s">
        <v>754</v>
      </c>
      <c r="AA47" s="18">
        <v>29410.9</v>
      </c>
      <c r="AB47" s="18">
        <v>27583.95</v>
      </c>
      <c r="AC47" s="4">
        <f t="shared" si="11"/>
        <v>-6.2118126272912466E-2</v>
      </c>
    </row>
    <row r="48" spans="1:29">
      <c r="A48" t="s">
        <v>755</v>
      </c>
      <c r="B48" t="s">
        <v>756</v>
      </c>
      <c r="C48" s="19">
        <v>360</v>
      </c>
      <c r="E48" t="s">
        <v>756</v>
      </c>
      <c r="F48" s="19">
        <v>370</v>
      </c>
      <c r="G48" t="b">
        <f t="shared" si="9"/>
        <v>1</v>
      </c>
      <c r="J48" s="25">
        <f t="shared" si="10"/>
        <v>10</v>
      </c>
      <c r="K48" s="4">
        <f t="shared" si="12"/>
        <v>2.7777777777777679E-2</v>
      </c>
      <c r="M48" s="5">
        <v>330.7</v>
      </c>
      <c r="N48" s="5">
        <v>292.25</v>
      </c>
      <c r="Q48" s="159">
        <v>1790.54</v>
      </c>
      <c r="T48" s="132">
        <f>N48-M48</f>
        <v>-38.449999999999989</v>
      </c>
      <c r="U48" s="4">
        <f t="shared" si="13"/>
        <v>-0.11626852131841547</v>
      </c>
      <c r="AA48" s="18">
        <v>10782</v>
      </c>
      <c r="AB48" s="18">
        <v>11078.5</v>
      </c>
      <c r="AC48" s="4">
        <f t="shared" si="11"/>
        <v>2.749953626414392E-2</v>
      </c>
    </row>
    <row r="49" spans="1:29">
      <c r="A49" t="s">
        <v>757</v>
      </c>
      <c r="B49" t="s">
        <v>758</v>
      </c>
      <c r="C49" s="19">
        <v>605</v>
      </c>
      <c r="E49" t="s">
        <v>758</v>
      </c>
      <c r="F49" s="19">
        <v>521</v>
      </c>
      <c r="G49" t="b">
        <f t="shared" si="9"/>
        <v>1</v>
      </c>
      <c r="J49" s="25">
        <f t="shared" si="10"/>
        <v>-84</v>
      </c>
      <c r="K49" s="4">
        <f t="shared" si="12"/>
        <v>-0.1388429752066116</v>
      </c>
      <c r="M49" s="5">
        <v>0</v>
      </c>
      <c r="N49" s="5">
        <v>0</v>
      </c>
      <c r="Q49" s="159">
        <v>0</v>
      </c>
      <c r="T49" s="132">
        <v>0</v>
      </c>
      <c r="U49" s="4">
        <f t="shared" si="13"/>
        <v>0</v>
      </c>
      <c r="W49" t="s">
        <v>759</v>
      </c>
      <c r="Y49" t="s">
        <v>760</v>
      </c>
      <c r="Z49" s="14" t="s">
        <v>761</v>
      </c>
      <c r="AA49" s="18">
        <v>13279.75</v>
      </c>
      <c r="AB49" s="18">
        <v>11435.95</v>
      </c>
      <c r="AC49" s="4">
        <f t="shared" si="11"/>
        <v>-0.13884297520661149</v>
      </c>
    </row>
    <row r="50" spans="1:29">
      <c r="A50" t="s">
        <v>762</v>
      </c>
      <c r="B50" t="s">
        <v>763</v>
      </c>
      <c r="C50" s="19">
        <v>960</v>
      </c>
      <c r="E50" t="s">
        <v>763</v>
      </c>
      <c r="F50" s="19">
        <v>1325</v>
      </c>
      <c r="G50" t="b">
        <f t="shared" si="9"/>
        <v>1</v>
      </c>
      <c r="J50" s="25">
        <f t="shared" si="10"/>
        <v>365</v>
      </c>
      <c r="K50" s="4">
        <f t="shared" si="12"/>
        <v>0.38020833333333326</v>
      </c>
      <c r="M50" s="5">
        <v>1325.35</v>
      </c>
      <c r="N50" s="5">
        <v>1105.08</v>
      </c>
      <c r="Q50" s="159">
        <v>7804.42</v>
      </c>
      <c r="T50" s="132">
        <f t="shared" ref="T50:T60" si="14">N50-M50</f>
        <v>-220.26999999999998</v>
      </c>
      <c r="U50" s="4">
        <f t="shared" si="13"/>
        <v>-0.16619760817897156</v>
      </c>
      <c r="AA50" s="18">
        <v>23952</v>
      </c>
      <c r="AB50" s="18">
        <v>30259.360000000001</v>
      </c>
      <c r="AC50" s="4">
        <f t="shared" si="11"/>
        <v>0.26333333333333342</v>
      </c>
    </row>
    <row r="51" spans="1:29">
      <c r="A51" s="5" t="s">
        <v>764</v>
      </c>
      <c r="B51" s="5" t="s">
        <v>765</v>
      </c>
      <c r="C51" s="19">
        <v>1462</v>
      </c>
      <c r="D51" s="5"/>
      <c r="E51" t="s">
        <v>765</v>
      </c>
      <c r="F51" s="19">
        <v>1644</v>
      </c>
      <c r="G51" t="b">
        <f t="shared" si="9"/>
        <v>1</v>
      </c>
      <c r="H51" s="5"/>
      <c r="I51" s="5"/>
      <c r="J51" s="25">
        <f t="shared" si="10"/>
        <v>182</v>
      </c>
      <c r="K51" s="4">
        <f t="shared" si="12"/>
        <v>0.12448700410396718</v>
      </c>
      <c r="L51" s="5"/>
      <c r="M51" s="5">
        <v>1265.79</v>
      </c>
      <c r="N51" s="5">
        <v>1396.15</v>
      </c>
      <c r="O51" s="5"/>
      <c r="P51" s="5"/>
      <c r="Q51" s="159">
        <v>6385.5</v>
      </c>
      <c r="R51" s="5"/>
      <c r="S51" s="5"/>
      <c r="T51" s="132">
        <f t="shared" si="14"/>
        <v>130.36000000000013</v>
      </c>
      <c r="U51" s="4">
        <f t="shared" si="13"/>
        <v>0.10298706736504482</v>
      </c>
      <c r="V51" s="5"/>
      <c r="W51" s="5"/>
      <c r="X51" s="5"/>
      <c r="Y51" s="5"/>
      <c r="Z51" s="15"/>
      <c r="AA51" s="18">
        <v>43815.39</v>
      </c>
      <c r="AB51" s="18">
        <v>45967.56</v>
      </c>
      <c r="AC51" s="4">
        <f t="shared" si="11"/>
        <v>4.9119042418656944E-2</v>
      </c>
    </row>
    <row r="52" spans="1:29">
      <c r="A52" t="s">
        <v>766</v>
      </c>
      <c r="B52" t="s">
        <v>767</v>
      </c>
      <c r="C52" s="19">
        <v>2837</v>
      </c>
      <c r="E52" t="s">
        <v>767</v>
      </c>
      <c r="F52" s="19">
        <v>3336</v>
      </c>
      <c r="G52" t="b">
        <f t="shared" si="9"/>
        <v>1</v>
      </c>
      <c r="J52" s="25">
        <f t="shared" si="10"/>
        <v>499</v>
      </c>
      <c r="K52" s="4">
        <f t="shared" si="12"/>
        <v>0.17589002467395143</v>
      </c>
      <c r="M52" s="5">
        <v>4517.3900000000003</v>
      </c>
      <c r="N52" s="5">
        <v>5123.04</v>
      </c>
      <c r="Q52" s="159">
        <v>24257.32</v>
      </c>
      <c r="T52" s="132">
        <f t="shared" si="14"/>
        <v>605.64999999999964</v>
      </c>
      <c r="U52" s="4">
        <f t="shared" si="13"/>
        <v>0.13407077980869486</v>
      </c>
      <c r="W52" t="s">
        <v>768</v>
      </c>
      <c r="Y52" t="s">
        <v>769</v>
      </c>
      <c r="Z52" s="14" t="s">
        <v>770</v>
      </c>
      <c r="AA52" s="18">
        <v>76516.649999999994</v>
      </c>
      <c r="AB52" s="18">
        <v>84039.24</v>
      </c>
      <c r="AC52" s="4">
        <f t="shared" si="11"/>
        <v>9.8313112244198031E-2</v>
      </c>
    </row>
    <row r="53" spans="1:29">
      <c r="A53" t="s">
        <v>771</v>
      </c>
      <c r="B53" t="s">
        <v>772</v>
      </c>
      <c r="C53" s="19">
        <v>2870</v>
      </c>
      <c r="E53" t="s">
        <v>772</v>
      </c>
      <c r="F53" s="19">
        <v>3452</v>
      </c>
      <c r="G53" t="b">
        <f t="shared" si="9"/>
        <v>1</v>
      </c>
      <c r="J53" s="25">
        <f t="shared" si="10"/>
        <v>582</v>
      </c>
      <c r="K53" s="4">
        <f t="shared" si="12"/>
        <v>0.20278745644599305</v>
      </c>
      <c r="M53" s="5">
        <v>1857.61</v>
      </c>
      <c r="N53" s="5">
        <v>1769.51</v>
      </c>
      <c r="Q53" s="159">
        <v>36529.410000000003</v>
      </c>
      <c r="T53" s="132">
        <f t="shared" si="14"/>
        <v>-88.099999999999909</v>
      </c>
      <c r="U53" s="4">
        <f t="shared" si="13"/>
        <v>-4.7426531941580752E-2</v>
      </c>
      <c r="AA53" s="18">
        <v>64963.64</v>
      </c>
      <c r="AB53" s="18">
        <v>72325.75</v>
      </c>
      <c r="AC53" s="4">
        <f t="shared" si="11"/>
        <v>0.11332662393917592</v>
      </c>
    </row>
    <row r="54" spans="1:29">
      <c r="A54" t="s">
        <v>773</v>
      </c>
      <c r="B54" t="s">
        <v>774</v>
      </c>
      <c r="C54" s="19">
        <v>793</v>
      </c>
      <c r="E54" t="s">
        <v>774</v>
      </c>
      <c r="F54" s="19">
        <v>951</v>
      </c>
      <c r="G54" t="b">
        <f t="shared" si="9"/>
        <v>1</v>
      </c>
      <c r="J54" s="25">
        <f t="shared" si="10"/>
        <v>158</v>
      </c>
      <c r="K54" s="4">
        <f t="shared" si="12"/>
        <v>0.19924337957124849</v>
      </c>
      <c r="M54" s="5">
        <v>555.83000000000004</v>
      </c>
      <c r="N54" s="5">
        <v>540.77</v>
      </c>
      <c r="Q54" s="159">
        <v>3610.75</v>
      </c>
      <c r="T54" s="132">
        <f t="shared" si="14"/>
        <v>-15.060000000000059</v>
      </c>
      <c r="U54" s="4">
        <f t="shared" si="13"/>
        <v>-2.7094615260061627E-2</v>
      </c>
      <c r="AA54" s="18">
        <v>21476.489999999998</v>
      </c>
      <c r="AB54" s="18">
        <v>24994.51</v>
      </c>
      <c r="AC54" s="4">
        <f t="shared" si="11"/>
        <v>0.16380795930806191</v>
      </c>
    </row>
    <row r="55" spans="1:29">
      <c r="A55" t="s">
        <v>775</v>
      </c>
      <c r="B55" t="s">
        <v>776</v>
      </c>
      <c r="C55" s="19">
        <v>1327</v>
      </c>
      <c r="E55" t="s">
        <v>776</v>
      </c>
      <c r="F55" s="19">
        <v>1458</v>
      </c>
      <c r="G55" t="b">
        <f t="shared" si="9"/>
        <v>1</v>
      </c>
      <c r="J55" s="25">
        <f t="shared" si="10"/>
        <v>131</v>
      </c>
      <c r="K55" s="4">
        <f t="shared" si="12"/>
        <v>9.8718914845516093E-2</v>
      </c>
      <c r="M55" s="5">
        <v>1183.4100000000001</v>
      </c>
      <c r="N55" s="5">
        <v>1045.67</v>
      </c>
      <c r="Q55" s="159">
        <v>11729.9</v>
      </c>
      <c r="T55" s="132">
        <f t="shared" si="14"/>
        <v>-137.74</v>
      </c>
      <c r="U55" s="4">
        <f t="shared" si="13"/>
        <v>-0.11639245908011597</v>
      </c>
      <c r="AA55" s="18">
        <v>38335.64</v>
      </c>
      <c r="AB55" s="18">
        <v>39702.03</v>
      </c>
      <c r="AC55" s="4">
        <f t="shared" si="11"/>
        <v>3.5642811754283965E-2</v>
      </c>
    </row>
    <row r="56" spans="1:29">
      <c r="A56" t="s">
        <v>777</v>
      </c>
      <c r="B56" t="s">
        <v>778</v>
      </c>
      <c r="C56" s="19">
        <v>913</v>
      </c>
      <c r="E56" t="s">
        <v>778</v>
      </c>
      <c r="F56" s="19">
        <v>902</v>
      </c>
      <c r="G56" t="b">
        <f t="shared" si="9"/>
        <v>1</v>
      </c>
      <c r="J56" s="25">
        <f t="shared" si="10"/>
        <v>-11</v>
      </c>
      <c r="K56" s="4">
        <f t="shared" si="12"/>
        <v>-1.2048192771084376E-2</v>
      </c>
      <c r="M56" s="5">
        <v>2192.17</v>
      </c>
      <c r="N56" s="5">
        <v>1682.37</v>
      </c>
      <c r="Q56" s="159">
        <v>7735</v>
      </c>
      <c r="T56" s="132">
        <f t="shared" si="14"/>
        <v>-509.80000000000018</v>
      </c>
      <c r="U56" s="4">
        <f t="shared" si="13"/>
        <v>-0.23255495696045481</v>
      </c>
      <c r="AA56" s="18">
        <v>18214.349999999999</v>
      </c>
      <c r="AB56" s="18">
        <v>17974.95</v>
      </c>
      <c r="AC56" s="4">
        <f t="shared" si="11"/>
        <v>-1.3143483023000946E-2</v>
      </c>
    </row>
    <row r="57" spans="1:29">
      <c r="A57" t="s">
        <v>779</v>
      </c>
      <c r="B57" t="s">
        <v>780</v>
      </c>
      <c r="C57" s="19">
        <v>5113</v>
      </c>
      <c r="E57" t="s">
        <v>780</v>
      </c>
      <c r="F57" s="19">
        <v>5783</v>
      </c>
      <c r="G57" t="b">
        <f t="shared" si="9"/>
        <v>1</v>
      </c>
      <c r="J57" s="25">
        <f t="shared" si="10"/>
        <v>670</v>
      </c>
      <c r="K57" s="4">
        <f t="shared" si="12"/>
        <v>0.13103852923919423</v>
      </c>
      <c r="M57" s="5">
        <v>7127.61</v>
      </c>
      <c r="N57" s="5">
        <v>7055.14</v>
      </c>
      <c r="Q57" s="159">
        <v>42726.74</v>
      </c>
      <c r="T57" s="132">
        <f t="shared" si="14"/>
        <v>-72.469999999999345</v>
      </c>
      <c r="U57" s="4">
        <f t="shared" si="13"/>
        <v>-1.0167503553084267E-2</v>
      </c>
      <c r="W57" t="s">
        <v>781</v>
      </c>
      <c r="AA57" s="18">
        <v>127672.05</v>
      </c>
      <c r="AB57" s="18">
        <v>137661.09</v>
      </c>
      <c r="AC57" s="4">
        <f t="shared" si="11"/>
        <v>7.823983401222101E-2</v>
      </c>
    </row>
    <row r="58" spans="1:29">
      <c r="A58" t="s">
        <v>782</v>
      </c>
      <c r="B58" t="s">
        <v>783</v>
      </c>
      <c r="C58" s="19">
        <v>706</v>
      </c>
      <c r="E58" t="s">
        <v>783</v>
      </c>
      <c r="F58" s="19">
        <v>551</v>
      </c>
      <c r="G58" t="b">
        <f t="shared" si="9"/>
        <v>1</v>
      </c>
      <c r="J58" s="25">
        <f t="shared" si="10"/>
        <v>-155</v>
      </c>
      <c r="K58" s="4">
        <f t="shared" si="12"/>
        <v>-0.21954674220963177</v>
      </c>
      <c r="M58" s="5">
        <v>1175.8</v>
      </c>
      <c r="N58" s="5">
        <v>414.74</v>
      </c>
      <c r="Q58" s="159">
        <v>1678.07</v>
      </c>
      <c r="T58" s="132">
        <f t="shared" si="14"/>
        <v>-761.06</v>
      </c>
      <c r="U58" s="4">
        <f t="shared" si="13"/>
        <v>-0.64726994386800474</v>
      </c>
      <c r="AA58" s="18">
        <v>15524.94</v>
      </c>
      <c r="AB58" s="18">
        <v>12116.49</v>
      </c>
      <c r="AC58" s="4">
        <f t="shared" si="11"/>
        <v>-0.21954674220963177</v>
      </c>
    </row>
    <row r="59" spans="1:29">
      <c r="A59" t="s">
        <v>784</v>
      </c>
      <c r="B59" t="s">
        <v>785</v>
      </c>
      <c r="C59" s="19">
        <v>1195</v>
      </c>
      <c r="E59" t="s">
        <v>785</v>
      </c>
      <c r="F59" s="19">
        <v>1107</v>
      </c>
      <c r="G59" t="b">
        <f t="shared" si="9"/>
        <v>1</v>
      </c>
      <c r="J59" s="25">
        <f t="shared" si="10"/>
        <v>-88</v>
      </c>
      <c r="K59" s="4">
        <f t="shared" si="12"/>
        <v>-7.3640167364016684E-2</v>
      </c>
      <c r="M59" s="5">
        <v>1548.65</v>
      </c>
      <c r="N59" s="5">
        <v>1156.74</v>
      </c>
      <c r="Q59" s="159">
        <v>3915.39</v>
      </c>
      <c r="T59" s="132">
        <f t="shared" si="14"/>
        <v>-391.91000000000008</v>
      </c>
      <c r="U59" s="4">
        <f t="shared" si="13"/>
        <v>-0.25306557324121015</v>
      </c>
      <c r="X59" t="s">
        <v>786</v>
      </c>
      <c r="Y59" t="s">
        <v>787</v>
      </c>
      <c r="Z59" s="14" t="s">
        <v>788</v>
      </c>
      <c r="AA59" s="18">
        <v>22693.05</v>
      </c>
      <c r="AB59" s="18">
        <v>21040.920000000002</v>
      </c>
      <c r="AC59" s="4">
        <f t="shared" si="11"/>
        <v>-7.2803347280334663E-2</v>
      </c>
    </row>
    <row r="60" spans="1:29">
      <c r="A60" t="s">
        <v>789</v>
      </c>
      <c r="B60" t="s">
        <v>790</v>
      </c>
      <c r="C60" s="19">
        <v>3582</v>
      </c>
      <c r="D60" s="5"/>
      <c r="E60" t="s">
        <v>790</v>
      </c>
      <c r="F60" s="19">
        <v>3695</v>
      </c>
      <c r="G60" t="b">
        <f t="shared" si="9"/>
        <v>1</v>
      </c>
      <c r="H60" s="5"/>
      <c r="I60" s="5"/>
      <c r="J60" s="25">
        <f t="shared" si="10"/>
        <v>113</v>
      </c>
      <c r="K60" s="4">
        <f t="shared" si="12"/>
        <v>3.1546621998883362E-2</v>
      </c>
      <c r="L60" s="5"/>
      <c r="M60" s="5">
        <v>3380.77</v>
      </c>
      <c r="N60" s="5">
        <v>3664.55</v>
      </c>
      <c r="O60" s="5"/>
      <c r="P60" s="5"/>
      <c r="Q60" s="159">
        <v>17840.060000000001</v>
      </c>
      <c r="R60" s="5"/>
      <c r="S60" s="5"/>
      <c r="T60" s="132">
        <f t="shared" si="14"/>
        <v>283.7800000000002</v>
      </c>
      <c r="U60" s="4">
        <f t="shared" si="13"/>
        <v>8.3939457579190524E-2</v>
      </c>
      <c r="V60" s="5"/>
      <c r="W60" s="5"/>
      <c r="X60" s="5"/>
      <c r="Y60" s="5"/>
      <c r="Z60" s="15"/>
      <c r="AA60" s="18">
        <v>82848.83</v>
      </c>
      <c r="AB60" s="18">
        <v>80606.459999999992</v>
      </c>
      <c r="AC60" s="4">
        <f t="shared" si="11"/>
        <v>-2.7065801653445298E-2</v>
      </c>
    </row>
    <row r="61" spans="1:29">
      <c r="A61" s="156" t="s">
        <v>791</v>
      </c>
      <c r="B61" s="37" t="s">
        <v>792</v>
      </c>
      <c r="C61" s="19">
        <v>0</v>
      </c>
      <c r="E61" s="37" t="s">
        <v>792</v>
      </c>
      <c r="F61" s="19">
        <v>550</v>
      </c>
      <c r="G61" t="b">
        <f t="shared" si="9"/>
        <v>1</v>
      </c>
      <c r="J61" s="25">
        <f t="shared" si="10"/>
        <v>550</v>
      </c>
      <c r="K61" s="4" t="e">
        <f>F63/C61-1</f>
        <v>#DIV/0!</v>
      </c>
      <c r="M61" s="151">
        <v>0</v>
      </c>
      <c r="N61" s="151">
        <v>973.34</v>
      </c>
      <c r="Q61" s="158">
        <v>5386.34</v>
      </c>
      <c r="AA61">
        <v>0</v>
      </c>
      <c r="AB61">
        <v>6316.5</v>
      </c>
      <c r="AC61" s="4" t="e">
        <f t="shared" si="11"/>
        <v>#DIV/0!</v>
      </c>
    </row>
    <row r="62" spans="1:29">
      <c r="A62" t="s">
        <v>793</v>
      </c>
      <c r="B62" t="s">
        <v>794</v>
      </c>
      <c r="C62" s="19">
        <v>0</v>
      </c>
      <c r="E62" t="s">
        <v>794</v>
      </c>
      <c r="F62" s="19">
        <v>0</v>
      </c>
      <c r="G62" t="b">
        <f t="shared" si="9"/>
        <v>1</v>
      </c>
      <c r="J62" s="25">
        <f t="shared" si="10"/>
        <v>0</v>
      </c>
      <c r="K62" s="4" t="e">
        <f t="shared" ref="K62:K64" si="15">F62/C62-1</f>
        <v>#DIV/0!</v>
      </c>
      <c r="M62" s="5">
        <v>0</v>
      </c>
      <c r="N62" s="5">
        <v>0</v>
      </c>
      <c r="Q62" s="159">
        <v>0</v>
      </c>
      <c r="T62" s="132">
        <f t="shared" ref="T62:T64" si="16">N62-M62</f>
        <v>0</v>
      </c>
      <c r="U62" s="4">
        <f t="shared" ref="U62:U64" si="17">IF(M62=0,0,N62/M62-1)</f>
        <v>0</v>
      </c>
      <c r="AA62" s="18">
        <v>0</v>
      </c>
      <c r="AB62" s="18">
        <v>0</v>
      </c>
      <c r="AC62" s="4" t="e">
        <f t="shared" si="11"/>
        <v>#DIV/0!</v>
      </c>
    </row>
    <row r="63" spans="1:29">
      <c r="A63" t="s">
        <v>795</v>
      </c>
      <c r="B63" t="s">
        <v>796</v>
      </c>
      <c r="C63" s="19">
        <v>1171</v>
      </c>
      <c r="E63" t="s">
        <v>796</v>
      </c>
      <c r="F63" s="19">
        <v>1189</v>
      </c>
      <c r="G63" t="b">
        <f t="shared" si="9"/>
        <v>1</v>
      </c>
      <c r="J63" s="25">
        <f t="shared" si="10"/>
        <v>18</v>
      </c>
      <c r="K63" s="4">
        <f t="shared" si="15"/>
        <v>1.5371477369769515E-2</v>
      </c>
      <c r="M63" s="5">
        <v>733.86</v>
      </c>
      <c r="N63" s="5">
        <v>751.72</v>
      </c>
      <c r="Q63" s="159">
        <v>4700.5200000000004</v>
      </c>
      <c r="T63" s="132">
        <f t="shared" si="16"/>
        <v>17.860000000000014</v>
      </c>
      <c r="U63" s="4">
        <f t="shared" si="17"/>
        <v>2.4337067015506975E-2</v>
      </c>
      <c r="AA63" s="18">
        <v>23321.55</v>
      </c>
      <c r="AB63" s="18">
        <v>22236.269999999997</v>
      </c>
      <c r="AC63" s="4">
        <f t="shared" si="11"/>
        <v>-4.6535500427716148E-2</v>
      </c>
    </row>
    <row r="64" spans="1:29">
      <c r="A64" t="s">
        <v>797</v>
      </c>
      <c r="B64" t="s">
        <v>798</v>
      </c>
      <c r="C64" s="19">
        <v>0</v>
      </c>
      <c r="E64" t="s">
        <v>798</v>
      </c>
      <c r="F64" s="19">
        <v>0</v>
      </c>
      <c r="G64" t="b">
        <f t="shared" ref="G64:G92" si="18">IF(B64=E64,TRUE,FALSE)</f>
        <v>1</v>
      </c>
      <c r="J64" s="25">
        <f t="shared" ref="J64:J92" si="19">F64-C64</f>
        <v>0</v>
      </c>
      <c r="K64" s="4" t="e">
        <f t="shared" si="15"/>
        <v>#DIV/0!</v>
      </c>
      <c r="M64" s="5">
        <v>0</v>
      </c>
      <c r="N64" s="5">
        <v>0</v>
      </c>
      <c r="Q64" s="159">
        <v>0</v>
      </c>
      <c r="T64" s="132">
        <f t="shared" si="16"/>
        <v>0</v>
      </c>
      <c r="U64" s="4">
        <f t="shared" si="17"/>
        <v>0</v>
      </c>
      <c r="AA64" s="18">
        <v>0</v>
      </c>
      <c r="AB64" s="18">
        <v>0</v>
      </c>
      <c r="AC64" s="4" t="e">
        <f t="shared" ref="AC64:AC92" si="20">AB64/AA64-1</f>
        <v>#DIV/0!</v>
      </c>
    </row>
    <row r="65" spans="1:29">
      <c r="A65" s="55" t="s">
        <v>799</v>
      </c>
      <c r="B65" s="37" t="s">
        <v>800</v>
      </c>
      <c r="C65">
        <v>0</v>
      </c>
      <c r="E65" s="37" t="s">
        <v>800</v>
      </c>
      <c r="F65">
        <v>281</v>
      </c>
      <c r="G65" t="b">
        <f t="shared" si="18"/>
        <v>1</v>
      </c>
      <c r="J65" s="25">
        <f t="shared" si="19"/>
        <v>281</v>
      </c>
      <c r="K65" s="4" t="e">
        <f>F68/C65-1</f>
        <v>#DIV/0!</v>
      </c>
      <c r="M65" s="5">
        <v>1.87</v>
      </c>
      <c r="N65" s="5">
        <v>964.73</v>
      </c>
      <c r="Q65" s="159">
        <v>3566.42</v>
      </c>
      <c r="T65" s="132"/>
      <c r="U65" s="4"/>
      <c r="AA65" s="18">
        <v>0</v>
      </c>
      <c r="AB65" s="18">
        <v>5589.19</v>
      </c>
      <c r="AC65" s="4" t="e">
        <f t="shared" si="20"/>
        <v>#DIV/0!</v>
      </c>
    </row>
    <row r="66" spans="1:29">
      <c r="A66" t="s">
        <v>801</v>
      </c>
      <c r="B66" t="s">
        <v>802</v>
      </c>
      <c r="C66" s="19">
        <v>576</v>
      </c>
      <c r="E66" t="s">
        <v>802</v>
      </c>
      <c r="F66" s="19">
        <v>697</v>
      </c>
      <c r="G66" t="b">
        <f t="shared" si="18"/>
        <v>1</v>
      </c>
      <c r="J66" s="25">
        <f t="shared" si="19"/>
        <v>121</v>
      </c>
      <c r="K66" s="4">
        <f t="shared" ref="K66:K95" si="21">F66/C66-1</f>
        <v>0.21006944444444442</v>
      </c>
      <c r="M66" s="5">
        <v>633.14</v>
      </c>
      <c r="N66" s="5">
        <v>522.65</v>
      </c>
      <c r="Q66" s="159">
        <v>3967.09</v>
      </c>
      <c r="T66" s="132">
        <f>N66-M66</f>
        <v>-110.49000000000001</v>
      </c>
      <c r="U66" s="4">
        <f t="shared" ref="U66:U95" si="22">IF(M66=0,0,N66/M66-1)</f>
        <v>-0.17451116656663612</v>
      </c>
      <c r="W66" t="s">
        <v>803</v>
      </c>
      <c r="AA66" s="18">
        <v>14371.2</v>
      </c>
      <c r="AB66" s="18">
        <v>17390.150000000001</v>
      </c>
      <c r="AC66" s="4">
        <f t="shared" si="20"/>
        <v>0.21006944444444442</v>
      </c>
    </row>
    <row r="67" spans="1:29">
      <c r="A67" t="s">
        <v>804</v>
      </c>
      <c r="B67" t="s">
        <v>805</v>
      </c>
      <c r="C67" s="19">
        <v>141</v>
      </c>
      <c r="E67" t="s">
        <v>805</v>
      </c>
      <c r="F67" s="19">
        <v>120</v>
      </c>
      <c r="G67" t="b">
        <f t="shared" si="18"/>
        <v>1</v>
      </c>
      <c r="J67" s="25">
        <f t="shared" si="19"/>
        <v>-21</v>
      </c>
      <c r="K67" s="4">
        <f t="shared" si="21"/>
        <v>-0.14893617021276595</v>
      </c>
      <c r="M67" s="5">
        <v>155.80000000000001</v>
      </c>
      <c r="N67" s="5">
        <v>85.13</v>
      </c>
      <c r="Q67" s="159">
        <v>380.04</v>
      </c>
      <c r="T67" s="132">
        <f>N67-M67</f>
        <v>-70.670000000000016</v>
      </c>
      <c r="U67" s="4">
        <f t="shared" si="22"/>
        <v>-0.45359435173299112</v>
      </c>
      <c r="AA67" s="18">
        <v>2671.95</v>
      </c>
      <c r="AB67" s="18">
        <v>2274</v>
      </c>
      <c r="AC67" s="4">
        <f t="shared" si="20"/>
        <v>-0.14893617021276595</v>
      </c>
    </row>
    <row r="68" spans="1:29" ht="13.5" customHeight="1">
      <c r="A68" t="s">
        <v>806</v>
      </c>
      <c r="B68" t="s">
        <v>807</v>
      </c>
      <c r="C68" s="19">
        <v>546</v>
      </c>
      <c r="E68" t="s">
        <v>807</v>
      </c>
      <c r="F68" s="19">
        <v>583</v>
      </c>
      <c r="G68" t="b">
        <f t="shared" si="18"/>
        <v>1</v>
      </c>
      <c r="J68" s="25">
        <f t="shared" si="19"/>
        <v>37</v>
      </c>
      <c r="K68" s="4">
        <f t="shared" si="21"/>
        <v>6.7765567765567747E-2</v>
      </c>
      <c r="M68" s="5">
        <v>335.03</v>
      </c>
      <c r="N68" s="5">
        <v>328.84</v>
      </c>
      <c r="Q68" s="159">
        <v>1954.6</v>
      </c>
      <c r="T68" s="132">
        <f>N68-M68</f>
        <v>-6.1899999999999977</v>
      </c>
      <c r="U68" s="4">
        <f t="shared" si="22"/>
        <v>-1.8475957376951291E-2</v>
      </c>
      <c r="AA68" s="18">
        <v>16352.7</v>
      </c>
      <c r="AB68" s="18">
        <v>16352.7</v>
      </c>
      <c r="AC68" s="4">
        <f t="shared" si="20"/>
        <v>0</v>
      </c>
    </row>
    <row r="69" spans="1:29">
      <c r="A69" t="s">
        <v>808</v>
      </c>
      <c r="B69" t="s">
        <v>809</v>
      </c>
      <c r="C69" s="19">
        <v>278</v>
      </c>
      <c r="E69" t="s">
        <v>809</v>
      </c>
      <c r="F69" s="19">
        <v>282</v>
      </c>
      <c r="G69" t="b">
        <f t="shared" si="18"/>
        <v>1</v>
      </c>
      <c r="J69" s="25">
        <f t="shared" si="19"/>
        <v>4</v>
      </c>
      <c r="K69" s="4">
        <f t="shared" si="21"/>
        <v>1.4388489208633004E-2</v>
      </c>
      <c r="M69" s="5">
        <v>570.05999999999995</v>
      </c>
      <c r="N69" s="5">
        <v>227.88</v>
      </c>
      <c r="Q69" s="159">
        <v>1152.44</v>
      </c>
      <c r="T69" s="132">
        <f>N69-M69</f>
        <v>-342.17999999999995</v>
      </c>
      <c r="U69" s="4">
        <f t="shared" si="22"/>
        <v>-0.6002526049889485</v>
      </c>
      <c r="AA69" s="18">
        <v>6102.1</v>
      </c>
      <c r="AB69" s="18">
        <v>6189.9</v>
      </c>
      <c r="AC69" s="4">
        <f t="shared" si="20"/>
        <v>1.4388489208633004E-2</v>
      </c>
    </row>
    <row r="70" spans="1:29">
      <c r="A70" t="s">
        <v>810</v>
      </c>
      <c r="B70" t="s">
        <v>811</v>
      </c>
      <c r="C70" s="19">
        <v>272</v>
      </c>
      <c r="E70" t="s">
        <v>811</v>
      </c>
      <c r="F70" s="19">
        <v>291</v>
      </c>
      <c r="G70" t="b">
        <f t="shared" si="18"/>
        <v>1</v>
      </c>
      <c r="J70" s="25">
        <f t="shared" si="19"/>
        <v>19</v>
      </c>
      <c r="K70" s="4">
        <f t="shared" si="21"/>
        <v>6.9852941176470562E-2</v>
      </c>
      <c r="M70" s="5">
        <v>134.38</v>
      </c>
      <c r="N70" s="5">
        <v>168.71</v>
      </c>
      <c r="Q70" s="159">
        <v>1486.58</v>
      </c>
      <c r="T70" s="132">
        <f>N70-M70</f>
        <v>34.330000000000013</v>
      </c>
      <c r="U70" s="4">
        <f t="shared" si="22"/>
        <v>0.25546956392320297</v>
      </c>
      <c r="AA70" s="18">
        <v>8154.22</v>
      </c>
      <c r="AB70" s="18">
        <v>8726.1</v>
      </c>
      <c r="AC70" s="4">
        <f t="shared" si="20"/>
        <v>7.0133010882708513E-2</v>
      </c>
    </row>
    <row r="71" spans="1:29" ht="13.9" customHeight="1">
      <c r="A71" t="s">
        <v>812</v>
      </c>
      <c r="B71" t="s">
        <v>813</v>
      </c>
      <c r="C71" s="19">
        <v>257</v>
      </c>
      <c r="E71" t="s">
        <v>813</v>
      </c>
      <c r="F71" s="19">
        <v>289</v>
      </c>
      <c r="G71" t="b">
        <f t="shared" si="18"/>
        <v>1</v>
      </c>
      <c r="J71" s="25">
        <f t="shared" si="19"/>
        <v>32</v>
      </c>
      <c r="K71" s="4">
        <f t="shared" si="21"/>
        <v>0.1245136186770428</v>
      </c>
      <c r="M71" s="5">
        <v>133.47</v>
      </c>
      <c r="N71" s="5">
        <v>168.04</v>
      </c>
      <c r="Q71" s="159">
        <v>914.91</v>
      </c>
      <c r="T71" s="132">
        <f t="shared" ref="T71:T101" si="23">N71-M71</f>
        <v>34.569999999999993</v>
      </c>
      <c r="U71" s="4">
        <f t="shared" si="22"/>
        <v>0.25900951524687188</v>
      </c>
      <c r="AA71" s="18">
        <v>7697.15</v>
      </c>
      <c r="AB71" s="18">
        <v>8655.5499999999993</v>
      </c>
      <c r="AC71" s="4">
        <f t="shared" si="20"/>
        <v>0.1245136186770428</v>
      </c>
    </row>
    <row r="72" spans="1:29" ht="13.9" customHeight="1">
      <c r="A72" t="s">
        <v>814</v>
      </c>
      <c r="B72" t="s">
        <v>815</v>
      </c>
      <c r="C72" s="19">
        <v>670</v>
      </c>
      <c r="E72" t="s">
        <v>815</v>
      </c>
      <c r="F72" s="19">
        <v>820</v>
      </c>
      <c r="G72" t="b">
        <f t="shared" si="18"/>
        <v>1</v>
      </c>
      <c r="J72" s="25">
        <f t="shared" si="19"/>
        <v>150</v>
      </c>
      <c r="K72" s="4">
        <f t="shared" si="21"/>
        <v>0.22388059701492535</v>
      </c>
      <c r="L72" s="5"/>
      <c r="M72" s="5">
        <v>436.74</v>
      </c>
      <c r="N72" s="5">
        <v>397.57</v>
      </c>
      <c r="O72" s="5"/>
      <c r="P72" s="5"/>
      <c r="Q72" s="159">
        <v>3451.88</v>
      </c>
      <c r="R72" s="5"/>
      <c r="S72" s="5"/>
      <c r="T72" s="132">
        <f t="shared" si="23"/>
        <v>-39.170000000000016</v>
      </c>
      <c r="U72" s="4">
        <f t="shared" si="22"/>
        <v>-8.9687228099097904E-2</v>
      </c>
      <c r="V72" s="5"/>
      <c r="W72" s="5"/>
      <c r="X72" s="5"/>
      <c r="Y72" s="5"/>
      <c r="Z72" s="15"/>
      <c r="AA72" s="18">
        <v>20093.3</v>
      </c>
      <c r="AB72" s="18">
        <v>22431.8</v>
      </c>
      <c r="AC72" s="4">
        <f t="shared" si="20"/>
        <v>0.11638207760795893</v>
      </c>
    </row>
    <row r="73" spans="1:29" ht="13.9" customHeight="1">
      <c r="A73" t="s">
        <v>816</v>
      </c>
      <c r="B73" t="s">
        <v>817</v>
      </c>
      <c r="C73" s="19">
        <v>610</v>
      </c>
      <c r="E73" t="s">
        <v>817</v>
      </c>
      <c r="F73" s="19">
        <v>509</v>
      </c>
      <c r="G73" t="b">
        <f t="shared" si="18"/>
        <v>1</v>
      </c>
      <c r="J73" s="25">
        <f t="shared" si="19"/>
        <v>-101</v>
      </c>
      <c r="K73" s="4">
        <f t="shared" si="21"/>
        <v>-0.16557377049180333</v>
      </c>
      <c r="M73" s="5">
        <v>1022.46</v>
      </c>
      <c r="N73" s="5">
        <v>315.72000000000003</v>
      </c>
      <c r="Q73" s="159">
        <v>1062.44</v>
      </c>
      <c r="T73" s="132">
        <f t="shared" si="23"/>
        <v>-706.74</v>
      </c>
      <c r="U73" s="4">
        <f t="shared" si="22"/>
        <v>-0.6912153042661815</v>
      </c>
      <c r="AA73" s="18">
        <v>11583.900000000001</v>
      </c>
      <c r="AB73" s="18">
        <v>9665.91</v>
      </c>
      <c r="AC73" s="4">
        <f t="shared" si="20"/>
        <v>-0.16557377049180344</v>
      </c>
    </row>
    <row r="74" spans="1:29" ht="13.9" customHeight="1">
      <c r="A74" t="s">
        <v>818</v>
      </c>
      <c r="B74" t="s">
        <v>819</v>
      </c>
      <c r="C74" s="19">
        <v>673</v>
      </c>
      <c r="E74" t="s">
        <v>819</v>
      </c>
      <c r="F74" s="19">
        <v>533</v>
      </c>
      <c r="G74" t="b">
        <f t="shared" si="18"/>
        <v>1</v>
      </c>
      <c r="J74" s="25">
        <f t="shared" si="19"/>
        <v>-140</v>
      </c>
      <c r="K74" s="4">
        <f t="shared" si="21"/>
        <v>-0.20802377414561668</v>
      </c>
      <c r="M74" s="5">
        <v>896.66</v>
      </c>
      <c r="N74" s="5">
        <v>691.22</v>
      </c>
      <c r="Q74" s="159">
        <v>4232.6400000000003</v>
      </c>
      <c r="T74" s="132">
        <f t="shared" si="23"/>
        <v>-205.43999999999994</v>
      </c>
      <c r="U74" s="4">
        <f t="shared" si="22"/>
        <v>-0.22911694510739855</v>
      </c>
      <c r="AA74" s="18">
        <v>13453.27</v>
      </c>
      <c r="AB74" s="18">
        <v>10654.67</v>
      </c>
      <c r="AC74" s="4">
        <f t="shared" si="20"/>
        <v>-0.20802377414561668</v>
      </c>
    </row>
    <row r="75" spans="1:29" ht="14.45" customHeight="1">
      <c r="A75" s="149" t="s">
        <v>820</v>
      </c>
      <c r="B75" s="27" t="s">
        <v>821</v>
      </c>
      <c r="C75">
        <v>827</v>
      </c>
      <c r="E75" s="27" t="s">
        <v>821</v>
      </c>
      <c r="F75">
        <v>598</v>
      </c>
      <c r="G75" t="b">
        <f t="shared" si="18"/>
        <v>1</v>
      </c>
      <c r="J75" s="25">
        <f t="shared" si="19"/>
        <v>-229</v>
      </c>
      <c r="K75" s="4">
        <f t="shared" si="21"/>
        <v>-0.27690447400241835</v>
      </c>
      <c r="M75" s="151">
        <v>1796.62</v>
      </c>
      <c r="N75" s="151">
        <v>1682.6</v>
      </c>
      <c r="Q75" s="159">
        <v>7021.21</v>
      </c>
      <c r="T75" s="132">
        <f t="shared" si="23"/>
        <v>-114.01999999999998</v>
      </c>
      <c r="U75" s="4">
        <f t="shared" si="22"/>
        <v>-6.3463615010408425E-2</v>
      </c>
      <c r="AA75">
        <v>16561.04</v>
      </c>
      <c r="AB75">
        <v>11339.22</v>
      </c>
      <c r="AC75" s="4">
        <f t="shared" si="20"/>
        <v>-0.31530749276615488</v>
      </c>
    </row>
    <row r="76" spans="1:29" ht="13.9" customHeight="1">
      <c r="A76" t="s">
        <v>822</v>
      </c>
      <c r="B76" t="s">
        <v>823</v>
      </c>
      <c r="C76" s="19">
        <v>1603</v>
      </c>
      <c r="D76" s="5"/>
      <c r="E76" t="s">
        <v>823</v>
      </c>
      <c r="F76" s="19">
        <v>1802</v>
      </c>
      <c r="G76" t="b">
        <f t="shared" si="18"/>
        <v>1</v>
      </c>
      <c r="H76" s="5"/>
      <c r="I76" s="5"/>
      <c r="J76" s="25">
        <f t="shared" si="19"/>
        <v>199</v>
      </c>
      <c r="K76" s="4">
        <f t="shared" si="21"/>
        <v>0.12414223331253904</v>
      </c>
      <c r="L76" s="5"/>
      <c r="M76" s="5">
        <v>2955.05</v>
      </c>
      <c r="N76" s="5">
        <v>2773.72</v>
      </c>
      <c r="O76" s="5"/>
      <c r="P76" s="5"/>
      <c r="Q76" s="159">
        <v>16456.060000000001</v>
      </c>
      <c r="R76" s="5"/>
      <c r="S76" s="5"/>
      <c r="T76" s="132">
        <f t="shared" si="23"/>
        <v>-181.33000000000038</v>
      </c>
      <c r="U76" s="4">
        <f t="shared" si="22"/>
        <v>-6.136275189929119E-2</v>
      </c>
      <c r="V76" s="5"/>
      <c r="W76" s="5"/>
      <c r="X76" s="5"/>
      <c r="Y76" s="5"/>
      <c r="Z76" s="15"/>
      <c r="AA76" s="18">
        <v>39959.01</v>
      </c>
      <c r="AB76" s="18">
        <v>42131.97</v>
      </c>
      <c r="AC76" s="4">
        <f t="shared" si="20"/>
        <v>5.4379725623832975E-2</v>
      </c>
    </row>
    <row r="77" spans="1:29" ht="13.9" customHeight="1">
      <c r="A77" t="s">
        <v>824</v>
      </c>
      <c r="B77" t="s">
        <v>825</v>
      </c>
      <c r="C77" s="19">
        <v>1047</v>
      </c>
      <c r="E77" t="s">
        <v>825</v>
      </c>
      <c r="F77" s="19">
        <v>968</v>
      </c>
      <c r="G77" t="b">
        <f t="shared" si="18"/>
        <v>1</v>
      </c>
      <c r="J77" s="25">
        <f t="shared" si="19"/>
        <v>-79</v>
      </c>
      <c r="K77" s="4">
        <f t="shared" si="21"/>
        <v>-7.5453677172874878E-2</v>
      </c>
      <c r="M77" s="5">
        <v>1181.3499999999999</v>
      </c>
      <c r="N77" s="5">
        <v>951.34</v>
      </c>
      <c r="Q77" s="159">
        <v>5981.74</v>
      </c>
      <c r="T77" s="132">
        <f t="shared" si="23"/>
        <v>-230.00999999999988</v>
      </c>
      <c r="U77" s="4">
        <f t="shared" si="22"/>
        <v>-0.19470097769500982</v>
      </c>
      <c r="AA77" s="18">
        <v>20887.650000000001</v>
      </c>
      <c r="AB77" s="18">
        <v>18286.169999999998</v>
      </c>
      <c r="AC77" s="4">
        <f t="shared" si="20"/>
        <v>-0.1245463228271253</v>
      </c>
    </row>
    <row r="78" spans="1:29" ht="13.9" customHeight="1">
      <c r="A78" t="s">
        <v>826</v>
      </c>
      <c r="B78" t="s">
        <v>827</v>
      </c>
      <c r="C78" s="19">
        <v>583</v>
      </c>
      <c r="E78" t="s">
        <v>827</v>
      </c>
      <c r="F78" s="19">
        <v>859</v>
      </c>
      <c r="G78" t="b">
        <f t="shared" si="18"/>
        <v>1</v>
      </c>
      <c r="J78" s="25">
        <f t="shared" si="19"/>
        <v>276</v>
      </c>
      <c r="K78" s="4">
        <f t="shared" si="21"/>
        <v>0.47341337907375647</v>
      </c>
      <c r="M78" s="5">
        <v>1136.94</v>
      </c>
      <c r="N78" s="5">
        <v>1258.72</v>
      </c>
      <c r="Q78" s="159">
        <v>10301.35</v>
      </c>
      <c r="T78" s="132">
        <f t="shared" si="23"/>
        <v>121.77999999999997</v>
      </c>
      <c r="U78" s="4">
        <f t="shared" si="22"/>
        <v>0.10711207275669787</v>
      </c>
      <c r="W78" t="s">
        <v>828</v>
      </c>
      <c r="Z78" s="14" t="s">
        <v>829</v>
      </c>
      <c r="AA78" s="18">
        <v>17460.849999999999</v>
      </c>
      <c r="AB78" s="18">
        <v>23115.41</v>
      </c>
      <c r="AC78" s="4">
        <f t="shared" si="20"/>
        <v>0.3238421955403088</v>
      </c>
    </row>
    <row r="79" spans="1:29">
      <c r="A79" t="s">
        <v>830</v>
      </c>
      <c r="B79" t="s">
        <v>831</v>
      </c>
      <c r="C79" s="19">
        <v>1005</v>
      </c>
      <c r="E79" t="s">
        <v>831</v>
      </c>
      <c r="F79" s="19">
        <v>1080</v>
      </c>
      <c r="G79" t="b">
        <f t="shared" si="18"/>
        <v>1</v>
      </c>
      <c r="J79" s="25">
        <f t="shared" si="19"/>
        <v>75</v>
      </c>
      <c r="K79" s="4">
        <f t="shared" si="21"/>
        <v>7.4626865671641784E-2</v>
      </c>
      <c r="M79" s="5">
        <v>1860.36</v>
      </c>
      <c r="N79" s="5">
        <v>728.29</v>
      </c>
      <c r="Q79" s="159">
        <v>5355.74</v>
      </c>
      <c r="T79" s="132">
        <f t="shared" si="23"/>
        <v>-1132.07</v>
      </c>
      <c r="U79" s="4">
        <f t="shared" si="22"/>
        <v>-0.60852200649336685</v>
      </c>
      <c r="AA79" s="18">
        <v>17074.95</v>
      </c>
      <c r="AB79" s="18">
        <v>18349.2</v>
      </c>
      <c r="AC79" s="4">
        <f t="shared" si="20"/>
        <v>7.4626865671641784E-2</v>
      </c>
    </row>
    <row r="80" spans="1:29">
      <c r="A80" t="s">
        <v>832</v>
      </c>
      <c r="B80" t="s">
        <v>833</v>
      </c>
      <c r="C80" s="19">
        <v>860</v>
      </c>
      <c r="E80" t="s">
        <v>833</v>
      </c>
      <c r="F80" s="19">
        <v>1177</v>
      </c>
      <c r="G80" t="b">
        <f t="shared" si="18"/>
        <v>1</v>
      </c>
      <c r="J80" s="25">
        <f t="shared" si="19"/>
        <v>317</v>
      </c>
      <c r="K80" s="4">
        <f t="shared" si="21"/>
        <v>0.36860465116279073</v>
      </c>
      <c r="M80" s="5">
        <v>1460.52</v>
      </c>
      <c r="N80" s="5">
        <v>1575.2</v>
      </c>
      <c r="Q80" s="159">
        <v>14186.8</v>
      </c>
      <c r="T80" s="132">
        <f t="shared" si="23"/>
        <v>114.68000000000006</v>
      </c>
      <c r="U80" s="4">
        <f t="shared" si="22"/>
        <v>7.8519979185495581E-2</v>
      </c>
      <c r="AA80" s="18">
        <v>17157</v>
      </c>
      <c r="AB80" s="18">
        <v>21837.27</v>
      </c>
      <c r="AC80" s="4">
        <f t="shared" si="20"/>
        <v>0.27279069767441855</v>
      </c>
    </row>
    <row r="81" spans="1:29">
      <c r="A81" t="s">
        <v>834</v>
      </c>
      <c r="B81" t="s">
        <v>835</v>
      </c>
      <c r="C81" s="19">
        <v>714</v>
      </c>
      <c r="E81" t="s">
        <v>835</v>
      </c>
      <c r="F81" s="19">
        <v>705</v>
      </c>
      <c r="G81" t="b">
        <f t="shared" si="18"/>
        <v>1</v>
      </c>
      <c r="J81" s="25">
        <f t="shared" si="19"/>
        <v>-9</v>
      </c>
      <c r="K81" s="4">
        <f t="shared" si="21"/>
        <v>-1.2605042016806678E-2</v>
      </c>
      <c r="M81" s="5">
        <v>972.5</v>
      </c>
      <c r="N81" s="5">
        <v>1028.43</v>
      </c>
      <c r="Q81" s="159">
        <v>4351.03</v>
      </c>
      <c r="T81" s="132">
        <f t="shared" si="23"/>
        <v>55.930000000000064</v>
      </c>
      <c r="U81" s="4">
        <f t="shared" si="22"/>
        <v>5.7511568123393308E-2</v>
      </c>
      <c r="AA81" s="18">
        <v>14244.3</v>
      </c>
      <c r="AB81" s="18">
        <v>14064.75</v>
      </c>
      <c r="AC81" s="4">
        <f t="shared" si="20"/>
        <v>-1.2605042016806678E-2</v>
      </c>
    </row>
    <row r="82" spans="1:29" s="5" customFormat="1">
      <c r="A82" t="s">
        <v>836</v>
      </c>
      <c r="B82" t="s">
        <v>837</v>
      </c>
      <c r="C82" s="19">
        <v>2028</v>
      </c>
      <c r="D82"/>
      <c r="E82" t="s">
        <v>837</v>
      </c>
      <c r="F82" s="19">
        <v>1811</v>
      </c>
      <c r="G82" t="b">
        <f t="shared" si="18"/>
        <v>1</v>
      </c>
      <c r="H82"/>
      <c r="I82"/>
      <c r="J82" s="25">
        <f t="shared" si="19"/>
        <v>-217</v>
      </c>
      <c r="K82" s="4">
        <f t="shared" si="21"/>
        <v>-0.10700197238658782</v>
      </c>
      <c r="L82"/>
      <c r="M82" s="5">
        <v>2428.5100000000002</v>
      </c>
      <c r="N82" s="5">
        <v>2150.2399999999998</v>
      </c>
      <c r="O82"/>
      <c r="P82"/>
      <c r="Q82" s="159">
        <v>11039.27</v>
      </c>
      <c r="R82"/>
      <c r="S82"/>
      <c r="T82" s="132">
        <f t="shared" si="23"/>
        <v>-278.27000000000044</v>
      </c>
      <c r="U82" s="4">
        <f t="shared" si="22"/>
        <v>-0.11458466302382964</v>
      </c>
      <c r="V82"/>
      <c r="W82"/>
      <c r="X82"/>
      <c r="Y82"/>
      <c r="Z82" s="14"/>
      <c r="AA82" s="18">
        <v>40418.699999999997</v>
      </c>
      <c r="AB82" s="18">
        <v>37043.15</v>
      </c>
      <c r="AC82" s="4">
        <f t="shared" si="20"/>
        <v>-8.3514561329285586E-2</v>
      </c>
    </row>
    <row r="83" spans="1:29" s="5" customFormat="1">
      <c r="A83" t="s">
        <v>838</v>
      </c>
      <c r="B83" t="s">
        <v>839</v>
      </c>
      <c r="C83" s="19">
        <v>543</v>
      </c>
      <c r="D83"/>
      <c r="E83" t="s">
        <v>839</v>
      </c>
      <c r="F83" s="19">
        <v>484</v>
      </c>
      <c r="G83" t="b">
        <f t="shared" si="18"/>
        <v>1</v>
      </c>
      <c r="H83"/>
      <c r="I83"/>
      <c r="J83" s="25">
        <f t="shared" si="19"/>
        <v>-59</v>
      </c>
      <c r="K83" s="4">
        <f t="shared" si="21"/>
        <v>-0.10865561694290971</v>
      </c>
      <c r="L83"/>
      <c r="M83" s="5">
        <v>1973.7</v>
      </c>
      <c r="N83" s="5">
        <v>750.26</v>
      </c>
      <c r="O83"/>
      <c r="P83"/>
      <c r="Q83" s="159">
        <v>2390.21</v>
      </c>
      <c r="R83"/>
      <c r="S83"/>
      <c r="T83" s="132">
        <f t="shared" si="23"/>
        <v>-1223.44</v>
      </c>
      <c r="U83" s="4">
        <f t="shared" si="22"/>
        <v>-0.61987130769620513</v>
      </c>
      <c r="V83"/>
      <c r="W83"/>
      <c r="X83"/>
      <c r="Y83"/>
      <c r="Z83" s="14"/>
      <c r="AA83" s="18">
        <v>10832.85</v>
      </c>
      <c r="AB83" s="18">
        <v>9655.7999999999993</v>
      </c>
      <c r="AC83" s="4">
        <f t="shared" si="20"/>
        <v>-0.10865561694290982</v>
      </c>
    </row>
    <row r="84" spans="1:29" s="5" customFormat="1">
      <c r="A84" t="s">
        <v>840</v>
      </c>
      <c r="B84" t="s">
        <v>841</v>
      </c>
      <c r="C84" s="19">
        <v>613</v>
      </c>
      <c r="D84"/>
      <c r="E84" t="s">
        <v>841</v>
      </c>
      <c r="F84" s="19">
        <v>627</v>
      </c>
      <c r="G84" t="b">
        <f t="shared" si="18"/>
        <v>1</v>
      </c>
      <c r="H84"/>
      <c r="I84"/>
      <c r="J84" s="25">
        <f t="shared" si="19"/>
        <v>14</v>
      </c>
      <c r="K84" s="4">
        <f t="shared" si="21"/>
        <v>2.2838499184339334E-2</v>
      </c>
      <c r="L84"/>
      <c r="M84" s="5">
        <v>1227.1600000000001</v>
      </c>
      <c r="N84" s="5">
        <v>732.44</v>
      </c>
      <c r="O84"/>
      <c r="P84"/>
      <c r="Q84" s="159">
        <v>3349</v>
      </c>
      <c r="R84"/>
      <c r="S84"/>
      <c r="T84" s="132">
        <f t="shared" si="23"/>
        <v>-494.72</v>
      </c>
      <c r="U84" s="4">
        <f t="shared" si="22"/>
        <v>-0.40314221454415067</v>
      </c>
      <c r="V84"/>
      <c r="W84"/>
      <c r="X84"/>
      <c r="Y84"/>
      <c r="Z84" s="14"/>
      <c r="AA84" s="18">
        <v>14657.4</v>
      </c>
      <c r="AB84" s="18">
        <v>15016.65</v>
      </c>
      <c r="AC84" s="4">
        <f t="shared" si="20"/>
        <v>2.450980392156854E-2</v>
      </c>
    </row>
    <row r="85" spans="1:29" s="5" customFormat="1">
      <c r="A85" t="s">
        <v>842</v>
      </c>
      <c r="B85" s="27" t="s">
        <v>843</v>
      </c>
      <c r="C85" s="19">
        <v>733</v>
      </c>
      <c r="D85" s="19"/>
      <c r="E85" s="27" t="s">
        <v>843</v>
      </c>
      <c r="F85" s="19">
        <v>951</v>
      </c>
      <c r="G85" t="b">
        <f t="shared" si="18"/>
        <v>1</v>
      </c>
      <c r="H85"/>
      <c r="I85"/>
      <c r="J85" s="25">
        <f t="shared" si="19"/>
        <v>218</v>
      </c>
      <c r="K85" s="4">
        <f t="shared" si="21"/>
        <v>0.29740791268758526</v>
      </c>
      <c r="L85"/>
      <c r="M85" s="19">
        <v>1136.01</v>
      </c>
      <c r="N85" s="19">
        <v>1093.54</v>
      </c>
      <c r="O85"/>
      <c r="P85"/>
      <c r="Q85" s="159">
        <v>5742.1</v>
      </c>
      <c r="R85"/>
      <c r="S85"/>
      <c r="T85" s="134">
        <f t="shared" si="23"/>
        <v>-42.470000000000027</v>
      </c>
      <c r="U85" s="4">
        <f t="shared" si="22"/>
        <v>-3.7385234284909474E-2</v>
      </c>
      <c r="V85"/>
      <c r="W85"/>
      <c r="X85"/>
      <c r="Y85"/>
      <c r="Z85" s="14"/>
      <c r="AA85" s="18">
        <v>16118.67</v>
      </c>
      <c r="AB85" s="18">
        <v>19561.689999999999</v>
      </c>
      <c r="AC85" s="4">
        <f t="shared" si="20"/>
        <v>0.21360447232929269</v>
      </c>
    </row>
    <row r="86" spans="1:29" s="5" customFormat="1">
      <c r="A86" t="s">
        <v>844</v>
      </c>
      <c r="B86" t="s">
        <v>845</v>
      </c>
      <c r="C86" s="19">
        <v>556</v>
      </c>
      <c r="D86"/>
      <c r="E86" t="s">
        <v>845</v>
      </c>
      <c r="F86" s="19">
        <v>580</v>
      </c>
      <c r="G86" t="b">
        <f t="shared" si="18"/>
        <v>1</v>
      </c>
      <c r="H86"/>
      <c r="I86"/>
      <c r="J86" s="25">
        <f t="shared" si="19"/>
        <v>24</v>
      </c>
      <c r="K86" s="4">
        <f t="shared" si="21"/>
        <v>4.3165467625899234E-2</v>
      </c>
      <c r="L86"/>
      <c r="M86" s="5">
        <v>596</v>
      </c>
      <c r="N86" s="5">
        <v>504.15</v>
      </c>
      <c r="O86"/>
      <c r="P86"/>
      <c r="Q86" s="159">
        <v>4391.28</v>
      </c>
      <c r="R86"/>
      <c r="S86"/>
      <c r="T86" s="132">
        <f t="shared" si="23"/>
        <v>-91.850000000000023</v>
      </c>
      <c r="U86" s="4">
        <f t="shared" si="22"/>
        <v>-0.15411073825503363</v>
      </c>
      <c r="V86"/>
      <c r="W86"/>
      <c r="X86"/>
      <c r="Y86"/>
      <c r="Z86" s="14"/>
      <c r="AA86" s="18">
        <v>11092.2</v>
      </c>
      <c r="AB86" s="18">
        <v>11571</v>
      </c>
      <c r="AC86" s="4">
        <f t="shared" si="20"/>
        <v>4.3165467625899234E-2</v>
      </c>
    </row>
    <row r="87" spans="1:29" s="5" customFormat="1">
      <c r="A87" t="s">
        <v>846</v>
      </c>
      <c r="B87" t="s">
        <v>847</v>
      </c>
      <c r="C87" s="19">
        <v>436</v>
      </c>
      <c r="D87"/>
      <c r="E87" t="s">
        <v>847</v>
      </c>
      <c r="F87" s="19">
        <v>393</v>
      </c>
      <c r="G87" t="b">
        <f t="shared" si="18"/>
        <v>1</v>
      </c>
      <c r="H87"/>
      <c r="I87"/>
      <c r="J87" s="25">
        <f t="shared" si="19"/>
        <v>-43</v>
      </c>
      <c r="K87" s="4">
        <f t="shared" si="21"/>
        <v>-9.8623853211009194E-2</v>
      </c>
      <c r="L87"/>
      <c r="M87" s="5">
        <v>759.94</v>
      </c>
      <c r="N87" s="5">
        <v>404.7</v>
      </c>
      <c r="O87"/>
      <c r="P87"/>
      <c r="Q87" s="159">
        <v>1383.35</v>
      </c>
      <c r="R87"/>
      <c r="S87"/>
      <c r="T87" s="132">
        <f t="shared" si="23"/>
        <v>-355.24000000000007</v>
      </c>
      <c r="U87" s="4">
        <f t="shared" si="22"/>
        <v>-0.467457957207148</v>
      </c>
      <c r="V87"/>
      <c r="W87"/>
      <c r="X87"/>
      <c r="Y87"/>
      <c r="Z87" s="14"/>
      <c r="AA87" s="18">
        <v>8262.2000000000007</v>
      </c>
      <c r="AB87" s="18">
        <v>7447.35</v>
      </c>
      <c r="AC87" s="4">
        <f t="shared" si="20"/>
        <v>-9.8623853211009194E-2</v>
      </c>
    </row>
    <row r="88" spans="1:29" s="5" customFormat="1">
      <c r="A88" t="s">
        <v>848</v>
      </c>
      <c r="B88" s="27" t="s">
        <v>849</v>
      </c>
      <c r="C88" s="19">
        <v>1537</v>
      </c>
      <c r="D88"/>
      <c r="E88" s="27" t="s">
        <v>849</v>
      </c>
      <c r="F88" s="19">
        <v>950</v>
      </c>
      <c r="G88" t="b">
        <f t="shared" si="18"/>
        <v>1</v>
      </c>
      <c r="H88"/>
      <c r="I88"/>
      <c r="J88" s="25">
        <f t="shared" si="19"/>
        <v>-587</v>
      </c>
      <c r="K88" s="4">
        <f t="shared" si="21"/>
        <v>-0.38191281717631753</v>
      </c>
      <c r="L88"/>
      <c r="M88" s="5">
        <v>1110.49</v>
      </c>
      <c r="N88" s="5">
        <v>1053.5899999999999</v>
      </c>
      <c r="O88"/>
      <c r="P88"/>
      <c r="Q88" s="159">
        <v>3487.47</v>
      </c>
      <c r="R88"/>
      <c r="S88"/>
      <c r="T88" s="132">
        <f t="shared" si="23"/>
        <v>-56.900000000000091</v>
      </c>
      <c r="U88" s="4">
        <f t="shared" si="22"/>
        <v>-5.1238642401102319E-2</v>
      </c>
      <c r="V88"/>
      <c r="W88"/>
      <c r="X88"/>
      <c r="Y88"/>
      <c r="Z88" s="14"/>
      <c r="AA88" s="18">
        <v>32390.63</v>
      </c>
      <c r="AB88" s="18">
        <v>20868.509999999998</v>
      </c>
      <c r="AC88" s="4">
        <f t="shared" si="20"/>
        <v>-0.35572386211691476</v>
      </c>
    </row>
    <row r="89" spans="1:29" s="5" customFormat="1">
      <c r="A89" t="s">
        <v>850</v>
      </c>
      <c r="B89" t="s">
        <v>851</v>
      </c>
      <c r="C89" s="19">
        <v>1226</v>
      </c>
      <c r="D89"/>
      <c r="E89" t="s">
        <v>851</v>
      </c>
      <c r="F89" s="19">
        <v>1365</v>
      </c>
      <c r="G89" t="b">
        <f t="shared" si="18"/>
        <v>1</v>
      </c>
      <c r="H89"/>
      <c r="I89"/>
      <c r="J89" s="25">
        <f t="shared" si="19"/>
        <v>139</v>
      </c>
      <c r="K89" s="4">
        <f t="shared" si="21"/>
        <v>0.11337683523654163</v>
      </c>
      <c r="L89"/>
      <c r="M89" s="5">
        <v>3191.12</v>
      </c>
      <c r="N89" s="5">
        <v>1353.3</v>
      </c>
      <c r="O89"/>
      <c r="P89"/>
      <c r="Q89" s="159">
        <v>5214.18</v>
      </c>
      <c r="R89"/>
      <c r="S89"/>
      <c r="T89" s="132">
        <f t="shared" si="23"/>
        <v>-1837.82</v>
      </c>
      <c r="U89" s="4">
        <f t="shared" si="22"/>
        <v>-0.57591691945147783</v>
      </c>
      <c r="V89"/>
      <c r="W89"/>
      <c r="X89"/>
      <c r="Y89"/>
      <c r="Z89" s="14"/>
      <c r="AA89" s="18">
        <v>24507.74</v>
      </c>
      <c r="AB89" s="18">
        <v>26182.35</v>
      </c>
      <c r="AC89" s="4">
        <f t="shared" si="20"/>
        <v>6.8329841919328116E-2</v>
      </c>
    </row>
    <row r="90" spans="1:29">
      <c r="A90" t="s">
        <v>852</v>
      </c>
      <c r="B90" t="s">
        <v>853</v>
      </c>
      <c r="C90" s="19">
        <v>957</v>
      </c>
      <c r="E90" t="s">
        <v>853</v>
      </c>
      <c r="F90" s="19">
        <v>907</v>
      </c>
      <c r="G90" t="b">
        <f t="shared" si="18"/>
        <v>1</v>
      </c>
      <c r="J90" s="25">
        <f t="shared" si="19"/>
        <v>-50</v>
      </c>
      <c r="K90" s="4">
        <f t="shared" si="21"/>
        <v>-5.2246603970741878E-2</v>
      </c>
      <c r="M90" s="5">
        <v>1314.62</v>
      </c>
      <c r="N90" s="5">
        <v>691.05</v>
      </c>
      <c r="Q90" s="159">
        <v>2123.94</v>
      </c>
      <c r="T90" s="132">
        <f t="shared" si="23"/>
        <v>-623.56999999999994</v>
      </c>
      <c r="U90" s="4">
        <f t="shared" si="22"/>
        <v>-0.47433478876025015</v>
      </c>
      <c r="AA90" s="18">
        <v>19130.43</v>
      </c>
      <c r="AB90" s="18">
        <v>18130.93</v>
      </c>
      <c r="AC90" s="4">
        <f t="shared" si="20"/>
        <v>-5.2246603970741878E-2</v>
      </c>
    </row>
    <row r="91" spans="1:29" s="5" customFormat="1">
      <c r="A91" t="s">
        <v>854</v>
      </c>
      <c r="B91" t="s">
        <v>855</v>
      </c>
      <c r="C91" s="19">
        <v>1478</v>
      </c>
      <c r="D91"/>
      <c r="E91" t="s">
        <v>855</v>
      </c>
      <c r="F91" s="19">
        <v>1525</v>
      </c>
      <c r="G91" t="b">
        <f t="shared" si="18"/>
        <v>1</v>
      </c>
      <c r="H91"/>
      <c r="I91"/>
      <c r="J91" s="25">
        <f t="shared" si="19"/>
        <v>47</v>
      </c>
      <c r="K91" s="4">
        <f t="shared" si="21"/>
        <v>3.1799729364005325E-2</v>
      </c>
      <c r="L91"/>
      <c r="M91" s="5">
        <v>2223.66</v>
      </c>
      <c r="N91" s="5">
        <v>1943.88</v>
      </c>
      <c r="O91"/>
      <c r="P91"/>
      <c r="Q91" s="159">
        <v>8889.17</v>
      </c>
      <c r="R91"/>
      <c r="S91"/>
      <c r="T91" s="132">
        <f t="shared" si="23"/>
        <v>-279.77999999999975</v>
      </c>
      <c r="U91" s="4">
        <f t="shared" si="22"/>
        <v>-0.1258195947222146</v>
      </c>
      <c r="V91"/>
      <c r="W91" t="s">
        <v>856</v>
      </c>
      <c r="X91"/>
      <c r="Y91" t="s">
        <v>857</v>
      </c>
      <c r="Z91" s="14"/>
      <c r="AA91" s="18">
        <v>35481.21</v>
      </c>
      <c r="AB91" s="18">
        <v>34683.96</v>
      </c>
      <c r="AC91" s="4">
        <f t="shared" si="20"/>
        <v>-2.2469639564152377E-2</v>
      </c>
    </row>
    <row r="92" spans="1:29" s="5" customFormat="1">
      <c r="A92" s="24" t="s">
        <v>858</v>
      </c>
      <c r="B92" s="23" t="s">
        <v>859</v>
      </c>
      <c r="C92" s="19">
        <v>930</v>
      </c>
      <c r="E92" s="23" t="s">
        <v>859</v>
      </c>
      <c r="F92" s="19">
        <v>1062</v>
      </c>
      <c r="G92" t="b">
        <f t="shared" si="18"/>
        <v>1</v>
      </c>
      <c r="J92" s="25">
        <f t="shared" si="19"/>
        <v>132</v>
      </c>
      <c r="K92" s="4">
        <f t="shared" si="21"/>
        <v>0.14193548387096766</v>
      </c>
      <c r="M92" s="5">
        <v>1749.75</v>
      </c>
      <c r="N92" s="5">
        <v>1864.76</v>
      </c>
      <c r="Q92" s="159">
        <v>9007.0300000000007</v>
      </c>
      <c r="T92" s="132">
        <f t="shared" si="23"/>
        <v>115.00999999999999</v>
      </c>
      <c r="U92" s="4">
        <f t="shared" si="22"/>
        <v>6.5729389912844605E-2</v>
      </c>
      <c r="Z92" s="15"/>
      <c r="AA92" s="18">
        <v>13940.7</v>
      </c>
      <c r="AB92" s="18">
        <v>15919.38</v>
      </c>
      <c r="AC92" s="4">
        <f t="shared" si="20"/>
        <v>0.14193548387096766</v>
      </c>
    </row>
    <row r="93" spans="1:29" s="5" customFormat="1">
      <c r="A93" t="s">
        <v>860</v>
      </c>
      <c r="B93" t="s">
        <v>861</v>
      </c>
      <c r="C93" s="19">
        <v>1059</v>
      </c>
      <c r="D93"/>
      <c r="E93" t="s">
        <v>861</v>
      </c>
      <c r="F93" s="19">
        <v>1174</v>
      </c>
      <c r="G93" t="b">
        <f t="shared" ref="G93:G124" si="24">IF(B93=E93,TRUE,FALSE)</f>
        <v>1</v>
      </c>
      <c r="H93"/>
      <c r="I93"/>
      <c r="J93" s="25">
        <f t="shared" ref="J93:J124" si="25">F93-C93</f>
        <v>115</v>
      </c>
      <c r="K93" s="4">
        <f t="shared" si="21"/>
        <v>0.10859301227573193</v>
      </c>
      <c r="L93"/>
      <c r="M93" s="5">
        <v>701.55</v>
      </c>
      <c r="N93" s="5">
        <v>900.98</v>
      </c>
      <c r="O93"/>
      <c r="P93"/>
      <c r="Q93" s="159">
        <v>8350.5300000000007</v>
      </c>
      <c r="R93"/>
      <c r="S93"/>
      <c r="T93" s="132">
        <f t="shared" si="23"/>
        <v>199.43000000000006</v>
      </c>
      <c r="U93" s="4">
        <f t="shared" si="22"/>
        <v>0.28427054379588057</v>
      </c>
      <c r="V93"/>
      <c r="W93"/>
      <c r="X93"/>
      <c r="Y93"/>
      <c r="Z93" s="14"/>
      <c r="AA93" s="18">
        <v>29790.61</v>
      </c>
      <c r="AB93" s="18">
        <v>31625.010000000002</v>
      </c>
      <c r="AC93" s="4">
        <f t="shared" ref="AC93:AC124" si="26">AB93/AA93-1</f>
        <v>6.1576449760511798E-2</v>
      </c>
    </row>
    <row r="94" spans="1:29" s="5" customFormat="1" ht="15.75" customHeight="1">
      <c r="A94" t="s">
        <v>862</v>
      </c>
      <c r="B94" t="s">
        <v>863</v>
      </c>
      <c r="C94" s="19">
        <v>1220</v>
      </c>
      <c r="D94"/>
      <c r="E94" t="s">
        <v>863</v>
      </c>
      <c r="F94" s="19">
        <v>1569</v>
      </c>
      <c r="G94" t="b">
        <f t="shared" si="24"/>
        <v>1</v>
      </c>
      <c r="H94"/>
      <c r="I94"/>
      <c r="J94" s="25">
        <f t="shared" si="25"/>
        <v>349</v>
      </c>
      <c r="K94" s="4">
        <f t="shared" si="21"/>
        <v>0.2860655737704918</v>
      </c>
      <c r="L94"/>
      <c r="M94" s="5">
        <v>1476.63</v>
      </c>
      <c r="N94" s="5">
        <v>2953.45</v>
      </c>
      <c r="O94"/>
      <c r="P94"/>
      <c r="Q94" s="159">
        <v>11580.37</v>
      </c>
      <c r="R94"/>
      <c r="S94"/>
      <c r="T94" s="132">
        <f t="shared" si="23"/>
        <v>1476.8199999999997</v>
      </c>
      <c r="U94" s="4">
        <f t="shared" si="22"/>
        <v>1.0001286713665571</v>
      </c>
      <c r="V94"/>
      <c r="W94"/>
      <c r="X94"/>
      <c r="Y94"/>
      <c r="Z94" s="14"/>
      <c r="AA94" s="18">
        <v>35367.800000000003</v>
      </c>
      <c r="AB94" s="18">
        <v>42370.720000000001</v>
      </c>
      <c r="AC94" s="4">
        <f t="shared" si="26"/>
        <v>0.19800270302365419</v>
      </c>
    </row>
    <row r="95" spans="1:29" s="5" customFormat="1">
      <c r="A95" t="s">
        <v>864</v>
      </c>
      <c r="B95" t="s">
        <v>865</v>
      </c>
      <c r="C95" s="19">
        <v>623</v>
      </c>
      <c r="E95" t="s">
        <v>865</v>
      </c>
      <c r="F95" s="19">
        <v>669</v>
      </c>
      <c r="G95" t="b">
        <f t="shared" si="24"/>
        <v>1</v>
      </c>
      <c r="J95" s="25">
        <f t="shared" si="25"/>
        <v>46</v>
      </c>
      <c r="K95" s="4">
        <f t="shared" si="21"/>
        <v>7.383627608346699E-2</v>
      </c>
      <c r="M95" s="5">
        <v>568.91</v>
      </c>
      <c r="N95" s="5">
        <v>292.87</v>
      </c>
      <c r="Q95" s="159">
        <v>1209.79</v>
      </c>
      <c r="T95" s="132">
        <f t="shared" si="23"/>
        <v>-276.03999999999996</v>
      </c>
      <c r="U95" s="4">
        <f t="shared" si="22"/>
        <v>-0.48520855671371566</v>
      </c>
      <c r="Z95" s="15"/>
      <c r="AA95" s="18">
        <v>11807.97</v>
      </c>
      <c r="AB95" s="18">
        <v>11934.71</v>
      </c>
      <c r="AC95" s="4">
        <f t="shared" si="26"/>
        <v>1.073342835390001E-2</v>
      </c>
    </row>
    <row r="96" spans="1:29" s="5" customFormat="1">
      <c r="A96" t="s">
        <v>866</v>
      </c>
      <c r="B96" t="s">
        <v>867</v>
      </c>
      <c r="C96" s="19">
        <v>2898</v>
      </c>
      <c r="E96" t="s">
        <v>867</v>
      </c>
      <c r="F96" s="19">
        <v>2791</v>
      </c>
      <c r="G96" t="b">
        <f t="shared" si="24"/>
        <v>1</v>
      </c>
      <c r="J96" s="25">
        <f t="shared" si="25"/>
        <v>-107</v>
      </c>
      <c r="K96" s="4">
        <f t="shared" ref="K96:K127" si="27">F96/C96-1</f>
        <v>-3.6922015182884738E-2</v>
      </c>
      <c r="M96" s="5">
        <v>1913.3</v>
      </c>
      <c r="N96" s="5">
        <v>2061.1799999999998</v>
      </c>
      <c r="Q96" s="159">
        <v>12625.98</v>
      </c>
      <c r="T96" s="132">
        <f t="shared" si="23"/>
        <v>147.87999999999988</v>
      </c>
      <c r="U96" s="4">
        <f t="shared" ref="U96:U127" si="28">IF(M96=0,0,N96/M96-1)</f>
        <v>7.7290545131448285E-2</v>
      </c>
      <c r="Z96" s="15"/>
      <c r="AA96" s="18">
        <v>60768.540000000008</v>
      </c>
      <c r="AB96" s="18">
        <v>55598.84</v>
      </c>
      <c r="AC96" s="4">
        <f t="shared" si="26"/>
        <v>-8.5071979678959075E-2</v>
      </c>
    </row>
    <row r="97" spans="1:29" s="5" customFormat="1">
      <c r="A97" t="s">
        <v>868</v>
      </c>
      <c r="B97" t="s">
        <v>869</v>
      </c>
      <c r="C97" s="19">
        <v>569</v>
      </c>
      <c r="D97"/>
      <c r="E97" t="s">
        <v>869</v>
      </c>
      <c r="F97" s="19">
        <v>495</v>
      </c>
      <c r="G97" t="b">
        <f t="shared" si="24"/>
        <v>1</v>
      </c>
      <c r="H97"/>
      <c r="I97"/>
      <c r="J97" s="25">
        <f t="shared" si="25"/>
        <v>-74</v>
      </c>
      <c r="K97" s="4">
        <f t="shared" si="27"/>
        <v>-0.1300527240773286</v>
      </c>
      <c r="L97"/>
      <c r="M97" s="5">
        <v>164.95</v>
      </c>
      <c r="N97" s="5">
        <v>133.63999999999999</v>
      </c>
      <c r="O97"/>
      <c r="P97"/>
      <c r="Q97" s="159">
        <v>1572.23</v>
      </c>
      <c r="R97"/>
      <c r="S97"/>
      <c r="T97" s="132">
        <f t="shared" si="23"/>
        <v>-31.310000000000002</v>
      </c>
      <c r="U97" s="4">
        <f t="shared" si="28"/>
        <v>-0.18981509548347986</v>
      </c>
      <c r="V97"/>
      <c r="W97"/>
      <c r="X97"/>
      <c r="Y97"/>
      <c r="Z97" s="14"/>
      <c r="AA97" s="18">
        <v>7960.31</v>
      </c>
      <c r="AB97" s="18">
        <v>6925.05</v>
      </c>
      <c r="AC97" s="4">
        <f t="shared" si="26"/>
        <v>-0.13005272407732871</v>
      </c>
    </row>
    <row r="98" spans="1:29" s="5" customFormat="1">
      <c r="A98" t="s">
        <v>870</v>
      </c>
      <c r="B98" t="s">
        <v>871</v>
      </c>
      <c r="C98" s="19">
        <v>578</v>
      </c>
      <c r="D98"/>
      <c r="E98" t="s">
        <v>871</v>
      </c>
      <c r="F98" s="19">
        <v>754</v>
      </c>
      <c r="G98" t="b">
        <f t="shared" si="24"/>
        <v>1</v>
      </c>
      <c r="H98"/>
      <c r="I98"/>
      <c r="J98" s="25">
        <f t="shared" si="25"/>
        <v>176</v>
      </c>
      <c r="K98" s="4">
        <f t="shared" si="27"/>
        <v>0.30449826989619377</v>
      </c>
      <c r="L98"/>
      <c r="M98" s="5">
        <v>664.96</v>
      </c>
      <c r="N98" s="5">
        <v>621.89</v>
      </c>
      <c r="O98"/>
      <c r="P98"/>
      <c r="Q98" s="159">
        <v>3586.32</v>
      </c>
      <c r="R98"/>
      <c r="S98"/>
      <c r="T98" s="132">
        <f t="shared" si="23"/>
        <v>-43.07000000000005</v>
      </c>
      <c r="U98" s="4">
        <f t="shared" si="28"/>
        <v>-6.477081328200196E-2</v>
      </c>
      <c r="V98"/>
      <c r="W98"/>
      <c r="X98"/>
      <c r="Y98"/>
      <c r="Z98" s="14"/>
      <c r="AA98" s="18">
        <v>10938.24</v>
      </c>
      <c r="AB98" s="18">
        <v>14318.46</v>
      </c>
      <c r="AC98" s="4">
        <f t="shared" si="26"/>
        <v>0.30902777777777768</v>
      </c>
    </row>
    <row r="99" spans="1:29" s="5" customFormat="1">
      <c r="A99" t="s">
        <v>872</v>
      </c>
      <c r="B99" t="s">
        <v>873</v>
      </c>
      <c r="C99" s="19">
        <v>810</v>
      </c>
      <c r="D99"/>
      <c r="E99" t="s">
        <v>873</v>
      </c>
      <c r="F99" s="19">
        <v>856</v>
      </c>
      <c r="G99" t="b">
        <f t="shared" si="24"/>
        <v>1</v>
      </c>
      <c r="H99"/>
      <c r="I99"/>
      <c r="J99" s="25">
        <f t="shared" si="25"/>
        <v>46</v>
      </c>
      <c r="K99" s="4">
        <f t="shared" si="27"/>
        <v>5.679012345679002E-2</v>
      </c>
      <c r="L99"/>
      <c r="M99" s="5">
        <v>893.73</v>
      </c>
      <c r="N99" s="5">
        <v>731.95</v>
      </c>
      <c r="O99"/>
      <c r="P99"/>
      <c r="Q99" s="159">
        <v>7562.54</v>
      </c>
      <c r="R99"/>
      <c r="S99"/>
      <c r="T99" s="132">
        <f t="shared" si="23"/>
        <v>-161.77999999999997</v>
      </c>
      <c r="U99" s="4">
        <f t="shared" si="28"/>
        <v>-0.18101663813455959</v>
      </c>
      <c r="V99"/>
      <c r="W99"/>
      <c r="X99"/>
      <c r="Y99"/>
      <c r="Z99" s="14"/>
      <c r="AA99" s="18">
        <v>16191.9</v>
      </c>
      <c r="AB99" s="18">
        <v>15895.44</v>
      </c>
      <c r="AC99" s="4">
        <f t="shared" si="26"/>
        <v>-1.8309154577288544E-2</v>
      </c>
    </row>
    <row r="100" spans="1:29" s="5" customFormat="1">
      <c r="A100" t="s">
        <v>874</v>
      </c>
      <c r="B100" t="s">
        <v>875</v>
      </c>
      <c r="C100" s="19">
        <v>603</v>
      </c>
      <c r="D100"/>
      <c r="E100" t="s">
        <v>875</v>
      </c>
      <c r="F100" s="19">
        <v>729</v>
      </c>
      <c r="G100" t="b">
        <f t="shared" si="24"/>
        <v>1</v>
      </c>
      <c r="H100"/>
      <c r="I100"/>
      <c r="J100" s="25">
        <f t="shared" si="25"/>
        <v>126</v>
      </c>
      <c r="K100" s="4">
        <f t="shared" si="27"/>
        <v>0.20895522388059695</v>
      </c>
      <c r="L100"/>
      <c r="M100" s="5">
        <v>577.66999999999996</v>
      </c>
      <c r="N100" s="5">
        <v>497.03</v>
      </c>
      <c r="O100"/>
      <c r="P100"/>
      <c r="Q100" s="159">
        <v>3133.32</v>
      </c>
      <c r="R100"/>
      <c r="S100"/>
      <c r="T100" s="132">
        <f t="shared" si="23"/>
        <v>-80.639999999999986</v>
      </c>
      <c r="U100" s="4">
        <f t="shared" si="28"/>
        <v>-0.13959527065625699</v>
      </c>
      <c r="V100"/>
      <c r="W100" t="s">
        <v>876</v>
      </c>
      <c r="X100"/>
      <c r="Y100" s="4" t="s">
        <v>877</v>
      </c>
      <c r="Z100" s="14"/>
      <c r="AA100" s="18">
        <v>11450.97</v>
      </c>
      <c r="AB100" s="18">
        <v>13072.31</v>
      </c>
      <c r="AC100" s="4">
        <f t="shared" si="26"/>
        <v>0.14158975178522004</v>
      </c>
    </row>
    <row r="101" spans="1:29" s="5" customFormat="1">
      <c r="A101" t="s">
        <v>878</v>
      </c>
      <c r="B101" t="s">
        <v>879</v>
      </c>
      <c r="C101" s="19">
        <v>1137</v>
      </c>
      <c r="D101"/>
      <c r="E101" t="s">
        <v>879</v>
      </c>
      <c r="F101" s="19">
        <v>1007</v>
      </c>
      <c r="G101" t="b">
        <f t="shared" si="24"/>
        <v>1</v>
      </c>
      <c r="H101"/>
      <c r="I101"/>
      <c r="J101" s="25">
        <f t="shared" si="25"/>
        <v>-130</v>
      </c>
      <c r="K101" s="4">
        <f t="shared" si="27"/>
        <v>-0.11433597185576072</v>
      </c>
      <c r="L101"/>
      <c r="M101" s="5">
        <v>1212.06</v>
      </c>
      <c r="N101" s="5">
        <v>1193.3699999999999</v>
      </c>
      <c r="O101"/>
      <c r="P101"/>
      <c r="Q101" s="159">
        <v>4637.17</v>
      </c>
      <c r="R101"/>
      <c r="S101"/>
      <c r="T101" s="132">
        <f t="shared" si="23"/>
        <v>-18.690000000000055</v>
      </c>
      <c r="U101" s="4">
        <f t="shared" si="28"/>
        <v>-1.5420028711449985E-2</v>
      </c>
      <c r="V101"/>
      <c r="W101" t="s">
        <v>880</v>
      </c>
      <c r="X101"/>
      <c r="Y101" t="s">
        <v>881</v>
      </c>
      <c r="Z101" s="14"/>
      <c r="AA101" s="18">
        <v>22683.149999999998</v>
      </c>
      <c r="AB101" s="18">
        <v>19989.900000000001</v>
      </c>
      <c r="AC101" s="4">
        <f t="shared" si="26"/>
        <v>-0.11873350923482839</v>
      </c>
    </row>
    <row r="102" spans="1:29" s="5" customFormat="1">
      <c r="A102" t="s">
        <v>882</v>
      </c>
      <c r="B102" t="s">
        <v>883</v>
      </c>
      <c r="C102" s="19">
        <v>884</v>
      </c>
      <c r="D102"/>
      <c r="E102" t="s">
        <v>883</v>
      </c>
      <c r="F102" s="19">
        <v>1006</v>
      </c>
      <c r="G102" t="b">
        <f t="shared" si="24"/>
        <v>1</v>
      </c>
      <c r="H102"/>
      <c r="I102"/>
      <c r="J102" s="25">
        <f t="shared" si="25"/>
        <v>122</v>
      </c>
      <c r="K102" s="4">
        <f t="shared" si="27"/>
        <v>0.13800904977375561</v>
      </c>
      <c r="L102"/>
      <c r="M102" s="5">
        <v>763.24</v>
      </c>
      <c r="N102" s="5">
        <v>842.13</v>
      </c>
      <c r="O102"/>
      <c r="P102"/>
      <c r="Q102" s="159">
        <v>7801.97</v>
      </c>
      <c r="R102"/>
      <c r="S102"/>
      <c r="T102" s="132">
        <f t="shared" ref="T102:T133" si="29">N102-M102</f>
        <v>78.889999999999986</v>
      </c>
      <c r="U102" s="4">
        <f t="shared" si="28"/>
        <v>0.10336198312457423</v>
      </c>
      <c r="V102"/>
      <c r="W102"/>
      <c r="X102"/>
      <c r="Y102"/>
      <c r="Z102" s="14"/>
      <c r="AA102" s="18">
        <v>17671.16</v>
      </c>
      <c r="AB102" s="18">
        <v>18977.939999999999</v>
      </c>
      <c r="AC102" s="4">
        <f t="shared" si="26"/>
        <v>7.3949870863033285E-2</v>
      </c>
    </row>
    <row r="103" spans="1:29" s="5" customFormat="1">
      <c r="A103" t="s">
        <v>884</v>
      </c>
      <c r="B103" t="s">
        <v>885</v>
      </c>
      <c r="C103" s="19">
        <v>1574</v>
      </c>
      <c r="D103"/>
      <c r="E103" t="s">
        <v>885</v>
      </c>
      <c r="F103" s="19">
        <v>1911</v>
      </c>
      <c r="G103" t="b">
        <f t="shared" si="24"/>
        <v>1</v>
      </c>
      <c r="H103"/>
      <c r="I103"/>
      <c r="J103" s="25">
        <f t="shared" si="25"/>
        <v>337</v>
      </c>
      <c r="K103" s="4">
        <f t="shared" si="27"/>
        <v>0.2141041931385006</v>
      </c>
      <c r="L103"/>
      <c r="M103" s="5">
        <v>4246.0600000000004</v>
      </c>
      <c r="N103" s="5">
        <v>2342.0700000000002</v>
      </c>
      <c r="O103"/>
      <c r="P103"/>
      <c r="Q103" s="159">
        <v>7824.5</v>
      </c>
      <c r="R103"/>
      <c r="S103"/>
      <c r="T103" s="132">
        <f t="shared" si="29"/>
        <v>-1903.9900000000002</v>
      </c>
      <c r="U103" s="4">
        <f t="shared" si="28"/>
        <v>-0.44841335261395276</v>
      </c>
      <c r="V103"/>
      <c r="W103"/>
      <c r="X103"/>
      <c r="Y103"/>
      <c r="Z103" s="14"/>
      <c r="AA103" s="18">
        <v>39334.26</v>
      </c>
      <c r="AB103" s="18">
        <v>47755.89</v>
      </c>
      <c r="AC103" s="4">
        <f t="shared" si="26"/>
        <v>0.2141041931385006</v>
      </c>
    </row>
    <row r="104" spans="1:29" s="5" customFormat="1">
      <c r="A104" t="s">
        <v>886</v>
      </c>
      <c r="B104" t="s">
        <v>887</v>
      </c>
      <c r="C104" s="19">
        <v>385</v>
      </c>
      <c r="D104"/>
      <c r="E104" t="s">
        <v>887</v>
      </c>
      <c r="F104" s="19">
        <v>325</v>
      </c>
      <c r="G104" t="b">
        <f t="shared" si="24"/>
        <v>1</v>
      </c>
      <c r="H104"/>
      <c r="I104"/>
      <c r="J104" s="25">
        <f t="shared" si="25"/>
        <v>-60</v>
      </c>
      <c r="K104" s="4">
        <f t="shared" si="27"/>
        <v>-0.1558441558441559</v>
      </c>
      <c r="L104"/>
      <c r="M104" s="5">
        <v>1575.68</v>
      </c>
      <c r="N104" s="5">
        <v>499.37</v>
      </c>
      <c r="O104"/>
      <c r="P104"/>
      <c r="Q104" s="159">
        <v>1679.84</v>
      </c>
      <c r="R104"/>
      <c r="S104"/>
      <c r="T104" s="132">
        <f t="shared" si="29"/>
        <v>-1076.31</v>
      </c>
      <c r="U104" s="4">
        <f t="shared" si="28"/>
        <v>-0.68307651299756289</v>
      </c>
      <c r="V104"/>
      <c r="W104"/>
      <c r="X104"/>
      <c r="Y104"/>
      <c r="Z104" s="14"/>
      <c r="AA104" s="18">
        <v>7680.75</v>
      </c>
      <c r="AB104" s="18">
        <v>6483.75</v>
      </c>
      <c r="AC104" s="4">
        <f t="shared" si="26"/>
        <v>-0.1558441558441559</v>
      </c>
    </row>
    <row r="105" spans="1:29" s="5" customFormat="1">
      <c r="A105" t="s">
        <v>888</v>
      </c>
      <c r="B105" t="s">
        <v>889</v>
      </c>
      <c r="C105" s="19">
        <v>1363</v>
      </c>
      <c r="E105" t="s">
        <v>889</v>
      </c>
      <c r="F105" s="19">
        <v>1461</v>
      </c>
      <c r="G105" t="b">
        <f t="shared" si="24"/>
        <v>1</v>
      </c>
      <c r="J105" s="25">
        <f t="shared" si="25"/>
        <v>98</v>
      </c>
      <c r="K105" s="4">
        <f t="shared" si="27"/>
        <v>7.1900220102714574E-2</v>
      </c>
      <c r="M105" s="5">
        <v>1319.4099999999999</v>
      </c>
      <c r="N105" s="5">
        <v>1345.92</v>
      </c>
      <c r="Q105" s="159">
        <v>7861.11</v>
      </c>
      <c r="T105" s="132">
        <f t="shared" si="29"/>
        <v>26.510000000000218</v>
      </c>
      <c r="U105" s="4">
        <f t="shared" si="28"/>
        <v>2.0092313988828492E-2</v>
      </c>
      <c r="Z105" s="15"/>
      <c r="AA105" s="18">
        <v>32580.68</v>
      </c>
      <c r="AB105" s="18">
        <v>32914.82</v>
      </c>
      <c r="AC105" s="4">
        <f t="shared" si="26"/>
        <v>1.0255771211650666E-2</v>
      </c>
    </row>
    <row r="106" spans="1:29" s="5" customFormat="1">
      <c r="A106" t="s">
        <v>890</v>
      </c>
      <c r="B106" t="s">
        <v>891</v>
      </c>
      <c r="C106" s="19">
        <v>1118</v>
      </c>
      <c r="D106"/>
      <c r="E106" t="s">
        <v>891</v>
      </c>
      <c r="F106" s="19">
        <v>1206</v>
      </c>
      <c r="G106" t="b">
        <f t="shared" si="24"/>
        <v>1</v>
      </c>
      <c r="H106"/>
      <c r="I106"/>
      <c r="J106" s="25">
        <f t="shared" si="25"/>
        <v>88</v>
      </c>
      <c r="K106" s="4">
        <f t="shared" si="27"/>
        <v>7.8711985688729946E-2</v>
      </c>
      <c r="L106"/>
      <c r="M106" s="5">
        <v>177.21</v>
      </c>
      <c r="N106" s="5">
        <v>181.94</v>
      </c>
      <c r="O106"/>
      <c r="P106"/>
      <c r="Q106" s="159">
        <v>4048.81</v>
      </c>
      <c r="R106"/>
      <c r="S106"/>
      <c r="T106" s="132">
        <f t="shared" si="29"/>
        <v>4.7299999999999898</v>
      </c>
      <c r="U106" s="4">
        <f t="shared" si="28"/>
        <v>2.6691495965238898E-2</v>
      </c>
      <c r="V106"/>
      <c r="W106"/>
      <c r="X106"/>
      <c r="Y106"/>
      <c r="Z106" s="14"/>
      <c r="AA106" s="18">
        <v>27863.85</v>
      </c>
      <c r="AB106" s="18">
        <v>28307.95</v>
      </c>
      <c r="AC106" s="4">
        <f t="shared" si="26"/>
        <v>1.5938213850562821E-2</v>
      </c>
    </row>
    <row r="107" spans="1:29" s="5" customFormat="1">
      <c r="A107" t="s">
        <v>892</v>
      </c>
      <c r="B107" t="s">
        <v>893</v>
      </c>
      <c r="C107" s="19">
        <v>977</v>
      </c>
      <c r="E107" t="s">
        <v>893</v>
      </c>
      <c r="F107" s="19">
        <v>874</v>
      </c>
      <c r="G107" t="b">
        <f t="shared" si="24"/>
        <v>1</v>
      </c>
      <c r="J107" s="25">
        <f t="shared" si="25"/>
        <v>-103</v>
      </c>
      <c r="K107" s="4">
        <f t="shared" si="27"/>
        <v>-0.10542476970317294</v>
      </c>
      <c r="M107" s="5">
        <v>1716.41</v>
      </c>
      <c r="N107" s="5">
        <v>1719.3400000000001</v>
      </c>
      <c r="Q107" s="159">
        <v>6210.6</v>
      </c>
      <c r="T107" s="132">
        <f t="shared" si="29"/>
        <v>2.9300000000000637</v>
      </c>
      <c r="U107" s="4">
        <f t="shared" si="28"/>
        <v>1.7070513455410552E-3</v>
      </c>
      <c r="Z107" s="15"/>
      <c r="AA107" s="18">
        <v>19492.189999999999</v>
      </c>
      <c r="AB107" s="18">
        <v>16398.900000000001</v>
      </c>
      <c r="AC107" s="4">
        <f t="shared" si="26"/>
        <v>-0.15869381531782711</v>
      </c>
    </row>
    <row r="108" spans="1:29" s="5" customFormat="1">
      <c r="A108" t="s">
        <v>894</v>
      </c>
      <c r="B108" t="s">
        <v>895</v>
      </c>
      <c r="C108" s="19">
        <v>725</v>
      </c>
      <c r="D108"/>
      <c r="E108" t="s">
        <v>895</v>
      </c>
      <c r="F108" s="19">
        <v>761</v>
      </c>
      <c r="G108" t="b">
        <f t="shared" si="24"/>
        <v>1</v>
      </c>
      <c r="H108"/>
      <c r="I108"/>
      <c r="J108" s="25">
        <f t="shared" si="25"/>
        <v>36</v>
      </c>
      <c r="K108" s="4">
        <f t="shared" si="27"/>
        <v>4.9655172413793025E-2</v>
      </c>
      <c r="L108"/>
      <c r="M108" s="5">
        <v>1454.68</v>
      </c>
      <c r="N108" s="5">
        <v>629.29999999999995</v>
      </c>
      <c r="O108"/>
      <c r="P108"/>
      <c r="Q108" s="159">
        <v>2688.29</v>
      </c>
      <c r="R108"/>
      <c r="S108"/>
      <c r="T108" s="132">
        <f t="shared" si="29"/>
        <v>-825.38000000000011</v>
      </c>
      <c r="U108" s="4">
        <f t="shared" si="28"/>
        <v>-0.56739626584540936</v>
      </c>
      <c r="V108"/>
      <c r="W108"/>
      <c r="X108"/>
      <c r="Y108"/>
      <c r="Z108" s="14"/>
      <c r="AA108" s="18">
        <v>11592.75</v>
      </c>
      <c r="AB108" s="18">
        <v>12172.39</v>
      </c>
      <c r="AC108" s="4">
        <f t="shared" si="26"/>
        <v>5.0000215652023838E-2</v>
      </c>
    </row>
    <row r="109" spans="1:29" s="5" customFormat="1">
      <c r="A109" t="s">
        <v>896</v>
      </c>
      <c r="B109" t="s">
        <v>897</v>
      </c>
      <c r="C109" s="19">
        <v>937</v>
      </c>
      <c r="E109" t="s">
        <v>897</v>
      </c>
      <c r="F109" s="19">
        <v>976</v>
      </c>
      <c r="G109" t="b">
        <f t="shared" si="24"/>
        <v>1</v>
      </c>
      <c r="J109" s="25">
        <f t="shared" si="25"/>
        <v>39</v>
      </c>
      <c r="K109" s="4">
        <f t="shared" si="27"/>
        <v>4.162219850586979E-2</v>
      </c>
      <c r="M109" s="5">
        <v>1908.01</v>
      </c>
      <c r="N109" s="5">
        <v>1878.46</v>
      </c>
      <c r="Q109" s="159">
        <v>11579.91</v>
      </c>
      <c r="T109" s="132">
        <f t="shared" si="29"/>
        <v>-29.549999999999955</v>
      </c>
      <c r="U109" s="4">
        <f t="shared" si="28"/>
        <v>-1.5487340213101608E-2</v>
      </c>
      <c r="Z109" s="15"/>
      <c r="AA109" s="18">
        <v>14982.63</v>
      </c>
      <c r="AB109" s="18">
        <v>15606.24</v>
      </c>
      <c r="AC109" s="4">
        <f t="shared" si="26"/>
        <v>4.162219850586979E-2</v>
      </c>
    </row>
    <row r="110" spans="1:29">
      <c r="A110" s="55" t="s">
        <v>898</v>
      </c>
      <c r="B110" s="37" t="s">
        <v>899</v>
      </c>
      <c r="C110">
        <v>199</v>
      </c>
      <c r="E110" s="37" t="s">
        <v>899</v>
      </c>
      <c r="F110">
        <v>139</v>
      </c>
      <c r="G110" t="b">
        <f t="shared" si="24"/>
        <v>1</v>
      </c>
      <c r="J110" s="25">
        <f t="shared" si="25"/>
        <v>-60</v>
      </c>
      <c r="K110" s="4">
        <f t="shared" si="27"/>
        <v>-0.30150753768844218</v>
      </c>
      <c r="M110" s="151">
        <v>193.94</v>
      </c>
      <c r="N110" s="151">
        <v>284.32</v>
      </c>
      <c r="Q110" s="159">
        <v>876.35</v>
      </c>
      <c r="T110" s="132">
        <f t="shared" si="29"/>
        <v>90.38</v>
      </c>
      <c r="U110" s="4">
        <f t="shared" si="28"/>
        <v>0.4660204186861916</v>
      </c>
      <c r="AA110">
        <v>3182.01</v>
      </c>
      <c r="AB110">
        <v>2222.61</v>
      </c>
      <c r="AC110" s="4">
        <f t="shared" si="26"/>
        <v>-0.30150753768844218</v>
      </c>
    </row>
    <row r="111" spans="1:29">
      <c r="A111" s="150" t="s">
        <v>900</v>
      </c>
      <c r="B111" s="37" t="s">
        <v>901</v>
      </c>
      <c r="C111">
        <v>285</v>
      </c>
      <c r="E111" s="37" t="s">
        <v>901</v>
      </c>
      <c r="F111">
        <v>302</v>
      </c>
      <c r="G111" t="b">
        <f t="shared" si="24"/>
        <v>1</v>
      </c>
      <c r="J111" s="25">
        <f t="shared" si="25"/>
        <v>17</v>
      </c>
      <c r="K111" s="4">
        <f t="shared" si="27"/>
        <v>5.9649122807017507E-2</v>
      </c>
      <c r="M111" s="151">
        <v>385.25</v>
      </c>
      <c r="N111" s="151">
        <v>499.72</v>
      </c>
      <c r="Q111" s="159">
        <v>2451.86</v>
      </c>
      <c r="T111" s="132">
        <f t="shared" si="29"/>
        <v>114.47000000000003</v>
      </c>
      <c r="U111" s="4">
        <f t="shared" si="28"/>
        <v>0.29713173264114223</v>
      </c>
      <c r="AA111">
        <v>2747.55</v>
      </c>
      <c r="AB111">
        <v>2917.38</v>
      </c>
      <c r="AC111" s="4">
        <f t="shared" si="26"/>
        <v>6.1811432003057165E-2</v>
      </c>
    </row>
    <row r="112" spans="1:29">
      <c r="A112" t="s">
        <v>902</v>
      </c>
      <c r="B112" t="s">
        <v>903</v>
      </c>
      <c r="C112" s="19">
        <v>1862</v>
      </c>
      <c r="D112" s="5"/>
      <c r="E112" t="s">
        <v>903</v>
      </c>
      <c r="F112" s="19">
        <v>1767</v>
      </c>
      <c r="G112" t="b">
        <f t="shared" si="24"/>
        <v>1</v>
      </c>
      <c r="H112" s="5"/>
      <c r="I112" s="5"/>
      <c r="J112" s="25">
        <f t="shared" si="25"/>
        <v>-95</v>
      </c>
      <c r="K112" s="4">
        <f t="shared" si="27"/>
        <v>-5.1020408163265252E-2</v>
      </c>
      <c r="L112" s="5"/>
      <c r="M112" s="5">
        <v>2755.32</v>
      </c>
      <c r="N112" s="5">
        <v>2332.7399999999998</v>
      </c>
      <c r="O112" s="5"/>
      <c r="P112" s="5"/>
      <c r="Q112" s="159">
        <v>11910.35</v>
      </c>
      <c r="R112" s="5"/>
      <c r="S112" s="5"/>
      <c r="T112" s="132">
        <f t="shared" si="29"/>
        <v>-422.58000000000038</v>
      </c>
      <c r="U112" s="4">
        <f t="shared" si="28"/>
        <v>-0.15336875571621456</v>
      </c>
      <c r="V112" s="5"/>
      <c r="W112" s="5"/>
      <c r="X112" s="5"/>
      <c r="Y112" s="5"/>
      <c r="Z112" s="15"/>
      <c r="AA112" s="18">
        <v>45128.880000000005</v>
      </c>
      <c r="AB112" s="18">
        <v>41582.33</v>
      </c>
      <c r="AC112" s="4">
        <f t="shared" si="26"/>
        <v>-7.8587148628550096E-2</v>
      </c>
    </row>
    <row r="113" spans="1:29">
      <c r="A113" t="s">
        <v>904</v>
      </c>
      <c r="B113" s="5" t="s">
        <v>905</v>
      </c>
      <c r="C113" s="19">
        <v>1131</v>
      </c>
      <c r="D113" s="5"/>
      <c r="E113" t="s">
        <v>905</v>
      </c>
      <c r="F113" s="19">
        <v>1181</v>
      </c>
      <c r="G113" t="b">
        <f t="shared" si="24"/>
        <v>1</v>
      </c>
      <c r="H113" s="5"/>
      <c r="I113" s="5"/>
      <c r="J113" s="25">
        <f t="shared" si="25"/>
        <v>50</v>
      </c>
      <c r="K113" s="4">
        <f t="shared" si="27"/>
        <v>4.4208664898319983E-2</v>
      </c>
      <c r="L113" s="5"/>
      <c r="M113" s="5">
        <v>1382.1100000000001</v>
      </c>
      <c r="N113" s="5">
        <v>1506.2</v>
      </c>
      <c r="O113" s="5"/>
      <c r="P113" s="5"/>
      <c r="Q113" s="159">
        <v>6738.91</v>
      </c>
      <c r="R113" s="5"/>
      <c r="S113" s="5"/>
      <c r="T113" s="132">
        <f t="shared" si="29"/>
        <v>124.08999999999992</v>
      </c>
      <c r="U113" s="4">
        <f t="shared" si="28"/>
        <v>8.9783012929506301E-2</v>
      </c>
      <c r="V113" s="5"/>
      <c r="W113" s="5"/>
      <c r="X113" s="5"/>
      <c r="Y113" s="5"/>
      <c r="Z113" s="15"/>
      <c r="AA113" s="18">
        <v>22568.71</v>
      </c>
      <c r="AB113" s="18">
        <v>23536.23</v>
      </c>
      <c r="AC113" s="4">
        <f t="shared" si="26"/>
        <v>4.2869973516430404E-2</v>
      </c>
    </row>
    <row r="114" spans="1:29">
      <c r="A114" t="s">
        <v>906</v>
      </c>
      <c r="B114" t="s">
        <v>907</v>
      </c>
      <c r="C114" s="19">
        <v>1483</v>
      </c>
      <c r="E114" t="s">
        <v>907</v>
      </c>
      <c r="F114" s="19">
        <v>1755</v>
      </c>
      <c r="G114" t="b">
        <f t="shared" si="24"/>
        <v>1</v>
      </c>
      <c r="J114" s="25">
        <f t="shared" si="25"/>
        <v>272</v>
      </c>
      <c r="K114" s="4">
        <f t="shared" si="27"/>
        <v>0.18341200269723523</v>
      </c>
      <c r="M114" s="5">
        <v>488.67</v>
      </c>
      <c r="N114" s="5">
        <v>603.26</v>
      </c>
      <c r="Q114" s="159">
        <v>5241.6899999999996</v>
      </c>
      <c r="T114" s="132">
        <f t="shared" si="29"/>
        <v>114.58999999999997</v>
      </c>
      <c r="U114" s="4">
        <f t="shared" si="28"/>
        <v>0.23449362555507802</v>
      </c>
      <c r="W114" t="s">
        <v>908</v>
      </c>
      <c r="Y114" t="s">
        <v>909</v>
      </c>
      <c r="AA114" s="18">
        <v>44445.8</v>
      </c>
      <c r="AB114" s="18">
        <v>48782.559999999998</v>
      </c>
      <c r="AC114" s="4">
        <f t="shared" si="26"/>
        <v>9.7574123989218275E-2</v>
      </c>
    </row>
    <row r="115" spans="1:29">
      <c r="A115" s="27" t="s">
        <v>910</v>
      </c>
      <c r="B115" s="27" t="s">
        <v>911</v>
      </c>
      <c r="C115" s="19">
        <v>521</v>
      </c>
      <c r="E115" s="27" t="s">
        <v>911</v>
      </c>
      <c r="F115" s="19">
        <v>438</v>
      </c>
      <c r="G115" t="b">
        <f t="shared" si="24"/>
        <v>1</v>
      </c>
      <c r="J115" s="25">
        <f t="shared" si="25"/>
        <v>-83</v>
      </c>
      <c r="K115" s="4">
        <f t="shared" si="27"/>
        <v>-0.15930902111324374</v>
      </c>
      <c r="M115" s="5">
        <v>1084.5</v>
      </c>
      <c r="N115" s="5">
        <v>844.15</v>
      </c>
      <c r="Q115" s="159">
        <v>4625.7</v>
      </c>
      <c r="T115" s="132">
        <f t="shared" si="29"/>
        <v>-240.35000000000002</v>
      </c>
      <c r="U115" s="4">
        <f t="shared" si="28"/>
        <v>-0.22162286768095896</v>
      </c>
      <c r="AA115" s="18">
        <v>7080.72</v>
      </c>
      <c r="AB115" s="18">
        <v>5858.46</v>
      </c>
      <c r="AC115" s="4">
        <f t="shared" si="26"/>
        <v>-0.17261803884350746</v>
      </c>
    </row>
    <row r="116" spans="1:29">
      <c r="A116" s="5" t="s">
        <v>912</v>
      </c>
      <c r="B116" t="s">
        <v>913</v>
      </c>
      <c r="C116" s="19">
        <v>756</v>
      </c>
      <c r="D116" s="5"/>
      <c r="E116" t="s">
        <v>913</v>
      </c>
      <c r="F116" s="19">
        <v>889</v>
      </c>
      <c r="G116" t="b">
        <f t="shared" si="24"/>
        <v>1</v>
      </c>
      <c r="H116" s="5"/>
      <c r="I116" s="5"/>
      <c r="J116" s="25">
        <f t="shared" si="25"/>
        <v>133</v>
      </c>
      <c r="K116" s="4">
        <f t="shared" si="27"/>
        <v>0.17592592592592582</v>
      </c>
      <c r="L116" s="5"/>
      <c r="M116" s="5">
        <v>1117.21</v>
      </c>
      <c r="N116" s="5">
        <v>1470.38</v>
      </c>
      <c r="O116" s="5"/>
      <c r="P116" s="5"/>
      <c r="Q116" s="159">
        <v>6950.45</v>
      </c>
      <c r="R116" s="5"/>
      <c r="S116" s="5"/>
      <c r="T116" s="132">
        <f t="shared" si="29"/>
        <v>353.17000000000007</v>
      </c>
      <c r="U116" s="4">
        <f t="shared" si="28"/>
        <v>0.31611782923532727</v>
      </c>
      <c r="V116" s="5"/>
      <c r="W116" s="5"/>
      <c r="X116" s="5"/>
      <c r="Y116" s="5"/>
      <c r="Z116" s="15"/>
      <c r="AA116" s="18">
        <v>13600.44</v>
      </c>
      <c r="AB116" s="18">
        <v>15949.91</v>
      </c>
      <c r="AC116" s="4">
        <f t="shared" si="26"/>
        <v>0.17274955810253201</v>
      </c>
    </row>
    <row r="117" spans="1:29">
      <c r="A117" t="s">
        <v>914</v>
      </c>
      <c r="B117" t="s">
        <v>915</v>
      </c>
      <c r="C117" s="19">
        <v>1696</v>
      </c>
      <c r="E117" t="s">
        <v>915</v>
      </c>
      <c r="F117" s="19">
        <v>1634</v>
      </c>
      <c r="G117" t="b">
        <f t="shared" si="24"/>
        <v>1</v>
      </c>
      <c r="J117" s="25">
        <f t="shared" si="25"/>
        <v>-62</v>
      </c>
      <c r="K117" s="4">
        <f t="shared" si="27"/>
        <v>-3.6556603773584939E-2</v>
      </c>
      <c r="M117" s="5">
        <v>1384.86</v>
      </c>
      <c r="N117" s="5">
        <v>1222.8</v>
      </c>
      <c r="Q117" s="159">
        <v>6021.7199999999993</v>
      </c>
      <c r="T117" s="132">
        <f t="shared" si="29"/>
        <v>-162.05999999999995</v>
      </c>
      <c r="U117" s="4">
        <f t="shared" si="28"/>
        <v>-0.11702265933018496</v>
      </c>
      <c r="AA117" s="18">
        <v>37273.050000000003</v>
      </c>
      <c r="AB117" s="18">
        <v>33749.5</v>
      </c>
      <c r="AC117" s="4">
        <f t="shared" si="26"/>
        <v>-9.4533449771349587E-2</v>
      </c>
    </row>
    <row r="118" spans="1:29">
      <c r="A118" s="5" t="s">
        <v>916</v>
      </c>
      <c r="B118" s="27" t="s">
        <v>917</v>
      </c>
      <c r="C118" s="19">
        <v>741</v>
      </c>
      <c r="D118" s="5"/>
      <c r="E118" s="27" t="s">
        <v>917</v>
      </c>
      <c r="F118" s="19">
        <v>765</v>
      </c>
      <c r="G118" t="b">
        <f t="shared" si="24"/>
        <v>1</v>
      </c>
      <c r="H118" s="5"/>
      <c r="I118" s="5"/>
      <c r="J118" s="25">
        <f t="shared" si="25"/>
        <v>24</v>
      </c>
      <c r="K118" s="4">
        <f t="shared" si="27"/>
        <v>3.238866396761142E-2</v>
      </c>
      <c r="L118" s="5"/>
      <c r="M118" s="5">
        <v>1018.88</v>
      </c>
      <c r="N118" s="5">
        <v>906.31</v>
      </c>
      <c r="O118" s="5"/>
      <c r="P118" s="5"/>
      <c r="Q118" s="159">
        <v>3463.92</v>
      </c>
      <c r="R118" s="5"/>
      <c r="S118" s="5"/>
      <c r="T118" s="132">
        <f t="shared" si="29"/>
        <v>-112.57000000000005</v>
      </c>
      <c r="U118" s="5">
        <f t="shared" si="28"/>
        <v>-0.11048406092964824</v>
      </c>
      <c r="V118" s="5"/>
      <c r="W118" s="5"/>
      <c r="X118" s="5"/>
      <c r="Y118" s="5"/>
      <c r="Z118" s="15"/>
      <c r="AA118" s="18">
        <v>10366.59</v>
      </c>
      <c r="AB118" s="18">
        <v>10702.35</v>
      </c>
      <c r="AC118" s="4">
        <f t="shared" si="26"/>
        <v>3.238866396761142E-2</v>
      </c>
    </row>
    <row r="119" spans="1:29">
      <c r="A119" t="s">
        <v>918</v>
      </c>
      <c r="B119" t="s">
        <v>919</v>
      </c>
      <c r="C119" s="19">
        <v>1762</v>
      </c>
      <c r="E119" t="s">
        <v>919</v>
      </c>
      <c r="F119" s="19">
        <v>2583</v>
      </c>
      <c r="G119" t="b">
        <f t="shared" si="24"/>
        <v>1</v>
      </c>
      <c r="J119" s="25">
        <f t="shared" si="25"/>
        <v>821</v>
      </c>
      <c r="K119" s="4">
        <f t="shared" si="27"/>
        <v>0.46594778660612945</v>
      </c>
      <c r="M119" s="5">
        <v>2066.14</v>
      </c>
      <c r="N119" s="5">
        <v>1654.13</v>
      </c>
      <c r="Q119" s="159">
        <v>13388.71</v>
      </c>
      <c r="T119" s="132">
        <f t="shared" si="29"/>
        <v>-412.00999999999976</v>
      </c>
      <c r="U119" s="4">
        <f t="shared" si="28"/>
        <v>-0.19941049493257945</v>
      </c>
      <c r="AA119" s="18">
        <v>52951.6</v>
      </c>
      <c r="AB119" s="18">
        <v>70142.899999999994</v>
      </c>
      <c r="AC119" s="4">
        <f t="shared" si="26"/>
        <v>0.32466063348416285</v>
      </c>
    </row>
    <row r="120" spans="1:29">
      <c r="A120" t="s">
        <v>920</v>
      </c>
      <c r="B120" t="s">
        <v>921</v>
      </c>
      <c r="C120" s="19">
        <v>1566</v>
      </c>
      <c r="D120" s="12"/>
      <c r="E120" t="s">
        <v>921</v>
      </c>
      <c r="F120" s="19">
        <v>1726</v>
      </c>
      <c r="G120" t="b">
        <f t="shared" si="24"/>
        <v>1</v>
      </c>
      <c r="H120" s="12"/>
      <c r="I120" s="12"/>
      <c r="J120" s="25">
        <f t="shared" si="25"/>
        <v>160</v>
      </c>
      <c r="K120" s="4">
        <f t="shared" si="27"/>
        <v>0.10217113665389532</v>
      </c>
      <c r="L120" s="12"/>
      <c r="M120" s="5">
        <v>1863.75</v>
      </c>
      <c r="N120" s="5">
        <v>1858.83</v>
      </c>
      <c r="O120" s="12"/>
      <c r="P120" s="12"/>
      <c r="Q120" s="159">
        <v>8186.38</v>
      </c>
      <c r="R120" s="12"/>
      <c r="S120" s="12"/>
      <c r="T120" s="132">
        <f t="shared" si="29"/>
        <v>-4.9200000000000728</v>
      </c>
      <c r="U120" s="4">
        <f t="shared" si="28"/>
        <v>-2.6398390342052824E-3</v>
      </c>
      <c r="V120" s="5"/>
      <c r="W120" s="5"/>
      <c r="X120" s="5"/>
      <c r="Y120" s="5"/>
      <c r="Z120" s="15"/>
      <c r="AA120" s="18">
        <v>39134.339999999997</v>
      </c>
      <c r="AB120" s="18">
        <v>40387.75</v>
      </c>
      <c r="AC120" s="4">
        <f t="shared" si="26"/>
        <v>3.2028392455321963E-2</v>
      </c>
    </row>
    <row r="121" spans="1:29">
      <c r="A121" t="s">
        <v>922</v>
      </c>
      <c r="B121" s="5" t="s">
        <v>923</v>
      </c>
      <c r="C121" s="19">
        <v>1178</v>
      </c>
      <c r="E121" t="s">
        <v>923</v>
      </c>
      <c r="F121" s="19">
        <v>1212</v>
      </c>
      <c r="G121" t="b">
        <f t="shared" si="24"/>
        <v>1</v>
      </c>
      <c r="J121" s="25">
        <f t="shared" si="25"/>
        <v>34</v>
      </c>
      <c r="K121" s="4">
        <f t="shared" si="27"/>
        <v>2.8862478777589073E-2</v>
      </c>
      <c r="M121" s="5">
        <v>1575.11</v>
      </c>
      <c r="N121" s="5">
        <v>1271.25</v>
      </c>
      <c r="Q121" s="159">
        <v>6453</v>
      </c>
      <c r="T121" s="132">
        <f t="shared" si="29"/>
        <v>-303.8599999999999</v>
      </c>
      <c r="U121" s="4">
        <f t="shared" si="28"/>
        <v>-0.19291351080242014</v>
      </c>
      <c r="AA121" s="18">
        <v>26892.1</v>
      </c>
      <c r="AB121" s="18">
        <v>25740.720000000001</v>
      </c>
      <c r="AC121" s="4">
        <f t="shared" si="26"/>
        <v>-4.2814804347745206E-2</v>
      </c>
    </row>
    <row r="122" spans="1:29">
      <c r="A122" t="s">
        <v>924</v>
      </c>
      <c r="B122" t="s">
        <v>925</v>
      </c>
      <c r="C122" s="19">
        <v>850</v>
      </c>
      <c r="D122" s="5"/>
      <c r="E122" t="s">
        <v>925</v>
      </c>
      <c r="F122" s="19">
        <v>933</v>
      </c>
      <c r="G122" t="b">
        <f t="shared" si="24"/>
        <v>1</v>
      </c>
      <c r="H122" s="5"/>
      <c r="I122" s="5"/>
      <c r="J122" s="25">
        <f t="shared" si="25"/>
        <v>83</v>
      </c>
      <c r="K122" s="4">
        <f t="shared" si="27"/>
        <v>9.764705882352942E-2</v>
      </c>
      <c r="L122" s="5"/>
      <c r="M122" s="5">
        <v>917.2</v>
      </c>
      <c r="N122" s="5">
        <v>638.74</v>
      </c>
      <c r="O122" s="5"/>
      <c r="P122" s="5"/>
      <c r="Q122" s="159">
        <v>3115.15</v>
      </c>
      <c r="R122" s="5"/>
      <c r="S122" s="5"/>
      <c r="T122" s="132">
        <f t="shared" si="29"/>
        <v>-278.46000000000004</v>
      </c>
      <c r="U122" s="4">
        <f t="shared" si="28"/>
        <v>-0.30359790667248154</v>
      </c>
      <c r="V122" s="5"/>
      <c r="W122" s="5"/>
      <c r="X122" s="5"/>
      <c r="Y122" s="5"/>
      <c r="Z122" s="15"/>
      <c r="AA122" s="18">
        <v>22932.91</v>
      </c>
      <c r="AB122" s="18">
        <v>23253.48</v>
      </c>
      <c r="AC122" s="4">
        <f t="shared" si="26"/>
        <v>1.3978601058478812E-2</v>
      </c>
    </row>
    <row r="123" spans="1:29">
      <c r="A123" t="s">
        <v>926</v>
      </c>
      <c r="B123" t="s">
        <v>927</v>
      </c>
      <c r="C123" s="19">
        <v>3199</v>
      </c>
      <c r="E123" t="s">
        <v>927</v>
      </c>
      <c r="F123" s="19">
        <v>3011</v>
      </c>
      <c r="G123" t="b">
        <f t="shared" si="24"/>
        <v>1</v>
      </c>
      <c r="J123" s="25">
        <f t="shared" si="25"/>
        <v>-188</v>
      </c>
      <c r="K123" s="4">
        <f t="shared" si="27"/>
        <v>-5.8768365114098109E-2</v>
      </c>
      <c r="M123" s="5">
        <v>2502.96</v>
      </c>
      <c r="N123" s="5">
        <v>2616.86</v>
      </c>
      <c r="Q123" s="159">
        <v>13145.5</v>
      </c>
      <c r="T123" s="132">
        <f t="shared" si="29"/>
        <v>113.90000000000009</v>
      </c>
      <c r="U123" s="4">
        <f t="shared" si="28"/>
        <v>4.5506120753028512E-2</v>
      </c>
      <c r="W123" t="s">
        <v>928</v>
      </c>
      <c r="AA123" s="18">
        <v>56475.020000000004</v>
      </c>
      <c r="AB123" s="18">
        <v>52334.6</v>
      </c>
      <c r="AC123" s="4">
        <f t="shared" si="26"/>
        <v>-7.3314183863945614E-2</v>
      </c>
    </row>
    <row r="124" spans="1:29">
      <c r="A124" s="27" t="s">
        <v>929</v>
      </c>
      <c r="B124" s="37" t="s">
        <v>930</v>
      </c>
      <c r="C124" s="19">
        <v>1207</v>
      </c>
      <c r="E124" s="37" t="s">
        <v>930</v>
      </c>
      <c r="F124" s="19">
        <v>915</v>
      </c>
      <c r="G124" t="b">
        <f t="shared" si="24"/>
        <v>1</v>
      </c>
      <c r="J124" s="25">
        <f t="shared" si="25"/>
        <v>-292</v>
      </c>
      <c r="K124" s="4">
        <f t="shared" si="27"/>
        <v>-0.24192212096106047</v>
      </c>
      <c r="M124" s="5">
        <v>2069.1799999999998</v>
      </c>
      <c r="N124" s="5">
        <v>1591.92</v>
      </c>
      <c r="Q124" s="159">
        <v>8326.3700000000008</v>
      </c>
      <c r="T124" s="132">
        <f t="shared" si="29"/>
        <v>-477.25999999999976</v>
      </c>
      <c r="U124" s="4">
        <f t="shared" si="28"/>
        <v>-0.23065175576798524</v>
      </c>
      <c r="AA124" s="18">
        <v>36197.93</v>
      </c>
      <c r="AB124" s="18">
        <v>27428.85</v>
      </c>
      <c r="AC124" s="4">
        <f t="shared" si="26"/>
        <v>-0.24225363163031699</v>
      </c>
    </row>
    <row r="125" spans="1:29">
      <c r="A125" s="150" t="s">
        <v>931</v>
      </c>
      <c r="B125" s="37" t="s">
        <v>932</v>
      </c>
      <c r="C125">
        <v>375</v>
      </c>
      <c r="E125" s="37" t="s">
        <v>932</v>
      </c>
      <c r="F125">
        <v>1352</v>
      </c>
      <c r="G125" t="b">
        <f t="shared" ref="G125:G140" si="30">IF(B125=E125,TRUE,FALSE)</f>
        <v>1</v>
      </c>
      <c r="J125" s="25">
        <f t="shared" ref="J125:J140" si="31">F125-C125</f>
        <v>977</v>
      </c>
      <c r="K125" s="4">
        <f t="shared" si="27"/>
        <v>2.6053333333333333</v>
      </c>
      <c r="M125" s="151">
        <v>1230.02</v>
      </c>
      <c r="N125" s="151">
        <v>2171.92</v>
      </c>
      <c r="Q125" s="159">
        <v>10647.66</v>
      </c>
      <c r="T125" s="132">
        <f t="shared" si="29"/>
        <v>941.90000000000009</v>
      </c>
      <c r="U125" s="4">
        <f t="shared" si="28"/>
        <v>0.7657599063429863</v>
      </c>
      <c r="AA125">
        <v>5246.25</v>
      </c>
      <c r="AB125">
        <v>13830.48</v>
      </c>
      <c r="AC125" s="4">
        <f t="shared" ref="AC125:AC140" si="32">AB125/AA125-1</f>
        <v>1.6362601858470334</v>
      </c>
    </row>
    <row r="126" spans="1:29">
      <c r="A126" s="24" t="s">
        <v>933</v>
      </c>
      <c r="B126" s="23" t="s">
        <v>934</v>
      </c>
      <c r="C126" s="19">
        <v>2038</v>
      </c>
      <c r="D126" s="5"/>
      <c r="E126" s="23" t="s">
        <v>934</v>
      </c>
      <c r="F126" s="19">
        <v>2686</v>
      </c>
      <c r="G126" t="b">
        <f t="shared" si="30"/>
        <v>1</v>
      </c>
      <c r="H126" s="5"/>
      <c r="I126" s="5"/>
      <c r="J126" s="25">
        <f t="shared" si="31"/>
        <v>648</v>
      </c>
      <c r="K126" s="4">
        <f t="shared" si="27"/>
        <v>0.31795878312070647</v>
      </c>
      <c r="L126" s="5"/>
      <c r="M126" s="5">
        <v>3230.33</v>
      </c>
      <c r="N126" s="5">
        <v>3675.46</v>
      </c>
      <c r="O126" s="5"/>
      <c r="P126" s="5"/>
      <c r="Q126" s="159">
        <v>20495.04</v>
      </c>
      <c r="R126" s="5"/>
      <c r="S126" s="5"/>
      <c r="T126" s="132">
        <f t="shared" si="29"/>
        <v>445.13000000000011</v>
      </c>
      <c r="U126" s="4">
        <f t="shared" si="28"/>
        <v>0.13779706717270379</v>
      </c>
      <c r="V126" s="5"/>
      <c r="W126" s="5"/>
      <c r="X126" s="5"/>
      <c r="Y126" s="5"/>
      <c r="Z126" s="15"/>
      <c r="AA126" s="18">
        <v>56439.62</v>
      </c>
      <c r="AB126" s="18">
        <v>66652.34</v>
      </c>
      <c r="AC126" s="4">
        <f t="shared" si="32"/>
        <v>0.1809494819419406</v>
      </c>
    </row>
    <row r="127" spans="1:29">
      <c r="A127" s="27" t="s">
        <v>935</v>
      </c>
      <c r="B127" s="27" t="s">
        <v>936</v>
      </c>
      <c r="C127" s="19">
        <v>2983</v>
      </c>
      <c r="E127" s="27" t="s">
        <v>936</v>
      </c>
      <c r="F127" s="19">
        <v>3585</v>
      </c>
      <c r="G127" t="b">
        <f t="shared" si="30"/>
        <v>1</v>
      </c>
      <c r="J127" s="25">
        <f t="shared" si="31"/>
        <v>602</v>
      </c>
      <c r="K127" s="4">
        <f t="shared" si="27"/>
        <v>0.2018102581293999</v>
      </c>
      <c r="M127" s="5">
        <v>4346.3999999999996</v>
      </c>
      <c r="N127" s="5">
        <v>3899.79</v>
      </c>
      <c r="Q127" s="159">
        <v>29485.26</v>
      </c>
      <c r="T127" s="132">
        <f t="shared" si="29"/>
        <v>-446.60999999999967</v>
      </c>
      <c r="U127" s="4">
        <f t="shared" si="28"/>
        <v>-0.10275400331308659</v>
      </c>
      <c r="AA127" s="18">
        <v>72005.17</v>
      </c>
      <c r="AB127" s="18">
        <v>82058.149999999994</v>
      </c>
      <c r="AC127" s="4">
        <f t="shared" si="32"/>
        <v>0.13961469711133234</v>
      </c>
    </row>
    <row r="128" spans="1:29">
      <c r="A128" s="24" t="s">
        <v>937</v>
      </c>
      <c r="B128" s="23" t="s">
        <v>938</v>
      </c>
      <c r="C128" s="19">
        <v>1693</v>
      </c>
      <c r="D128" s="5"/>
      <c r="E128" s="23" t="s">
        <v>938</v>
      </c>
      <c r="F128" s="19">
        <v>1893</v>
      </c>
      <c r="G128" t="b">
        <f t="shared" si="30"/>
        <v>1</v>
      </c>
      <c r="H128" s="5"/>
      <c r="I128" s="5"/>
      <c r="J128" s="25">
        <f t="shared" si="31"/>
        <v>200</v>
      </c>
      <c r="K128" s="4">
        <f t="shared" ref="K128:K133" si="33">F128/C128-1</f>
        <v>0.11813349084465452</v>
      </c>
      <c r="L128" s="5"/>
      <c r="M128" s="5">
        <v>1484.99</v>
      </c>
      <c r="N128" s="5">
        <v>1220.03</v>
      </c>
      <c r="O128" s="5"/>
      <c r="P128" s="5"/>
      <c r="Q128" s="159">
        <v>6730.69</v>
      </c>
      <c r="R128" s="5"/>
      <c r="S128" s="5"/>
      <c r="T128" s="132">
        <f t="shared" si="29"/>
        <v>-264.96000000000004</v>
      </c>
      <c r="U128" s="4">
        <f t="shared" ref="U128:U140" si="34">IF(M128=0,0,N128/M128-1)</f>
        <v>-0.17842544394238347</v>
      </c>
      <c r="V128" s="5"/>
      <c r="W128" s="5"/>
      <c r="X128" s="5"/>
      <c r="Y128" s="5"/>
      <c r="Z128" s="15"/>
      <c r="AA128" s="18">
        <v>50764.639999999999</v>
      </c>
      <c r="AB128" s="18">
        <v>52993.35</v>
      </c>
      <c r="AC128" s="4">
        <f t="shared" si="32"/>
        <v>4.3902803211053998E-2</v>
      </c>
    </row>
    <row r="129" spans="1:29">
      <c r="A129" t="s">
        <v>939</v>
      </c>
      <c r="B129" t="s">
        <v>940</v>
      </c>
      <c r="C129" s="19">
        <v>1521</v>
      </c>
      <c r="E129" t="s">
        <v>940</v>
      </c>
      <c r="F129" s="19">
        <v>1713</v>
      </c>
      <c r="G129" t="b">
        <f t="shared" si="30"/>
        <v>1</v>
      </c>
      <c r="J129" s="25">
        <f t="shared" si="31"/>
        <v>192</v>
      </c>
      <c r="K129" s="4">
        <f t="shared" si="33"/>
        <v>0.12623274161735698</v>
      </c>
      <c r="M129" s="5">
        <v>671.5</v>
      </c>
      <c r="N129" s="5">
        <v>597.97</v>
      </c>
      <c r="Q129" s="159">
        <v>5734.54</v>
      </c>
      <c r="T129" s="132">
        <f t="shared" si="29"/>
        <v>-73.529999999999973</v>
      </c>
      <c r="U129" s="4">
        <f t="shared" si="34"/>
        <v>-0.10950111690245712</v>
      </c>
      <c r="Z129" s="141"/>
      <c r="AA129" s="18">
        <v>27461.64</v>
      </c>
      <c r="AB129" s="18">
        <v>29698.870000000003</v>
      </c>
      <c r="AC129" s="4">
        <f t="shared" si="32"/>
        <v>8.1467457879427663E-2</v>
      </c>
    </row>
    <row r="130" spans="1:29">
      <c r="A130" t="s">
        <v>941</v>
      </c>
      <c r="B130" t="s">
        <v>942</v>
      </c>
      <c r="C130" s="19">
        <v>1613</v>
      </c>
      <c r="E130" t="s">
        <v>942</v>
      </c>
      <c r="F130" s="19">
        <v>1531</v>
      </c>
      <c r="G130" t="b">
        <f t="shared" si="30"/>
        <v>1</v>
      </c>
      <c r="J130" s="25">
        <f t="shared" si="31"/>
        <v>-82</v>
      </c>
      <c r="K130" s="4">
        <f t="shared" si="33"/>
        <v>-5.0836949783013008E-2</v>
      </c>
      <c r="M130" s="5">
        <v>1449.33</v>
      </c>
      <c r="N130" s="5">
        <v>1335.46</v>
      </c>
      <c r="Q130" s="159">
        <v>4805.83</v>
      </c>
      <c r="T130" s="132">
        <f t="shared" si="29"/>
        <v>-113.86999999999989</v>
      </c>
      <c r="U130" s="4">
        <f t="shared" si="34"/>
        <v>-7.8567338011356846E-2</v>
      </c>
      <c r="Z130" s="141"/>
      <c r="AA130" s="18">
        <v>32172.63</v>
      </c>
      <c r="AB130" s="18">
        <v>28455.97</v>
      </c>
      <c r="AC130" s="4">
        <f t="shared" si="32"/>
        <v>-0.11552241765749338</v>
      </c>
    </row>
    <row r="131" spans="1:29">
      <c r="A131" t="s">
        <v>943</v>
      </c>
      <c r="B131" t="s">
        <v>944</v>
      </c>
      <c r="C131" s="19">
        <v>727</v>
      </c>
      <c r="E131" t="s">
        <v>944</v>
      </c>
      <c r="F131" s="19">
        <v>437</v>
      </c>
      <c r="G131" t="b">
        <f t="shared" si="30"/>
        <v>1</v>
      </c>
      <c r="J131" s="25">
        <f t="shared" si="31"/>
        <v>-290</v>
      </c>
      <c r="K131" s="4">
        <f t="shared" si="33"/>
        <v>-0.39889958734525444</v>
      </c>
      <c r="M131" s="5">
        <v>888.07</v>
      </c>
      <c r="N131" s="5">
        <v>538.73</v>
      </c>
      <c r="Q131" s="159">
        <v>2146.3000000000002</v>
      </c>
      <c r="T131" s="132">
        <f t="shared" si="29"/>
        <v>-349.34000000000003</v>
      </c>
      <c r="U131" s="4">
        <f t="shared" si="34"/>
        <v>-0.39336989201301698</v>
      </c>
      <c r="Z131" s="141"/>
      <c r="AA131" s="18">
        <v>10833.65</v>
      </c>
      <c r="AB131" s="18">
        <v>6535.6399999999994</v>
      </c>
      <c r="AC131" s="4">
        <f t="shared" si="32"/>
        <v>-0.39672778795696739</v>
      </c>
    </row>
    <row r="132" spans="1:29">
      <c r="A132" t="s">
        <v>945</v>
      </c>
      <c r="B132" s="27" t="s">
        <v>946</v>
      </c>
      <c r="C132" s="19">
        <v>261</v>
      </c>
      <c r="E132" t="s">
        <v>946</v>
      </c>
      <c r="F132" s="19">
        <v>414</v>
      </c>
      <c r="G132" t="b">
        <f t="shared" si="30"/>
        <v>1</v>
      </c>
      <c r="J132" s="25">
        <f t="shared" si="31"/>
        <v>153</v>
      </c>
      <c r="K132" s="4">
        <f t="shared" si="33"/>
        <v>0.5862068965517242</v>
      </c>
      <c r="M132" s="5">
        <v>595.26</v>
      </c>
      <c r="N132" s="5">
        <v>958.89</v>
      </c>
      <c r="Q132" s="159">
        <v>2763.9</v>
      </c>
      <c r="T132" s="132">
        <f t="shared" si="29"/>
        <v>363.63</v>
      </c>
      <c r="U132" s="4">
        <f t="shared" si="34"/>
        <v>0.61087591976615263</v>
      </c>
      <c r="Z132" s="141"/>
      <c r="AA132" s="18">
        <v>3651.39</v>
      </c>
      <c r="AB132" s="18">
        <v>4579.8599999999997</v>
      </c>
      <c r="AC132" s="4">
        <f t="shared" si="32"/>
        <v>0.2542785076368177</v>
      </c>
    </row>
    <row r="133" spans="1:29">
      <c r="A133" s="150" t="s">
        <v>947</v>
      </c>
      <c r="B133" s="37" t="s">
        <v>948</v>
      </c>
      <c r="C133">
        <v>1984</v>
      </c>
      <c r="E133" s="37" t="s">
        <v>948</v>
      </c>
      <c r="F133">
        <v>2223</v>
      </c>
      <c r="G133" t="b">
        <f t="shared" si="30"/>
        <v>1</v>
      </c>
      <c r="J133" s="25">
        <f t="shared" si="31"/>
        <v>239</v>
      </c>
      <c r="K133" s="4">
        <f t="shared" si="33"/>
        <v>0.12046370967741926</v>
      </c>
      <c r="M133" s="151">
        <v>4182.43</v>
      </c>
      <c r="N133" s="151">
        <v>4286.42</v>
      </c>
      <c r="Q133" s="159">
        <v>29996.71</v>
      </c>
      <c r="T133" s="132">
        <f t="shared" si="29"/>
        <v>103.98999999999978</v>
      </c>
      <c r="U133" s="4">
        <f t="shared" si="34"/>
        <v>2.4863536269584818E-2</v>
      </c>
      <c r="Z133" s="141"/>
      <c r="AA133">
        <v>67436.160000000003</v>
      </c>
      <c r="AB133">
        <v>72975.77</v>
      </c>
      <c r="AC133" s="4">
        <f t="shared" si="32"/>
        <v>8.2145988146418825E-2</v>
      </c>
    </row>
    <row r="134" spans="1:29">
      <c r="A134" s="57" t="s">
        <v>949</v>
      </c>
      <c r="B134" s="37" t="s">
        <v>950</v>
      </c>
      <c r="C134" s="19">
        <v>796</v>
      </c>
      <c r="E134" s="37" t="s">
        <v>950</v>
      </c>
      <c r="F134" s="19">
        <v>680</v>
      </c>
      <c r="G134" t="b">
        <f t="shared" si="30"/>
        <v>1</v>
      </c>
      <c r="J134" s="25">
        <f t="shared" si="31"/>
        <v>-116</v>
      </c>
      <c r="K134" s="4">
        <f>F134/C135-1</f>
        <v>-0.47327652982184354</v>
      </c>
      <c r="M134" s="5">
        <v>1617.98</v>
      </c>
      <c r="N134" s="5">
        <v>735</v>
      </c>
      <c r="Q134" s="159">
        <v>3137.02</v>
      </c>
      <c r="T134" s="132">
        <f t="shared" ref="T134:T140" si="35">N134-M134</f>
        <v>-882.98</v>
      </c>
      <c r="U134" s="4">
        <f t="shared" si="34"/>
        <v>-0.54572986069049056</v>
      </c>
      <c r="Z134" s="141"/>
      <c r="AA134" s="18">
        <v>17459.04</v>
      </c>
      <c r="AB134" s="18">
        <v>14022.230000000001</v>
      </c>
      <c r="AC134" s="4">
        <f t="shared" si="32"/>
        <v>-0.19684988407151827</v>
      </c>
    </row>
    <row r="135" spans="1:29">
      <c r="A135" t="s">
        <v>951</v>
      </c>
      <c r="B135" t="s">
        <v>952</v>
      </c>
      <c r="C135" s="19">
        <v>1291</v>
      </c>
      <c r="E135" t="s">
        <v>952</v>
      </c>
      <c r="F135" s="19">
        <v>922</v>
      </c>
      <c r="G135" t="b">
        <f t="shared" si="30"/>
        <v>1</v>
      </c>
      <c r="J135" s="25">
        <f t="shared" si="31"/>
        <v>-369</v>
      </c>
      <c r="K135" s="4">
        <f t="shared" ref="K135:K140" si="36">F135/C135-1</f>
        <v>-0.28582494190549956</v>
      </c>
      <c r="M135" s="5">
        <v>2107.4299999999998</v>
      </c>
      <c r="N135" s="5">
        <v>2261.39</v>
      </c>
      <c r="Q135" s="159">
        <v>7126.78</v>
      </c>
      <c r="T135" s="132">
        <f t="shared" si="35"/>
        <v>153.96000000000004</v>
      </c>
      <c r="U135" s="4">
        <f t="shared" si="34"/>
        <v>7.3055807310325793E-2</v>
      </c>
      <c r="Z135" s="141"/>
      <c r="AA135" s="18">
        <v>24456.689999999995</v>
      </c>
      <c r="AB135" s="18">
        <v>15702.78</v>
      </c>
      <c r="AC135" s="4">
        <f t="shared" si="32"/>
        <v>-0.35793519073922087</v>
      </c>
    </row>
    <row r="136" spans="1:29">
      <c r="A136" t="s">
        <v>953</v>
      </c>
      <c r="B136" t="s">
        <v>954</v>
      </c>
      <c r="C136" s="19">
        <v>3593</v>
      </c>
      <c r="E136" t="s">
        <v>954</v>
      </c>
      <c r="F136" s="19">
        <v>4077</v>
      </c>
      <c r="G136" t="b">
        <f t="shared" si="30"/>
        <v>1</v>
      </c>
      <c r="J136" s="25">
        <f t="shared" si="31"/>
        <v>484</v>
      </c>
      <c r="K136" s="4">
        <f t="shared" si="36"/>
        <v>0.13470637350403569</v>
      </c>
      <c r="M136" s="5">
        <v>4135.8500000000004</v>
      </c>
      <c r="N136" s="5">
        <v>3988.34</v>
      </c>
      <c r="Q136" s="159">
        <v>19943.21</v>
      </c>
      <c r="T136" s="132">
        <f t="shared" si="35"/>
        <v>-147.51000000000022</v>
      </c>
      <c r="U136" s="4">
        <f t="shared" si="34"/>
        <v>-3.5666187119939075E-2</v>
      </c>
      <c r="Z136" s="141"/>
      <c r="AA136" s="18">
        <v>83474.48</v>
      </c>
      <c r="AB136" s="18">
        <v>89916.03</v>
      </c>
      <c r="AC136" s="4">
        <f t="shared" si="32"/>
        <v>7.7167896104294531E-2</v>
      </c>
    </row>
    <row r="137" spans="1:29">
      <c r="A137" t="s">
        <v>955</v>
      </c>
      <c r="B137" t="s">
        <v>956</v>
      </c>
      <c r="C137" s="19">
        <v>3258</v>
      </c>
      <c r="E137" t="s">
        <v>956</v>
      </c>
      <c r="F137" s="19">
        <v>7404</v>
      </c>
      <c r="G137" t="b">
        <f t="shared" si="30"/>
        <v>1</v>
      </c>
      <c r="J137" s="25">
        <f t="shared" si="31"/>
        <v>4146</v>
      </c>
      <c r="K137" s="4">
        <f t="shared" si="36"/>
        <v>1.2725598526703501</v>
      </c>
      <c r="M137" s="5">
        <v>1767.76</v>
      </c>
      <c r="N137" s="5">
        <v>2784.62</v>
      </c>
      <c r="Q137" s="159">
        <v>23125.119999999999</v>
      </c>
      <c r="T137" s="132">
        <f t="shared" si="35"/>
        <v>1016.8599999999999</v>
      </c>
      <c r="U137" s="4">
        <f t="shared" si="34"/>
        <v>0.57522514368466293</v>
      </c>
      <c r="Z137" s="141"/>
      <c r="AA137" s="18">
        <v>109035.48</v>
      </c>
      <c r="AB137" s="18">
        <v>226989.16</v>
      </c>
      <c r="AC137" s="4">
        <f t="shared" si="32"/>
        <v>1.0817917250421605</v>
      </c>
    </row>
    <row r="138" spans="1:29">
      <c r="A138" s="27" t="s">
        <v>957</v>
      </c>
      <c r="B138" t="s">
        <v>958</v>
      </c>
      <c r="C138" s="19">
        <v>330</v>
      </c>
      <c r="E138" s="27" t="s">
        <v>958</v>
      </c>
      <c r="F138" s="19">
        <v>1005</v>
      </c>
      <c r="G138" t="b">
        <f t="shared" si="30"/>
        <v>1</v>
      </c>
      <c r="J138" s="25">
        <f t="shared" si="31"/>
        <v>675</v>
      </c>
      <c r="K138" s="4">
        <f t="shared" si="36"/>
        <v>2.0454545454545454</v>
      </c>
      <c r="M138" s="5">
        <v>562.98</v>
      </c>
      <c r="N138" s="5">
        <v>2305.23</v>
      </c>
      <c r="Q138" s="159">
        <v>13077.37</v>
      </c>
      <c r="T138" s="132">
        <f t="shared" si="35"/>
        <v>1742.25</v>
      </c>
      <c r="U138" s="4">
        <f t="shared" si="34"/>
        <v>3.0946925290418843</v>
      </c>
      <c r="Z138" s="141"/>
      <c r="AA138" s="18">
        <v>6485.46</v>
      </c>
      <c r="AB138" s="18">
        <v>19613.39</v>
      </c>
      <c r="AC138" s="4">
        <f t="shared" si="32"/>
        <v>2.0242095394929578</v>
      </c>
    </row>
    <row r="139" spans="1:29">
      <c r="A139" t="s">
        <v>959</v>
      </c>
      <c r="B139" t="s">
        <v>960</v>
      </c>
      <c r="C139" s="19">
        <v>5332</v>
      </c>
      <c r="E139" t="s">
        <v>960</v>
      </c>
      <c r="F139" s="19">
        <v>4940</v>
      </c>
      <c r="G139" t="b">
        <f t="shared" si="30"/>
        <v>1</v>
      </c>
      <c r="J139" s="25">
        <f t="shared" si="31"/>
        <v>-392</v>
      </c>
      <c r="K139" s="4">
        <f t="shared" si="36"/>
        <v>-7.3518379594898708E-2</v>
      </c>
      <c r="M139" s="5">
        <v>5526.76</v>
      </c>
      <c r="N139" s="5">
        <v>4703.9799999999996</v>
      </c>
      <c r="Q139" s="159">
        <v>26492.34</v>
      </c>
      <c r="T139" s="132">
        <f t="shared" si="35"/>
        <v>-822.78000000000065</v>
      </c>
      <c r="U139" s="4">
        <f t="shared" si="34"/>
        <v>-0.14887203352416256</v>
      </c>
      <c r="Z139" s="141"/>
      <c r="AA139" s="18">
        <v>149569.85</v>
      </c>
      <c r="AB139" s="18">
        <v>134470.9</v>
      </c>
      <c r="AC139" s="4">
        <f t="shared" si="32"/>
        <v>-0.1009491551940449</v>
      </c>
    </row>
    <row r="140" spans="1:29">
      <c r="A140" t="s">
        <v>961</v>
      </c>
      <c r="B140" t="s">
        <v>962</v>
      </c>
      <c r="C140" s="19">
        <v>0</v>
      </c>
      <c r="E140" t="s">
        <v>962</v>
      </c>
      <c r="F140" s="19">
        <v>266</v>
      </c>
      <c r="G140" t="b">
        <f t="shared" si="30"/>
        <v>1</v>
      </c>
      <c r="J140" s="25">
        <f t="shared" si="31"/>
        <v>266</v>
      </c>
      <c r="K140" s="4" t="e">
        <f t="shared" si="36"/>
        <v>#DIV/0!</v>
      </c>
      <c r="M140" s="5">
        <v>0</v>
      </c>
      <c r="N140" s="5">
        <v>104.78</v>
      </c>
      <c r="Q140" s="159">
        <v>494.26</v>
      </c>
      <c r="T140" s="132">
        <f t="shared" si="35"/>
        <v>104.78</v>
      </c>
      <c r="U140" s="4">
        <f t="shared" si="34"/>
        <v>0</v>
      </c>
      <c r="Z140" s="141"/>
      <c r="AA140" s="18">
        <v>0</v>
      </c>
      <c r="AB140" s="18">
        <v>5317.34</v>
      </c>
      <c r="AC140" s="4" t="e">
        <f t="shared" si="32"/>
        <v>#DIV/0!</v>
      </c>
    </row>
    <row r="141" spans="1:29">
      <c r="C141" s="19"/>
      <c r="F141" s="19"/>
      <c r="J141" s="25"/>
      <c r="K141" s="4"/>
      <c r="Q141" s="159"/>
      <c r="T141" s="132"/>
      <c r="U141" s="4"/>
      <c r="Z141" s="141"/>
      <c r="AA141" s="18"/>
      <c r="AB141" s="18"/>
      <c r="AC141" s="4"/>
    </row>
    <row r="142" spans="1:29">
      <c r="F142" s="19"/>
      <c r="K142" s="4"/>
      <c r="N142" s="4"/>
      <c r="Z142" s="141"/>
    </row>
    <row r="143" spans="1:29">
      <c r="C143" s="3" t="s">
        <v>644</v>
      </c>
      <c r="D143" s="3"/>
      <c r="E143" s="3"/>
      <c r="F143" s="3" t="s">
        <v>644</v>
      </c>
      <c r="G143" s="3"/>
      <c r="H143" s="3"/>
      <c r="I143" s="3"/>
      <c r="J143" s="3" t="s">
        <v>645</v>
      </c>
      <c r="K143" s="31"/>
      <c r="L143" s="3"/>
      <c r="M143" s="33" t="s">
        <v>646</v>
      </c>
      <c r="N143" s="33" t="s">
        <v>646</v>
      </c>
      <c r="O143" s="3"/>
      <c r="Q143" s="160" t="s">
        <v>647</v>
      </c>
      <c r="R143" s="3"/>
      <c r="T143" s="133" t="s">
        <v>648</v>
      </c>
      <c r="U143" s="3"/>
      <c r="V143" s="3"/>
      <c r="W143" s="3"/>
      <c r="X143" s="3"/>
      <c r="Y143" s="34"/>
      <c r="Z143" s="35" t="s">
        <v>3</v>
      </c>
      <c r="AA143" s="35" t="s">
        <v>3</v>
      </c>
      <c r="AB143" s="35" t="s">
        <v>3</v>
      </c>
    </row>
    <row r="144" spans="1:29">
      <c r="C144" s="19">
        <f>SUM(C3:C140)</f>
        <v>237929</v>
      </c>
      <c r="F144" s="19">
        <f>SUM(F3:F140)</f>
        <v>252691</v>
      </c>
      <c r="J144" s="19">
        <f>SUM(J3:J140)</f>
        <v>14762</v>
      </c>
      <c r="K144" s="4"/>
      <c r="M144" s="19">
        <f>SUM(M3:M140)</f>
        <v>263243.46999999986</v>
      </c>
      <c r="N144" s="5">
        <f>SUM(N3:N140)</f>
        <v>247762.80000000016</v>
      </c>
      <c r="Q144" s="154">
        <f>SUM(Q3:Q140)</f>
        <v>1343264.7299999997</v>
      </c>
      <c r="T144" s="135">
        <f>SUM(T3:T140)</f>
        <v>-18818.779999999992</v>
      </c>
      <c r="U144" s="4">
        <f>IF(M144=0,0,N144/M144-1)</f>
        <v>-5.8807422649457153E-2</v>
      </c>
      <c r="AA144" s="30">
        <f>SUM(AA3:AA140)</f>
        <v>5360772.7700000005</v>
      </c>
      <c r="AB144" s="30">
        <f>SUM(AB3:AB140)</f>
        <v>5402282.9000000004</v>
      </c>
      <c r="AC144" s="4">
        <f>AB144/AA144-1</f>
        <v>7.7433108585200916E-3</v>
      </c>
    </row>
    <row r="145" spans="6:28">
      <c r="K145" s="4"/>
      <c r="U145" s="4"/>
    </row>
    <row r="146" spans="6:28">
      <c r="F146" s="25">
        <f>F144-C144</f>
        <v>14762</v>
      </c>
      <c r="K146" s="4"/>
      <c r="N146" s="33" t="s">
        <v>649</v>
      </c>
      <c r="Q146" s="26">
        <f>N144/Q144</f>
        <v>0.18444822860792318</v>
      </c>
      <c r="U146" s="4"/>
      <c r="AA146" s="3" t="s">
        <v>650</v>
      </c>
      <c r="AB146" s="3" t="s">
        <v>650</v>
      </c>
    </row>
    <row r="147" spans="6:28">
      <c r="F147" s="4">
        <f>F144/C144-1</f>
        <v>6.2043718924553071E-2</v>
      </c>
      <c r="K147" s="4"/>
      <c r="U147" s="4"/>
      <c r="AA147" s="32">
        <f>M144/AA144</f>
        <v>4.9105507973246892E-2</v>
      </c>
      <c r="AB147" s="32">
        <f>N144/AB144</f>
        <v>4.586261115647982E-2</v>
      </c>
    </row>
    <row r="148" spans="6:28">
      <c r="K148" s="4"/>
      <c r="U148" s="4"/>
    </row>
    <row r="149" spans="6:28">
      <c r="K149" s="4"/>
    </row>
    <row r="150" spans="6:28">
      <c r="K150" s="4"/>
      <c r="U150" s="4"/>
    </row>
    <row r="151" spans="6:28">
      <c r="K151" s="4"/>
      <c r="U151" s="4"/>
    </row>
    <row r="152" spans="6:28">
      <c r="K152" s="4"/>
      <c r="U152" s="4"/>
    </row>
    <row r="153" spans="6:28">
      <c r="K153" s="4"/>
      <c r="U153" s="4"/>
    </row>
    <row r="154" spans="6:28">
      <c r="K154" s="4"/>
      <c r="U154" s="4"/>
    </row>
    <row r="155" spans="6:28">
      <c r="K155" s="4"/>
      <c r="U155" s="4"/>
    </row>
    <row r="156" spans="6:28">
      <c r="K156" s="4"/>
      <c r="U156" s="4"/>
    </row>
    <row r="157" spans="6:28">
      <c r="K157" s="4"/>
      <c r="U157" s="4"/>
    </row>
    <row r="158" spans="6:28">
      <c r="K158" s="4"/>
      <c r="U158" s="4"/>
    </row>
    <row r="159" spans="6:28">
      <c r="K159" s="4"/>
      <c r="U159" s="4"/>
    </row>
    <row r="160" spans="6:28">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6"/>
      <c r="M191" s="11"/>
      <c r="N191" s="11"/>
      <c r="T191" s="136"/>
      <c r="U191" s="6"/>
    </row>
    <row r="192" spans="11:21" ht="15" customHeight="1">
      <c r="K192" s="6"/>
      <c r="M192" s="11"/>
      <c r="N192" s="11"/>
      <c r="T192" s="136"/>
      <c r="U192" s="6"/>
    </row>
    <row r="193" spans="3:21" ht="15" customHeight="1">
      <c r="K193" s="6"/>
      <c r="M193" s="11"/>
      <c r="N193" s="11"/>
      <c r="T193" s="136"/>
      <c r="U193" s="6"/>
    </row>
    <row r="194" spans="3:21" ht="15" customHeight="1">
      <c r="K194" s="6"/>
      <c r="M194" s="11"/>
      <c r="N194" s="11"/>
      <c r="T194" s="136"/>
      <c r="U194" s="6"/>
    </row>
    <row r="195" spans="3:21" ht="15" customHeight="1">
      <c r="K195" s="6"/>
      <c r="M195" s="11"/>
      <c r="N195" s="11"/>
      <c r="T195" s="136"/>
      <c r="U195" s="6"/>
    </row>
    <row r="196" spans="3:21" ht="15" customHeight="1">
      <c r="K196" s="6"/>
      <c r="M196" s="11"/>
      <c r="N196" s="11"/>
      <c r="T196" s="136"/>
      <c r="U196" s="6"/>
    </row>
    <row r="197" spans="3:21" ht="15" customHeight="1">
      <c r="K197" s="6"/>
      <c r="M197" s="11"/>
      <c r="N197" s="11"/>
      <c r="T197" s="136"/>
      <c r="U197" s="6"/>
    </row>
    <row r="198" spans="3:21" ht="15" customHeight="1">
      <c r="K198" s="6"/>
      <c r="M198" s="11"/>
      <c r="N198" s="11"/>
      <c r="T198" s="136"/>
      <c r="U198" s="6"/>
    </row>
    <row r="199" spans="3:21" ht="15" customHeight="1">
      <c r="K199" s="6"/>
      <c r="M199" s="11"/>
      <c r="N199" s="11"/>
      <c r="T199" s="136"/>
      <c r="U199" s="6"/>
    </row>
    <row r="200" spans="3:21">
      <c r="M200" s="11"/>
      <c r="N200" s="11"/>
      <c r="T200" s="136"/>
    </row>
    <row r="201" spans="3:21" ht="15" customHeight="1">
      <c r="C201" s="8"/>
      <c r="F201" s="8"/>
      <c r="J201" s="8"/>
      <c r="M201" s="11"/>
      <c r="N201" s="11"/>
      <c r="T201" s="136"/>
    </row>
    <row r="202" spans="3:21">
      <c r="M202" s="11"/>
      <c r="N202" s="11"/>
      <c r="T202" s="136"/>
    </row>
    <row r="203" spans="3:21" ht="15" customHeight="1">
      <c r="M203" s="11"/>
      <c r="N203" s="11"/>
      <c r="T203" s="136"/>
    </row>
    <row r="204" spans="3:21" ht="15" customHeight="1">
      <c r="C204" s="9"/>
      <c r="F204" s="9"/>
      <c r="M204" s="7"/>
      <c r="N204" s="7"/>
    </row>
    <row r="206" spans="3:21" ht="15" customHeight="1">
      <c r="C206" s="8"/>
      <c r="F206" s="8"/>
    </row>
    <row r="209" spans="3:14" ht="15" customHeight="1">
      <c r="C209" s="9"/>
      <c r="F209" s="9"/>
      <c r="M209" s="7"/>
      <c r="N209" s="7"/>
    </row>
  </sheetData>
  <autoFilter ref="A2:AC140" xr:uid="{97EDC353-A3BB-4027-BC75-3196C26C68C7}">
    <sortState xmlns:xlrd2="http://schemas.microsoft.com/office/spreadsheetml/2017/richdata2" ref="A3:AC140">
      <sortCondition descending="1" ref="J2:J137"/>
    </sortState>
  </autoFilter>
  <mergeCells count="7">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00">
    <cfRule type="cellIs" dxfId="27" priority="1" operator="greaterThan">
      <formula>500</formula>
    </cfRule>
  </conditionalFormatting>
  <conditionalFormatting sqref="J3:J199">
    <cfRule type="cellIs" dxfId="26" priority="2" operator="lessThan">
      <formula>-100</formula>
    </cfRule>
  </conditionalFormatting>
  <conditionalFormatting sqref="J202:J1048576">
    <cfRule type="cellIs" dxfId="25" priority="19" operator="greaterThan">
      <formula>500</formula>
    </cfRule>
  </conditionalFormatting>
  <conditionalFormatting sqref="K2">
    <cfRule type="cellIs" dxfId="24" priority="20" operator="lessThan">
      <formula>-20%</formula>
    </cfRule>
  </conditionalFormatting>
  <conditionalFormatting sqref="K3:K199">
    <cfRule type="cellIs" dxfId="23" priority="5" operator="greaterThan">
      <formula>0.2</formula>
    </cfRule>
  </conditionalFormatting>
  <conditionalFormatting sqref="K3:K1048576">
    <cfRule type="cellIs" dxfId="22" priority="3" operator="lessThan">
      <formula>-0.2</formula>
    </cfRule>
  </conditionalFormatting>
  <conditionalFormatting sqref="U3:U139 U144:U148 U150:U199">
    <cfRule type="cellIs" dxfId="21" priority="12" operator="greaterThan">
      <formula>0.5</formula>
    </cfRule>
  </conditionalFormatting>
  <conditionalFormatting sqref="AC3:AC141">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44">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D193"/>
  <sheetViews>
    <sheetView zoomScale="85" zoomScaleNormal="85" workbookViewId="0">
      <pane xSplit="2" ySplit="2" topLeftCell="C3" activePane="bottomRight" state="frozen"/>
      <selection pane="bottomRight" activeCell="Q126" sqref="Q126"/>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32"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63">
        <v>45809</v>
      </c>
      <c r="C1" s="162"/>
      <c r="E1" s="163">
        <v>45839</v>
      </c>
      <c r="F1" s="162"/>
      <c r="J1" s="164"/>
      <c r="K1" s="164"/>
      <c r="L1" s="1"/>
      <c r="N1" s="165" t="s">
        <v>0</v>
      </c>
      <c r="O1" s="165"/>
      <c r="Q1" s="10" t="s">
        <v>1</v>
      </c>
      <c r="R1" s="1"/>
      <c r="T1" s="162" t="s">
        <v>2</v>
      </c>
      <c r="U1" s="162"/>
      <c r="X1" s="164" t="s">
        <v>651</v>
      </c>
      <c r="Y1" s="164"/>
      <c r="Z1" s="164"/>
      <c r="AA1" s="164"/>
      <c r="AB1" s="162" t="s">
        <v>3</v>
      </c>
      <c r="AC1" s="162"/>
    </row>
    <row r="2" spans="1:30">
      <c r="A2" s="3" t="s">
        <v>4</v>
      </c>
      <c r="B2" s="3" t="s">
        <v>5</v>
      </c>
      <c r="C2" s="3" t="s">
        <v>6</v>
      </c>
      <c r="E2" s="3" t="s">
        <v>5</v>
      </c>
      <c r="F2" s="3" t="s">
        <v>6</v>
      </c>
      <c r="G2" t="s">
        <v>7</v>
      </c>
      <c r="J2" t="s">
        <v>8</v>
      </c>
      <c r="K2" t="s">
        <v>9</v>
      </c>
      <c r="N2" t="s">
        <v>10</v>
      </c>
      <c r="O2" t="s">
        <v>13</v>
      </c>
      <c r="Q2" s="5" t="s">
        <v>11</v>
      </c>
      <c r="T2" s="132" t="s">
        <v>12</v>
      </c>
      <c r="U2" t="s">
        <v>9</v>
      </c>
      <c r="X2" t="s">
        <v>653</v>
      </c>
      <c r="Y2" t="s">
        <v>654</v>
      </c>
      <c r="Z2" t="s">
        <v>963</v>
      </c>
      <c r="AB2" t="s">
        <v>10</v>
      </c>
      <c r="AC2" t="s">
        <v>13</v>
      </c>
      <c r="AD2" t="s">
        <v>9</v>
      </c>
    </row>
    <row r="3" spans="1:30" ht="13.9" customHeight="1">
      <c r="A3" t="s">
        <v>964</v>
      </c>
      <c r="B3" t="s">
        <v>965</v>
      </c>
      <c r="C3">
        <v>13122</v>
      </c>
      <c r="E3" t="s">
        <v>965</v>
      </c>
      <c r="F3">
        <v>8847</v>
      </c>
      <c r="G3" t="b">
        <f t="shared" ref="G3:G34" si="0">IF(B3=E3,TRUE,FALSE)</f>
        <v>1</v>
      </c>
      <c r="J3">
        <f t="shared" ref="J3:J34" si="1">F3-C3</f>
        <v>-4275</v>
      </c>
      <c r="K3" s="4">
        <f t="shared" ref="K3:K34" si="2">F3/C3-1</f>
        <v>-0.32578875171467769</v>
      </c>
      <c r="L3" s="4"/>
      <c r="N3" s="5">
        <v>4834.8999999999996</v>
      </c>
      <c r="O3" s="5">
        <v>4454.97</v>
      </c>
      <c r="Q3" s="5">
        <v>16194.34</v>
      </c>
      <c r="T3" s="132">
        <f t="shared" ref="T3:T34" si="3">O3-N3</f>
        <v>-379.92999999999938</v>
      </c>
      <c r="U3" s="4">
        <f t="shared" ref="U3:U9" si="4">IF(N3=0,0,O3/N3-1)</f>
        <v>-7.8580735899397958E-2</v>
      </c>
      <c r="AB3" s="18">
        <v>131038.83</v>
      </c>
      <c r="AC3" s="18">
        <v>88351.56</v>
      </c>
      <c r="AD3" s="4">
        <f t="shared" ref="AD3:AD34" si="5">AC3/AB3-1</f>
        <v>-0.32576046352062216</v>
      </c>
    </row>
    <row r="4" spans="1:30" ht="13.9" customHeight="1">
      <c r="A4" t="s">
        <v>966</v>
      </c>
      <c r="B4" t="s">
        <v>967</v>
      </c>
      <c r="C4">
        <v>4085</v>
      </c>
      <c r="E4" t="s">
        <v>967</v>
      </c>
      <c r="F4">
        <v>2885</v>
      </c>
      <c r="G4" t="b">
        <f t="shared" si="0"/>
        <v>1</v>
      </c>
      <c r="J4">
        <f t="shared" si="1"/>
        <v>-1200</v>
      </c>
      <c r="K4" s="4">
        <f t="shared" si="2"/>
        <v>-0.29375764993880049</v>
      </c>
      <c r="L4" s="4"/>
      <c r="N4" s="5">
        <v>2175.0300000000002</v>
      </c>
      <c r="O4" s="5">
        <v>2683.04</v>
      </c>
      <c r="Q4" s="5">
        <v>8627.6</v>
      </c>
      <c r="T4" s="132">
        <f t="shared" si="3"/>
        <v>508.00999999999976</v>
      </c>
      <c r="U4" s="4">
        <f t="shared" si="4"/>
        <v>0.23356459451134004</v>
      </c>
      <c r="AB4" s="18">
        <v>71472.33</v>
      </c>
      <c r="AC4" s="18">
        <v>54490.97</v>
      </c>
      <c r="AD4" s="4">
        <f t="shared" si="5"/>
        <v>-0.23759348547892589</v>
      </c>
    </row>
    <row r="5" spans="1:30" ht="13.9" customHeight="1">
      <c r="A5" s="55" t="s">
        <v>968</v>
      </c>
      <c r="B5" s="37" t="s">
        <v>969</v>
      </c>
      <c r="C5">
        <v>1254</v>
      </c>
      <c r="E5" s="37" t="s">
        <v>969</v>
      </c>
      <c r="F5">
        <v>1444</v>
      </c>
      <c r="G5" t="b">
        <f t="shared" si="0"/>
        <v>1</v>
      </c>
      <c r="J5">
        <f t="shared" si="1"/>
        <v>190</v>
      </c>
      <c r="K5" s="4">
        <f t="shared" si="2"/>
        <v>0.1515151515151516</v>
      </c>
      <c r="L5" s="4"/>
      <c r="N5" s="5">
        <v>1363.73</v>
      </c>
      <c r="O5" s="5">
        <v>3018.27</v>
      </c>
      <c r="Q5" s="5">
        <v>14343.28</v>
      </c>
      <c r="T5" s="132">
        <f t="shared" si="3"/>
        <v>1654.54</v>
      </c>
      <c r="U5" s="4">
        <f t="shared" si="4"/>
        <v>1.213246023773034</v>
      </c>
      <c r="AB5" s="18">
        <v>14184.46</v>
      </c>
      <c r="AC5" s="18">
        <v>23513.200000000001</v>
      </c>
      <c r="AD5" s="4">
        <f t="shared" si="5"/>
        <v>0.65767325650747388</v>
      </c>
    </row>
    <row r="6" spans="1:30" ht="13.9" customHeight="1">
      <c r="A6" s="55" t="s">
        <v>970</v>
      </c>
      <c r="B6" t="s">
        <v>971</v>
      </c>
      <c r="C6">
        <v>1433</v>
      </c>
      <c r="E6" t="s">
        <v>971</v>
      </c>
      <c r="F6">
        <v>2098</v>
      </c>
      <c r="G6" t="b">
        <f t="shared" si="0"/>
        <v>1</v>
      </c>
      <c r="J6">
        <f t="shared" si="1"/>
        <v>665</v>
      </c>
      <c r="K6" s="4">
        <f t="shared" si="2"/>
        <v>0.46406140963014653</v>
      </c>
      <c r="L6" s="4"/>
      <c r="N6" s="5">
        <v>2840.55</v>
      </c>
      <c r="O6" s="5">
        <v>4064.58</v>
      </c>
      <c r="Q6" s="5">
        <v>41968.68</v>
      </c>
      <c r="T6" s="132">
        <f t="shared" si="3"/>
        <v>1224.0299999999997</v>
      </c>
      <c r="U6" s="4">
        <f t="shared" si="4"/>
        <v>0.43091302740666415</v>
      </c>
      <c r="AB6" s="18">
        <v>42975.67</v>
      </c>
      <c r="AC6" s="18">
        <v>62918.42</v>
      </c>
      <c r="AD6" s="4">
        <f t="shared" si="5"/>
        <v>0.46404744824222632</v>
      </c>
    </row>
    <row r="7" spans="1:30" ht="13.9" customHeight="1">
      <c r="A7" s="55" t="s">
        <v>972</v>
      </c>
      <c r="B7" t="s">
        <v>973</v>
      </c>
      <c r="C7">
        <v>619</v>
      </c>
      <c r="E7" t="s">
        <v>973</v>
      </c>
      <c r="F7">
        <v>674</v>
      </c>
      <c r="G7" t="b">
        <f t="shared" si="0"/>
        <v>1</v>
      </c>
      <c r="J7">
        <f t="shared" si="1"/>
        <v>55</v>
      </c>
      <c r="K7" s="4">
        <f t="shared" si="2"/>
        <v>8.8852988691437762E-2</v>
      </c>
      <c r="L7" s="4"/>
      <c r="N7" s="5">
        <v>941.07</v>
      </c>
      <c r="O7" s="5">
        <v>1423.39</v>
      </c>
      <c r="Q7" s="5">
        <v>5751.8</v>
      </c>
      <c r="T7" s="132">
        <f t="shared" si="3"/>
        <v>482.32000000000005</v>
      </c>
      <c r="U7" s="4">
        <f t="shared" si="4"/>
        <v>0.51252297916201783</v>
      </c>
      <c r="AB7" s="18">
        <v>8659.81</v>
      </c>
      <c r="AC7" s="18">
        <v>9429.26</v>
      </c>
      <c r="AD7" s="4">
        <f t="shared" si="5"/>
        <v>8.8852988691437984E-2</v>
      </c>
    </row>
    <row r="8" spans="1:30" ht="13.9" customHeight="1">
      <c r="A8" t="s">
        <v>974</v>
      </c>
      <c r="B8" t="s">
        <v>975</v>
      </c>
      <c r="C8">
        <v>4061</v>
      </c>
      <c r="E8" t="s">
        <v>975</v>
      </c>
      <c r="F8">
        <v>4144</v>
      </c>
      <c r="G8" t="b">
        <f t="shared" si="0"/>
        <v>1</v>
      </c>
      <c r="J8">
        <f t="shared" si="1"/>
        <v>83</v>
      </c>
      <c r="K8" s="4">
        <f t="shared" si="2"/>
        <v>2.0438315685791686E-2</v>
      </c>
      <c r="N8" s="5">
        <v>5599.13</v>
      </c>
      <c r="O8" s="5">
        <v>5302.43</v>
      </c>
      <c r="Q8" s="5">
        <v>21628.98</v>
      </c>
      <c r="T8" s="132">
        <f t="shared" si="3"/>
        <v>-296.69999999999982</v>
      </c>
      <c r="U8" s="4">
        <f t="shared" si="4"/>
        <v>-5.2990375290446923E-2</v>
      </c>
      <c r="X8" s="5"/>
      <c r="Y8" s="5"/>
      <c r="Z8" s="5"/>
      <c r="AA8" s="17"/>
      <c r="AB8" s="18">
        <v>56813.39</v>
      </c>
      <c r="AC8" s="18">
        <v>57974.559999999998</v>
      </c>
      <c r="AD8" s="4">
        <f t="shared" si="5"/>
        <v>2.0438315685791686E-2</v>
      </c>
    </row>
    <row r="9" spans="1:30" ht="13.9" customHeight="1">
      <c r="A9" t="s">
        <v>976</v>
      </c>
      <c r="B9" t="s">
        <v>977</v>
      </c>
      <c r="C9">
        <v>1736</v>
      </c>
      <c r="E9" t="s">
        <v>977</v>
      </c>
      <c r="F9">
        <v>1465</v>
      </c>
      <c r="G9" t="b">
        <f t="shared" si="0"/>
        <v>1</v>
      </c>
      <c r="J9">
        <f t="shared" si="1"/>
        <v>-271</v>
      </c>
      <c r="K9" s="4">
        <f t="shared" si="2"/>
        <v>-0.15610599078341014</v>
      </c>
      <c r="L9" s="4"/>
      <c r="N9" s="5">
        <v>1288.04</v>
      </c>
      <c r="O9" s="5">
        <v>1235.6400000000001</v>
      </c>
      <c r="Q9" s="5">
        <v>15663.89</v>
      </c>
      <c r="T9" s="132">
        <f t="shared" si="3"/>
        <v>-52.399999999999864</v>
      </c>
      <c r="U9" s="4">
        <f t="shared" si="4"/>
        <v>-4.0681966398558922E-2</v>
      </c>
      <c r="AB9" s="18">
        <v>41670.629999999997</v>
      </c>
      <c r="AC9" s="18">
        <v>35145.11</v>
      </c>
      <c r="AD9" s="4">
        <f t="shared" si="5"/>
        <v>-0.15659758443776817</v>
      </c>
    </row>
    <row r="10" spans="1:30" ht="13.9" customHeight="1">
      <c r="A10" s="55" t="s">
        <v>978</v>
      </c>
      <c r="B10" s="27" t="s">
        <v>979</v>
      </c>
      <c r="C10">
        <v>1143</v>
      </c>
      <c r="E10" s="27" t="s">
        <v>979</v>
      </c>
      <c r="F10">
        <v>1130</v>
      </c>
      <c r="G10" t="b">
        <f t="shared" si="0"/>
        <v>1</v>
      </c>
      <c r="J10">
        <f t="shared" si="1"/>
        <v>-13</v>
      </c>
      <c r="K10" s="4">
        <f t="shared" si="2"/>
        <v>-1.1373578302712128E-2</v>
      </c>
      <c r="L10" s="4"/>
      <c r="N10" s="5">
        <v>2930.02</v>
      </c>
      <c r="O10" s="5">
        <v>2804.32</v>
      </c>
      <c r="Q10" s="5">
        <v>12001.25</v>
      </c>
      <c r="T10" s="132">
        <f t="shared" si="3"/>
        <v>-125.69999999999982</v>
      </c>
      <c r="U10" s="4">
        <f>IF(N11=0,0,O10/N11-1)</f>
        <v>0.80871359927762909</v>
      </c>
      <c r="AB10" s="18">
        <v>27396.58</v>
      </c>
      <c r="AC10" s="18">
        <v>25231.19</v>
      </c>
      <c r="AD10" s="4">
        <f t="shared" si="5"/>
        <v>-7.9038697530859792E-2</v>
      </c>
    </row>
    <row r="11" spans="1:30" ht="13.9" customHeight="1">
      <c r="A11" s="55" t="s">
        <v>980</v>
      </c>
      <c r="B11" s="37" t="s">
        <v>981</v>
      </c>
      <c r="C11">
        <v>445</v>
      </c>
      <c r="E11" s="37" t="s">
        <v>981</v>
      </c>
      <c r="F11">
        <v>777</v>
      </c>
      <c r="G11" t="b">
        <f t="shared" si="0"/>
        <v>1</v>
      </c>
      <c r="J11">
        <f t="shared" si="1"/>
        <v>332</v>
      </c>
      <c r="K11" s="4">
        <f t="shared" si="2"/>
        <v>0.74606741573033708</v>
      </c>
      <c r="L11" s="4"/>
      <c r="N11" s="5">
        <v>1550.45</v>
      </c>
      <c r="O11" s="5">
        <v>2027.65</v>
      </c>
      <c r="Q11" s="5">
        <v>11793.92</v>
      </c>
      <c r="T11" s="132">
        <f t="shared" si="3"/>
        <v>477.20000000000005</v>
      </c>
      <c r="U11" s="4">
        <f>IF(N11=0,0,O11/N11-1)</f>
        <v>0.30778161179012553</v>
      </c>
      <c r="AB11" s="18">
        <v>8895.5499999999993</v>
      </c>
      <c r="AC11" s="18">
        <v>15532.03</v>
      </c>
      <c r="AD11" s="4">
        <f t="shared" si="5"/>
        <v>0.74604493257864912</v>
      </c>
    </row>
    <row r="12" spans="1:30" ht="13.9" customHeight="1">
      <c r="A12" t="s">
        <v>982</v>
      </c>
      <c r="B12" t="s">
        <v>983</v>
      </c>
      <c r="C12">
        <v>1533</v>
      </c>
      <c r="E12" t="s">
        <v>983</v>
      </c>
      <c r="F12">
        <v>1190</v>
      </c>
      <c r="G12" t="b">
        <f t="shared" si="0"/>
        <v>1</v>
      </c>
      <c r="J12">
        <f t="shared" si="1"/>
        <v>-343</v>
      </c>
      <c r="K12" s="4">
        <f t="shared" si="2"/>
        <v>-0.22374429223744297</v>
      </c>
      <c r="L12" s="4"/>
      <c r="N12" s="5">
        <v>2159.12</v>
      </c>
      <c r="O12" s="5">
        <v>1364.76</v>
      </c>
      <c r="Q12" s="5">
        <v>6925.51</v>
      </c>
      <c r="T12" s="132">
        <f t="shared" si="3"/>
        <v>-794.3599999999999</v>
      </c>
      <c r="U12" s="4">
        <f>IF(N12=0,0,O12/N12-1)</f>
        <v>-0.36790914817147724</v>
      </c>
      <c r="X12" t="s">
        <v>984</v>
      </c>
      <c r="AB12" s="18">
        <v>26477.67</v>
      </c>
      <c r="AC12" s="18">
        <v>22866.7</v>
      </c>
      <c r="AD12" s="4">
        <f t="shared" si="5"/>
        <v>-0.13637793657825625</v>
      </c>
    </row>
    <row r="13" spans="1:30" ht="13.9" customHeight="1">
      <c r="A13" s="55" t="s">
        <v>985</v>
      </c>
      <c r="B13" s="37" t="s">
        <v>986</v>
      </c>
      <c r="C13">
        <v>1830</v>
      </c>
      <c r="E13" s="37" t="s">
        <v>986</v>
      </c>
      <c r="F13">
        <v>1612</v>
      </c>
      <c r="G13" t="b">
        <f t="shared" si="0"/>
        <v>1</v>
      </c>
      <c r="J13">
        <f t="shared" si="1"/>
        <v>-218</v>
      </c>
      <c r="K13" s="4">
        <f t="shared" si="2"/>
        <v>-0.11912568306010929</v>
      </c>
      <c r="L13" s="4"/>
      <c r="N13" s="5">
        <v>2842.18</v>
      </c>
      <c r="O13" s="5">
        <v>2138.73</v>
      </c>
      <c r="Q13" s="5">
        <v>9396.1200000000008</v>
      </c>
      <c r="T13" s="132">
        <f t="shared" si="3"/>
        <v>-703.44999999999982</v>
      </c>
      <c r="U13" s="4">
        <f>IF(N14=0,0,O13/N14-1)</f>
        <v>-0.11795127704940345</v>
      </c>
      <c r="AB13" s="18">
        <v>36581.699999999997</v>
      </c>
      <c r="AC13" s="18">
        <v>32915.879999999997</v>
      </c>
      <c r="AD13" s="4">
        <f t="shared" si="5"/>
        <v>-0.10020912095391954</v>
      </c>
    </row>
    <row r="14" spans="1:30" ht="13.9" customHeight="1">
      <c r="A14" t="s">
        <v>987</v>
      </c>
      <c r="B14" t="s">
        <v>988</v>
      </c>
      <c r="C14">
        <v>1507</v>
      </c>
      <c r="E14" t="s">
        <v>988</v>
      </c>
      <c r="F14">
        <v>719</v>
      </c>
      <c r="G14" t="b">
        <f t="shared" si="0"/>
        <v>1</v>
      </c>
      <c r="J14">
        <f t="shared" si="1"/>
        <v>-788</v>
      </c>
      <c r="K14" s="4">
        <f t="shared" si="2"/>
        <v>-0.5228931652289317</v>
      </c>
      <c r="L14" s="4"/>
      <c r="N14" s="5">
        <v>2424.73</v>
      </c>
      <c r="O14" s="5">
        <v>864.23</v>
      </c>
      <c r="Q14" s="5">
        <v>6574.41</v>
      </c>
      <c r="T14" s="132">
        <f t="shared" si="3"/>
        <v>-1560.5</v>
      </c>
      <c r="U14" s="4">
        <f t="shared" ref="U14:U19" si="6">IF(N14=0,0,O14/N14-1)</f>
        <v>-0.64357681061396521</v>
      </c>
      <c r="AB14" s="18">
        <v>43886.93</v>
      </c>
      <c r="AC14" s="18">
        <v>21561.61</v>
      </c>
      <c r="AD14" s="4">
        <f t="shared" si="5"/>
        <v>-0.50870088201658215</v>
      </c>
    </row>
    <row r="15" spans="1:30" ht="13.9" customHeight="1">
      <c r="A15" t="s">
        <v>989</v>
      </c>
      <c r="B15" t="s">
        <v>990</v>
      </c>
      <c r="C15">
        <v>3789</v>
      </c>
      <c r="E15" t="s">
        <v>990</v>
      </c>
      <c r="F15">
        <v>5349</v>
      </c>
      <c r="G15" t="b">
        <f t="shared" si="0"/>
        <v>1</v>
      </c>
      <c r="J15">
        <f t="shared" si="1"/>
        <v>1560</v>
      </c>
      <c r="K15" s="4">
        <f t="shared" si="2"/>
        <v>0.41171813143309577</v>
      </c>
      <c r="L15" s="4"/>
      <c r="N15" s="5">
        <v>4019.56</v>
      </c>
      <c r="O15" s="5">
        <v>6874.22</v>
      </c>
      <c r="Q15" s="5">
        <v>28001.69</v>
      </c>
      <c r="T15" s="132">
        <f t="shared" si="3"/>
        <v>2854.6600000000003</v>
      </c>
      <c r="U15" s="4">
        <f t="shared" si="6"/>
        <v>0.71019216033595733</v>
      </c>
      <c r="AB15" s="18">
        <v>75414.989999999991</v>
      </c>
      <c r="AC15" s="18">
        <v>100531.23999999999</v>
      </c>
      <c r="AD15" s="4">
        <f t="shared" si="5"/>
        <v>0.33304055334357274</v>
      </c>
    </row>
    <row r="16" spans="1:30" ht="13.9" customHeight="1">
      <c r="A16" t="s">
        <v>991</v>
      </c>
      <c r="B16" t="s">
        <v>992</v>
      </c>
      <c r="C16">
        <v>2331</v>
      </c>
      <c r="E16" t="s">
        <v>992</v>
      </c>
      <c r="F16">
        <v>2864</v>
      </c>
      <c r="G16" t="b">
        <f t="shared" si="0"/>
        <v>1</v>
      </c>
      <c r="J16">
        <f t="shared" si="1"/>
        <v>533</v>
      </c>
      <c r="K16" s="4">
        <f t="shared" si="2"/>
        <v>0.2286572286572286</v>
      </c>
      <c r="L16" s="4"/>
      <c r="N16" s="5">
        <v>2337.5700000000002</v>
      </c>
      <c r="O16" s="5">
        <v>2169.4699999999998</v>
      </c>
      <c r="Q16" s="5">
        <v>8824.7199999999993</v>
      </c>
      <c r="T16" s="132">
        <f t="shared" si="3"/>
        <v>-168.10000000000036</v>
      </c>
      <c r="U16" s="4">
        <f t="shared" si="6"/>
        <v>-7.1912284979701258E-2</v>
      </c>
      <c r="AB16" s="18">
        <v>46483.5</v>
      </c>
      <c r="AC16" s="18">
        <v>53214.429999999993</v>
      </c>
      <c r="AD16" s="4">
        <f t="shared" si="5"/>
        <v>0.14480256435079109</v>
      </c>
    </row>
    <row r="17" spans="1:30" ht="13.9" customHeight="1">
      <c r="A17" t="s">
        <v>993</v>
      </c>
      <c r="B17" t="s">
        <v>994</v>
      </c>
      <c r="C17">
        <v>2856</v>
      </c>
      <c r="E17" t="s">
        <v>994</v>
      </c>
      <c r="F17">
        <v>2626</v>
      </c>
      <c r="G17" t="b">
        <f t="shared" si="0"/>
        <v>1</v>
      </c>
      <c r="J17">
        <f t="shared" si="1"/>
        <v>-230</v>
      </c>
      <c r="K17" s="4">
        <f t="shared" si="2"/>
        <v>-8.0532212885154109E-2</v>
      </c>
      <c r="L17" s="6"/>
      <c r="N17" s="5">
        <v>4588.92</v>
      </c>
      <c r="O17" s="5">
        <v>3914.56</v>
      </c>
      <c r="Q17" s="5">
        <v>22233.48</v>
      </c>
      <c r="T17" s="132">
        <f t="shared" si="3"/>
        <v>-674.36000000000013</v>
      </c>
      <c r="U17" s="4">
        <f t="shared" si="6"/>
        <v>-0.14695396738230349</v>
      </c>
      <c r="AB17" s="18">
        <v>77083.44</v>
      </c>
      <c r="AC17" s="18">
        <v>66112.399999999994</v>
      </c>
      <c r="AD17" s="4">
        <f t="shared" si="5"/>
        <v>-0.14232680845587597</v>
      </c>
    </row>
    <row r="18" spans="1:30" ht="13.9" customHeight="1">
      <c r="A18" t="s">
        <v>995</v>
      </c>
      <c r="B18" t="s">
        <v>996</v>
      </c>
      <c r="C18">
        <v>1396</v>
      </c>
      <c r="E18" t="s">
        <v>996</v>
      </c>
      <c r="F18">
        <v>1191</v>
      </c>
      <c r="G18" t="b">
        <f t="shared" si="0"/>
        <v>1</v>
      </c>
      <c r="J18">
        <f t="shared" si="1"/>
        <v>-205</v>
      </c>
      <c r="K18" s="4">
        <f t="shared" si="2"/>
        <v>-0.1468481375358166</v>
      </c>
      <c r="L18" s="4"/>
      <c r="N18" s="5">
        <v>497.92</v>
      </c>
      <c r="O18" s="5">
        <v>471.59</v>
      </c>
      <c r="Q18" s="5">
        <v>2218.71</v>
      </c>
      <c r="T18" s="132">
        <f t="shared" si="3"/>
        <v>-26.330000000000041</v>
      </c>
      <c r="U18" s="4">
        <f t="shared" si="6"/>
        <v>-5.2879980719794384E-2</v>
      </c>
      <c r="AB18" s="18">
        <v>25667.67</v>
      </c>
      <c r="AC18" s="18">
        <v>21813.33</v>
      </c>
      <c r="AD18" s="4">
        <f t="shared" si="5"/>
        <v>-0.15016322089227407</v>
      </c>
    </row>
    <row r="19" spans="1:30" ht="13.9" customHeight="1">
      <c r="A19" s="27" t="s">
        <v>997</v>
      </c>
      <c r="B19" s="27" t="s">
        <v>998</v>
      </c>
      <c r="C19">
        <v>716</v>
      </c>
      <c r="E19" s="27" t="s">
        <v>998</v>
      </c>
      <c r="F19">
        <v>490</v>
      </c>
      <c r="G19" t="b">
        <f t="shared" si="0"/>
        <v>1</v>
      </c>
      <c r="J19">
        <f t="shared" si="1"/>
        <v>-226</v>
      </c>
      <c r="K19" s="4">
        <f t="shared" si="2"/>
        <v>-0.31564245810055869</v>
      </c>
      <c r="L19" s="4"/>
      <c r="N19" s="5">
        <v>1505.49</v>
      </c>
      <c r="O19" s="5">
        <v>1475.5</v>
      </c>
      <c r="Q19" s="5">
        <v>9082.1200000000008</v>
      </c>
      <c r="T19" s="132">
        <f t="shared" si="3"/>
        <v>-29.990000000000009</v>
      </c>
      <c r="U19" s="4">
        <f t="shared" si="6"/>
        <v>-1.992042457937282E-2</v>
      </c>
      <c r="AB19" s="18">
        <v>19324.84</v>
      </c>
      <c r="AC19" s="18">
        <v>13224.29</v>
      </c>
      <c r="AD19" s="4">
        <f t="shared" si="5"/>
        <v>-0.31568437306596064</v>
      </c>
    </row>
    <row r="20" spans="1:30" ht="13.9" customHeight="1">
      <c r="A20" s="55" t="s">
        <v>999</v>
      </c>
      <c r="B20" s="37" t="s">
        <v>1000</v>
      </c>
      <c r="C20">
        <v>835</v>
      </c>
      <c r="E20" s="37" t="s">
        <v>1000</v>
      </c>
      <c r="F20">
        <v>749</v>
      </c>
      <c r="G20" t="b">
        <f t="shared" si="0"/>
        <v>1</v>
      </c>
      <c r="J20">
        <f t="shared" si="1"/>
        <v>-86</v>
      </c>
      <c r="K20" s="4">
        <f t="shared" si="2"/>
        <v>-0.10299401197604785</v>
      </c>
      <c r="L20" s="4"/>
      <c r="N20" s="5">
        <v>1302.68</v>
      </c>
      <c r="O20" s="5">
        <v>1304.75</v>
      </c>
      <c r="Q20" s="5">
        <v>3889.46</v>
      </c>
      <c r="T20" s="132">
        <f t="shared" si="3"/>
        <v>2.0699999999999363</v>
      </c>
      <c r="U20" s="4">
        <f>IF(N21=0,0,O20/N21-1)</f>
        <v>-0.82904084675718104</v>
      </c>
      <c r="AB20" s="18">
        <v>11681.65</v>
      </c>
      <c r="AC20" s="18">
        <v>10478.51</v>
      </c>
      <c r="AD20" s="4">
        <f t="shared" si="5"/>
        <v>-0.10299401197604785</v>
      </c>
    </row>
    <row r="21" spans="1:30" ht="13.9" customHeight="1">
      <c r="A21" t="s">
        <v>1001</v>
      </c>
      <c r="B21" t="s">
        <v>1002</v>
      </c>
      <c r="C21">
        <v>10257</v>
      </c>
      <c r="E21" t="s">
        <v>1002</v>
      </c>
      <c r="F21">
        <v>10774</v>
      </c>
      <c r="G21" t="b">
        <f t="shared" si="0"/>
        <v>1</v>
      </c>
      <c r="J21">
        <f t="shared" si="1"/>
        <v>517</v>
      </c>
      <c r="K21" s="4">
        <f t="shared" si="2"/>
        <v>5.040460173540029E-2</v>
      </c>
      <c r="L21" s="4"/>
      <c r="N21" s="5">
        <v>7631.94</v>
      </c>
      <c r="O21" s="5">
        <v>6691.85</v>
      </c>
      <c r="Q21" s="5">
        <v>38399.56</v>
      </c>
      <c r="T21" s="132">
        <f t="shared" si="3"/>
        <v>-940.08999999999924</v>
      </c>
      <c r="U21" s="4">
        <f>IF(N21=0,0,O21/N21-1)</f>
        <v>-0.12317837928495234</v>
      </c>
      <c r="X21" t="s">
        <v>1003</v>
      </c>
      <c r="AB21" s="18">
        <v>191890.3</v>
      </c>
      <c r="AC21" s="18">
        <v>198976.3</v>
      </c>
      <c r="AD21" s="4">
        <f t="shared" si="5"/>
        <v>3.6927348594483433E-2</v>
      </c>
    </row>
    <row r="22" spans="1:30" ht="13.9" customHeight="1">
      <c r="A22" t="s">
        <v>1004</v>
      </c>
      <c r="B22" t="s">
        <v>1005</v>
      </c>
      <c r="C22">
        <v>1054</v>
      </c>
      <c r="E22" t="s">
        <v>1005</v>
      </c>
      <c r="F22">
        <v>1082</v>
      </c>
      <c r="G22" t="b">
        <f t="shared" si="0"/>
        <v>1</v>
      </c>
      <c r="J22">
        <f t="shared" si="1"/>
        <v>28</v>
      </c>
      <c r="K22" s="4">
        <f t="shared" si="2"/>
        <v>2.6565464895635715E-2</v>
      </c>
      <c r="L22" s="4"/>
      <c r="N22" s="5">
        <v>998.09</v>
      </c>
      <c r="O22" s="5">
        <v>1177.4100000000001</v>
      </c>
      <c r="Q22" s="5">
        <v>11084.06</v>
      </c>
      <c r="T22" s="132">
        <f t="shared" si="3"/>
        <v>179.32000000000005</v>
      </c>
      <c r="U22" s="4">
        <f>IF(N22=0,0,O22/N22-1)</f>
        <v>0.17966315662916177</v>
      </c>
      <c r="X22" s="5"/>
      <c r="Y22" s="5"/>
      <c r="Z22" s="5"/>
      <c r="AA22" s="17"/>
      <c r="AB22" s="18">
        <v>37498.57</v>
      </c>
      <c r="AC22" s="18">
        <v>37163.94</v>
      </c>
      <c r="AD22" s="4">
        <f t="shared" si="5"/>
        <v>-8.9238069611720094E-3</v>
      </c>
    </row>
    <row r="23" spans="1:30" ht="13.9" customHeight="1">
      <c r="A23" t="s">
        <v>1006</v>
      </c>
      <c r="B23" t="s">
        <v>1007</v>
      </c>
      <c r="C23">
        <v>3484</v>
      </c>
      <c r="E23" t="s">
        <v>1007</v>
      </c>
      <c r="F23">
        <v>4004</v>
      </c>
      <c r="G23" t="b">
        <f t="shared" si="0"/>
        <v>1</v>
      </c>
      <c r="J23">
        <f t="shared" si="1"/>
        <v>520</v>
      </c>
      <c r="K23" s="4">
        <f t="shared" si="2"/>
        <v>0.14925373134328357</v>
      </c>
      <c r="L23" s="4"/>
      <c r="N23" s="5">
        <v>4323.83</v>
      </c>
      <c r="O23" s="5">
        <v>4502.9799999999996</v>
      </c>
      <c r="Q23" s="5">
        <v>20087.59</v>
      </c>
      <c r="T23" s="132">
        <f t="shared" si="3"/>
        <v>179.14999999999964</v>
      </c>
      <c r="U23" s="4">
        <f>IF(N24=0,0,O23/N24-1)</f>
        <v>2.0394940229093681</v>
      </c>
      <c r="AB23" s="18">
        <v>69585.19</v>
      </c>
      <c r="AC23" s="18">
        <v>75875.17</v>
      </c>
      <c r="AD23" s="4">
        <f t="shared" si="5"/>
        <v>9.0392510245355329E-2</v>
      </c>
    </row>
    <row r="24" spans="1:30" ht="13.9" customHeight="1">
      <c r="A24" t="s">
        <v>1008</v>
      </c>
      <c r="B24" t="s">
        <v>1009</v>
      </c>
      <c r="C24">
        <v>885</v>
      </c>
      <c r="E24" t="s">
        <v>1009</v>
      </c>
      <c r="F24">
        <v>891</v>
      </c>
      <c r="G24" t="b">
        <f t="shared" si="0"/>
        <v>1</v>
      </c>
      <c r="J24">
        <f t="shared" si="1"/>
        <v>6</v>
      </c>
      <c r="K24" s="4">
        <f t="shared" si="2"/>
        <v>6.7796610169490457E-3</v>
      </c>
      <c r="L24" s="4"/>
      <c r="N24" s="5">
        <v>1481.49</v>
      </c>
      <c r="O24" s="5">
        <v>1383.24</v>
      </c>
      <c r="Q24" s="5">
        <v>7873.56</v>
      </c>
      <c r="T24" s="132">
        <f t="shared" si="3"/>
        <v>-98.25</v>
      </c>
      <c r="U24" s="4">
        <f t="shared" ref="U24:U37" si="7">IF(N24=0,0,O24/N24-1)</f>
        <v>-6.6318368669380123E-2</v>
      </c>
      <c r="AB24" s="18">
        <v>23054.51</v>
      </c>
      <c r="AC24" s="18">
        <v>22411.62</v>
      </c>
      <c r="AD24" s="4">
        <f t="shared" si="5"/>
        <v>-2.7885650139603868E-2</v>
      </c>
    </row>
    <row r="25" spans="1:30" ht="13.9" customHeight="1">
      <c r="A25" t="s">
        <v>1010</v>
      </c>
      <c r="B25" t="s">
        <v>1011</v>
      </c>
      <c r="C25">
        <v>1361</v>
      </c>
      <c r="E25" t="s">
        <v>1011</v>
      </c>
      <c r="F25">
        <v>860</v>
      </c>
      <c r="G25" t="b">
        <f t="shared" si="0"/>
        <v>1</v>
      </c>
      <c r="J25">
        <f t="shared" si="1"/>
        <v>-501</v>
      </c>
      <c r="K25" s="4">
        <f t="shared" si="2"/>
        <v>-0.36811168258633353</v>
      </c>
      <c r="L25" s="4"/>
      <c r="N25" s="5">
        <v>2152.85</v>
      </c>
      <c r="O25" s="5">
        <v>1357.56</v>
      </c>
      <c r="Q25" s="5">
        <v>6258.59</v>
      </c>
      <c r="T25" s="132">
        <f t="shared" si="3"/>
        <v>-795.29</v>
      </c>
      <c r="U25" s="4">
        <f t="shared" si="7"/>
        <v>-0.36941263905985089</v>
      </c>
      <c r="AB25" s="18">
        <v>20401.39</v>
      </c>
      <c r="AC25" s="18">
        <v>14050.55</v>
      </c>
      <c r="AD25" s="4">
        <f t="shared" si="5"/>
        <v>-0.31129447552348155</v>
      </c>
    </row>
    <row r="26" spans="1:30">
      <c r="A26" t="s">
        <v>1012</v>
      </c>
      <c r="B26" t="s">
        <v>1013</v>
      </c>
      <c r="C26">
        <v>1463</v>
      </c>
      <c r="E26" t="s">
        <v>1013</v>
      </c>
      <c r="F26">
        <v>1701</v>
      </c>
      <c r="G26" t="b">
        <f t="shared" si="0"/>
        <v>1</v>
      </c>
      <c r="J26">
        <f t="shared" si="1"/>
        <v>238</v>
      </c>
      <c r="K26" s="4">
        <f t="shared" si="2"/>
        <v>0.16267942583732053</v>
      </c>
      <c r="L26" s="6"/>
      <c r="N26" s="5">
        <v>2140.69</v>
      </c>
      <c r="O26" s="5">
        <v>2487.12</v>
      </c>
      <c r="Q26" s="5">
        <v>11302.01</v>
      </c>
      <c r="T26" s="132">
        <f t="shared" si="3"/>
        <v>346.42999999999984</v>
      </c>
      <c r="U26" s="4">
        <f t="shared" si="7"/>
        <v>0.16183099841639836</v>
      </c>
      <c r="AB26" s="18">
        <v>29186.85</v>
      </c>
      <c r="AC26" s="18">
        <v>32601.49</v>
      </c>
      <c r="AD26" s="4">
        <f t="shared" si="5"/>
        <v>0.11699241267899763</v>
      </c>
    </row>
    <row r="27" spans="1:30">
      <c r="A27" s="27" t="s">
        <v>1014</v>
      </c>
      <c r="B27" s="27" t="s">
        <v>1015</v>
      </c>
      <c r="C27">
        <v>474</v>
      </c>
      <c r="E27" s="27" t="s">
        <v>1015</v>
      </c>
      <c r="F27">
        <v>432</v>
      </c>
      <c r="G27" t="b">
        <f t="shared" si="0"/>
        <v>1</v>
      </c>
      <c r="J27">
        <f t="shared" si="1"/>
        <v>-42</v>
      </c>
      <c r="K27" s="4">
        <f t="shared" si="2"/>
        <v>-8.8607594936708889E-2</v>
      </c>
      <c r="L27" s="4"/>
      <c r="N27" s="5">
        <v>827.74</v>
      </c>
      <c r="O27" s="5">
        <v>594.27</v>
      </c>
      <c r="Q27" s="5">
        <v>2350.58</v>
      </c>
      <c r="T27" s="132">
        <f t="shared" si="3"/>
        <v>-233.47000000000003</v>
      </c>
      <c r="U27" s="4">
        <f t="shared" si="7"/>
        <v>-0.28205716770966727</v>
      </c>
      <c r="AB27" s="18">
        <v>9001.26</v>
      </c>
      <c r="AC27" s="18">
        <v>8203.68</v>
      </c>
      <c r="AD27" s="4">
        <f t="shared" si="5"/>
        <v>-8.8607594936708889E-2</v>
      </c>
    </row>
    <row r="28" spans="1:30">
      <c r="A28" t="s">
        <v>1016</v>
      </c>
      <c r="B28" t="s">
        <v>1017</v>
      </c>
      <c r="C28">
        <v>556</v>
      </c>
      <c r="E28" t="s">
        <v>1017</v>
      </c>
      <c r="F28">
        <v>339</v>
      </c>
      <c r="G28" t="b">
        <f t="shared" si="0"/>
        <v>1</v>
      </c>
      <c r="J28">
        <f t="shared" si="1"/>
        <v>-217</v>
      </c>
      <c r="K28" s="4">
        <f t="shared" si="2"/>
        <v>-0.39028776978417268</v>
      </c>
      <c r="L28" s="4"/>
      <c r="N28" s="5">
        <v>0</v>
      </c>
      <c r="O28" s="5">
        <v>0</v>
      </c>
      <c r="Q28" s="5">
        <v>0</v>
      </c>
      <c r="T28" s="132">
        <f t="shared" si="3"/>
        <v>0</v>
      </c>
      <c r="U28" s="4">
        <f t="shared" si="7"/>
        <v>0</v>
      </c>
      <c r="AB28" s="18">
        <v>11092.2</v>
      </c>
      <c r="AC28" s="18">
        <v>6763.0499999999993</v>
      </c>
      <c r="AD28" s="4">
        <f t="shared" si="5"/>
        <v>-0.39028776978417279</v>
      </c>
    </row>
    <row r="29" spans="1:30">
      <c r="A29" t="s">
        <v>1018</v>
      </c>
      <c r="B29" t="s">
        <v>1019</v>
      </c>
      <c r="C29">
        <v>1482</v>
      </c>
      <c r="E29" t="s">
        <v>1019</v>
      </c>
      <c r="F29">
        <v>1047</v>
      </c>
      <c r="G29" t="b">
        <f t="shared" si="0"/>
        <v>1</v>
      </c>
      <c r="J29">
        <f t="shared" si="1"/>
        <v>-435</v>
      </c>
      <c r="K29" s="4">
        <f t="shared" si="2"/>
        <v>-0.29352226720647778</v>
      </c>
      <c r="L29" s="4"/>
      <c r="N29" s="5">
        <v>2978.93</v>
      </c>
      <c r="O29" s="5">
        <v>2236.48</v>
      </c>
      <c r="Q29" s="5">
        <v>11083.21</v>
      </c>
      <c r="T29" s="132">
        <f t="shared" si="3"/>
        <v>-742.44999999999982</v>
      </c>
      <c r="U29" s="4">
        <f t="shared" si="7"/>
        <v>-0.24923378528532047</v>
      </c>
      <c r="AB29" s="18">
        <v>44445.18</v>
      </c>
      <c r="AC29" s="18">
        <v>29233.24</v>
      </c>
      <c r="AD29" s="4">
        <f t="shared" si="5"/>
        <v>-0.34226298554758916</v>
      </c>
    </row>
    <row r="30" spans="1:30">
      <c r="A30" s="27" t="s">
        <v>1020</v>
      </c>
      <c r="B30" s="27" t="s">
        <v>1021</v>
      </c>
      <c r="C30">
        <v>1157</v>
      </c>
      <c r="E30" s="27" t="s">
        <v>1021</v>
      </c>
      <c r="F30">
        <v>1139</v>
      </c>
      <c r="G30" t="b">
        <f t="shared" si="0"/>
        <v>1</v>
      </c>
      <c r="J30">
        <f t="shared" si="1"/>
        <v>-18</v>
      </c>
      <c r="K30" s="4">
        <f t="shared" si="2"/>
        <v>-1.5557476231633505E-2</v>
      </c>
      <c r="L30" s="4"/>
      <c r="N30" s="5">
        <v>1814.09</v>
      </c>
      <c r="O30" s="5">
        <v>1927.05</v>
      </c>
      <c r="Q30" s="5">
        <v>8753.02</v>
      </c>
      <c r="T30" s="132">
        <f t="shared" si="3"/>
        <v>112.96000000000004</v>
      </c>
      <c r="U30" s="4">
        <f t="shared" si="7"/>
        <v>6.2268134436549438E-2</v>
      </c>
      <c r="AB30" s="18">
        <v>26864.09</v>
      </c>
      <c r="AC30" s="18">
        <v>25324.489999999998</v>
      </c>
      <c r="AD30" s="4">
        <f t="shared" si="5"/>
        <v>-5.7310707342031808E-2</v>
      </c>
    </row>
    <row r="31" spans="1:30">
      <c r="A31" t="s">
        <v>1022</v>
      </c>
      <c r="B31" t="s">
        <v>1023</v>
      </c>
      <c r="C31">
        <v>1496</v>
      </c>
      <c r="E31" t="s">
        <v>1023</v>
      </c>
      <c r="F31">
        <v>1816</v>
      </c>
      <c r="G31" t="b">
        <f t="shared" si="0"/>
        <v>1</v>
      </c>
      <c r="J31">
        <f t="shared" si="1"/>
        <v>320</v>
      </c>
      <c r="K31" s="4">
        <f t="shared" si="2"/>
        <v>0.21390374331550799</v>
      </c>
      <c r="L31" s="4"/>
      <c r="N31" s="5">
        <v>2549.9499999999998</v>
      </c>
      <c r="O31" s="5">
        <v>3067.42</v>
      </c>
      <c r="Q31" s="5">
        <v>12844.84</v>
      </c>
      <c r="T31" s="132">
        <f t="shared" si="3"/>
        <v>517.47000000000025</v>
      </c>
      <c r="U31" s="4">
        <f t="shared" si="7"/>
        <v>0.20293339085080109</v>
      </c>
      <c r="AB31" s="18">
        <v>32875.050000000003</v>
      </c>
      <c r="AC31" s="18">
        <v>37811.72</v>
      </c>
      <c r="AD31" s="4">
        <f t="shared" si="5"/>
        <v>0.15016463853286899</v>
      </c>
    </row>
    <row r="32" spans="1:30">
      <c r="A32" t="s">
        <v>1024</v>
      </c>
      <c r="B32" t="s">
        <v>1025</v>
      </c>
      <c r="C32">
        <v>5926</v>
      </c>
      <c r="E32" t="s">
        <v>1025</v>
      </c>
      <c r="F32">
        <v>6200</v>
      </c>
      <c r="G32" t="b">
        <f t="shared" si="0"/>
        <v>1</v>
      </c>
      <c r="J32">
        <f t="shared" si="1"/>
        <v>274</v>
      </c>
      <c r="K32" s="4">
        <f t="shared" si="2"/>
        <v>4.6236922038474626E-2</v>
      </c>
      <c r="L32" s="4"/>
      <c r="N32" s="5">
        <v>6277.87</v>
      </c>
      <c r="O32" s="5">
        <v>5167.8599999999997</v>
      </c>
      <c r="Q32" s="5">
        <v>33779.519999999997</v>
      </c>
      <c r="T32" s="132">
        <f t="shared" si="3"/>
        <v>-1110.0100000000002</v>
      </c>
      <c r="U32" s="4">
        <f t="shared" si="7"/>
        <v>-0.17681315478020421</v>
      </c>
      <c r="X32" t="s">
        <v>1026</v>
      </c>
      <c r="AB32" s="18">
        <v>158214.51</v>
      </c>
      <c r="AC32" s="18">
        <v>148825.14000000001</v>
      </c>
      <c r="AD32" s="4">
        <f t="shared" si="5"/>
        <v>-5.9345821062808946E-2</v>
      </c>
    </row>
    <row r="33" spans="1:30">
      <c r="A33" t="s">
        <v>1027</v>
      </c>
      <c r="B33" t="s">
        <v>1028</v>
      </c>
      <c r="C33">
        <v>1316</v>
      </c>
      <c r="E33" t="s">
        <v>1028</v>
      </c>
      <c r="F33">
        <v>1437</v>
      </c>
      <c r="G33" t="b">
        <f t="shared" si="0"/>
        <v>1</v>
      </c>
      <c r="J33">
        <f t="shared" si="1"/>
        <v>121</v>
      </c>
      <c r="K33" s="4">
        <f t="shared" si="2"/>
        <v>9.1945288753799481E-2</v>
      </c>
      <c r="L33" s="4"/>
      <c r="N33" s="5">
        <v>2008.35</v>
      </c>
      <c r="O33" s="5">
        <v>1968.36</v>
      </c>
      <c r="Q33" s="5">
        <v>8314.2800000000007</v>
      </c>
      <c r="T33" s="132">
        <f t="shared" si="3"/>
        <v>-39.990000000000009</v>
      </c>
      <c r="U33" s="4">
        <f t="shared" si="7"/>
        <v>-1.9911867951303286E-2</v>
      </c>
      <c r="AB33" s="18">
        <v>26254.2</v>
      </c>
      <c r="AC33" s="18">
        <v>27000.33</v>
      </c>
      <c r="AD33" s="4">
        <f t="shared" si="5"/>
        <v>2.841945288753811E-2</v>
      </c>
    </row>
    <row r="34" spans="1:30">
      <c r="A34" t="s">
        <v>1029</v>
      </c>
      <c r="B34" t="s">
        <v>1030</v>
      </c>
      <c r="C34">
        <v>423</v>
      </c>
      <c r="E34" t="s">
        <v>1030</v>
      </c>
      <c r="F34">
        <v>352</v>
      </c>
      <c r="G34" t="b">
        <f t="shared" si="0"/>
        <v>1</v>
      </c>
      <c r="J34">
        <f t="shared" si="1"/>
        <v>-71</v>
      </c>
      <c r="K34" s="4">
        <f t="shared" si="2"/>
        <v>-0.1678486997635934</v>
      </c>
      <c r="L34" s="4"/>
      <c r="N34" s="5">
        <v>583.94000000000005</v>
      </c>
      <c r="O34" s="5">
        <v>391.08</v>
      </c>
      <c r="Q34" s="5">
        <v>2039.41</v>
      </c>
      <c r="T34" s="132">
        <f t="shared" si="3"/>
        <v>-192.86000000000007</v>
      </c>
      <c r="U34" s="4">
        <f t="shared" si="7"/>
        <v>-0.33027365825256028</v>
      </c>
      <c r="X34" t="s">
        <v>1031</v>
      </c>
      <c r="AB34" s="18">
        <v>10147.77</v>
      </c>
      <c r="AC34" s="18">
        <v>8444.48</v>
      </c>
      <c r="AD34" s="4">
        <f t="shared" si="5"/>
        <v>-0.16784869976359351</v>
      </c>
    </row>
    <row r="35" spans="1:30">
      <c r="A35" t="s">
        <v>1032</v>
      </c>
      <c r="B35" t="s">
        <v>1033</v>
      </c>
      <c r="C35">
        <v>1294</v>
      </c>
      <c r="E35" t="s">
        <v>1033</v>
      </c>
      <c r="F35">
        <v>1342</v>
      </c>
      <c r="G35" t="b">
        <f t="shared" ref="G35:G66" si="8">IF(B35=E35,TRUE,FALSE)</f>
        <v>1</v>
      </c>
      <c r="J35">
        <f t="shared" ref="J35:J66" si="9">F35-C35</f>
        <v>48</v>
      </c>
      <c r="K35" s="4">
        <f t="shared" ref="K35:K66" si="10">F35/C35-1</f>
        <v>3.7094281298299947E-2</v>
      </c>
      <c r="L35" s="4"/>
      <c r="N35" s="5">
        <v>1189.51</v>
      </c>
      <c r="O35" s="5">
        <v>1317.44</v>
      </c>
      <c r="Q35" s="5">
        <v>5795.86</v>
      </c>
      <c r="T35" s="132">
        <f t="shared" ref="T35:T66" si="11">O35-N35</f>
        <v>127.93000000000006</v>
      </c>
      <c r="U35" s="4">
        <f t="shared" si="7"/>
        <v>0.10754848635152303</v>
      </c>
      <c r="AB35" s="18">
        <v>29749.06</v>
      </c>
      <c r="AC35" s="18">
        <v>29228.78</v>
      </c>
      <c r="AD35" s="4">
        <f t="shared" ref="AD35:AD66" si="12">AC35/AB35-1</f>
        <v>-1.7488955953566365E-2</v>
      </c>
    </row>
    <row r="36" spans="1:30">
      <c r="A36" t="s">
        <v>1034</v>
      </c>
      <c r="B36" t="s">
        <v>1035</v>
      </c>
      <c r="C36">
        <v>1189</v>
      </c>
      <c r="E36" t="s">
        <v>1035</v>
      </c>
      <c r="F36">
        <v>1180</v>
      </c>
      <c r="G36" t="b">
        <f t="shared" si="8"/>
        <v>1</v>
      </c>
      <c r="J36">
        <f t="shared" si="9"/>
        <v>-9</v>
      </c>
      <c r="K36" s="4">
        <f t="shared" si="10"/>
        <v>-7.569386038687953E-3</v>
      </c>
      <c r="L36" s="4"/>
      <c r="N36" s="5">
        <v>984.68</v>
      </c>
      <c r="O36" s="5">
        <v>837.31</v>
      </c>
      <c r="Q36" s="5">
        <v>3655.19</v>
      </c>
      <c r="T36" s="132">
        <f t="shared" si="11"/>
        <v>-147.37</v>
      </c>
      <c r="U36" s="4">
        <f t="shared" si="7"/>
        <v>-0.14966283462647767</v>
      </c>
      <c r="AB36" s="18">
        <v>22579.11</v>
      </c>
      <c r="AC36" s="18">
        <v>20812.009999999998</v>
      </c>
      <c r="AD36" s="4">
        <f t="shared" si="12"/>
        <v>-7.8262606453487371E-2</v>
      </c>
    </row>
    <row r="37" spans="1:30">
      <c r="A37" t="s">
        <v>1036</v>
      </c>
      <c r="B37" t="s">
        <v>1037</v>
      </c>
      <c r="C37">
        <v>1646</v>
      </c>
      <c r="E37" t="s">
        <v>1037</v>
      </c>
      <c r="F37">
        <v>1930</v>
      </c>
      <c r="G37" t="b">
        <f t="shared" si="8"/>
        <v>1</v>
      </c>
      <c r="J37">
        <f t="shared" si="9"/>
        <v>284</v>
      </c>
      <c r="K37" s="4">
        <f t="shared" si="10"/>
        <v>0.17253948967193189</v>
      </c>
      <c r="L37" s="4"/>
      <c r="N37" s="5">
        <v>2807.38</v>
      </c>
      <c r="O37" s="5">
        <v>2756.2</v>
      </c>
      <c r="Q37" s="5">
        <v>17009.400000000001</v>
      </c>
      <c r="T37" s="132">
        <f t="shared" si="11"/>
        <v>-51.180000000000291</v>
      </c>
      <c r="U37" s="4">
        <f t="shared" si="7"/>
        <v>-1.8230520983978038E-2</v>
      </c>
      <c r="AB37" s="18">
        <v>41133.54</v>
      </c>
      <c r="AC37" s="18">
        <v>45759.7</v>
      </c>
      <c r="AD37" s="4">
        <f t="shared" si="12"/>
        <v>0.11246685794609457</v>
      </c>
    </row>
    <row r="38" spans="1:30">
      <c r="A38" t="s">
        <v>1038</v>
      </c>
      <c r="B38" t="s">
        <v>1039</v>
      </c>
      <c r="C38">
        <v>514</v>
      </c>
      <c r="E38" t="s">
        <v>1039</v>
      </c>
      <c r="F38">
        <v>370</v>
      </c>
      <c r="G38" t="b">
        <f t="shared" si="8"/>
        <v>1</v>
      </c>
      <c r="J38">
        <f t="shared" si="9"/>
        <v>-144</v>
      </c>
      <c r="K38" s="4">
        <f t="shared" si="10"/>
        <v>-0.28015564202334631</v>
      </c>
      <c r="L38" s="4"/>
      <c r="N38" s="5">
        <v>349.27</v>
      </c>
      <c r="O38" s="5">
        <v>373.86</v>
      </c>
      <c r="Q38" s="5">
        <v>1514.66</v>
      </c>
      <c r="T38" s="132">
        <f t="shared" si="11"/>
        <v>24.590000000000032</v>
      </c>
      <c r="U38" s="4" t="e">
        <f>IF(#REF!=0,0,O38/#REF!-1)</f>
        <v>#REF!</v>
      </c>
      <c r="AB38" s="18">
        <v>12330.86</v>
      </c>
      <c r="AC38" s="18">
        <v>8875.82</v>
      </c>
      <c r="AD38" s="4">
        <f t="shared" si="12"/>
        <v>-0.28019456874865178</v>
      </c>
    </row>
    <row r="39" spans="1:30">
      <c r="A39" t="s">
        <v>1040</v>
      </c>
      <c r="B39" t="s">
        <v>1041</v>
      </c>
      <c r="C39">
        <v>771</v>
      </c>
      <c r="E39" t="s">
        <v>1041</v>
      </c>
      <c r="F39">
        <v>686</v>
      </c>
      <c r="G39" t="b">
        <f t="shared" si="8"/>
        <v>1</v>
      </c>
      <c r="J39">
        <f t="shared" si="9"/>
        <v>-85</v>
      </c>
      <c r="K39" s="4">
        <f t="shared" si="10"/>
        <v>-0.1102464332036317</v>
      </c>
      <c r="L39" s="4"/>
      <c r="N39" s="5">
        <v>474.09</v>
      </c>
      <c r="O39" s="5">
        <v>402.86</v>
      </c>
      <c r="Q39" s="5">
        <v>2382.12</v>
      </c>
      <c r="T39" s="132">
        <f t="shared" si="11"/>
        <v>-71.229999999999961</v>
      </c>
      <c r="U39" s="4">
        <f>IF(N39=0,0,O39/N39-1)</f>
        <v>-0.15024573393237561</v>
      </c>
      <c r="AB39" s="18">
        <v>13068.45</v>
      </c>
      <c r="AC39" s="18">
        <v>11627.19</v>
      </c>
      <c r="AD39" s="4">
        <f t="shared" si="12"/>
        <v>-0.11028545848972149</v>
      </c>
    </row>
    <row r="40" spans="1:30">
      <c r="A40" t="s">
        <v>1042</v>
      </c>
      <c r="B40" t="s">
        <v>1043</v>
      </c>
      <c r="C40">
        <v>377</v>
      </c>
      <c r="E40" t="s">
        <v>1043</v>
      </c>
      <c r="F40">
        <v>261</v>
      </c>
      <c r="G40" t="b">
        <f t="shared" si="8"/>
        <v>1</v>
      </c>
      <c r="J40">
        <f t="shared" si="9"/>
        <v>-116</v>
      </c>
      <c r="K40" s="4">
        <f t="shared" si="10"/>
        <v>-0.30769230769230771</v>
      </c>
      <c r="L40" s="4"/>
      <c r="N40" s="5">
        <v>824.46</v>
      </c>
      <c r="O40" s="5">
        <v>655.14</v>
      </c>
      <c r="Q40" s="5">
        <v>5189.18</v>
      </c>
      <c r="T40" s="132">
        <f t="shared" si="11"/>
        <v>-169.32000000000005</v>
      </c>
      <c r="U40" s="4">
        <f>IF(N40=0,0,O40/N40-1)</f>
        <v>-0.20537078815224519</v>
      </c>
      <c r="AB40" s="18">
        <v>11306.23</v>
      </c>
      <c r="AC40" s="18">
        <v>7827.09</v>
      </c>
      <c r="AD40" s="4">
        <f t="shared" si="12"/>
        <v>-0.30771884173592789</v>
      </c>
    </row>
    <row r="41" spans="1:30">
      <c r="A41" t="s">
        <v>1044</v>
      </c>
      <c r="B41" t="s">
        <v>1045</v>
      </c>
      <c r="C41">
        <v>1202</v>
      </c>
      <c r="E41" t="s">
        <v>1045</v>
      </c>
      <c r="F41">
        <v>1133</v>
      </c>
      <c r="G41" t="b">
        <f t="shared" si="8"/>
        <v>1</v>
      </c>
      <c r="J41">
        <f t="shared" si="9"/>
        <v>-69</v>
      </c>
      <c r="K41" s="4">
        <f t="shared" si="10"/>
        <v>-5.7404326123128069E-2</v>
      </c>
      <c r="L41" s="4"/>
      <c r="N41" s="5">
        <v>1020.56</v>
      </c>
      <c r="O41" s="5">
        <v>989.71</v>
      </c>
      <c r="Q41" s="5">
        <v>4067.58</v>
      </c>
      <c r="T41" s="132">
        <f t="shared" si="11"/>
        <v>-30.849999999999909</v>
      </c>
      <c r="U41" s="4">
        <f>IF(N41=0,0,O41/N41-1)</f>
        <v>-3.0228501998902479E-2</v>
      </c>
      <c r="AB41" s="18">
        <v>24007.99</v>
      </c>
      <c r="AC41" s="18">
        <v>22628.48</v>
      </c>
      <c r="AD41" s="4">
        <f t="shared" si="12"/>
        <v>-5.7460453790592281E-2</v>
      </c>
    </row>
    <row r="42" spans="1:30">
      <c r="A42" t="s">
        <v>1046</v>
      </c>
      <c r="B42" t="s">
        <v>1047</v>
      </c>
      <c r="C42">
        <v>2806</v>
      </c>
      <c r="E42" t="s">
        <v>1047</v>
      </c>
      <c r="F42">
        <v>3035</v>
      </c>
      <c r="G42" t="b">
        <f t="shared" si="8"/>
        <v>1</v>
      </c>
      <c r="J42">
        <f t="shared" si="9"/>
        <v>229</v>
      </c>
      <c r="K42" s="4">
        <f t="shared" si="10"/>
        <v>8.1610833927298732E-2</v>
      </c>
      <c r="L42" s="6"/>
      <c r="N42" s="5">
        <v>3392.47</v>
      </c>
      <c r="O42" s="5">
        <v>2737.42</v>
      </c>
      <c r="Q42" s="5">
        <v>13714.3</v>
      </c>
      <c r="T42" s="132">
        <f t="shared" si="11"/>
        <v>-655.04999999999973</v>
      </c>
      <c r="U42" s="4">
        <f>IF(N42=0,0,O42/N42-1)</f>
        <v>-0.19308940093795957</v>
      </c>
      <c r="AB42" s="18">
        <v>69959.8</v>
      </c>
      <c r="AC42" s="18">
        <v>71136.44</v>
      </c>
      <c r="AD42" s="4">
        <f t="shared" si="12"/>
        <v>1.6818801654664428E-2</v>
      </c>
    </row>
    <row r="43" spans="1:30">
      <c r="A43" s="56" t="s">
        <v>1048</v>
      </c>
      <c r="B43" s="37" t="s">
        <v>1049</v>
      </c>
      <c r="C43">
        <v>1328</v>
      </c>
      <c r="E43" s="37" t="s">
        <v>1049</v>
      </c>
      <c r="F43">
        <v>1461</v>
      </c>
      <c r="G43" t="b">
        <f t="shared" si="8"/>
        <v>1</v>
      </c>
      <c r="J43">
        <f t="shared" si="9"/>
        <v>133</v>
      </c>
      <c r="K43" s="4">
        <f t="shared" si="10"/>
        <v>0.10015060240963858</v>
      </c>
      <c r="L43" s="4"/>
      <c r="N43" s="5">
        <v>2693.46</v>
      </c>
      <c r="O43" s="5">
        <v>3501.26</v>
      </c>
      <c r="Q43" s="5">
        <v>14624.3</v>
      </c>
      <c r="T43" s="132">
        <f t="shared" si="11"/>
        <v>807.80000000000018</v>
      </c>
      <c r="U43" s="4">
        <f>IF(N44=0,0,O43/N44-1)</f>
        <v>1.5463153531195686</v>
      </c>
      <c r="AB43" s="18">
        <v>26546.720000000001</v>
      </c>
      <c r="AC43" s="18">
        <v>29431</v>
      </c>
      <c r="AD43" s="4">
        <f t="shared" si="12"/>
        <v>0.10864920412013235</v>
      </c>
    </row>
    <row r="44" spans="1:30">
      <c r="A44" t="s">
        <v>1050</v>
      </c>
      <c r="B44" t="s">
        <v>1051</v>
      </c>
      <c r="C44">
        <v>1253</v>
      </c>
      <c r="E44" t="s">
        <v>1051</v>
      </c>
      <c r="F44">
        <v>1148</v>
      </c>
      <c r="G44" t="b">
        <f t="shared" si="8"/>
        <v>1</v>
      </c>
      <c r="J44">
        <f t="shared" si="9"/>
        <v>-105</v>
      </c>
      <c r="K44" s="4">
        <f t="shared" si="10"/>
        <v>-8.3798882681564213E-2</v>
      </c>
      <c r="L44" s="4"/>
      <c r="N44" s="5">
        <v>1375.03</v>
      </c>
      <c r="O44" s="5">
        <v>1176.0999999999999</v>
      </c>
      <c r="Q44" s="5">
        <v>5991.06</v>
      </c>
      <c r="T44" s="132">
        <f t="shared" si="11"/>
        <v>-198.93000000000006</v>
      </c>
      <c r="U44" s="4">
        <f t="shared" ref="U44:U77" si="13">IF(N44=0,0,O44/N44-1)</f>
        <v>-0.14467320713002629</v>
      </c>
      <c r="AB44" s="18">
        <v>21288.47</v>
      </c>
      <c r="AC44" s="18">
        <v>19504.009999999998</v>
      </c>
      <c r="AD44" s="4">
        <f t="shared" si="12"/>
        <v>-8.3822839311608721E-2</v>
      </c>
    </row>
    <row r="45" spans="1:30">
      <c r="A45" s="55" t="s">
        <v>716</v>
      </c>
      <c r="B45" s="37" t="s">
        <v>1052</v>
      </c>
      <c r="C45">
        <v>41</v>
      </c>
      <c r="E45" s="37" t="s">
        <v>1052</v>
      </c>
      <c r="F45">
        <v>843</v>
      </c>
      <c r="G45" t="b">
        <f t="shared" si="8"/>
        <v>1</v>
      </c>
      <c r="J45">
        <f t="shared" si="9"/>
        <v>802</v>
      </c>
      <c r="K45" s="4">
        <f t="shared" si="10"/>
        <v>19.560975609756099</v>
      </c>
      <c r="L45" s="4"/>
      <c r="N45" s="5">
        <v>24.11</v>
      </c>
      <c r="O45" s="5">
        <v>1286.3499999999999</v>
      </c>
      <c r="Q45" s="5">
        <v>6486.68</v>
      </c>
      <c r="T45" s="132">
        <f t="shared" si="11"/>
        <v>1262.24</v>
      </c>
      <c r="U45" s="4">
        <f t="shared" si="13"/>
        <v>52.353380340107833</v>
      </c>
      <c r="AB45" s="18">
        <v>819.59</v>
      </c>
      <c r="AC45" s="18">
        <v>10997.57</v>
      </c>
      <c r="AD45" s="4">
        <f t="shared" si="12"/>
        <v>12.41837992166815</v>
      </c>
    </row>
    <row r="46" spans="1:30">
      <c r="A46" t="s">
        <v>1053</v>
      </c>
      <c r="B46" t="s">
        <v>1054</v>
      </c>
      <c r="C46">
        <v>2192</v>
      </c>
      <c r="E46" t="s">
        <v>1054</v>
      </c>
      <c r="F46">
        <v>2920</v>
      </c>
      <c r="G46" t="b">
        <f t="shared" si="8"/>
        <v>1</v>
      </c>
      <c r="J46">
        <f t="shared" si="9"/>
        <v>728</v>
      </c>
      <c r="K46" s="4">
        <f t="shared" si="10"/>
        <v>0.33211678832116798</v>
      </c>
      <c r="L46" s="4"/>
      <c r="N46" s="5">
        <v>699.58</v>
      </c>
      <c r="O46" s="5">
        <v>952.87</v>
      </c>
      <c r="Q46" s="5">
        <v>5872.01</v>
      </c>
      <c r="T46" s="132">
        <f t="shared" si="11"/>
        <v>253.28999999999996</v>
      </c>
      <c r="U46" s="4">
        <f t="shared" si="13"/>
        <v>0.3620600931987763</v>
      </c>
      <c r="AB46" s="18">
        <v>43730.400000000001</v>
      </c>
      <c r="AC46" s="18">
        <v>54502.6</v>
      </c>
      <c r="AD46" s="4">
        <f t="shared" si="12"/>
        <v>0.24633207105354615</v>
      </c>
    </row>
    <row r="47" spans="1:30">
      <c r="A47" t="s">
        <v>1055</v>
      </c>
      <c r="B47" t="s">
        <v>1056</v>
      </c>
      <c r="C47">
        <v>932</v>
      </c>
      <c r="E47" t="s">
        <v>1056</v>
      </c>
      <c r="F47">
        <v>870</v>
      </c>
      <c r="G47" t="b">
        <f t="shared" si="8"/>
        <v>1</v>
      </c>
      <c r="J47">
        <f t="shared" si="9"/>
        <v>-62</v>
      </c>
      <c r="K47" s="4">
        <f t="shared" si="10"/>
        <v>-6.6523605150214604E-2</v>
      </c>
      <c r="N47" s="5">
        <v>769.43000000000006</v>
      </c>
      <c r="O47" s="5">
        <v>729</v>
      </c>
      <c r="Q47" s="5">
        <v>3782.26</v>
      </c>
      <c r="T47" s="132">
        <f t="shared" si="11"/>
        <v>-40.430000000000064</v>
      </c>
      <c r="U47" s="4">
        <f t="shared" si="13"/>
        <v>-5.2545390743797382E-2</v>
      </c>
      <c r="X47" s="5"/>
      <c r="Y47" s="5"/>
      <c r="Z47" s="5"/>
      <c r="AA47" s="17"/>
      <c r="AB47" s="18">
        <v>18620.439999999999</v>
      </c>
      <c r="AC47" s="18">
        <v>17391.099999999999</v>
      </c>
      <c r="AD47" s="4">
        <f t="shared" si="12"/>
        <v>-6.6020996281505706E-2</v>
      </c>
    </row>
    <row r="48" spans="1:30">
      <c r="A48" t="s">
        <v>1057</v>
      </c>
      <c r="B48" t="s">
        <v>1058</v>
      </c>
      <c r="C48">
        <v>1331</v>
      </c>
      <c r="E48" t="s">
        <v>1058</v>
      </c>
      <c r="F48">
        <v>1454</v>
      </c>
      <c r="G48" t="b">
        <f t="shared" si="8"/>
        <v>1</v>
      </c>
      <c r="J48">
        <f t="shared" si="9"/>
        <v>123</v>
      </c>
      <c r="K48" s="4">
        <f t="shared" si="10"/>
        <v>9.241172051089408E-2</v>
      </c>
      <c r="L48" s="4"/>
      <c r="N48" s="5">
        <v>1324.89</v>
      </c>
      <c r="O48" s="5">
        <v>1664.43</v>
      </c>
      <c r="Q48" s="5">
        <v>7745.79</v>
      </c>
      <c r="T48" s="132">
        <f t="shared" si="11"/>
        <v>339.53999999999996</v>
      </c>
      <c r="U48" s="4">
        <f t="shared" si="13"/>
        <v>0.2562778796730294</v>
      </c>
      <c r="AB48" s="18">
        <v>33261.69</v>
      </c>
      <c r="AC48" s="18">
        <v>34233.74</v>
      </c>
      <c r="AD48" s="4">
        <f t="shared" si="12"/>
        <v>2.9224311813380366E-2</v>
      </c>
    </row>
    <row r="49" spans="1:30">
      <c r="A49" t="s">
        <v>1059</v>
      </c>
      <c r="B49" t="s">
        <v>1060</v>
      </c>
      <c r="C49">
        <v>1280</v>
      </c>
      <c r="E49" t="s">
        <v>1060</v>
      </c>
      <c r="F49">
        <v>1488</v>
      </c>
      <c r="G49" t="b">
        <f t="shared" si="8"/>
        <v>1</v>
      </c>
      <c r="J49">
        <f t="shared" si="9"/>
        <v>208</v>
      </c>
      <c r="K49" s="4">
        <f t="shared" si="10"/>
        <v>0.16250000000000009</v>
      </c>
      <c r="L49" s="4"/>
      <c r="N49" s="5">
        <v>1657.73</v>
      </c>
      <c r="O49" s="5">
        <v>1714.16</v>
      </c>
      <c r="Q49" s="5">
        <v>18707.349999999999</v>
      </c>
      <c r="T49" s="132">
        <f t="shared" si="11"/>
        <v>56.430000000000064</v>
      </c>
      <c r="U49" s="4">
        <f t="shared" si="13"/>
        <v>3.40405252966407E-2</v>
      </c>
      <c r="AB49" s="18">
        <v>31916.1</v>
      </c>
      <c r="AC49" s="18">
        <v>34994.79</v>
      </c>
      <c r="AD49" s="4">
        <f t="shared" si="12"/>
        <v>9.6461973737392848E-2</v>
      </c>
    </row>
    <row r="50" spans="1:30">
      <c r="A50" t="s">
        <v>1061</v>
      </c>
      <c r="B50" t="s">
        <v>1062</v>
      </c>
      <c r="C50">
        <v>790</v>
      </c>
      <c r="E50" t="s">
        <v>1062</v>
      </c>
      <c r="F50">
        <v>887</v>
      </c>
      <c r="G50" t="b">
        <f t="shared" si="8"/>
        <v>1</v>
      </c>
      <c r="J50">
        <f t="shared" si="9"/>
        <v>97</v>
      </c>
      <c r="K50" s="4">
        <f t="shared" si="10"/>
        <v>0.12278481012658227</v>
      </c>
      <c r="L50" s="4"/>
      <c r="N50" s="5">
        <v>502.97</v>
      </c>
      <c r="O50" s="5">
        <v>555.32000000000005</v>
      </c>
      <c r="Q50" s="5">
        <v>5247.78</v>
      </c>
      <c r="T50" s="132">
        <f t="shared" si="11"/>
        <v>52.350000000000023</v>
      </c>
      <c r="U50" s="4">
        <f t="shared" si="13"/>
        <v>0.10408175437898892</v>
      </c>
      <c r="AB50" s="18">
        <v>17372.099999999999</v>
      </c>
      <c r="AC50" s="18">
        <v>18378.73</v>
      </c>
      <c r="AD50" s="4">
        <f t="shared" si="12"/>
        <v>5.7945210999245989E-2</v>
      </c>
    </row>
    <row r="51" spans="1:30">
      <c r="A51" t="s">
        <v>1063</v>
      </c>
      <c r="B51" t="s">
        <v>1064</v>
      </c>
      <c r="C51">
        <v>416</v>
      </c>
      <c r="E51" t="s">
        <v>1064</v>
      </c>
      <c r="F51">
        <v>402</v>
      </c>
      <c r="G51" t="b">
        <f t="shared" si="8"/>
        <v>1</v>
      </c>
      <c r="J51">
        <f t="shared" si="9"/>
        <v>-14</v>
      </c>
      <c r="K51" s="4">
        <f t="shared" si="10"/>
        <v>-3.3653846153846145E-2</v>
      </c>
      <c r="L51" s="6"/>
      <c r="N51" s="5">
        <v>398.12</v>
      </c>
      <c r="O51" s="5">
        <v>417.19</v>
      </c>
      <c r="Q51" s="5">
        <v>2582.84</v>
      </c>
      <c r="T51" s="132">
        <f t="shared" si="11"/>
        <v>19.069999999999993</v>
      </c>
      <c r="U51" s="4">
        <f t="shared" si="13"/>
        <v>4.7900130613885317E-2</v>
      </c>
      <c r="AB51" s="18">
        <v>9147.84</v>
      </c>
      <c r="AC51" s="18">
        <v>8839.98</v>
      </c>
      <c r="AD51" s="4">
        <f t="shared" si="12"/>
        <v>-3.3653846153846256E-2</v>
      </c>
    </row>
    <row r="52" spans="1:30">
      <c r="A52" t="s">
        <v>1065</v>
      </c>
      <c r="B52" t="s">
        <v>1066</v>
      </c>
      <c r="C52">
        <v>1418</v>
      </c>
      <c r="E52" t="s">
        <v>1066</v>
      </c>
      <c r="F52">
        <v>1378</v>
      </c>
      <c r="G52" t="b">
        <f t="shared" si="8"/>
        <v>1</v>
      </c>
      <c r="J52">
        <f t="shared" si="9"/>
        <v>-40</v>
      </c>
      <c r="K52" s="4">
        <f t="shared" si="10"/>
        <v>-2.8208744710860323E-2</v>
      </c>
      <c r="L52" s="6"/>
      <c r="N52" s="5">
        <v>2635.4</v>
      </c>
      <c r="O52" s="5">
        <v>2448.73</v>
      </c>
      <c r="Q52" s="5">
        <v>12395.54</v>
      </c>
      <c r="T52" s="132">
        <f t="shared" si="11"/>
        <v>-186.67000000000007</v>
      </c>
      <c r="U52" s="4">
        <f t="shared" si="13"/>
        <v>-7.0831752295666739E-2</v>
      </c>
      <c r="AB52" s="18">
        <v>41107.82</v>
      </c>
      <c r="AC52" s="18">
        <v>37314.449999999997</v>
      </c>
      <c r="AD52" s="4">
        <f t="shared" si="12"/>
        <v>-9.2278549434146706E-2</v>
      </c>
    </row>
    <row r="53" spans="1:30">
      <c r="A53" t="s">
        <v>1067</v>
      </c>
      <c r="B53" t="s">
        <v>1068</v>
      </c>
      <c r="C53">
        <v>1411</v>
      </c>
      <c r="E53" t="s">
        <v>1068</v>
      </c>
      <c r="F53">
        <v>1444</v>
      </c>
      <c r="G53" t="b">
        <f t="shared" si="8"/>
        <v>1</v>
      </c>
      <c r="J53">
        <f t="shared" si="9"/>
        <v>33</v>
      </c>
      <c r="K53" s="4">
        <f t="shared" si="10"/>
        <v>2.3387668320340227E-2</v>
      </c>
      <c r="L53" s="4"/>
      <c r="N53" s="5">
        <v>3557.88</v>
      </c>
      <c r="O53" s="5">
        <v>2596.63</v>
      </c>
      <c r="Q53" s="5">
        <v>20830.09</v>
      </c>
      <c r="T53" s="132">
        <f t="shared" si="11"/>
        <v>-961.25</v>
      </c>
      <c r="U53" s="4">
        <f t="shared" si="13"/>
        <v>-0.27017493563582806</v>
      </c>
      <c r="AB53" s="18">
        <v>52885.03</v>
      </c>
      <c r="AC53" s="18">
        <v>51976.71</v>
      </c>
      <c r="AD53" s="4">
        <f t="shared" si="12"/>
        <v>-1.7175370799638379E-2</v>
      </c>
    </row>
    <row r="54" spans="1:30">
      <c r="A54" t="s">
        <v>1069</v>
      </c>
      <c r="B54" t="s">
        <v>1070</v>
      </c>
      <c r="C54">
        <v>770</v>
      </c>
      <c r="E54" t="s">
        <v>1070</v>
      </c>
      <c r="F54">
        <v>771</v>
      </c>
      <c r="G54" t="b">
        <f t="shared" si="8"/>
        <v>1</v>
      </c>
      <c r="J54">
        <f t="shared" si="9"/>
        <v>1</v>
      </c>
      <c r="K54" s="4">
        <f t="shared" si="10"/>
        <v>1.2987012987013546E-3</v>
      </c>
      <c r="L54" s="4"/>
      <c r="N54" s="5">
        <v>588.55999999999995</v>
      </c>
      <c r="O54" s="5">
        <v>711.67</v>
      </c>
      <c r="Q54" s="5">
        <v>3059.76</v>
      </c>
      <c r="T54" s="132">
        <f t="shared" si="11"/>
        <v>123.11000000000001</v>
      </c>
      <c r="U54" s="4">
        <f t="shared" si="13"/>
        <v>0.20917153731140425</v>
      </c>
      <c r="AB54" s="18">
        <v>15332.33</v>
      </c>
      <c r="AC54" s="18">
        <v>15403.93</v>
      </c>
      <c r="AD54" s="4">
        <f t="shared" si="12"/>
        <v>4.6698707893713109E-3</v>
      </c>
    </row>
    <row r="55" spans="1:30">
      <c r="A55" t="s">
        <v>1071</v>
      </c>
      <c r="B55" t="s">
        <v>1072</v>
      </c>
      <c r="C55">
        <v>21</v>
      </c>
      <c r="E55" t="s">
        <v>1072</v>
      </c>
      <c r="F55">
        <v>10</v>
      </c>
      <c r="G55" t="b">
        <f t="shared" si="8"/>
        <v>1</v>
      </c>
      <c r="J55">
        <f t="shared" si="9"/>
        <v>-11</v>
      </c>
      <c r="K55" s="4">
        <f t="shared" si="10"/>
        <v>-0.52380952380952384</v>
      </c>
      <c r="L55" s="4"/>
      <c r="N55" s="5">
        <v>13.1</v>
      </c>
      <c r="O55" s="5">
        <v>26.05</v>
      </c>
      <c r="Q55" s="5">
        <v>104.88</v>
      </c>
      <c r="T55" s="132">
        <f t="shared" si="11"/>
        <v>12.950000000000001</v>
      </c>
      <c r="U55" s="4">
        <f t="shared" si="13"/>
        <v>0.98854961832061083</v>
      </c>
      <c r="AB55" s="18">
        <v>817.95</v>
      </c>
      <c r="AC55" s="18">
        <v>389.5</v>
      </c>
      <c r="AD55" s="4">
        <f t="shared" si="12"/>
        <v>-0.52380952380952384</v>
      </c>
    </row>
    <row r="56" spans="1:30">
      <c r="A56" t="s">
        <v>1073</v>
      </c>
      <c r="B56" t="s">
        <v>1074</v>
      </c>
      <c r="C56">
        <v>1370</v>
      </c>
      <c r="E56" t="s">
        <v>1074</v>
      </c>
      <c r="F56">
        <v>1508</v>
      </c>
      <c r="G56" t="b">
        <f t="shared" si="8"/>
        <v>1</v>
      </c>
      <c r="J56">
        <f t="shared" si="9"/>
        <v>138</v>
      </c>
      <c r="K56" s="4">
        <f t="shared" si="10"/>
        <v>0.10072992700729921</v>
      </c>
      <c r="L56" s="6"/>
      <c r="N56" s="5">
        <v>2827.53</v>
      </c>
      <c r="O56" s="5">
        <v>2863.33</v>
      </c>
      <c r="Q56" s="5">
        <v>15228.03</v>
      </c>
      <c r="T56" s="132">
        <f t="shared" si="11"/>
        <v>35.799999999999727</v>
      </c>
      <c r="U56" s="4">
        <f t="shared" si="13"/>
        <v>1.2661227290249766E-2</v>
      </c>
      <c r="AB56" s="18">
        <v>30126.3</v>
      </c>
      <c r="AC56" s="18">
        <v>31814.52</v>
      </c>
      <c r="AD56" s="4">
        <f t="shared" si="12"/>
        <v>5.6038079684528119E-2</v>
      </c>
    </row>
    <row r="57" spans="1:30">
      <c r="A57" t="s">
        <v>1075</v>
      </c>
      <c r="B57" t="s">
        <v>1076</v>
      </c>
      <c r="C57">
        <v>6</v>
      </c>
      <c r="E57" t="s">
        <v>1076</v>
      </c>
      <c r="F57">
        <v>364</v>
      </c>
      <c r="G57" t="b">
        <f t="shared" si="8"/>
        <v>1</v>
      </c>
      <c r="J57">
        <f t="shared" si="9"/>
        <v>358</v>
      </c>
      <c r="K57" s="4">
        <f t="shared" si="10"/>
        <v>59.666666666666664</v>
      </c>
      <c r="L57" s="4"/>
      <c r="N57" s="5">
        <v>0</v>
      </c>
      <c r="O57" s="5">
        <v>340.93</v>
      </c>
      <c r="Q57" s="5">
        <v>2681.5</v>
      </c>
      <c r="T57" s="132">
        <f t="shared" si="11"/>
        <v>340.93</v>
      </c>
      <c r="U57" s="4">
        <f t="shared" si="13"/>
        <v>0</v>
      </c>
      <c r="AB57" s="18">
        <v>131.94</v>
      </c>
      <c r="AC57" s="18">
        <v>8004.36</v>
      </c>
      <c r="AD57" s="4">
        <f t="shared" si="12"/>
        <v>59.666666666666664</v>
      </c>
    </row>
    <row r="58" spans="1:30">
      <c r="A58" s="55" t="s">
        <v>1077</v>
      </c>
      <c r="B58" s="161" t="s">
        <v>1078</v>
      </c>
      <c r="C58">
        <v>1</v>
      </c>
      <c r="E58" s="161" t="s">
        <v>1078</v>
      </c>
      <c r="F58">
        <v>209</v>
      </c>
      <c r="G58" t="b">
        <f t="shared" si="8"/>
        <v>1</v>
      </c>
      <c r="J58">
        <f t="shared" si="9"/>
        <v>208</v>
      </c>
      <c r="K58" s="4">
        <f t="shared" si="10"/>
        <v>208</v>
      </c>
      <c r="L58" s="4"/>
      <c r="N58" s="5">
        <v>2.5499999999999998</v>
      </c>
      <c r="O58" s="5">
        <v>54.76</v>
      </c>
      <c r="Q58" s="5">
        <v>218.09</v>
      </c>
      <c r="T58" s="132">
        <f t="shared" si="11"/>
        <v>52.21</v>
      </c>
      <c r="U58" s="4">
        <f t="shared" si="13"/>
        <v>20.47450980392157</v>
      </c>
      <c r="AB58" s="18">
        <v>49.99</v>
      </c>
      <c r="AC58" s="18">
        <v>4415.91</v>
      </c>
      <c r="AD58" s="4">
        <f t="shared" si="12"/>
        <v>87.335867173434679</v>
      </c>
    </row>
    <row r="59" spans="1:30">
      <c r="A59" t="s">
        <v>1079</v>
      </c>
      <c r="B59" t="s">
        <v>1080</v>
      </c>
      <c r="C59">
        <v>3</v>
      </c>
      <c r="E59" t="s">
        <v>1080</v>
      </c>
      <c r="F59">
        <v>0</v>
      </c>
      <c r="G59" t="b">
        <f t="shared" si="8"/>
        <v>1</v>
      </c>
      <c r="J59">
        <f t="shared" si="9"/>
        <v>-3</v>
      </c>
      <c r="K59" s="4">
        <f t="shared" si="10"/>
        <v>-1</v>
      </c>
      <c r="L59" s="4"/>
      <c r="N59" s="5">
        <v>0</v>
      </c>
      <c r="O59" s="5">
        <v>0</v>
      </c>
      <c r="Q59" s="5">
        <v>0</v>
      </c>
      <c r="T59" s="132">
        <f t="shared" si="11"/>
        <v>0</v>
      </c>
      <c r="U59" s="4">
        <f t="shared" si="13"/>
        <v>0</v>
      </c>
      <c r="X59" t="s">
        <v>1081</v>
      </c>
      <c r="AB59" s="18">
        <v>56.97</v>
      </c>
      <c r="AC59" s="18">
        <v>0</v>
      </c>
      <c r="AD59" s="4">
        <f t="shared" si="12"/>
        <v>-1</v>
      </c>
    </row>
    <row r="60" spans="1:30" ht="13.9" customHeight="1">
      <c r="A60" s="55" t="s">
        <v>1082</v>
      </c>
      <c r="B60" s="37" t="s">
        <v>1083</v>
      </c>
      <c r="C60">
        <v>0</v>
      </c>
      <c r="E60" s="37" t="s">
        <v>1083</v>
      </c>
      <c r="F60">
        <v>51</v>
      </c>
      <c r="G60" t="b">
        <f t="shared" si="8"/>
        <v>1</v>
      </c>
      <c r="J60">
        <f t="shared" si="9"/>
        <v>51</v>
      </c>
      <c r="K60" s="4" t="e">
        <f t="shared" si="10"/>
        <v>#DIV/0!</v>
      </c>
      <c r="L60" s="4"/>
      <c r="N60" s="5">
        <v>1.7</v>
      </c>
      <c r="O60" s="5">
        <v>87.8</v>
      </c>
      <c r="Q60" s="5">
        <v>236.85</v>
      </c>
      <c r="T60" s="132">
        <f t="shared" si="11"/>
        <v>86.1</v>
      </c>
      <c r="U60" s="4">
        <f t="shared" si="13"/>
        <v>50.647058823529413</v>
      </c>
      <c r="AB60" s="18">
        <v>0</v>
      </c>
      <c r="AC60" s="18">
        <v>1019.49</v>
      </c>
      <c r="AD60" s="4" t="e">
        <f t="shared" si="12"/>
        <v>#DIV/0!</v>
      </c>
    </row>
    <row r="61" spans="1:30" ht="13.9" customHeight="1">
      <c r="A61" s="55" t="s">
        <v>1084</v>
      </c>
      <c r="B61" s="37" t="s">
        <v>1085</v>
      </c>
      <c r="C61">
        <v>0</v>
      </c>
      <c r="E61" s="37" t="s">
        <v>1085</v>
      </c>
      <c r="F61">
        <v>1085</v>
      </c>
      <c r="G61" t="b">
        <f t="shared" si="8"/>
        <v>1</v>
      </c>
      <c r="J61">
        <f t="shared" si="9"/>
        <v>1085</v>
      </c>
      <c r="K61" s="4" t="e">
        <f t="shared" si="10"/>
        <v>#DIV/0!</v>
      </c>
      <c r="L61" s="4"/>
      <c r="N61" s="5">
        <v>2.04</v>
      </c>
      <c r="O61" s="5">
        <v>1945.43</v>
      </c>
      <c r="Q61" s="5">
        <v>8969.75</v>
      </c>
      <c r="T61" s="132">
        <f t="shared" si="11"/>
        <v>1943.39</v>
      </c>
      <c r="U61" s="4">
        <f t="shared" si="13"/>
        <v>952.64215686274508</v>
      </c>
      <c r="AB61" s="18">
        <v>0</v>
      </c>
      <c r="AC61" s="18">
        <v>15938.15</v>
      </c>
      <c r="AD61" s="4" t="e">
        <f t="shared" si="12"/>
        <v>#DIV/0!</v>
      </c>
    </row>
    <row r="62" spans="1:30" ht="13.9" customHeight="1">
      <c r="A62" t="s">
        <v>1086</v>
      </c>
      <c r="B62" t="s">
        <v>1087</v>
      </c>
      <c r="C62">
        <v>1</v>
      </c>
      <c r="E62" t="s">
        <v>1087</v>
      </c>
      <c r="F62">
        <v>1</v>
      </c>
      <c r="G62" t="b">
        <f t="shared" si="8"/>
        <v>1</v>
      </c>
      <c r="J62">
        <f t="shared" si="9"/>
        <v>0</v>
      </c>
      <c r="K62" s="4">
        <f t="shared" si="10"/>
        <v>0</v>
      </c>
      <c r="L62" s="4"/>
      <c r="N62" s="5">
        <v>0</v>
      </c>
      <c r="O62" s="5">
        <v>0</v>
      </c>
      <c r="Q62" s="5">
        <v>0</v>
      </c>
      <c r="T62" s="132">
        <f t="shared" si="11"/>
        <v>0</v>
      </c>
      <c r="U62" s="4">
        <f t="shared" si="13"/>
        <v>0</v>
      </c>
      <c r="AB62" s="18">
        <v>18.95</v>
      </c>
      <c r="AC62" s="18">
        <v>18.95</v>
      </c>
      <c r="AD62" s="4">
        <f t="shared" si="12"/>
        <v>0</v>
      </c>
    </row>
    <row r="63" spans="1:30" ht="13.9" customHeight="1">
      <c r="A63" t="s">
        <v>1088</v>
      </c>
      <c r="B63" t="s">
        <v>1089</v>
      </c>
      <c r="C63">
        <v>0</v>
      </c>
      <c r="E63" t="s">
        <v>1089</v>
      </c>
      <c r="F63">
        <v>0</v>
      </c>
      <c r="G63" t="b">
        <f t="shared" si="8"/>
        <v>1</v>
      </c>
      <c r="J63">
        <f t="shared" si="9"/>
        <v>0</v>
      </c>
      <c r="K63" s="4" t="e">
        <f t="shared" si="10"/>
        <v>#DIV/0!</v>
      </c>
      <c r="N63" s="5">
        <v>0</v>
      </c>
      <c r="O63" s="5">
        <v>0</v>
      </c>
      <c r="Q63" s="5">
        <v>0</v>
      </c>
      <c r="T63" s="132">
        <f t="shared" si="11"/>
        <v>0</v>
      </c>
      <c r="U63" s="4">
        <f t="shared" si="13"/>
        <v>0</v>
      </c>
      <c r="AB63" s="18">
        <v>0</v>
      </c>
      <c r="AC63" s="18">
        <v>0</v>
      </c>
      <c r="AD63" s="4" t="e">
        <f t="shared" si="12"/>
        <v>#DIV/0!</v>
      </c>
    </row>
    <row r="64" spans="1:30" ht="13.9" customHeight="1">
      <c r="A64" t="s">
        <v>1090</v>
      </c>
      <c r="B64" t="s">
        <v>1091</v>
      </c>
      <c r="C64">
        <v>289</v>
      </c>
      <c r="E64" t="s">
        <v>1091</v>
      </c>
      <c r="F64">
        <v>276</v>
      </c>
      <c r="G64" t="b">
        <f t="shared" si="8"/>
        <v>1</v>
      </c>
      <c r="J64">
        <f t="shared" si="9"/>
        <v>-13</v>
      </c>
      <c r="K64" s="4">
        <f t="shared" si="10"/>
        <v>-4.4982698961937739E-2</v>
      </c>
      <c r="L64" s="4"/>
      <c r="N64" s="5">
        <v>0</v>
      </c>
      <c r="O64" s="5">
        <v>0</v>
      </c>
      <c r="Q64" s="5">
        <v>0</v>
      </c>
      <c r="T64" s="132">
        <f t="shared" si="11"/>
        <v>0</v>
      </c>
      <c r="U64" s="4">
        <f t="shared" si="13"/>
        <v>0</v>
      </c>
      <c r="AB64" s="18">
        <v>4534.58</v>
      </c>
      <c r="AC64" s="18">
        <v>4309.3500000000004</v>
      </c>
      <c r="AD64" s="4">
        <f t="shared" si="12"/>
        <v>-4.9669429142279897E-2</v>
      </c>
    </row>
    <row r="65" spans="1:30" ht="13.9" customHeight="1">
      <c r="A65" t="s">
        <v>1092</v>
      </c>
      <c r="B65" t="s">
        <v>1093</v>
      </c>
      <c r="C65">
        <v>0</v>
      </c>
      <c r="E65" t="s">
        <v>1093</v>
      </c>
      <c r="F65">
        <v>0</v>
      </c>
      <c r="G65" t="b">
        <f t="shared" si="8"/>
        <v>1</v>
      </c>
      <c r="J65">
        <f t="shared" si="9"/>
        <v>0</v>
      </c>
      <c r="K65" s="4" t="e">
        <f t="shared" si="10"/>
        <v>#DIV/0!</v>
      </c>
      <c r="L65" s="4"/>
      <c r="N65" s="5">
        <v>0</v>
      </c>
      <c r="O65" s="5">
        <v>0</v>
      </c>
      <c r="Q65" s="5">
        <v>0</v>
      </c>
      <c r="T65" s="132">
        <f t="shared" si="11"/>
        <v>0</v>
      </c>
      <c r="U65" s="4">
        <f t="shared" si="13"/>
        <v>0</v>
      </c>
      <c r="AB65" s="18">
        <v>0</v>
      </c>
      <c r="AC65" s="18">
        <v>0</v>
      </c>
      <c r="AD65" s="4" t="e">
        <f t="shared" si="12"/>
        <v>#DIV/0!</v>
      </c>
    </row>
    <row r="66" spans="1:30" ht="13.9" customHeight="1">
      <c r="A66" t="s">
        <v>1094</v>
      </c>
      <c r="B66" t="s">
        <v>1095</v>
      </c>
      <c r="C66">
        <v>1122</v>
      </c>
      <c r="E66" t="s">
        <v>1095</v>
      </c>
      <c r="F66">
        <v>1360</v>
      </c>
      <c r="G66" t="b">
        <f t="shared" si="8"/>
        <v>1</v>
      </c>
      <c r="J66">
        <f t="shared" si="9"/>
        <v>238</v>
      </c>
      <c r="K66" s="4">
        <f t="shared" si="10"/>
        <v>0.21212121212121215</v>
      </c>
      <c r="L66" s="4"/>
      <c r="N66" s="5">
        <v>778.14</v>
      </c>
      <c r="O66" s="5">
        <v>933.02</v>
      </c>
      <c r="Q66" s="5">
        <v>6112.15</v>
      </c>
      <c r="T66" s="132">
        <f t="shared" si="11"/>
        <v>154.88</v>
      </c>
      <c r="U66" s="4">
        <f t="shared" si="13"/>
        <v>0.19903873338987843</v>
      </c>
      <c r="AB66" s="18">
        <v>21287.79</v>
      </c>
      <c r="AC66" s="18">
        <v>24256.26</v>
      </c>
      <c r="AD66" s="4">
        <f t="shared" si="12"/>
        <v>0.13944472394738949</v>
      </c>
    </row>
    <row r="67" spans="1:30" ht="13.9" customHeight="1">
      <c r="A67" t="s">
        <v>1096</v>
      </c>
      <c r="B67" t="s">
        <v>1097</v>
      </c>
      <c r="C67">
        <v>10</v>
      </c>
      <c r="E67" t="s">
        <v>1097</v>
      </c>
      <c r="F67">
        <v>18</v>
      </c>
      <c r="G67" t="b">
        <f t="shared" ref="G67:G98" si="14">IF(B67=E67,TRUE,FALSE)</f>
        <v>1</v>
      </c>
      <c r="J67">
        <f t="shared" ref="J67:J98" si="15">F67-C67</f>
        <v>8</v>
      </c>
      <c r="K67" s="4">
        <f t="shared" ref="K67:K98" si="16">F67/C67-1</f>
        <v>0.8</v>
      </c>
      <c r="L67" s="4"/>
      <c r="N67" s="5">
        <v>10.48</v>
      </c>
      <c r="O67" s="5">
        <v>10.16</v>
      </c>
      <c r="Q67" s="5">
        <v>0</v>
      </c>
      <c r="T67" s="132">
        <f t="shared" ref="T67:T98" si="17">O67-N67</f>
        <v>-0.32000000000000028</v>
      </c>
      <c r="U67" s="4">
        <f t="shared" si="13"/>
        <v>-3.0534351145038219E-2</v>
      </c>
      <c r="AB67" s="18">
        <v>389.5</v>
      </c>
      <c r="AC67" s="18">
        <v>701.1</v>
      </c>
      <c r="AD67" s="4">
        <f t="shared" ref="AD67:AD98" si="18">AC67/AB67-1</f>
        <v>0.8</v>
      </c>
    </row>
    <row r="68" spans="1:30" ht="13.9" customHeight="1">
      <c r="A68" t="s">
        <v>1098</v>
      </c>
      <c r="B68" t="s">
        <v>1099</v>
      </c>
      <c r="C68">
        <v>3503</v>
      </c>
      <c r="E68" t="s">
        <v>1099</v>
      </c>
      <c r="F68">
        <v>3510</v>
      </c>
      <c r="G68" t="b">
        <f t="shared" si="14"/>
        <v>1</v>
      </c>
      <c r="J68">
        <f t="shared" si="15"/>
        <v>7</v>
      </c>
      <c r="K68" s="4">
        <f t="shared" si="16"/>
        <v>1.998287182415126E-3</v>
      </c>
      <c r="L68" s="4"/>
      <c r="N68" s="5">
        <v>5643.37</v>
      </c>
      <c r="O68" s="5">
        <v>5557.94</v>
      </c>
      <c r="Q68" s="5">
        <v>25738.52</v>
      </c>
      <c r="T68" s="132">
        <f t="shared" si="17"/>
        <v>-85.430000000000291</v>
      </c>
      <c r="U68" s="4">
        <f t="shared" si="13"/>
        <v>-1.5138117826759556E-2</v>
      </c>
      <c r="AB68" s="18">
        <v>87539.97</v>
      </c>
      <c r="AC68" s="18">
        <v>83392.899999999994</v>
      </c>
      <c r="AD68" s="4">
        <f t="shared" si="18"/>
        <v>-4.7373445524370283E-2</v>
      </c>
    </row>
    <row r="69" spans="1:30" ht="13.9" customHeight="1">
      <c r="A69" t="s">
        <v>1100</v>
      </c>
      <c r="B69" t="s">
        <v>1101</v>
      </c>
      <c r="C69">
        <v>648</v>
      </c>
      <c r="E69" t="s">
        <v>1101</v>
      </c>
      <c r="F69">
        <v>791</v>
      </c>
      <c r="G69" t="b">
        <f t="shared" si="14"/>
        <v>1</v>
      </c>
      <c r="J69">
        <f t="shared" si="15"/>
        <v>143</v>
      </c>
      <c r="K69" s="4">
        <f t="shared" si="16"/>
        <v>0.22067901234567899</v>
      </c>
      <c r="L69" s="4"/>
      <c r="N69" s="5">
        <v>961.26</v>
      </c>
      <c r="O69" s="5">
        <v>959.72</v>
      </c>
      <c r="Q69" s="5">
        <v>4556.87</v>
      </c>
      <c r="T69" s="132">
        <f t="shared" si="17"/>
        <v>-1.5399999999999636</v>
      </c>
      <c r="U69" s="4">
        <f t="shared" si="13"/>
        <v>-1.6020639577221107E-3</v>
      </c>
      <c r="AB69" s="18">
        <v>12279.6</v>
      </c>
      <c r="AC69" s="18">
        <v>13867.61</v>
      </c>
      <c r="AD69" s="4">
        <f t="shared" si="18"/>
        <v>0.1293209876543211</v>
      </c>
    </row>
    <row r="70" spans="1:30" ht="14.25" customHeight="1">
      <c r="A70" t="s">
        <v>1102</v>
      </c>
      <c r="B70" t="s">
        <v>1103</v>
      </c>
      <c r="C70">
        <v>308</v>
      </c>
      <c r="E70" t="s">
        <v>1103</v>
      </c>
      <c r="F70">
        <v>296</v>
      </c>
      <c r="G70" t="b">
        <f t="shared" si="14"/>
        <v>1</v>
      </c>
      <c r="J70">
        <f t="shared" si="15"/>
        <v>-12</v>
      </c>
      <c r="K70" s="4">
        <f t="shared" si="16"/>
        <v>-3.8961038961038974E-2</v>
      </c>
      <c r="L70" s="4"/>
      <c r="N70" s="5">
        <v>155.19</v>
      </c>
      <c r="O70" s="5">
        <v>256.83999999999997</v>
      </c>
      <c r="Q70" s="5">
        <v>1879.82</v>
      </c>
      <c r="T70" s="132">
        <f t="shared" si="17"/>
        <v>101.64999999999998</v>
      </c>
      <c r="U70" s="4">
        <f t="shared" si="13"/>
        <v>0.65500354404278616</v>
      </c>
      <c r="AB70" s="18">
        <v>11996.6</v>
      </c>
      <c r="AC70" s="18">
        <v>11528.81</v>
      </c>
      <c r="AD70" s="4">
        <f t="shared" si="18"/>
        <v>-3.8993548171982084E-2</v>
      </c>
    </row>
    <row r="71" spans="1:30" ht="13.9" customHeight="1">
      <c r="A71" t="s">
        <v>1104</v>
      </c>
      <c r="B71" t="s">
        <v>1105</v>
      </c>
      <c r="C71">
        <v>0</v>
      </c>
      <c r="E71" t="s">
        <v>1105</v>
      </c>
      <c r="F71">
        <v>65</v>
      </c>
      <c r="G71" t="b">
        <f t="shared" si="14"/>
        <v>1</v>
      </c>
      <c r="J71">
        <f t="shared" si="15"/>
        <v>65</v>
      </c>
      <c r="K71" s="4" t="e">
        <f t="shared" si="16"/>
        <v>#DIV/0!</v>
      </c>
      <c r="L71" s="4"/>
      <c r="N71" s="5">
        <v>0</v>
      </c>
      <c r="O71" s="5">
        <v>0</v>
      </c>
      <c r="Q71" s="5">
        <v>0</v>
      </c>
      <c r="T71" s="132">
        <f t="shared" si="17"/>
        <v>0</v>
      </c>
      <c r="U71" s="4">
        <f t="shared" si="13"/>
        <v>0</v>
      </c>
      <c r="AB71" s="18">
        <v>0</v>
      </c>
      <c r="AC71" s="18">
        <v>1494.35</v>
      </c>
      <c r="AD71" s="4" t="e">
        <f t="shared" si="18"/>
        <v>#DIV/0!</v>
      </c>
    </row>
    <row r="72" spans="1:30" ht="13.9" customHeight="1">
      <c r="A72" t="s">
        <v>1106</v>
      </c>
      <c r="B72" s="5" t="s">
        <v>1107</v>
      </c>
      <c r="C72">
        <v>1816</v>
      </c>
      <c r="E72" t="s">
        <v>1107</v>
      </c>
      <c r="F72">
        <v>1970</v>
      </c>
      <c r="G72" t="b">
        <f t="shared" si="14"/>
        <v>1</v>
      </c>
      <c r="J72">
        <f t="shared" si="15"/>
        <v>154</v>
      </c>
      <c r="K72" s="4">
        <f t="shared" si="16"/>
        <v>8.4801762114537382E-2</v>
      </c>
      <c r="N72" s="5">
        <v>2577.52</v>
      </c>
      <c r="O72" s="5">
        <v>2299.87</v>
      </c>
      <c r="Q72" s="5">
        <v>13432.1</v>
      </c>
      <c r="T72" s="132">
        <f t="shared" si="17"/>
        <v>-277.65000000000009</v>
      </c>
      <c r="U72" s="4">
        <f t="shared" si="13"/>
        <v>-0.10771982370650857</v>
      </c>
      <c r="X72" s="5"/>
      <c r="Y72" s="5"/>
      <c r="Z72" s="5"/>
      <c r="AA72" s="17"/>
      <c r="AB72" s="18">
        <v>54389.2</v>
      </c>
      <c r="AC72" s="18">
        <v>55611.67</v>
      </c>
      <c r="AD72" s="4">
        <f t="shared" si="18"/>
        <v>2.247633721400577E-2</v>
      </c>
    </row>
    <row r="73" spans="1:30">
      <c r="A73" t="s">
        <v>1108</v>
      </c>
      <c r="B73" t="s">
        <v>1109</v>
      </c>
      <c r="C73">
        <v>472</v>
      </c>
      <c r="E73" t="s">
        <v>1109</v>
      </c>
      <c r="F73">
        <v>432</v>
      </c>
      <c r="G73" t="b">
        <f t="shared" si="14"/>
        <v>1</v>
      </c>
      <c r="J73">
        <f t="shared" si="15"/>
        <v>-40</v>
      </c>
      <c r="K73" s="4">
        <f t="shared" si="16"/>
        <v>-8.4745762711864403E-2</v>
      </c>
      <c r="L73" s="4"/>
      <c r="N73" s="5">
        <v>321.12</v>
      </c>
      <c r="O73" s="5">
        <v>155.66999999999999</v>
      </c>
      <c r="Q73" s="5">
        <v>1084.95</v>
      </c>
      <c r="T73" s="132">
        <f t="shared" si="17"/>
        <v>-165.45000000000002</v>
      </c>
      <c r="U73" s="4">
        <f t="shared" si="13"/>
        <v>-0.51522795216741413</v>
      </c>
      <c r="AB73" s="18">
        <v>10379.279999999999</v>
      </c>
      <c r="AC73" s="18">
        <v>9499.68</v>
      </c>
      <c r="AD73" s="4">
        <f t="shared" si="18"/>
        <v>-8.4745762711864292E-2</v>
      </c>
    </row>
    <row r="74" spans="1:30">
      <c r="A74" t="s">
        <v>1110</v>
      </c>
      <c r="B74" t="s">
        <v>1111</v>
      </c>
      <c r="C74">
        <v>1332</v>
      </c>
      <c r="E74" t="s">
        <v>1111</v>
      </c>
      <c r="F74">
        <v>1754</v>
      </c>
      <c r="G74" t="b">
        <f t="shared" si="14"/>
        <v>1</v>
      </c>
      <c r="J74">
        <f t="shared" si="15"/>
        <v>422</v>
      </c>
      <c r="K74" s="4">
        <f t="shared" si="16"/>
        <v>0.31681681681681684</v>
      </c>
      <c r="L74" s="4"/>
      <c r="N74" s="5">
        <v>1163.21</v>
      </c>
      <c r="O74" s="5">
        <v>1612.16</v>
      </c>
      <c r="Q74" s="5">
        <v>8298.01</v>
      </c>
      <c r="T74" s="132">
        <f t="shared" si="17"/>
        <v>448.95000000000005</v>
      </c>
      <c r="U74" s="4">
        <f t="shared" si="13"/>
        <v>0.38595782360880659</v>
      </c>
      <c r="X74" t="s">
        <v>1112</v>
      </c>
      <c r="AB74" s="18">
        <v>31901.4</v>
      </c>
      <c r="AC74" s="18">
        <v>38989.879999999997</v>
      </c>
      <c r="AD74" s="4">
        <f t="shared" si="18"/>
        <v>0.22219965267981956</v>
      </c>
    </row>
    <row r="75" spans="1:30">
      <c r="A75" t="s">
        <v>1113</v>
      </c>
      <c r="B75" t="s">
        <v>1114</v>
      </c>
      <c r="C75">
        <v>815</v>
      </c>
      <c r="E75" t="s">
        <v>1114</v>
      </c>
      <c r="F75">
        <v>1139</v>
      </c>
      <c r="G75" t="b">
        <f t="shared" si="14"/>
        <v>1</v>
      </c>
      <c r="J75">
        <f t="shared" si="15"/>
        <v>324</v>
      </c>
      <c r="K75" s="4">
        <f t="shared" si="16"/>
        <v>0.39754601226993858</v>
      </c>
      <c r="L75" s="4"/>
      <c r="N75" s="5">
        <v>546.23</v>
      </c>
      <c r="O75" s="5">
        <v>1111.2</v>
      </c>
      <c r="Q75" s="5">
        <v>8685.65</v>
      </c>
      <c r="T75" s="132">
        <f t="shared" si="17"/>
        <v>564.97</v>
      </c>
      <c r="U75" s="4">
        <f t="shared" si="13"/>
        <v>1.0343078922798088</v>
      </c>
      <c r="AB75" s="18">
        <v>27135.06</v>
      </c>
      <c r="AC75" s="18">
        <v>31949.27</v>
      </c>
      <c r="AD75" s="4">
        <f t="shared" si="18"/>
        <v>0.1774165968308159</v>
      </c>
    </row>
    <row r="76" spans="1:30">
      <c r="A76" t="s">
        <v>1115</v>
      </c>
      <c r="B76" t="s">
        <v>1116</v>
      </c>
      <c r="C76">
        <v>259</v>
      </c>
      <c r="E76" t="s">
        <v>1116</v>
      </c>
      <c r="F76">
        <v>259</v>
      </c>
      <c r="G76" t="b">
        <f t="shared" si="14"/>
        <v>1</v>
      </c>
      <c r="J76">
        <f t="shared" si="15"/>
        <v>0</v>
      </c>
      <c r="K76" s="4">
        <f t="shared" si="16"/>
        <v>0</v>
      </c>
      <c r="N76" s="5">
        <v>415.97</v>
      </c>
      <c r="O76" s="5">
        <v>355.8</v>
      </c>
      <c r="Q76" s="5">
        <v>2609.3000000000002</v>
      </c>
      <c r="T76" s="132">
        <f t="shared" si="17"/>
        <v>-60.170000000000016</v>
      </c>
      <c r="U76" s="4">
        <f t="shared" si="13"/>
        <v>-0.144649854556819</v>
      </c>
      <c r="AB76" s="18">
        <v>5177.41</v>
      </c>
      <c r="AC76" s="18">
        <v>5177.21</v>
      </c>
      <c r="AD76" s="4">
        <f t="shared" si="18"/>
        <v>-3.8629353286689927E-5</v>
      </c>
    </row>
    <row r="77" spans="1:30">
      <c r="A77" t="s">
        <v>1117</v>
      </c>
      <c r="B77" t="s">
        <v>1118</v>
      </c>
      <c r="C77">
        <v>637</v>
      </c>
      <c r="E77" t="s">
        <v>1118</v>
      </c>
      <c r="F77">
        <v>535</v>
      </c>
      <c r="G77" t="b">
        <f t="shared" si="14"/>
        <v>1</v>
      </c>
      <c r="J77">
        <f t="shared" si="15"/>
        <v>-102</v>
      </c>
      <c r="K77" s="4">
        <f t="shared" si="16"/>
        <v>-0.16012558869701732</v>
      </c>
      <c r="L77" s="4"/>
      <c r="N77" s="5">
        <v>957</v>
      </c>
      <c r="O77" s="5">
        <v>750.32</v>
      </c>
      <c r="Q77" s="5">
        <v>4055.83</v>
      </c>
      <c r="T77" s="132">
        <f t="shared" si="17"/>
        <v>-206.67999999999995</v>
      </c>
      <c r="U77" s="4">
        <f t="shared" si="13"/>
        <v>-0.21596656217345866</v>
      </c>
      <c r="AB77" s="18">
        <v>10797.15</v>
      </c>
      <c r="AC77" s="18">
        <v>9068.08</v>
      </c>
      <c r="AD77" s="4">
        <f t="shared" si="18"/>
        <v>-0.16014133359266103</v>
      </c>
    </row>
    <row r="78" spans="1:30">
      <c r="A78" s="55" t="s">
        <v>1119</v>
      </c>
      <c r="B78" s="37" t="s">
        <v>1120</v>
      </c>
      <c r="C78">
        <v>903</v>
      </c>
      <c r="E78" s="37" t="s">
        <v>1120</v>
      </c>
      <c r="F78">
        <v>924</v>
      </c>
      <c r="G78" t="b">
        <f t="shared" si="14"/>
        <v>1</v>
      </c>
      <c r="J78">
        <f t="shared" si="15"/>
        <v>21</v>
      </c>
      <c r="K78" s="4">
        <f t="shared" si="16"/>
        <v>2.3255813953488413E-2</v>
      </c>
      <c r="L78" s="4"/>
      <c r="N78" s="5">
        <v>1100.95</v>
      </c>
      <c r="O78" s="5">
        <v>783.96</v>
      </c>
      <c r="Q78" s="5">
        <v>3476.46</v>
      </c>
      <c r="T78" s="132">
        <f t="shared" si="17"/>
        <v>-316.99</v>
      </c>
      <c r="U78" s="4">
        <f>IF(N79=0,0,O78/N79-1)</f>
        <v>-0.52574650341189555</v>
      </c>
      <c r="AB78" s="18">
        <v>17484.97</v>
      </c>
      <c r="AC78" s="18">
        <v>17546.189999999999</v>
      </c>
      <c r="AD78" s="4">
        <f t="shared" si="18"/>
        <v>3.5012928246371811E-3</v>
      </c>
    </row>
    <row r="79" spans="1:30">
      <c r="A79" s="56" t="s">
        <v>1121</v>
      </c>
      <c r="B79" s="37" t="s">
        <v>1122</v>
      </c>
      <c r="C79">
        <v>664</v>
      </c>
      <c r="E79" s="37" t="s">
        <v>1122</v>
      </c>
      <c r="F79">
        <v>604</v>
      </c>
      <c r="G79" t="b">
        <f t="shared" si="14"/>
        <v>1</v>
      </c>
      <c r="J79">
        <f t="shared" si="15"/>
        <v>-60</v>
      </c>
      <c r="K79" s="4">
        <f t="shared" si="16"/>
        <v>-9.0361445783132543E-2</v>
      </c>
      <c r="L79" s="4"/>
      <c r="N79" s="5">
        <v>1653.04</v>
      </c>
      <c r="O79" s="5">
        <v>1803.9</v>
      </c>
      <c r="Q79" s="5">
        <v>6667.66</v>
      </c>
      <c r="T79" s="132">
        <f t="shared" si="17"/>
        <v>150.86000000000013</v>
      </c>
      <c r="U79" s="4">
        <f t="shared" ref="U79:U111" si="19">IF(N79=0,0,O79/N79-1)</f>
        <v>9.1262159415380184E-2</v>
      </c>
      <c r="AB79" s="18">
        <v>11281.36</v>
      </c>
      <c r="AC79" s="18">
        <v>10261.620000000001</v>
      </c>
      <c r="AD79" s="4">
        <f t="shared" si="18"/>
        <v>-9.0391583993419178E-2</v>
      </c>
    </row>
    <row r="80" spans="1:30">
      <c r="A80" t="s">
        <v>1123</v>
      </c>
      <c r="B80" t="s">
        <v>1124</v>
      </c>
      <c r="C80">
        <v>670</v>
      </c>
      <c r="E80" t="s">
        <v>1124</v>
      </c>
      <c r="F80">
        <v>797</v>
      </c>
      <c r="G80" t="b">
        <f t="shared" si="14"/>
        <v>1</v>
      </c>
      <c r="J80">
        <f t="shared" si="15"/>
        <v>127</v>
      </c>
      <c r="K80" s="4">
        <f t="shared" si="16"/>
        <v>0.18955223880597005</v>
      </c>
      <c r="L80" s="4"/>
      <c r="N80" s="5">
        <v>1011.2</v>
      </c>
      <c r="O80" s="5">
        <v>1180.24</v>
      </c>
      <c r="Q80" s="5">
        <v>3902.75</v>
      </c>
      <c r="T80" s="132">
        <f t="shared" si="17"/>
        <v>169.03999999999996</v>
      </c>
      <c r="U80" s="4">
        <f t="shared" si="19"/>
        <v>0.16716772151898729</v>
      </c>
      <c r="X80" t="s">
        <v>1125</v>
      </c>
      <c r="AB80" s="18">
        <v>13373.2</v>
      </c>
      <c r="AC80" s="18">
        <v>15004.12</v>
      </c>
      <c r="AD80" s="4">
        <f t="shared" si="18"/>
        <v>0.12195435647414232</v>
      </c>
    </row>
    <row r="81" spans="1:30">
      <c r="A81" t="s">
        <v>1126</v>
      </c>
      <c r="B81" t="s">
        <v>1127</v>
      </c>
      <c r="C81">
        <v>838</v>
      </c>
      <c r="E81" t="s">
        <v>1127</v>
      </c>
      <c r="F81">
        <v>855</v>
      </c>
      <c r="G81" t="b">
        <f t="shared" si="14"/>
        <v>1</v>
      </c>
      <c r="J81">
        <f t="shared" si="15"/>
        <v>17</v>
      </c>
      <c r="K81" s="4">
        <f t="shared" si="16"/>
        <v>2.028639618138417E-2</v>
      </c>
      <c r="N81" s="5">
        <v>841.84</v>
      </c>
      <c r="O81" s="5">
        <v>908.68</v>
      </c>
      <c r="Q81" s="5">
        <v>4040.52</v>
      </c>
      <c r="T81" s="132">
        <f t="shared" si="17"/>
        <v>66.839999999999918</v>
      </c>
      <c r="U81" s="4">
        <f t="shared" si="19"/>
        <v>7.9397510215717837E-2</v>
      </c>
      <c r="AB81" s="18">
        <v>16718.099999999999</v>
      </c>
      <c r="AC81" s="18">
        <v>17057.050000000003</v>
      </c>
      <c r="AD81" s="4">
        <f t="shared" si="18"/>
        <v>2.0274433099455313E-2</v>
      </c>
    </row>
    <row r="82" spans="1:30">
      <c r="A82" t="s">
        <v>1128</v>
      </c>
      <c r="B82" t="s">
        <v>1129</v>
      </c>
      <c r="C82">
        <v>193</v>
      </c>
      <c r="E82" t="s">
        <v>1129</v>
      </c>
      <c r="F82">
        <v>199</v>
      </c>
      <c r="G82" t="b">
        <f t="shared" si="14"/>
        <v>1</v>
      </c>
      <c r="J82">
        <f t="shared" si="15"/>
        <v>6</v>
      </c>
      <c r="K82" s="4">
        <f t="shared" si="16"/>
        <v>3.1088082901554515E-2</v>
      </c>
      <c r="L82" s="4"/>
      <c r="N82" s="5">
        <v>261.69</v>
      </c>
      <c r="O82" s="5">
        <v>317.93</v>
      </c>
      <c r="Q82" s="5">
        <v>1671.47</v>
      </c>
      <c r="T82" s="132">
        <f t="shared" si="17"/>
        <v>56.240000000000009</v>
      </c>
      <c r="U82" s="4">
        <f t="shared" si="19"/>
        <v>0.21491077228782141</v>
      </c>
      <c r="AB82" s="18">
        <v>4244.07</v>
      </c>
      <c r="AC82" s="18">
        <v>4376.01</v>
      </c>
      <c r="AD82" s="4">
        <f t="shared" si="18"/>
        <v>3.1088082901554515E-2</v>
      </c>
    </row>
    <row r="83" spans="1:30">
      <c r="A83" t="s">
        <v>1130</v>
      </c>
      <c r="B83" t="s">
        <v>1131</v>
      </c>
      <c r="C83">
        <v>462</v>
      </c>
      <c r="E83" t="s">
        <v>1131</v>
      </c>
      <c r="F83">
        <v>425</v>
      </c>
      <c r="G83" t="b">
        <f t="shared" si="14"/>
        <v>1</v>
      </c>
      <c r="J83">
        <f t="shared" si="15"/>
        <v>-37</v>
      </c>
      <c r="K83" s="4">
        <f t="shared" si="16"/>
        <v>-8.0086580086580095E-2</v>
      </c>
      <c r="L83" s="4"/>
      <c r="N83" s="5">
        <v>607.22</v>
      </c>
      <c r="O83" s="5">
        <v>490.62</v>
      </c>
      <c r="Q83" s="5">
        <v>2998.65</v>
      </c>
      <c r="T83" s="132">
        <f t="shared" si="17"/>
        <v>-116.60000000000002</v>
      </c>
      <c r="U83" s="4">
        <f t="shared" si="19"/>
        <v>-0.19202266065017626</v>
      </c>
      <c r="AB83" s="18">
        <v>13806.95</v>
      </c>
      <c r="AC83" s="18">
        <v>12698.5</v>
      </c>
      <c r="AD83" s="4">
        <f t="shared" si="18"/>
        <v>-8.0282031875251292E-2</v>
      </c>
    </row>
    <row r="84" spans="1:30">
      <c r="A84" s="56" t="s">
        <v>1132</v>
      </c>
      <c r="B84" s="37" t="s">
        <v>1133</v>
      </c>
      <c r="C84">
        <v>228</v>
      </c>
      <c r="E84" s="37" t="s">
        <v>1133</v>
      </c>
      <c r="F84">
        <v>236</v>
      </c>
      <c r="G84" t="b">
        <f t="shared" si="14"/>
        <v>1</v>
      </c>
      <c r="J84">
        <f t="shared" si="15"/>
        <v>8</v>
      </c>
      <c r="K84" s="4">
        <f t="shared" si="16"/>
        <v>3.5087719298245723E-2</v>
      </c>
      <c r="L84" s="4"/>
      <c r="N84" s="5">
        <v>755.07</v>
      </c>
      <c r="O84" s="5">
        <v>1081.21</v>
      </c>
      <c r="Q84" s="5">
        <v>4421.54</v>
      </c>
      <c r="T84" s="132">
        <f t="shared" si="17"/>
        <v>326.14</v>
      </c>
      <c r="U84" s="4">
        <f t="shared" si="19"/>
        <v>0.43193346312262437</v>
      </c>
      <c r="AB84" s="18">
        <v>5697.72</v>
      </c>
      <c r="AC84" s="18">
        <v>5897.64</v>
      </c>
      <c r="AD84" s="4">
        <f t="shared" si="18"/>
        <v>3.5087719298245723E-2</v>
      </c>
    </row>
    <row r="85" spans="1:30">
      <c r="A85" t="s">
        <v>1134</v>
      </c>
      <c r="B85" t="s">
        <v>1135</v>
      </c>
      <c r="C85">
        <v>863</v>
      </c>
      <c r="E85" t="s">
        <v>1135</v>
      </c>
      <c r="F85">
        <v>1152</v>
      </c>
      <c r="G85" t="b">
        <f t="shared" si="14"/>
        <v>1</v>
      </c>
      <c r="J85">
        <f t="shared" si="15"/>
        <v>289</v>
      </c>
      <c r="K85" s="4">
        <f t="shared" si="16"/>
        <v>0.33487833140208578</v>
      </c>
      <c r="L85" s="6"/>
      <c r="N85" s="5">
        <v>639.45000000000005</v>
      </c>
      <c r="O85" s="5">
        <v>648.21</v>
      </c>
      <c r="Q85" s="5">
        <v>4037.66</v>
      </c>
      <c r="T85" s="132">
        <f t="shared" si="17"/>
        <v>8.7599999999999909</v>
      </c>
      <c r="U85" s="4">
        <f t="shared" si="19"/>
        <v>1.3699272812573327E-2</v>
      </c>
      <c r="X85" t="s">
        <v>1136</v>
      </c>
      <c r="AB85" s="18">
        <v>25911.360000000001</v>
      </c>
      <c r="AC85" s="18">
        <v>31679.88</v>
      </c>
      <c r="AD85" s="4">
        <f t="shared" si="18"/>
        <v>0.22262513430402731</v>
      </c>
    </row>
    <row r="86" spans="1:30">
      <c r="A86" t="s">
        <v>1137</v>
      </c>
      <c r="B86" t="s">
        <v>1138</v>
      </c>
      <c r="C86">
        <v>1134</v>
      </c>
      <c r="E86" t="s">
        <v>1138</v>
      </c>
      <c r="F86">
        <v>1261</v>
      </c>
      <c r="G86" t="b">
        <f t="shared" si="14"/>
        <v>1</v>
      </c>
      <c r="J86">
        <f t="shared" si="15"/>
        <v>127</v>
      </c>
      <c r="K86" s="4">
        <f t="shared" si="16"/>
        <v>0.11199294532627868</v>
      </c>
      <c r="L86" s="4"/>
      <c r="N86" s="5">
        <v>2065.13</v>
      </c>
      <c r="O86" s="5">
        <v>1967.36</v>
      </c>
      <c r="Q86" s="5">
        <v>9602.24</v>
      </c>
      <c r="T86" s="132">
        <f t="shared" si="17"/>
        <v>-97.770000000000209</v>
      </c>
      <c r="U86" s="4">
        <f t="shared" si="19"/>
        <v>-4.7343266525594174E-2</v>
      </c>
      <c r="AB86" s="18">
        <v>27204.66</v>
      </c>
      <c r="AC86" s="18">
        <v>28651.55</v>
      </c>
      <c r="AD86" s="4">
        <f t="shared" si="18"/>
        <v>5.3185373388235702E-2</v>
      </c>
    </row>
    <row r="87" spans="1:30">
      <c r="A87" t="s">
        <v>1139</v>
      </c>
      <c r="B87" t="s">
        <v>1140</v>
      </c>
      <c r="C87">
        <v>279</v>
      </c>
      <c r="E87" t="s">
        <v>1140</v>
      </c>
      <c r="F87">
        <v>295</v>
      </c>
      <c r="G87" t="b">
        <f t="shared" si="14"/>
        <v>1</v>
      </c>
      <c r="J87">
        <f t="shared" si="15"/>
        <v>16</v>
      </c>
      <c r="K87" s="4">
        <f t="shared" si="16"/>
        <v>5.7347670250896154E-2</v>
      </c>
      <c r="L87" s="4"/>
      <c r="N87" s="5">
        <v>0</v>
      </c>
      <c r="O87" s="5">
        <v>0</v>
      </c>
      <c r="Q87" s="5">
        <v>0</v>
      </c>
      <c r="T87" s="132">
        <f t="shared" si="17"/>
        <v>0</v>
      </c>
      <c r="U87" s="4">
        <f t="shared" si="19"/>
        <v>0</v>
      </c>
      <c r="AB87" s="18">
        <v>2787.21</v>
      </c>
      <c r="AC87" s="18">
        <v>2947.05</v>
      </c>
      <c r="AD87" s="4">
        <f t="shared" si="18"/>
        <v>5.7347670250896154E-2</v>
      </c>
    </row>
    <row r="88" spans="1:30">
      <c r="A88" t="s">
        <v>1141</v>
      </c>
      <c r="B88" t="s">
        <v>1142</v>
      </c>
      <c r="C88">
        <v>805</v>
      </c>
      <c r="E88" t="s">
        <v>1142</v>
      </c>
      <c r="F88">
        <v>1087</v>
      </c>
      <c r="G88" t="b">
        <f t="shared" si="14"/>
        <v>1</v>
      </c>
      <c r="J88">
        <f t="shared" si="15"/>
        <v>282</v>
      </c>
      <c r="K88" s="4">
        <f t="shared" si="16"/>
        <v>0.35031055900621122</v>
      </c>
      <c r="N88" s="5">
        <v>1465.54</v>
      </c>
      <c r="O88" s="5">
        <v>2213.17</v>
      </c>
      <c r="Q88" s="5">
        <v>11182.42</v>
      </c>
      <c r="T88" s="132">
        <f t="shared" si="17"/>
        <v>747.63000000000011</v>
      </c>
      <c r="U88" s="4">
        <f t="shared" si="19"/>
        <v>0.51013960724374652</v>
      </c>
      <c r="X88" s="5"/>
      <c r="Y88" s="5"/>
      <c r="Z88" s="5"/>
      <c r="AA88" s="17"/>
      <c r="AB88" s="18">
        <v>31386.95</v>
      </c>
      <c r="AC88" s="18">
        <v>42380.18</v>
      </c>
      <c r="AD88" s="4">
        <f t="shared" si="18"/>
        <v>0.35024843127478134</v>
      </c>
    </row>
    <row r="89" spans="1:30">
      <c r="A89" t="s">
        <v>1143</v>
      </c>
      <c r="B89" t="s">
        <v>1144</v>
      </c>
      <c r="C89">
        <v>719</v>
      </c>
      <c r="E89" t="s">
        <v>1144</v>
      </c>
      <c r="F89">
        <v>753</v>
      </c>
      <c r="G89" t="b">
        <f t="shared" si="14"/>
        <v>1</v>
      </c>
      <c r="J89">
        <f t="shared" si="15"/>
        <v>34</v>
      </c>
      <c r="K89" s="4">
        <f t="shared" si="16"/>
        <v>4.7287899860917859E-2</v>
      </c>
      <c r="N89" s="5">
        <v>446.15</v>
      </c>
      <c r="O89" s="5">
        <v>505.87</v>
      </c>
      <c r="Q89" s="5">
        <v>2268.9</v>
      </c>
      <c r="T89" s="132">
        <f t="shared" si="17"/>
        <v>59.720000000000027</v>
      </c>
      <c r="U89" s="4">
        <f t="shared" si="19"/>
        <v>0.13385632634764089</v>
      </c>
      <c r="AB89" s="18">
        <v>13625.05</v>
      </c>
      <c r="AC89" s="18">
        <v>14268.97</v>
      </c>
      <c r="AD89" s="4">
        <f t="shared" si="18"/>
        <v>4.7260010055008905E-2</v>
      </c>
    </row>
    <row r="90" spans="1:30">
      <c r="A90" s="27" t="s">
        <v>1145</v>
      </c>
      <c r="B90" t="s">
        <v>1146</v>
      </c>
      <c r="C90">
        <v>408</v>
      </c>
      <c r="E90" t="s">
        <v>1146</v>
      </c>
      <c r="F90">
        <v>291</v>
      </c>
      <c r="G90" t="b">
        <f t="shared" si="14"/>
        <v>1</v>
      </c>
      <c r="J90">
        <f t="shared" si="15"/>
        <v>-117</v>
      </c>
      <c r="K90" s="4">
        <f t="shared" si="16"/>
        <v>-0.28676470588235292</v>
      </c>
      <c r="L90" s="4"/>
      <c r="N90" s="5">
        <v>980.68</v>
      </c>
      <c r="O90" s="5">
        <v>851.86</v>
      </c>
      <c r="Q90" s="5">
        <v>4723.3</v>
      </c>
      <c r="T90" s="132">
        <f t="shared" si="17"/>
        <v>-128.81999999999994</v>
      </c>
      <c r="U90" s="4">
        <f t="shared" si="19"/>
        <v>-0.13135783334013129</v>
      </c>
      <c r="AB90" s="18">
        <v>9715.9500000000007</v>
      </c>
      <c r="AC90" s="18">
        <v>6981.09</v>
      </c>
      <c r="AD90" s="4">
        <f t="shared" si="18"/>
        <v>-0.28148148148148155</v>
      </c>
    </row>
    <row r="91" spans="1:30">
      <c r="A91" t="s">
        <v>1147</v>
      </c>
      <c r="B91" t="s">
        <v>1148</v>
      </c>
      <c r="C91">
        <v>958</v>
      </c>
      <c r="E91" t="s">
        <v>1148</v>
      </c>
      <c r="F91">
        <v>1124</v>
      </c>
      <c r="G91" t="b">
        <f t="shared" si="14"/>
        <v>1</v>
      </c>
      <c r="J91">
        <f t="shared" si="15"/>
        <v>166</v>
      </c>
      <c r="K91" s="4">
        <f t="shared" si="16"/>
        <v>0.17327766179540705</v>
      </c>
      <c r="L91" s="4"/>
      <c r="N91" s="5">
        <v>1272.9100000000001</v>
      </c>
      <c r="O91" s="5">
        <v>1176.3499999999999</v>
      </c>
      <c r="Q91" s="5">
        <v>8519.66</v>
      </c>
      <c r="T91" s="132">
        <f t="shared" si="17"/>
        <v>-96.560000000000173</v>
      </c>
      <c r="U91" s="4">
        <f t="shared" si="19"/>
        <v>-7.5857680433023655E-2</v>
      </c>
      <c r="AB91" s="18">
        <v>22982.42</v>
      </c>
      <c r="AC91" s="18">
        <v>25702.36</v>
      </c>
      <c r="AD91" s="4">
        <f t="shared" si="18"/>
        <v>0.11834872045676659</v>
      </c>
    </row>
    <row r="92" spans="1:30">
      <c r="A92" t="s">
        <v>1149</v>
      </c>
      <c r="B92" t="s">
        <v>1150</v>
      </c>
      <c r="C92">
        <v>1075</v>
      </c>
      <c r="E92" t="s">
        <v>1150</v>
      </c>
      <c r="F92">
        <v>942</v>
      </c>
      <c r="G92" t="b">
        <f t="shared" si="14"/>
        <v>1</v>
      </c>
      <c r="J92">
        <f t="shared" si="15"/>
        <v>-133</v>
      </c>
      <c r="K92" s="4">
        <f t="shared" si="16"/>
        <v>-0.12372093023255815</v>
      </c>
      <c r="L92" s="4"/>
      <c r="N92" s="5">
        <v>1374.61</v>
      </c>
      <c r="O92" s="5">
        <v>1030.55</v>
      </c>
      <c r="Q92" s="5">
        <v>6076.88</v>
      </c>
      <c r="T92" s="132">
        <f t="shared" si="17"/>
        <v>-344.05999999999995</v>
      </c>
      <c r="U92" s="4">
        <f t="shared" si="19"/>
        <v>-0.25029644771971682</v>
      </c>
      <c r="AB92" s="18">
        <v>18264.25</v>
      </c>
      <c r="AC92" s="18">
        <v>16003.73</v>
      </c>
      <c r="AD92" s="4">
        <f t="shared" si="18"/>
        <v>-0.12376746923634974</v>
      </c>
    </row>
    <row r="93" spans="1:30">
      <c r="A93" t="s">
        <v>1151</v>
      </c>
      <c r="B93" t="s">
        <v>1152</v>
      </c>
      <c r="C93">
        <v>1246</v>
      </c>
      <c r="E93" t="s">
        <v>1152</v>
      </c>
      <c r="F93">
        <v>1190</v>
      </c>
      <c r="G93" t="b">
        <f t="shared" si="14"/>
        <v>1</v>
      </c>
      <c r="J93">
        <f t="shared" si="15"/>
        <v>-56</v>
      </c>
      <c r="K93" s="4">
        <f t="shared" si="16"/>
        <v>-4.49438202247191E-2</v>
      </c>
      <c r="L93" s="4"/>
      <c r="N93" s="5">
        <v>900.44</v>
      </c>
      <c r="O93" s="5">
        <v>863.45</v>
      </c>
      <c r="Q93" s="5">
        <v>3392.05</v>
      </c>
      <c r="T93" s="132">
        <f t="shared" si="17"/>
        <v>-36.990000000000009</v>
      </c>
      <c r="U93" s="4">
        <f t="shared" si="19"/>
        <v>-4.1079916485273871E-2</v>
      </c>
      <c r="AB93" s="18">
        <v>24832.66</v>
      </c>
      <c r="AC93" s="18">
        <v>22344.1</v>
      </c>
      <c r="AD93" s="4">
        <f t="shared" si="18"/>
        <v>-0.10021318698842574</v>
      </c>
    </row>
    <row r="94" spans="1:30">
      <c r="A94" t="s">
        <v>1153</v>
      </c>
      <c r="B94" t="s">
        <v>1154</v>
      </c>
      <c r="C94">
        <v>952</v>
      </c>
      <c r="E94" t="s">
        <v>1154</v>
      </c>
      <c r="F94">
        <v>1230</v>
      </c>
      <c r="G94" t="b">
        <f t="shared" si="14"/>
        <v>1</v>
      </c>
      <c r="J94">
        <f t="shared" si="15"/>
        <v>278</v>
      </c>
      <c r="K94" s="4">
        <f t="shared" si="16"/>
        <v>0.29201680672268915</v>
      </c>
      <c r="L94" s="4"/>
      <c r="N94" s="5">
        <v>1097.8699999999999</v>
      </c>
      <c r="O94" s="5">
        <v>1382.99</v>
      </c>
      <c r="Q94" s="5">
        <v>17341.37</v>
      </c>
      <c r="T94" s="132">
        <f t="shared" si="17"/>
        <v>285.12000000000012</v>
      </c>
      <c r="U94" s="4">
        <f t="shared" si="19"/>
        <v>0.25970287921156432</v>
      </c>
      <c r="AB94" s="18">
        <v>18040.400000000001</v>
      </c>
      <c r="AC94" s="18">
        <v>22003.22</v>
      </c>
      <c r="AD94" s="4">
        <f t="shared" si="18"/>
        <v>0.21966364382164483</v>
      </c>
    </row>
    <row r="95" spans="1:30">
      <c r="A95" t="s">
        <v>1155</v>
      </c>
      <c r="B95" t="s">
        <v>1156</v>
      </c>
      <c r="C95">
        <v>761</v>
      </c>
      <c r="E95" t="s">
        <v>1156</v>
      </c>
      <c r="F95">
        <v>801</v>
      </c>
      <c r="G95" t="b">
        <f t="shared" si="14"/>
        <v>1</v>
      </c>
      <c r="J95">
        <f t="shared" si="15"/>
        <v>40</v>
      </c>
      <c r="K95" s="4">
        <f t="shared" si="16"/>
        <v>5.2562417871222067E-2</v>
      </c>
      <c r="L95" s="4"/>
      <c r="N95" s="5">
        <v>655.95</v>
      </c>
      <c r="O95" s="5">
        <v>905.79</v>
      </c>
      <c r="Q95" s="5">
        <v>4005.29</v>
      </c>
      <c r="T95" s="132">
        <f t="shared" si="17"/>
        <v>249.83999999999992</v>
      </c>
      <c r="U95" s="4">
        <f t="shared" si="19"/>
        <v>0.38088268922936175</v>
      </c>
      <c r="AB95" s="18">
        <v>10615.95</v>
      </c>
      <c r="AC95" s="18">
        <v>11173.95</v>
      </c>
      <c r="AD95" s="4">
        <f t="shared" si="18"/>
        <v>5.2562417871222067E-2</v>
      </c>
    </row>
    <row r="96" spans="1:30" ht="15" customHeight="1">
      <c r="A96" t="s">
        <v>1157</v>
      </c>
      <c r="B96" t="s">
        <v>1158</v>
      </c>
      <c r="C96">
        <v>3801</v>
      </c>
      <c r="E96" t="s">
        <v>1158</v>
      </c>
      <c r="F96">
        <v>3848</v>
      </c>
      <c r="G96" t="b">
        <f t="shared" si="14"/>
        <v>1</v>
      </c>
      <c r="J96">
        <f t="shared" si="15"/>
        <v>47</v>
      </c>
      <c r="K96" s="4">
        <f t="shared" si="16"/>
        <v>1.2365167061299642E-2</v>
      </c>
      <c r="L96" s="4"/>
      <c r="N96" s="5">
        <v>1320.29</v>
      </c>
      <c r="O96" s="5">
        <v>1416.38</v>
      </c>
      <c r="Q96" s="5">
        <v>9547.66</v>
      </c>
      <c r="T96" s="132">
        <f t="shared" si="17"/>
        <v>96.090000000000146</v>
      </c>
      <c r="U96" s="4">
        <f t="shared" si="19"/>
        <v>7.277946511751221E-2</v>
      </c>
      <c r="X96" t="s">
        <v>1159</v>
      </c>
      <c r="AB96" s="18">
        <v>78347.990000000005</v>
      </c>
      <c r="AC96" s="18">
        <v>78628.44</v>
      </c>
      <c r="AD96" s="4">
        <f t="shared" si="18"/>
        <v>3.5795430106120296E-3</v>
      </c>
    </row>
    <row r="97" spans="1:30" ht="15" customHeight="1">
      <c r="A97" t="s">
        <v>1160</v>
      </c>
      <c r="B97" t="s">
        <v>1161</v>
      </c>
      <c r="C97">
        <v>645</v>
      </c>
      <c r="E97" t="s">
        <v>1161</v>
      </c>
      <c r="F97">
        <v>741</v>
      </c>
      <c r="G97" t="b">
        <f t="shared" si="14"/>
        <v>1</v>
      </c>
      <c r="J97">
        <f t="shared" si="15"/>
        <v>96</v>
      </c>
      <c r="K97" s="4">
        <f t="shared" si="16"/>
        <v>0.14883720930232558</v>
      </c>
      <c r="L97" s="4"/>
      <c r="N97" s="5">
        <v>570.66</v>
      </c>
      <c r="O97" s="5">
        <v>487.05</v>
      </c>
      <c r="Q97" s="5">
        <v>2735.22</v>
      </c>
      <c r="T97" s="132">
        <f t="shared" si="17"/>
        <v>-83.609999999999957</v>
      </c>
      <c r="U97" s="4">
        <f t="shared" si="19"/>
        <v>-0.14651456208600566</v>
      </c>
      <c r="AB97" s="18">
        <v>18672.75</v>
      </c>
      <c r="AC97" s="18">
        <v>20322.61</v>
      </c>
      <c r="AD97" s="4">
        <f t="shared" si="18"/>
        <v>8.8356562370299097E-2</v>
      </c>
    </row>
    <row r="98" spans="1:30" ht="15" customHeight="1">
      <c r="A98" t="s">
        <v>1162</v>
      </c>
      <c r="B98" t="s">
        <v>1163</v>
      </c>
      <c r="C98">
        <v>2252</v>
      </c>
      <c r="E98" t="s">
        <v>1163</v>
      </c>
      <c r="F98">
        <v>2453</v>
      </c>
      <c r="G98" t="b">
        <f t="shared" si="14"/>
        <v>1</v>
      </c>
      <c r="J98">
        <f t="shared" si="15"/>
        <v>201</v>
      </c>
      <c r="K98" s="4">
        <f t="shared" si="16"/>
        <v>8.9253996447602235E-2</v>
      </c>
      <c r="L98" s="4"/>
      <c r="N98" s="5">
        <v>978.14</v>
      </c>
      <c r="O98" s="5">
        <v>961.39</v>
      </c>
      <c r="Q98" s="5">
        <v>5156.8599999999997</v>
      </c>
      <c r="T98" s="132">
        <f t="shared" si="17"/>
        <v>-16.75</v>
      </c>
      <c r="U98" s="4">
        <f t="shared" si="19"/>
        <v>-1.7124338029321007E-2</v>
      </c>
      <c r="AB98" s="18">
        <v>44887.5</v>
      </c>
      <c r="AC98" s="18">
        <v>46693.57</v>
      </c>
      <c r="AD98" s="4">
        <f t="shared" si="18"/>
        <v>4.0235477582845958E-2</v>
      </c>
    </row>
    <row r="99" spans="1:30" ht="15" customHeight="1">
      <c r="A99" t="s">
        <v>1164</v>
      </c>
      <c r="B99" t="s">
        <v>1165</v>
      </c>
      <c r="C99">
        <v>592</v>
      </c>
      <c r="E99" t="s">
        <v>1165</v>
      </c>
      <c r="F99">
        <v>315</v>
      </c>
      <c r="G99" t="b">
        <f t="shared" ref="G99:G121" si="20">IF(B99=E99,TRUE,FALSE)</f>
        <v>1</v>
      </c>
      <c r="J99">
        <f t="shared" ref="J99:J122" si="21">F99-C99</f>
        <v>-277</v>
      </c>
      <c r="K99" s="4">
        <f t="shared" ref="K99:K122" si="22">F99/C99-1</f>
        <v>-0.46790540540540537</v>
      </c>
      <c r="L99" s="4"/>
      <c r="N99" s="5">
        <v>382.11</v>
      </c>
      <c r="O99" s="5">
        <v>179.15</v>
      </c>
      <c r="Q99" s="5">
        <v>1248.22</v>
      </c>
      <c r="T99" s="132">
        <f t="shared" ref="T99:T121" si="23">O99-N99</f>
        <v>-202.96</v>
      </c>
      <c r="U99" s="4">
        <f t="shared" si="19"/>
        <v>-0.53115594985737091</v>
      </c>
      <c r="X99" t="s">
        <v>1166</v>
      </c>
      <c r="AB99" s="18">
        <v>11834.08</v>
      </c>
      <c r="AC99" s="18">
        <v>6296.85</v>
      </c>
      <c r="AD99" s="4">
        <f t="shared" ref="AD99:AD121" si="24">AC99/AB99-1</f>
        <v>-0.46790540540540537</v>
      </c>
    </row>
    <row r="100" spans="1:30" ht="15" customHeight="1">
      <c r="A100" t="s">
        <v>1167</v>
      </c>
      <c r="B100" t="s">
        <v>1168</v>
      </c>
      <c r="C100">
        <v>711</v>
      </c>
      <c r="E100" t="s">
        <v>1168</v>
      </c>
      <c r="F100">
        <v>923</v>
      </c>
      <c r="G100" t="b">
        <f t="shared" si="20"/>
        <v>1</v>
      </c>
      <c r="J100">
        <f t="shared" si="21"/>
        <v>212</v>
      </c>
      <c r="K100" s="4">
        <f t="shared" si="22"/>
        <v>0.29817158931082988</v>
      </c>
      <c r="L100" s="4"/>
      <c r="N100" s="5">
        <v>1489.91</v>
      </c>
      <c r="O100" s="5">
        <v>1494.03</v>
      </c>
      <c r="Q100" s="5">
        <v>11973.64</v>
      </c>
      <c r="T100" s="132">
        <f t="shared" si="23"/>
        <v>4.1199999999998909</v>
      </c>
      <c r="U100" s="4">
        <f t="shared" si="19"/>
        <v>2.7652677007334869E-3</v>
      </c>
      <c r="X100" s="5"/>
      <c r="Y100" s="5"/>
      <c r="Z100" s="5"/>
      <c r="AA100" s="17"/>
      <c r="AB100" s="18">
        <v>18478.89</v>
      </c>
      <c r="AC100" s="18">
        <v>22553.57</v>
      </c>
      <c r="AD100" s="4">
        <f t="shared" si="24"/>
        <v>0.22050458658501682</v>
      </c>
    </row>
    <row r="101" spans="1:30" ht="15" customHeight="1">
      <c r="A101" s="37" t="s">
        <v>1169</v>
      </c>
      <c r="B101" s="37" t="s">
        <v>1170</v>
      </c>
      <c r="C101">
        <v>398</v>
      </c>
      <c r="E101" s="37" t="s">
        <v>1170</v>
      </c>
      <c r="F101">
        <v>215</v>
      </c>
      <c r="G101" t="b">
        <f t="shared" si="20"/>
        <v>1</v>
      </c>
      <c r="J101">
        <f t="shared" si="21"/>
        <v>-183</v>
      </c>
      <c r="K101" s="4">
        <f t="shared" si="22"/>
        <v>-0.45979899497487442</v>
      </c>
      <c r="L101" s="4"/>
      <c r="N101" s="5">
        <v>947.06</v>
      </c>
      <c r="O101" s="5">
        <v>813.53</v>
      </c>
      <c r="Q101" s="5">
        <v>3615.02</v>
      </c>
      <c r="T101" s="132">
        <f t="shared" si="23"/>
        <v>-133.52999999999997</v>
      </c>
      <c r="U101" s="4">
        <f t="shared" si="19"/>
        <v>-0.14099423478977047</v>
      </c>
      <c r="AB101" s="18">
        <v>9631.02</v>
      </c>
      <c r="AC101" s="18">
        <v>5372.85</v>
      </c>
      <c r="AD101" s="4">
        <f t="shared" si="24"/>
        <v>-0.44213074004622566</v>
      </c>
    </row>
    <row r="102" spans="1:30" ht="15" customHeight="1">
      <c r="A102" t="s">
        <v>1171</v>
      </c>
      <c r="B102" t="s">
        <v>1172</v>
      </c>
      <c r="C102">
        <v>1038</v>
      </c>
      <c r="E102" t="s">
        <v>1172</v>
      </c>
      <c r="F102">
        <v>1009</v>
      </c>
      <c r="G102" t="b">
        <f t="shared" si="20"/>
        <v>1</v>
      </c>
      <c r="J102">
        <f t="shared" si="21"/>
        <v>-29</v>
      </c>
      <c r="K102" s="4">
        <f t="shared" si="22"/>
        <v>-2.7938342967244734E-2</v>
      </c>
      <c r="L102" s="4"/>
      <c r="N102" s="5">
        <v>905.56</v>
      </c>
      <c r="O102" s="5">
        <v>748.6</v>
      </c>
      <c r="Q102" s="5">
        <v>4560.96</v>
      </c>
      <c r="T102" s="132">
        <f t="shared" si="23"/>
        <v>-156.95999999999992</v>
      </c>
      <c r="U102" s="4">
        <f t="shared" si="19"/>
        <v>-0.17332921065418072</v>
      </c>
      <c r="AB102" s="18">
        <v>20769.61</v>
      </c>
      <c r="AC102" s="18">
        <v>20168.91</v>
      </c>
      <c r="AD102" s="4">
        <f t="shared" si="24"/>
        <v>-2.8922064497118649E-2</v>
      </c>
    </row>
    <row r="103" spans="1:30" ht="15" customHeight="1">
      <c r="A103" t="s">
        <v>1173</v>
      </c>
      <c r="B103" t="s">
        <v>1174</v>
      </c>
      <c r="C103">
        <v>830</v>
      </c>
      <c r="E103" t="s">
        <v>1174</v>
      </c>
      <c r="F103">
        <v>1112</v>
      </c>
      <c r="G103" t="b">
        <f t="shared" si="20"/>
        <v>1</v>
      </c>
      <c r="J103">
        <f t="shared" si="21"/>
        <v>282</v>
      </c>
      <c r="K103" s="4">
        <f t="shared" si="22"/>
        <v>0.33975903614457836</v>
      </c>
      <c r="N103" s="5">
        <v>1297.43</v>
      </c>
      <c r="O103" s="5">
        <v>1585.44</v>
      </c>
      <c r="Q103" s="5">
        <v>8248.18</v>
      </c>
      <c r="T103" s="132">
        <f t="shared" si="23"/>
        <v>288.01</v>
      </c>
      <c r="U103" s="4">
        <f t="shared" si="19"/>
        <v>0.22198500111759389</v>
      </c>
      <c r="X103" s="5"/>
      <c r="Y103" s="5"/>
      <c r="Z103" s="5"/>
      <c r="AA103" s="17"/>
      <c r="AB103" s="18">
        <v>16591.7</v>
      </c>
      <c r="AC103" s="18">
        <v>21104.080000000002</v>
      </c>
      <c r="AD103" s="4">
        <f t="shared" si="24"/>
        <v>0.27196610353369466</v>
      </c>
    </row>
    <row r="104" spans="1:30" ht="15" customHeight="1">
      <c r="A104" s="55" t="s">
        <v>1175</v>
      </c>
      <c r="B104" s="37" t="s">
        <v>1176</v>
      </c>
      <c r="C104">
        <v>229</v>
      </c>
      <c r="E104" s="37" t="s">
        <v>1176</v>
      </c>
      <c r="F104">
        <v>165</v>
      </c>
      <c r="G104" t="b">
        <f t="shared" si="20"/>
        <v>1</v>
      </c>
      <c r="J104">
        <f t="shared" si="21"/>
        <v>-64</v>
      </c>
      <c r="K104" s="4">
        <f t="shared" si="22"/>
        <v>-0.27947598253275108</v>
      </c>
      <c r="L104" s="4"/>
      <c r="N104" s="5">
        <v>897.72</v>
      </c>
      <c r="O104" s="5">
        <v>614.11</v>
      </c>
      <c r="Q104" s="5">
        <v>2752.38</v>
      </c>
      <c r="T104" s="132">
        <f t="shared" si="23"/>
        <v>-283.61</v>
      </c>
      <c r="U104" s="4">
        <f t="shared" si="19"/>
        <v>-0.31592255937263292</v>
      </c>
      <c r="AB104" s="18">
        <v>5722.71</v>
      </c>
      <c r="AC104" s="18">
        <v>4123.1000000000004</v>
      </c>
      <c r="AD104" s="4">
        <f t="shared" si="24"/>
        <v>-0.27951966812926032</v>
      </c>
    </row>
    <row r="105" spans="1:30" ht="15" customHeight="1">
      <c r="A105" t="s">
        <v>1177</v>
      </c>
      <c r="B105" t="s">
        <v>1178</v>
      </c>
      <c r="C105">
        <v>1185</v>
      </c>
      <c r="E105" t="s">
        <v>1178</v>
      </c>
      <c r="F105">
        <v>996</v>
      </c>
      <c r="G105" t="b">
        <f t="shared" si="20"/>
        <v>1</v>
      </c>
      <c r="J105">
        <f t="shared" si="21"/>
        <v>-189</v>
      </c>
      <c r="K105" s="4">
        <f t="shared" si="22"/>
        <v>-0.15949367088607591</v>
      </c>
      <c r="L105" s="4"/>
      <c r="N105" s="5">
        <v>1929.2</v>
      </c>
      <c r="O105" s="5">
        <v>2220.34</v>
      </c>
      <c r="Q105" s="5">
        <v>7002.83</v>
      </c>
      <c r="T105" s="132">
        <f t="shared" si="23"/>
        <v>291.1400000000001</v>
      </c>
      <c r="U105" s="4">
        <f t="shared" si="19"/>
        <v>0.15091229525191796</v>
      </c>
      <c r="AB105" s="18">
        <v>23688.15</v>
      </c>
      <c r="AC105" s="18">
        <v>18558.04</v>
      </c>
      <c r="AD105" s="4">
        <f t="shared" si="24"/>
        <v>-0.21656862186367443</v>
      </c>
    </row>
    <row r="106" spans="1:30" ht="15" customHeight="1">
      <c r="A106" t="s">
        <v>1179</v>
      </c>
      <c r="B106" t="s">
        <v>1180</v>
      </c>
      <c r="C106">
        <v>1051</v>
      </c>
      <c r="E106" t="s">
        <v>1180</v>
      </c>
      <c r="F106">
        <v>924</v>
      </c>
      <c r="G106" t="b">
        <f t="shared" si="20"/>
        <v>1</v>
      </c>
      <c r="J106">
        <f t="shared" si="21"/>
        <v>-127</v>
      </c>
      <c r="K106" s="4">
        <f t="shared" si="22"/>
        <v>-0.12083729781160801</v>
      </c>
      <c r="L106" s="4"/>
      <c r="N106" s="5">
        <v>2284.5100000000002</v>
      </c>
      <c r="O106" s="5">
        <v>2112.19</v>
      </c>
      <c r="Q106" s="5">
        <v>15037.529999999999</v>
      </c>
      <c r="T106" s="132">
        <f t="shared" si="23"/>
        <v>-172.32000000000016</v>
      </c>
      <c r="U106" s="4">
        <f t="shared" si="19"/>
        <v>-7.5429742045340253E-2</v>
      </c>
      <c r="Y106" t="s">
        <v>1181</v>
      </c>
      <c r="AB106" s="18">
        <v>28361.73</v>
      </c>
      <c r="AC106" s="18">
        <v>24910.93</v>
      </c>
      <c r="AD106" s="4">
        <f t="shared" si="24"/>
        <v>-0.12167099820779614</v>
      </c>
    </row>
    <row r="107" spans="1:30" ht="15" customHeight="1">
      <c r="A107" t="s">
        <v>1182</v>
      </c>
      <c r="B107" t="s">
        <v>1183</v>
      </c>
      <c r="C107">
        <v>900</v>
      </c>
      <c r="E107" t="s">
        <v>1183</v>
      </c>
      <c r="F107">
        <v>1005</v>
      </c>
      <c r="G107" t="b">
        <f t="shared" si="20"/>
        <v>1</v>
      </c>
      <c r="J107">
        <f t="shared" si="21"/>
        <v>105</v>
      </c>
      <c r="K107" s="4">
        <f t="shared" si="22"/>
        <v>0.1166666666666667</v>
      </c>
      <c r="N107" s="5">
        <v>1674.43</v>
      </c>
      <c r="O107" s="5">
        <v>1897.38</v>
      </c>
      <c r="Q107" s="5">
        <v>6787.34</v>
      </c>
      <c r="T107" s="132">
        <f t="shared" si="23"/>
        <v>222.95000000000005</v>
      </c>
      <c r="U107" s="4">
        <f t="shared" si="19"/>
        <v>0.13314978828616297</v>
      </c>
      <c r="X107" s="5"/>
      <c r="Y107" s="5"/>
      <c r="Z107" s="5"/>
      <c r="AA107" s="17"/>
      <c r="AB107" s="18">
        <v>17927</v>
      </c>
      <c r="AC107" s="18">
        <v>20067.759999999998</v>
      </c>
      <c r="AD107" s="4">
        <f t="shared" si="24"/>
        <v>0.11941540692809727</v>
      </c>
    </row>
    <row r="108" spans="1:30" ht="15" customHeight="1">
      <c r="A108" t="s">
        <v>1184</v>
      </c>
      <c r="B108" t="s">
        <v>1185</v>
      </c>
      <c r="C108">
        <v>817</v>
      </c>
      <c r="E108" t="s">
        <v>1185</v>
      </c>
      <c r="F108">
        <v>808</v>
      </c>
      <c r="G108" t="b">
        <f t="shared" si="20"/>
        <v>1</v>
      </c>
      <c r="J108">
        <f t="shared" si="21"/>
        <v>-9</v>
      </c>
      <c r="K108" s="4">
        <f t="shared" si="22"/>
        <v>-1.1015911872705009E-2</v>
      </c>
      <c r="L108" s="4"/>
      <c r="N108" s="5">
        <v>1496.82</v>
      </c>
      <c r="O108" s="5">
        <v>1557.42</v>
      </c>
      <c r="Q108" s="5">
        <v>9885.01</v>
      </c>
      <c r="T108" s="132">
        <f t="shared" si="23"/>
        <v>60.600000000000136</v>
      </c>
      <c r="U108" s="4">
        <f t="shared" si="19"/>
        <v>4.048582995951433E-2</v>
      </c>
      <c r="AB108" s="18">
        <v>17987.82</v>
      </c>
      <c r="AC108" s="18">
        <v>17767.48</v>
      </c>
      <c r="AD108" s="4">
        <f t="shared" si="24"/>
        <v>-1.2249399871690936E-2</v>
      </c>
    </row>
    <row r="109" spans="1:30" ht="15" customHeight="1">
      <c r="A109" t="s">
        <v>1186</v>
      </c>
      <c r="B109" t="s">
        <v>1187</v>
      </c>
      <c r="C109">
        <v>1567</v>
      </c>
      <c r="E109" t="s">
        <v>1187</v>
      </c>
      <c r="F109">
        <v>1790</v>
      </c>
      <c r="G109" t="b">
        <f t="shared" si="20"/>
        <v>1</v>
      </c>
      <c r="J109">
        <f t="shared" si="21"/>
        <v>223</v>
      </c>
      <c r="K109" s="4">
        <f t="shared" si="22"/>
        <v>0.14231014677728138</v>
      </c>
      <c r="L109" s="6"/>
      <c r="N109" s="5">
        <v>1197.32</v>
      </c>
      <c r="O109" s="5">
        <v>1000.13</v>
      </c>
      <c r="Q109" s="5">
        <v>5762.04</v>
      </c>
      <c r="T109" s="132">
        <f t="shared" si="23"/>
        <v>-197.18999999999994</v>
      </c>
      <c r="U109" s="4">
        <f t="shared" si="19"/>
        <v>-0.16469281395115754</v>
      </c>
      <c r="AB109" s="18">
        <v>34458.33</v>
      </c>
      <c r="AC109" s="18">
        <v>37086.879999999997</v>
      </c>
      <c r="AD109" s="4">
        <f t="shared" si="24"/>
        <v>7.6281990450494774E-2</v>
      </c>
    </row>
    <row r="110" spans="1:30" ht="15" customHeight="1">
      <c r="A110" t="s">
        <v>1188</v>
      </c>
      <c r="B110" t="s">
        <v>1189</v>
      </c>
      <c r="C110">
        <v>3958</v>
      </c>
      <c r="E110" t="s">
        <v>1189</v>
      </c>
      <c r="F110">
        <v>4103</v>
      </c>
      <c r="G110" t="b">
        <f t="shared" si="20"/>
        <v>1</v>
      </c>
      <c r="J110">
        <f t="shared" si="21"/>
        <v>145</v>
      </c>
      <c r="K110" s="4">
        <f t="shared" si="22"/>
        <v>3.6634663971702786E-2</v>
      </c>
      <c r="L110" s="4"/>
      <c r="N110" s="5">
        <v>4240.42</v>
      </c>
      <c r="O110" s="5">
        <v>4157.49</v>
      </c>
      <c r="Q110" s="5">
        <v>18757.39</v>
      </c>
      <c r="T110" s="132">
        <f t="shared" si="23"/>
        <v>-82.930000000000291</v>
      </c>
      <c r="U110" s="4">
        <f t="shared" si="19"/>
        <v>-1.9557025011673446E-2</v>
      </c>
      <c r="Y110" t="s">
        <v>1190</v>
      </c>
      <c r="AB110" s="18">
        <v>75156.63</v>
      </c>
      <c r="AC110" s="18">
        <v>73153.06</v>
      </c>
      <c r="AD110" s="4">
        <f t="shared" si="24"/>
        <v>-2.6658592861335095E-2</v>
      </c>
    </row>
    <row r="111" spans="1:30" ht="15" customHeight="1">
      <c r="A111" t="s">
        <v>1191</v>
      </c>
      <c r="B111" t="s">
        <v>1192</v>
      </c>
      <c r="C111">
        <v>1656</v>
      </c>
      <c r="E111" t="s">
        <v>1192</v>
      </c>
      <c r="F111">
        <v>2342</v>
      </c>
      <c r="G111" t="b">
        <f t="shared" si="20"/>
        <v>1</v>
      </c>
      <c r="J111">
        <f t="shared" si="21"/>
        <v>686</v>
      </c>
      <c r="K111" s="4">
        <f t="shared" si="22"/>
        <v>0.41425120772946866</v>
      </c>
      <c r="L111" s="4"/>
      <c r="N111" s="5">
        <v>1096.92</v>
      </c>
      <c r="O111" s="5">
        <v>1381.42</v>
      </c>
      <c r="Q111" s="5">
        <v>7989.23</v>
      </c>
      <c r="T111" s="132">
        <f t="shared" si="23"/>
        <v>284.5</v>
      </c>
      <c r="U111" s="4">
        <f t="shared" si="19"/>
        <v>0.25936257885716363</v>
      </c>
      <c r="AB111" s="18">
        <v>41292.25</v>
      </c>
      <c r="AC111" s="18">
        <v>53811.16</v>
      </c>
      <c r="AD111" s="4">
        <f t="shared" si="24"/>
        <v>0.3031781992989</v>
      </c>
    </row>
    <row r="112" spans="1:30" ht="15" customHeight="1">
      <c r="A112" s="56" t="s">
        <v>1193</v>
      </c>
      <c r="B112" s="37" t="s">
        <v>1194</v>
      </c>
      <c r="C112">
        <v>1226</v>
      </c>
      <c r="E112" s="37" t="s">
        <v>1194</v>
      </c>
      <c r="F112">
        <v>1798</v>
      </c>
      <c r="G112" t="b">
        <f t="shared" si="20"/>
        <v>1</v>
      </c>
      <c r="J112">
        <f t="shared" si="21"/>
        <v>572</v>
      </c>
      <c r="K112" s="4">
        <f t="shared" si="22"/>
        <v>0.46655791190864604</v>
      </c>
      <c r="L112" s="4"/>
      <c r="N112" s="5">
        <v>3147.93</v>
      </c>
      <c r="O112" s="5">
        <v>3894.13</v>
      </c>
      <c r="Q112" s="5">
        <v>14692.85</v>
      </c>
      <c r="T112" s="132">
        <f t="shared" si="23"/>
        <v>746.20000000000027</v>
      </c>
      <c r="U112" s="4">
        <f>IF(N113=0,0,O112/N113-1)</f>
        <v>0.91038559654631079</v>
      </c>
      <c r="AB112" s="18">
        <v>26959.74</v>
      </c>
      <c r="AC112" s="18">
        <v>36980.53</v>
      </c>
      <c r="AD112" s="4">
        <f t="shared" si="24"/>
        <v>0.37169460833079238</v>
      </c>
    </row>
    <row r="113" spans="1:30" ht="15" customHeight="1">
      <c r="A113" t="s">
        <v>1195</v>
      </c>
      <c r="B113" t="s">
        <v>1196</v>
      </c>
      <c r="C113">
        <v>1063</v>
      </c>
      <c r="E113" t="s">
        <v>1196</v>
      </c>
      <c r="F113">
        <v>1024</v>
      </c>
      <c r="G113" t="b">
        <f t="shared" si="20"/>
        <v>1</v>
      </c>
      <c r="J113">
        <f t="shared" si="21"/>
        <v>-39</v>
      </c>
      <c r="K113" s="4">
        <f t="shared" si="22"/>
        <v>-3.6688617121354627E-2</v>
      </c>
      <c r="L113" s="4"/>
      <c r="N113" s="5">
        <v>2038.4</v>
      </c>
      <c r="O113" s="5">
        <v>1746.8</v>
      </c>
      <c r="Q113" s="5">
        <v>9101.9</v>
      </c>
      <c r="T113" s="132">
        <f t="shared" si="23"/>
        <v>-291.60000000000014</v>
      </c>
      <c r="U113" s="4">
        <f t="shared" ref="U113:U121" si="25">IF(N113=0,0,O113/N113-1)</f>
        <v>-0.1430533751962324</v>
      </c>
      <c r="X113" s="5"/>
      <c r="Y113" s="5"/>
      <c r="Z113" s="5"/>
      <c r="AA113" s="17"/>
      <c r="AB113" s="18">
        <v>25501.37</v>
      </c>
      <c r="AC113" s="18">
        <v>23375.119999999999</v>
      </c>
      <c r="AD113" s="4">
        <f t="shared" si="24"/>
        <v>-8.3377873424055227E-2</v>
      </c>
    </row>
    <row r="114" spans="1:30" ht="15" customHeight="1">
      <c r="A114" t="s">
        <v>1197</v>
      </c>
      <c r="B114" t="s">
        <v>1198</v>
      </c>
      <c r="C114">
        <v>3660</v>
      </c>
      <c r="E114" t="s">
        <v>1198</v>
      </c>
      <c r="F114">
        <v>3098</v>
      </c>
      <c r="G114" t="b">
        <f t="shared" si="20"/>
        <v>1</v>
      </c>
      <c r="J114">
        <f t="shared" si="21"/>
        <v>-562</v>
      </c>
      <c r="K114" s="4">
        <f t="shared" si="22"/>
        <v>-0.15355191256830603</v>
      </c>
      <c r="L114" s="4"/>
      <c r="N114" s="5">
        <v>3133.2</v>
      </c>
      <c r="O114" s="5">
        <v>1795.52</v>
      </c>
      <c r="Q114" s="5">
        <v>6631.39</v>
      </c>
      <c r="T114" s="132">
        <f t="shared" si="23"/>
        <v>-1337.6799999999998</v>
      </c>
      <c r="U114" s="4">
        <f t="shared" si="25"/>
        <v>-0.42693731648155242</v>
      </c>
      <c r="X114" s="5"/>
      <c r="Y114" s="5" t="s">
        <v>1199</v>
      </c>
      <c r="Z114" s="5"/>
      <c r="AA114" s="17"/>
      <c r="AB114" s="18">
        <v>72024.600000000006</v>
      </c>
      <c r="AC114" s="18">
        <v>58028.62</v>
      </c>
      <c r="AD114" s="4">
        <f t="shared" si="24"/>
        <v>-0.19432221768673485</v>
      </c>
    </row>
    <row r="115" spans="1:30" ht="15" customHeight="1">
      <c r="A115" t="s">
        <v>1200</v>
      </c>
      <c r="B115" t="s">
        <v>1201</v>
      </c>
      <c r="C115">
        <v>2550</v>
      </c>
      <c r="E115" t="s">
        <v>1201</v>
      </c>
      <c r="F115">
        <v>2903</v>
      </c>
      <c r="G115" t="b">
        <f t="shared" si="20"/>
        <v>1</v>
      </c>
      <c r="J115">
        <f t="shared" si="21"/>
        <v>353</v>
      </c>
      <c r="K115" s="4">
        <f t="shared" si="22"/>
        <v>0.1384313725490196</v>
      </c>
      <c r="L115" s="4"/>
      <c r="N115" s="5">
        <v>1923.28</v>
      </c>
      <c r="O115" s="5">
        <v>1981.91</v>
      </c>
      <c r="Q115" s="5">
        <v>10049.66</v>
      </c>
      <c r="T115" s="132">
        <f t="shared" si="23"/>
        <v>58.630000000000109</v>
      </c>
      <c r="U115" s="4">
        <f t="shared" si="25"/>
        <v>3.0484380849382431E-2</v>
      </c>
      <c r="AB115" s="18">
        <v>50872.5</v>
      </c>
      <c r="AC115" s="18">
        <v>54734.02</v>
      </c>
      <c r="AD115" s="4">
        <f t="shared" si="24"/>
        <v>7.5905843038969856E-2</v>
      </c>
    </row>
    <row r="116" spans="1:30" ht="15" customHeight="1">
      <c r="A116" s="57" t="s">
        <v>1202</v>
      </c>
      <c r="B116" s="37" t="s">
        <v>1203</v>
      </c>
      <c r="C116">
        <v>974</v>
      </c>
      <c r="E116" s="37" t="s">
        <v>1203</v>
      </c>
      <c r="F116">
        <v>902</v>
      </c>
      <c r="G116" t="b">
        <f t="shared" si="20"/>
        <v>1</v>
      </c>
      <c r="J116">
        <f t="shared" si="21"/>
        <v>-72</v>
      </c>
      <c r="K116" s="4">
        <f t="shared" si="22"/>
        <v>-7.3921971252566721E-2</v>
      </c>
      <c r="L116" s="4"/>
      <c r="N116" s="5">
        <v>1890.21</v>
      </c>
      <c r="O116" s="5">
        <v>1484.33</v>
      </c>
      <c r="Q116" s="5">
        <v>8381.93</v>
      </c>
      <c r="T116" s="132">
        <f t="shared" si="23"/>
        <v>-405.88000000000011</v>
      </c>
      <c r="U116" s="4">
        <f t="shared" si="25"/>
        <v>-0.21472746414419563</v>
      </c>
      <c r="AB116" s="18">
        <v>23366.26</v>
      </c>
      <c r="AC116" s="18">
        <v>20385.46</v>
      </c>
      <c r="AD116" s="4">
        <f t="shared" si="24"/>
        <v>-0.1275685539748338</v>
      </c>
    </row>
    <row r="117" spans="1:30" ht="15" customHeight="1">
      <c r="A117" t="s">
        <v>1204</v>
      </c>
      <c r="B117" t="s">
        <v>1205</v>
      </c>
      <c r="C117">
        <v>1446</v>
      </c>
      <c r="E117" t="s">
        <v>1205</v>
      </c>
      <c r="F117">
        <v>1377</v>
      </c>
      <c r="G117" t="b">
        <f t="shared" si="20"/>
        <v>1</v>
      </c>
      <c r="J117">
        <f t="shared" si="21"/>
        <v>-69</v>
      </c>
      <c r="K117" s="4">
        <f t="shared" si="22"/>
        <v>-4.7717842323651505E-2</v>
      </c>
      <c r="L117" s="4"/>
      <c r="N117" s="5">
        <v>1062.6400000000001</v>
      </c>
      <c r="O117" s="5">
        <v>973.34</v>
      </c>
      <c r="Q117" s="5">
        <v>6702.82</v>
      </c>
      <c r="T117" s="132">
        <f t="shared" si="23"/>
        <v>-89.300000000000068</v>
      </c>
      <c r="U117" s="4">
        <f t="shared" si="25"/>
        <v>-8.4035985846570904E-2</v>
      </c>
      <c r="AB117" s="18">
        <v>27355.550000000003</v>
      </c>
      <c r="AC117" s="18">
        <v>26148.85</v>
      </c>
      <c r="AD117" s="4">
        <f t="shared" si="24"/>
        <v>-4.4111706765172176E-2</v>
      </c>
    </row>
    <row r="118" spans="1:30" ht="15" customHeight="1">
      <c r="A118" t="s">
        <v>1206</v>
      </c>
      <c r="B118" t="s">
        <v>1207</v>
      </c>
      <c r="C118">
        <v>932</v>
      </c>
      <c r="E118" t="s">
        <v>1207</v>
      </c>
      <c r="F118">
        <v>1066</v>
      </c>
      <c r="G118" t="b">
        <f t="shared" si="20"/>
        <v>1</v>
      </c>
      <c r="J118">
        <f t="shared" si="21"/>
        <v>134</v>
      </c>
      <c r="K118" s="4">
        <f t="shared" si="22"/>
        <v>0.14377682403433467</v>
      </c>
      <c r="L118" s="4"/>
      <c r="N118" s="5">
        <v>450.72</v>
      </c>
      <c r="O118" s="5">
        <v>492.06</v>
      </c>
      <c r="Q118" s="5">
        <v>3056.8</v>
      </c>
      <c r="T118" s="132">
        <f t="shared" si="23"/>
        <v>41.339999999999975</v>
      </c>
      <c r="U118" s="4">
        <f t="shared" si="25"/>
        <v>9.1719914802981917E-2</v>
      </c>
      <c r="AB118" s="18">
        <v>22358.68</v>
      </c>
      <c r="AC118" s="18">
        <v>23840.3</v>
      </c>
      <c r="AD118" s="4">
        <f t="shared" si="24"/>
        <v>6.6265987079738187E-2</v>
      </c>
    </row>
    <row r="119" spans="1:30" ht="15" customHeight="1">
      <c r="A119" t="s">
        <v>1208</v>
      </c>
      <c r="B119" t="s">
        <v>1209</v>
      </c>
      <c r="C119">
        <v>1016</v>
      </c>
      <c r="D119" s="5"/>
      <c r="E119" t="s">
        <v>1209</v>
      </c>
      <c r="F119">
        <v>958</v>
      </c>
      <c r="G119" t="b">
        <f t="shared" si="20"/>
        <v>1</v>
      </c>
      <c r="H119" s="5"/>
      <c r="I119" s="5"/>
      <c r="J119">
        <f t="shared" si="21"/>
        <v>-58</v>
      </c>
      <c r="K119" s="4">
        <f t="shared" si="22"/>
        <v>-5.7086614173228356E-2</v>
      </c>
      <c r="L119" s="5"/>
      <c r="M119" s="5"/>
      <c r="N119" s="5">
        <v>1540.04</v>
      </c>
      <c r="O119" s="5">
        <v>1301.94</v>
      </c>
      <c r="Q119" s="5">
        <v>8261.81</v>
      </c>
      <c r="T119" s="132">
        <f t="shared" si="23"/>
        <v>-238.09999999999991</v>
      </c>
      <c r="U119" s="4">
        <f t="shared" si="25"/>
        <v>-0.1546063738604192</v>
      </c>
      <c r="X119" s="5"/>
      <c r="Y119" s="5"/>
      <c r="Z119" s="5"/>
      <c r="AA119" s="17"/>
      <c r="AB119" s="18">
        <v>35444.839999999997</v>
      </c>
      <c r="AC119" s="18">
        <v>33449.040000000001</v>
      </c>
      <c r="AD119" s="4">
        <f t="shared" si="24"/>
        <v>-5.6307208609207904E-2</v>
      </c>
    </row>
    <row r="120" spans="1:30" ht="15" customHeight="1">
      <c r="A120" t="s">
        <v>1210</v>
      </c>
      <c r="B120" t="s">
        <v>1211</v>
      </c>
      <c r="C120">
        <v>5033</v>
      </c>
      <c r="E120" t="s">
        <v>1211</v>
      </c>
      <c r="F120">
        <v>4929</v>
      </c>
      <c r="G120" t="b">
        <f t="shared" si="20"/>
        <v>1</v>
      </c>
      <c r="J120">
        <f t="shared" si="21"/>
        <v>-104</v>
      </c>
      <c r="K120" s="4">
        <f t="shared" si="22"/>
        <v>-2.0663620107291836E-2</v>
      </c>
      <c r="L120" s="4"/>
      <c r="N120" s="5">
        <v>5246.21</v>
      </c>
      <c r="O120" s="5">
        <v>4886.53</v>
      </c>
      <c r="Q120" s="5">
        <v>31292.73</v>
      </c>
      <c r="T120" s="132">
        <f t="shared" si="23"/>
        <v>-359.68000000000029</v>
      </c>
      <c r="U120" s="4">
        <f t="shared" si="25"/>
        <v>-6.8559969959265832E-2</v>
      </c>
      <c r="AB120" s="18">
        <v>163643.57999999999</v>
      </c>
      <c r="AC120" s="18">
        <v>154872.43</v>
      </c>
      <c r="AD120" s="4">
        <f t="shared" si="24"/>
        <v>-5.3599108501537263E-2</v>
      </c>
    </row>
    <row r="121" spans="1:30" ht="15" customHeight="1">
      <c r="A121" t="s">
        <v>1212</v>
      </c>
      <c r="B121" t="s">
        <v>1213</v>
      </c>
      <c r="C121">
        <v>2124</v>
      </c>
      <c r="E121" t="s">
        <v>1213</v>
      </c>
      <c r="F121">
        <v>2299</v>
      </c>
      <c r="G121" t="b">
        <f t="shared" si="20"/>
        <v>1</v>
      </c>
      <c r="J121">
        <f t="shared" si="21"/>
        <v>175</v>
      </c>
      <c r="K121" s="4">
        <f t="shared" si="22"/>
        <v>8.2391713747645978E-2</v>
      </c>
      <c r="L121" s="4"/>
      <c r="N121" s="5">
        <v>3435.9</v>
      </c>
      <c r="O121" s="5">
        <v>3493.6</v>
      </c>
      <c r="Q121" s="5">
        <v>22006.58</v>
      </c>
      <c r="T121" s="132">
        <f t="shared" si="23"/>
        <v>57.699999999999818</v>
      </c>
      <c r="U121" s="4">
        <f t="shared" si="25"/>
        <v>1.6793271049797776E-2</v>
      </c>
      <c r="AB121" s="18">
        <v>82775.77</v>
      </c>
      <c r="AC121" s="18">
        <v>84097.27</v>
      </c>
      <c r="AD121" s="4">
        <f t="shared" si="24"/>
        <v>1.5964816757367606E-2</v>
      </c>
    </row>
    <row r="122" spans="1:30" ht="15" customHeight="1">
      <c r="A122" s="55" t="s">
        <v>1214</v>
      </c>
      <c r="B122" s="37" t="s">
        <v>1215</v>
      </c>
      <c r="C122">
        <v>0</v>
      </c>
      <c r="E122" s="37" t="s">
        <v>1215</v>
      </c>
      <c r="F122">
        <v>94</v>
      </c>
      <c r="G122" t="b">
        <f>IF(B122=E122,TRUE,FALSE)</f>
        <v>1</v>
      </c>
      <c r="J122">
        <f t="shared" si="21"/>
        <v>94</v>
      </c>
      <c r="K122" s="4" t="e">
        <f t="shared" si="22"/>
        <v>#DIV/0!</v>
      </c>
      <c r="L122" s="4"/>
      <c r="O122" s="5">
        <v>321.95999999999998</v>
      </c>
      <c r="Q122" s="5">
        <v>1818.42</v>
      </c>
      <c r="U122" s="4"/>
      <c r="AB122" s="18">
        <v>0</v>
      </c>
      <c r="AC122" s="18">
        <v>2048.81</v>
      </c>
      <c r="AD122" s="4" t="e">
        <f>AC122/AB122-1</f>
        <v>#DIV/0!</v>
      </c>
    </row>
    <row r="123" spans="1:30" ht="15" customHeight="1">
      <c r="K123" s="4"/>
      <c r="L123" s="4"/>
      <c r="U123" s="4"/>
      <c r="AB123" s="18"/>
      <c r="AC123" s="18"/>
      <c r="AD123" s="4"/>
    </row>
    <row r="124" spans="1:30" ht="15" customHeight="1">
      <c r="C124" s="19"/>
      <c r="F124" s="19"/>
      <c r="K124" s="4"/>
      <c r="L124" s="4"/>
      <c r="U124" s="4"/>
      <c r="AB124" s="18"/>
      <c r="AC124" s="18"/>
      <c r="AD124" s="4"/>
    </row>
    <row r="125" spans="1:30" ht="13.5" customHeight="1">
      <c r="C125" s="3" t="s">
        <v>644</v>
      </c>
      <c r="D125" s="3"/>
      <c r="E125" s="3"/>
      <c r="F125" s="3" t="s">
        <v>644</v>
      </c>
      <c r="G125" s="3"/>
      <c r="H125" s="3"/>
      <c r="I125" s="3"/>
      <c r="J125" s="3" t="s">
        <v>645</v>
      </c>
      <c r="K125" s="31"/>
      <c r="L125" s="31"/>
      <c r="M125" s="3"/>
      <c r="N125" s="33" t="s">
        <v>646</v>
      </c>
      <c r="O125" s="33" t="s">
        <v>646</v>
      </c>
      <c r="P125" s="3"/>
      <c r="Q125" s="33" t="s">
        <v>647</v>
      </c>
      <c r="R125" s="3"/>
      <c r="S125" s="3"/>
      <c r="T125" s="133" t="s">
        <v>648</v>
      </c>
      <c r="U125" s="31"/>
      <c r="V125" s="3"/>
      <c r="W125" s="3"/>
      <c r="X125" s="3"/>
      <c r="Y125" s="3"/>
      <c r="Z125" s="3"/>
      <c r="AA125" s="34"/>
      <c r="AB125" s="35" t="s">
        <v>3</v>
      </c>
      <c r="AC125" s="35" t="s">
        <v>3</v>
      </c>
    </row>
    <row r="126" spans="1:30">
      <c r="C126" s="19">
        <f>SUM(C3:C122)</f>
        <v>166411</v>
      </c>
      <c r="F126" s="19">
        <f>SUM(F3:F122)</f>
        <v>170327</v>
      </c>
      <c r="J126">
        <f>SUM(J3:J122)</f>
        <v>3916</v>
      </c>
      <c r="K126" s="4"/>
      <c r="L126" s="4"/>
      <c r="N126" s="5">
        <f>SUM(N3:N121)</f>
        <v>188323.61000000002</v>
      </c>
      <c r="O126" s="5">
        <f>SUM(O3:O122)</f>
        <v>190799.73999999993</v>
      </c>
      <c r="Q126" s="5">
        <f>SUM(Q3:Q122)</f>
        <v>1025221.4600000005</v>
      </c>
      <c r="T126" s="132">
        <f>O126-N126</f>
        <v>2476.1299999999173</v>
      </c>
      <c r="U126" s="4">
        <f>IF(N126=0,0,O126/N126-1)</f>
        <v>1.3148271743515849E-2</v>
      </c>
      <c r="X126" s="5"/>
      <c r="Y126" s="5"/>
      <c r="Z126" s="5"/>
      <c r="AA126" s="17"/>
      <c r="AB126" s="18">
        <f>SUM(AB3:AB122)</f>
        <v>3583478.200000002</v>
      </c>
      <c r="AC126" s="18">
        <f>SUM(AC3:AC122)</f>
        <v>3585858.0100000007</v>
      </c>
      <c r="AD126" s="4">
        <f>AC126/AB126-1</f>
        <v>6.6410617483270151E-4</v>
      </c>
    </row>
    <row r="127" spans="1:30">
      <c r="K127" s="4"/>
      <c r="L127" s="4"/>
      <c r="U127" s="4"/>
      <c r="X127" s="5"/>
      <c r="Y127" s="5"/>
      <c r="Z127" s="5"/>
      <c r="AA127" s="17"/>
    </row>
    <row r="128" spans="1:30">
      <c r="C128" s="4"/>
      <c r="F128" s="19">
        <f>F126-C126</f>
        <v>3916</v>
      </c>
      <c r="K128" s="4"/>
      <c r="L128" s="4"/>
      <c r="N128" s="4"/>
      <c r="O128" s="31" t="s">
        <v>649</v>
      </c>
      <c r="Q128" s="26">
        <f>O126/Q126</f>
        <v>0.18610587804121836</v>
      </c>
      <c r="U128" s="4"/>
      <c r="AB128" s="3" t="s">
        <v>650</v>
      </c>
      <c r="AC128" s="3" t="s">
        <v>650</v>
      </c>
    </row>
    <row r="129" spans="6:29">
      <c r="F129" s="4">
        <f>F126/C126-1</f>
        <v>2.3532098238698174E-2</v>
      </c>
      <c r="K129" s="4"/>
      <c r="L129" s="4"/>
      <c r="Q129" s="13"/>
      <c r="U129" s="4"/>
      <c r="AB129" s="32">
        <f>N126/AB126</f>
        <v>5.2553301426530211E-2</v>
      </c>
      <c r="AC129" s="32">
        <f>O126/AC126</f>
        <v>5.3208950122372499E-2</v>
      </c>
    </row>
    <row r="130" spans="6:29">
      <c r="K130" s="4"/>
      <c r="L130" s="4"/>
      <c r="U130" s="4"/>
    </row>
    <row r="131" spans="6:29">
      <c r="K131" s="4"/>
      <c r="L131" s="4"/>
      <c r="U131" s="4"/>
    </row>
    <row r="132" spans="6:29">
      <c r="K132" s="4"/>
      <c r="L132" s="4"/>
      <c r="U132" s="4"/>
    </row>
    <row r="133" spans="6:29">
      <c r="K133" s="4"/>
      <c r="L133" s="4"/>
      <c r="U133" s="4"/>
    </row>
    <row r="134" spans="6:29">
      <c r="U134" s="4"/>
    </row>
    <row r="135" spans="6:29">
      <c r="K135" s="4"/>
      <c r="L135" s="4"/>
      <c r="U135" s="4"/>
    </row>
    <row r="136" spans="6:29">
      <c r="K136" s="4"/>
      <c r="L136" s="4"/>
      <c r="U136" s="4"/>
    </row>
    <row r="137" spans="6:29">
      <c r="K137" s="4"/>
      <c r="L137" s="4"/>
      <c r="U137" s="4"/>
    </row>
    <row r="138" spans="6:29">
      <c r="K138" s="4"/>
      <c r="L138" s="4"/>
      <c r="U138" s="4"/>
    </row>
    <row r="139" spans="6:29">
      <c r="K139" s="4"/>
      <c r="L139" s="4"/>
      <c r="U139" s="4"/>
    </row>
    <row r="140" spans="6:29">
      <c r="K140" s="4"/>
      <c r="L140" s="4"/>
      <c r="U140" s="4"/>
    </row>
    <row r="141" spans="6:29">
      <c r="K141" s="4"/>
      <c r="L141" s="4"/>
      <c r="U141" s="4"/>
    </row>
    <row r="142" spans="6:29">
      <c r="K142" s="4"/>
      <c r="L142" s="4"/>
      <c r="U142" s="4"/>
    </row>
    <row r="143" spans="6:29">
      <c r="K143" s="4"/>
      <c r="L143" s="4"/>
      <c r="U143" s="4"/>
    </row>
    <row r="144" spans="6:29">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6"/>
      <c r="L175" s="6"/>
      <c r="N175" s="11"/>
      <c r="O175" s="11"/>
      <c r="T175" s="137"/>
      <c r="U175" s="6"/>
    </row>
    <row r="176" spans="11:21" ht="15" customHeight="1">
      <c r="K176" s="6"/>
      <c r="L176" s="6"/>
      <c r="N176" s="11"/>
      <c r="O176" s="11"/>
      <c r="T176" s="137"/>
      <c r="U176" s="6"/>
    </row>
    <row r="177" spans="3:21" ht="15" customHeight="1">
      <c r="K177" s="6"/>
      <c r="L177" s="6"/>
      <c r="N177" s="11"/>
      <c r="O177" s="11"/>
      <c r="T177" s="137"/>
      <c r="U177" s="6"/>
    </row>
    <row r="178" spans="3:21" ht="15" customHeight="1">
      <c r="K178" s="6"/>
      <c r="L178" s="6"/>
      <c r="N178" s="11"/>
      <c r="O178" s="11"/>
      <c r="T178" s="137"/>
      <c r="U178" s="6"/>
    </row>
    <row r="179" spans="3:21" ht="15" customHeight="1">
      <c r="K179" s="6"/>
      <c r="N179" s="11"/>
      <c r="O179" s="11"/>
      <c r="T179" s="137"/>
      <c r="U179" s="6"/>
    </row>
    <row r="180" spans="3:21" ht="15" customHeight="1">
      <c r="K180" s="6"/>
      <c r="L180" s="6"/>
      <c r="N180" s="11"/>
      <c r="O180" s="11"/>
      <c r="T180" s="137"/>
      <c r="U180" s="6"/>
    </row>
    <row r="181" spans="3:21" ht="15" customHeight="1">
      <c r="K181" s="6"/>
      <c r="L181" s="6"/>
      <c r="N181" s="11"/>
      <c r="O181" s="11"/>
      <c r="T181" s="137"/>
      <c r="U181" s="6"/>
    </row>
    <row r="182" spans="3:21" ht="15" customHeight="1">
      <c r="K182" s="6"/>
      <c r="L182" s="6"/>
      <c r="N182" s="11"/>
      <c r="O182" s="11"/>
      <c r="T182" s="137"/>
      <c r="U182" s="6"/>
    </row>
    <row r="183" spans="3:21" ht="15" customHeight="1">
      <c r="K183" s="6"/>
      <c r="L183" s="6"/>
      <c r="N183" s="11"/>
      <c r="O183" s="11"/>
      <c r="T183" s="137"/>
      <c r="U183" s="6"/>
    </row>
    <row r="184" spans="3:21">
      <c r="N184" s="11"/>
      <c r="O184" s="11"/>
      <c r="T184" s="137"/>
    </row>
    <row r="185" spans="3:21" ht="15" customHeight="1">
      <c r="C185" s="8"/>
      <c r="F185" s="8"/>
      <c r="J185" s="8"/>
      <c r="N185" s="11"/>
      <c r="O185" s="11"/>
      <c r="T185" s="137"/>
    </row>
    <row r="186" spans="3:21">
      <c r="N186" s="11"/>
      <c r="O186" s="11"/>
      <c r="T186" s="137"/>
    </row>
    <row r="187" spans="3:21" ht="15" customHeight="1">
      <c r="N187" s="11"/>
      <c r="O187" s="11"/>
      <c r="T187" s="137"/>
    </row>
    <row r="188" spans="3:21" ht="15" customHeight="1">
      <c r="C188" s="9"/>
      <c r="F188" s="9"/>
    </row>
    <row r="190" spans="3:21" ht="15" customHeight="1">
      <c r="C190" s="8"/>
      <c r="F190" s="8"/>
    </row>
    <row r="193" spans="3:6" ht="15" customHeight="1">
      <c r="C193" s="9"/>
      <c r="F193" s="9"/>
    </row>
  </sheetData>
  <autoFilter ref="A2:AD121" xr:uid="{A0872D2E-CA91-4628-AF55-6EA17D54F5B9}">
    <sortState xmlns:xlrd2="http://schemas.microsoft.com/office/spreadsheetml/2017/richdata2" ref="A3:AD121">
      <sortCondition descending="1" ref="J2:J121"/>
    </sortState>
  </autoFilter>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2:J125 J127:J133 J135:J184">
    <cfRule type="cellIs" dxfId="12" priority="7" operator="greaterThan">
      <formula>500</formula>
    </cfRule>
  </conditionalFormatting>
  <conditionalFormatting sqref="J3:J125 J127:J133 J135:J183">
    <cfRule type="cellIs" dxfId="11" priority="11" operator="lessThan">
      <formula>-100</formula>
    </cfRule>
  </conditionalFormatting>
  <conditionalFormatting sqref="J186:J1048576">
    <cfRule type="cellIs" dxfId="10" priority="30" operator="greaterThan">
      <formula>500</formula>
    </cfRule>
  </conditionalFormatting>
  <conditionalFormatting sqref="K2">
    <cfRule type="cellIs" dxfId="9" priority="31" operator="lessThan">
      <formula>-20%</formula>
    </cfRule>
  </conditionalFormatting>
  <conditionalFormatting sqref="K3:K133 K135:K1048576">
    <cfRule type="cellIs" dxfId="8" priority="14" operator="lessThan">
      <formula>-0.2</formula>
    </cfRule>
  </conditionalFormatting>
  <conditionalFormatting sqref="K3:L3 L4:L72 K4:K133 L74:L83 L85:L133 L135:L179 K135:K183">
    <cfRule type="cellIs" dxfId="7" priority="35" operator="greaterThan">
      <formula>0.2</formula>
    </cfRule>
  </conditionalFormatting>
  <conditionalFormatting sqref="U3:U183">
    <cfRule type="cellIs" dxfId="6" priority="33" operator="greaterThan">
      <formula>0.5</formula>
    </cfRule>
  </conditionalFormatting>
  <conditionalFormatting sqref="AD3:AD124">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26">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L54"/>
  <sheetViews>
    <sheetView topLeftCell="AH1" zoomScale="85" zoomScaleNormal="85" workbookViewId="0">
      <selection activeCell="AH13" sqref="AH13"/>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2" width="16.5703125" customWidth="1"/>
  </cols>
  <sheetData>
    <row r="1" spans="1:38" ht="15.75" thickBot="1">
      <c r="A1" s="36" t="s">
        <v>1216</v>
      </c>
      <c r="B1" s="58" t="s">
        <v>1217</v>
      </c>
      <c r="C1" s="58" t="s">
        <v>1218</v>
      </c>
      <c r="D1" s="58" t="s">
        <v>1219</v>
      </c>
      <c r="E1" s="58" t="s">
        <v>1220</v>
      </c>
      <c r="F1" s="58" t="s">
        <v>1221</v>
      </c>
      <c r="G1" s="58" t="s">
        <v>1222</v>
      </c>
      <c r="H1" s="58" t="s">
        <v>1223</v>
      </c>
      <c r="I1" s="58" t="s">
        <v>1224</v>
      </c>
      <c r="J1" s="58" t="s">
        <v>1225</v>
      </c>
      <c r="K1" s="58" t="s">
        <v>1226</v>
      </c>
      <c r="L1" s="58" t="s">
        <v>1227</v>
      </c>
      <c r="M1" s="58" t="s">
        <v>1228</v>
      </c>
      <c r="N1" s="58" t="s">
        <v>1229</v>
      </c>
      <c r="O1" s="58" t="s">
        <v>1230</v>
      </c>
      <c r="P1" s="58" t="s">
        <v>1231</v>
      </c>
      <c r="Q1" s="58" t="s">
        <v>1232</v>
      </c>
      <c r="R1" s="58" t="s">
        <v>1233</v>
      </c>
      <c r="S1" s="58" t="s">
        <v>1234</v>
      </c>
      <c r="T1" s="58" t="s">
        <v>1235</v>
      </c>
      <c r="U1" s="58" t="s">
        <v>1236</v>
      </c>
      <c r="V1" s="58" t="s">
        <v>1237</v>
      </c>
      <c r="W1" s="58" t="s">
        <v>1238</v>
      </c>
      <c r="X1" s="58" t="s">
        <v>1239</v>
      </c>
      <c r="Y1" s="59" t="s">
        <v>1240</v>
      </c>
      <c r="Z1" s="59" t="s">
        <v>1241</v>
      </c>
      <c r="AA1" s="59" t="s">
        <v>1242</v>
      </c>
      <c r="AB1" s="59" t="s">
        <v>1243</v>
      </c>
      <c r="AC1" s="59" t="s">
        <v>1244</v>
      </c>
      <c r="AD1" s="59" t="s">
        <v>1245</v>
      </c>
      <c r="AE1" s="59" t="s">
        <v>1246</v>
      </c>
      <c r="AF1" s="59" t="s">
        <v>1247</v>
      </c>
    </row>
    <row r="2" spans="1:38">
      <c r="A2" s="60" t="s">
        <v>1248</v>
      </c>
      <c r="B2" s="61">
        <v>4932070</v>
      </c>
      <c r="C2" s="61">
        <v>4882291</v>
      </c>
      <c r="D2" s="61">
        <v>5747107</v>
      </c>
      <c r="E2" s="61">
        <v>5558578</v>
      </c>
      <c r="F2" s="61">
        <v>5608447</v>
      </c>
      <c r="G2" s="61">
        <v>5365821</v>
      </c>
      <c r="H2" s="61">
        <v>6175048</v>
      </c>
      <c r="I2" s="61">
        <v>6208913</v>
      </c>
      <c r="J2" s="61">
        <v>6107157</v>
      </c>
      <c r="K2" s="61">
        <v>6062880</v>
      </c>
      <c r="L2" s="61">
        <v>6409021</v>
      </c>
      <c r="M2" s="61">
        <v>5849059</v>
      </c>
      <c r="N2" s="96">
        <v>7678962</v>
      </c>
      <c r="O2" s="61">
        <v>8708296</v>
      </c>
      <c r="P2" s="61">
        <v>10429669.960000001</v>
      </c>
      <c r="Q2" s="61">
        <v>12527965</v>
      </c>
      <c r="R2" s="61">
        <v>12400737</v>
      </c>
      <c r="S2" s="61">
        <v>12318165</v>
      </c>
      <c r="T2" s="61">
        <v>13296822</v>
      </c>
      <c r="U2" s="61">
        <v>12427810.4</v>
      </c>
      <c r="V2" s="61">
        <v>12425462.310000001</v>
      </c>
      <c r="W2" s="61">
        <v>13116754.92</v>
      </c>
      <c r="X2" s="61">
        <v>13168808.529999999</v>
      </c>
      <c r="Y2" s="61">
        <v>13467008.08</v>
      </c>
      <c r="Z2" s="61">
        <v>16902826.940000001</v>
      </c>
      <c r="AA2" s="61">
        <v>17685415.640000001</v>
      </c>
      <c r="AB2" s="61">
        <v>17844095.539999999</v>
      </c>
      <c r="AC2" s="125">
        <v>20055646.200000003</v>
      </c>
      <c r="AD2" s="125">
        <v>18715254.290000007</v>
      </c>
      <c r="AE2" s="125">
        <v>17998376.469999991</v>
      </c>
      <c r="AF2" s="125">
        <v>18949710.699999999</v>
      </c>
    </row>
    <row r="3" spans="1:38">
      <c r="A3" s="63" t="s">
        <v>1249</v>
      </c>
      <c r="B3" s="64">
        <v>2297147</v>
      </c>
      <c r="C3" s="64">
        <v>2150420</v>
      </c>
      <c r="D3" s="64">
        <v>2629984</v>
      </c>
      <c r="E3" s="64">
        <v>2521569</v>
      </c>
      <c r="F3" s="64">
        <v>2259914</v>
      </c>
      <c r="G3" s="64">
        <v>2519256</v>
      </c>
      <c r="H3" s="64">
        <v>2827089</v>
      </c>
      <c r="I3" s="64">
        <v>2875100</v>
      </c>
      <c r="J3" s="64">
        <v>3207713</v>
      </c>
      <c r="K3" s="64">
        <v>2859584</v>
      </c>
      <c r="L3" s="64">
        <v>3081446</v>
      </c>
      <c r="M3" s="64">
        <v>3056146</v>
      </c>
      <c r="N3" s="97">
        <v>3844080</v>
      </c>
      <c r="O3" s="64">
        <v>3634529</v>
      </c>
      <c r="P3" s="64">
        <v>3706201</v>
      </c>
      <c r="Q3" s="64">
        <v>3814600</v>
      </c>
      <c r="R3" s="64">
        <v>3900991</v>
      </c>
      <c r="S3" s="64">
        <v>3690019</v>
      </c>
      <c r="T3" s="64">
        <v>3951398</v>
      </c>
      <c r="U3" s="64">
        <v>3583522.44</v>
      </c>
      <c r="V3" s="64">
        <v>3864300.73</v>
      </c>
      <c r="W3" s="64">
        <v>4230378.59</v>
      </c>
      <c r="X3" s="64">
        <v>4478555.7300000004</v>
      </c>
      <c r="Y3" s="64">
        <v>4536415</v>
      </c>
      <c r="Z3" s="64">
        <v>5536315.4100000001</v>
      </c>
      <c r="AA3" s="64">
        <v>5487073.7100000009</v>
      </c>
      <c r="AB3" s="64">
        <v>5227360</v>
      </c>
      <c r="AC3" s="129">
        <v>5178806.76</v>
      </c>
      <c r="AD3" s="129">
        <v>5401656.5199999977</v>
      </c>
      <c r="AE3" s="129">
        <v>5377394.1300000018</v>
      </c>
      <c r="AF3" s="129">
        <v>5402282.9000000004</v>
      </c>
    </row>
    <row r="4" spans="1:38">
      <c r="A4" s="65" t="s">
        <v>1250</v>
      </c>
      <c r="B4" s="66">
        <v>1279804</v>
      </c>
      <c r="C4" s="66">
        <v>1268372</v>
      </c>
      <c r="D4" s="66">
        <v>1573830</v>
      </c>
      <c r="E4" s="66">
        <v>1506528</v>
      </c>
      <c r="F4" s="66">
        <v>1655029</v>
      </c>
      <c r="G4" s="66">
        <v>1700272</v>
      </c>
      <c r="H4" s="66">
        <v>2169477</v>
      </c>
      <c r="I4" s="66">
        <v>2248226</v>
      </c>
      <c r="J4" s="66">
        <v>2556442</v>
      </c>
      <c r="K4" s="66">
        <v>2514905</v>
      </c>
      <c r="L4" s="66">
        <v>2557339</v>
      </c>
      <c r="M4" s="66">
        <v>2415591</v>
      </c>
      <c r="N4" s="98">
        <v>2984457</v>
      </c>
      <c r="O4" s="66">
        <v>2977315</v>
      </c>
      <c r="P4" s="66">
        <v>3001644</v>
      </c>
      <c r="Q4" s="66">
        <v>3078498</v>
      </c>
      <c r="R4" s="66">
        <v>3417854</v>
      </c>
      <c r="S4" s="66">
        <v>2883462</v>
      </c>
      <c r="T4" s="66">
        <v>2983823.16</v>
      </c>
      <c r="U4" s="66">
        <v>2907226.21</v>
      </c>
      <c r="V4" s="66">
        <v>3099136.78</v>
      </c>
      <c r="W4" s="66">
        <v>3166072.06</v>
      </c>
      <c r="X4" s="66">
        <v>3138932.53</v>
      </c>
      <c r="Y4" s="66">
        <v>2941749.11</v>
      </c>
      <c r="Z4" s="66">
        <v>3609131</v>
      </c>
      <c r="AA4" s="66">
        <v>3670417.9999999991</v>
      </c>
      <c r="AB4" s="66">
        <v>3674547</v>
      </c>
      <c r="AC4" s="130">
        <v>3639874.11</v>
      </c>
      <c r="AD4" s="130">
        <v>3427273.69</v>
      </c>
      <c r="AE4" s="130">
        <v>3583478.2000000016</v>
      </c>
      <c r="AF4" s="130">
        <v>3585858.0100000007</v>
      </c>
    </row>
    <row r="5" spans="1:38" ht="15.75" thickBot="1">
      <c r="A5" s="67" t="s">
        <v>1251</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99">
        <v>14507499</v>
      </c>
      <c r="O5" s="68">
        <v>15320140</v>
      </c>
      <c r="P5" s="68">
        <v>17137514.960000001</v>
      </c>
      <c r="Q5" s="68">
        <v>19421063</v>
      </c>
      <c r="R5" s="68">
        <v>19719582</v>
      </c>
      <c r="S5" s="68">
        <v>18891646</v>
      </c>
      <c r="T5" s="68">
        <v>20232043.16</v>
      </c>
      <c r="U5" s="68">
        <v>18918559.050000001</v>
      </c>
      <c r="V5" s="68">
        <v>19388899.82</v>
      </c>
      <c r="W5" s="68">
        <v>20513205.57</v>
      </c>
      <c r="X5" s="68">
        <v>20786296.789999999</v>
      </c>
      <c r="Y5" s="68">
        <f t="shared" ref="Y5:AD5" si="0">SUM(Y2:Y4)</f>
        <v>20945172.189999998</v>
      </c>
      <c r="Z5" s="68">
        <f t="shared" si="0"/>
        <v>26048273.350000001</v>
      </c>
      <c r="AA5" s="68">
        <f t="shared" si="0"/>
        <v>26842907.350000001</v>
      </c>
      <c r="AB5" s="68">
        <f t="shared" si="0"/>
        <v>26746002.539999999</v>
      </c>
      <c r="AC5" s="131">
        <f t="shared" si="0"/>
        <v>28874327.07</v>
      </c>
      <c r="AD5" s="131">
        <f t="shared" si="0"/>
        <v>27544184.500000004</v>
      </c>
      <c r="AE5" s="131">
        <f t="shared" ref="AE5:AF5" si="1">SUM(AE2:AE4)</f>
        <v>26959248.799999997</v>
      </c>
      <c r="AF5" s="131">
        <f>SUM(AF2:AF4)</f>
        <v>27937851.610000003</v>
      </c>
    </row>
    <row r="6" spans="1:38">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c r="AC6" s="62"/>
    </row>
    <row r="7" spans="1:38" ht="15.75"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D7" s="27"/>
      <c r="AE7" s="27"/>
      <c r="AF7" s="27"/>
      <c r="AL7" s="62"/>
    </row>
    <row r="8" spans="1:38" ht="15.75" thickBot="1">
      <c r="A8" s="36" t="s">
        <v>1252</v>
      </c>
      <c r="B8" s="58" t="s">
        <v>1217</v>
      </c>
      <c r="C8" s="58" t="s">
        <v>1218</v>
      </c>
      <c r="D8" s="58" t="s">
        <v>1219</v>
      </c>
      <c r="E8" s="58" t="s">
        <v>1220</v>
      </c>
      <c r="F8" s="58" t="s">
        <v>1221</v>
      </c>
      <c r="G8" s="58" t="s">
        <v>1222</v>
      </c>
      <c r="H8" s="58" t="s">
        <v>1223</v>
      </c>
      <c r="I8" s="58" t="s">
        <v>1224</v>
      </c>
      <c r="J8" s="58" t="s">
        <v>1225</v>
      </c>
      <c r="K8" s="58" t="s">
        <v>1226</v>
      </c>
      <c r="L8" s="58" t="s">
        <v>1227</v>
      </c>
      <c r="M8" s="58" t="s">
        <v>1228</v>
      </c>
      <c r="N8" s="58" t="s">
        <v>1229</v>
      </c>
      <c r="O8" s="58" t="s">
        <v>1230</v>
      </c>
      <c r="P8" s="58" t="s">
        <v>1231</v>
      </c>
      <c r="Q8" s="58" t="s">
        <v>1232</v>
      </c>
      <c r="R8" s="58" t="s">
        <v>1233</v>
      </c>
      <c r="S8" s="58" t="s">
        <v>1234</v>
      </c>
      <c r="T8" s="58" t="s">
        <v>1235</v>
      </c>
      <c r="U8" s="58" t="s">
        <v>1236</v>
      </c>
      <c r="V8" s="58" t="s">
        <v>1237</v>
      </c>
      <c r="W8" s="58" t="s">
        <v>1238</v>
      </c>
      <c r="X8" s="58" t="s">
        <v>1239</v>
      </c>
      <c r="Y8" s="59" t="s">
        <v>1240</v>
      </c>
      <c r="Z8" s="59" t="s">
        <v>1241</v>
      </c>
      <c r="AA8" s="59" t="s">
        <v>1242</v>
      </c>
      <c r="AB8" s="59" t="s">
        <v>1243</v>
      </c>
      <c r="AC8" s="59" t="s">
        <v>1244</v>
      </c>
      <c r="AD8" s="59" t="s">
        <v>1245</v>
      </c>
      <c r="AE8" s="59" t="s">
        <v>1246</v>
      </c>
      <c r="AF8" s="59" t="s">
        <v>1247</v>
      </c>
    </row>
    <row r="9" spans="1:38">
      <c r="A9" s="60" t="s">
        <v>1248</v>
      </c>
      <c r="B9" s="70"/>
      <c r="C9" s="70"/>
      <c r="D9" s="70"/>
      <c r="E9" s="70"/>
      <c r="F9" s="70"/>
      <c r="G9" s="70"/>
      <c r="H9" s="70"/>
      <c r="I9" s="61">
        <v>1904424</v>
      </c>
      <c r="J9" s="61">
        <v>1695098</v>
      </c>
      <c r="K9" s="61">
        <v>1666813</v>
      </c>
      <c r="L9" s="61">
        <v>1750099</v>
      </c>
      <c r="M9" s="61">
        <v>1643527</v>
      </c>
      <c r="N9" s="96">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v>5020104.29</v>
      </c>
      <c r="AA9" s="61">
        <v>5590028.4100000001</v>
      </c>
      <c r="AB9" s="61">
        <v>5666226.75</v>
      </c>
      <c r="AC9" s="124">
        <v>5447442.3499999996</v>
      </c>
      <c r="AD9" s="124">
        <v>5556379.3300000019</v>
      </c>
      <c r="AE9" s="124">
        <v>5686329.8300000038</v>
      </c>
      <c r="AF9" s="124">
        <v>6201229.6000000006</v>
      </c>
    </row>
    <row r="10" spans="1:38">
      <c r="A10" s="63" t="s">
        <v>1249</v>
      </c>
      <c r="B10" s="71"/>
      <c r="C10" s="71"/>
      <c r="D10" s="71"/>
      <c r="E10" s="71"/>
      <c r="F10" s="71"/>
      <c r="G10" s="71"/>
      <c r="H10" s="71"/>
      <c r="I10" s="64">
        <v>706024</v>
      </c>
      <c r="J10" s="64">
        <v>780336</v>
      </c>
      <c r="K10" s="64">
        <v>681505.29</v>
      </c>
      <c r="L10" s="64">
        <v>757472</v>
      </c>
      <c r="M10" s="64">
        <v>689408</v>
      </c>
      <c r="N10" s="97">
        <v>1042938</v>
      </c>
      <c r="O10" s="64">
        <v>993958</v>
      </c>
      <c r="P10" s="64">
        <v>1014061</v>
      </c>
      <c r="Q10" s="64">
        <v>988563</v>
      </c>
      <c r="R10" s="64">
        <v>976671</v>
      </c>
      <c r="S10" s="64">
        <v>810220</v>
      </c>
      <c r="T10" s="64">
        <v>880304</v>
      </c>
      <c r="U10" s="64">
        <v>819190</v>
      </c>
      <c r="V10" s="64">
        <v>844494</v>
      </c>
      <c r="W10" s="64">
        <v>986509</v>
      </c>
      <c r="X10" s="64">
        <v>1077277</v>
      </c>
      <c r="Y10" s="64">
        <v>1149351</v>
      </c>
      <c r="Z10" s="64">
        <v>1516609</v>
      </c>
      <c r="AA10" s="64">
        <v>1641173.6800000006</v>
      </c>
      <c r="AB10" s="64">
        <v>1512470</v>
      </c>
      <c r="AC10" s="126">
        <v>1319420</v>
      </c>
      <c r="AD10" s="126">
        <v>1455364.5700000005</v>
      </c>
      <c r="AE10" s="126">
        <v>1354767.88</v>
      </c>
      <c r="AF10" s="126">
        <v>1343264.7299999997</v>
      </c>
    </row>
    <row r="11" spans="1:38">
      <c r="A11" s="65" t="s">
        <v>1250</v>
      </c>
      <c r="B11" s="72"/>
      <c r="C11" s="72"/>
      <c r="D11" s="72"/>
      <c r="E11" s="72"/>
      <c r="F11" s="72"/>
      <c r="G11" s="72"/>
      <c r="H11" s="72"/>
      <c r="I11" s="66">
        <v>601219</v>
      </c>
      <c r="J11" s="66">
        <v>693403</v>
      </c>
      <c r="K11" s="66">
        <v>656364.23</v>
      </c>
      <c r="L11" s="66">
        <v>695530</v>
      </c>
      <c r="M11" s="66">
        <v>708403</v>
      </c>
      <c r="N11" s="98">
        <v>973949</v>
      </c>
      <c r="O11" s="66">
        <v>951983</v>
      </c>
      <c r="P11" s="66">
        <v>931209</v>
      </c>
      <c r="Q11" s="66">
        <v>895312</v>
      </c>
      <c r="R11" s="66">
        <v>1019778</v>
      </c>
      <c r="S11" s="66">
        <v>790104</v>
      </c>
      <c r="T11" s="66">
        <v>808969</v>
      </c>
      <c r="U11" s="66">
        <v>809964</v>
      </c>
      <c r="V11" s="66">
        <v>874705</v>
      </c>
      <c r="W11" s="66">
        <v>857979</v>
      </c>
      <c r="X11" s="66">
        <v>789235</v>
      </c>
      <c r="Y11" s="66">
        <v>795115</v>
      </c>
      <c r="Z11" s="66">
        <v>1098357</v>
      </c>
      <c r="AA11" s="66">
        <v>1160975.4900000002</v>
      </c>
      <c r="AB11" s="66">
        <v>1171911</v>
      </c>
      <c r="AC11" s="127">
        <v>969742</v>
      </c>
      <c r="AD11" s="127">
        <v>1028082.6799999999</v>
      </c>
      <c r="AE11" s="127">
        <v>1013652.5499999993</v>
      </c>
      <c r="AF11" s="127">
        <v>1025221.4600000005</v>
      </c>
    </row>
    <row r="12" spans="1:38" ht="15.75" thickBot="1">
      <c r="A12" s="67" t="s">
        <v>1251</v>
      </c>
      <c r="B12" s="73"/>
      <c r="C12" s="73"/>
      <c r="D12" s="73"/>
      <c r="E12" s="73"/>
      <c r="F12" s="73"/>
      <c r="G12" s="73"/>
      <c r="H12" s="73"/>
      <c r="I12" s="68">
        <v>3211667</v>
      </c>
      <c r="J12" s="68">
        <v>3168837</v>
      </c>
      <c r="K12" s="68">
        <v>3004682.52</v>
      </c>
      <c r="L12" s="68">
        <v>3203101</v>
      </c>
      <c r="M12" s="68">
        <v>3041338</v>
      </c>
      <c r="N12" s="99">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f t="shared" ref="Z12:AE12" si="2">SUM(Z9:Z11)</f>
        <v>7635070.29</v>
      </c>
      <c r="AA12" s="68">
        <f t="shared" si="2"/>
        <v>8392177.5800000019</v>
      </c>
      <c r="AB12" s="68">
        <f t="shared" si="2"/>
        <v>8350607.75</v>
      </c>
      <c r="AC12" s="128">
        <f t="shared" si="2"/>
        <v>7736604.3499999996</v>
      </c>
      <c r="AD12" s="128">
        <f t="shared" si="2"/>
        <v>8039826.5800000019</v>
      </c>
      <c r="AE12" s="128">
        <f t="shared" si="2"/>
        <v>8054750.2600000035</v>
      </c>
      <c r="AF12" s="128">
        <f>SUM(AF9:AF11)</f>
        <v>8569715.790000001</v>
      </c>
    </row>
    <row r="13" spans="1:38">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27"/>
      <c r="AB13" s="27"/>
      <c r="AC13" s="27"/>
      <c r="AD13" s="27"/>
      <c r="AE13" s="27"/>
      <c r="AF13" s="27"/>
    </row>
    <row r="14" spans="1:38" ht="15.75" thickBo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38" ht="15.75" thickBot="1">
      <c r="A15" s="36" t="s">
        <v>1253</v>
      </c>
      <c r="B15" s="58" t="s">
        <v>1217</v>
      </c>
      <c r="C15" s="58" t="s">
        <v>1218</v>
      </c>
      <c r="D15" s="58" t="s">
        <v>1219</v>
      </c>
      <c r="E15" s="58" t="s">
        <v>1220</v>
      </c>
      <c r="F15" s="58" t="s">
        <v>1221</v>
      </c>
      <c r="G15" s="58" t="s">
        <v>1222</v>
      </c>
      <c r="H15" s="58" t="s">
        <v>1223</v>
      </c>
      <c r="I15" s="58" t="s">
        <v>1224</v>
      </c>
      <c r="J15" s="58" t="s">
        <v>1225</v>
      </c>
      <c r="K15" s="58" t="s">
        <v>1226</v>
      </c>
      <c r="L15" s="58" t="s">
        <v>1227</v>
      </c>
      <c r="M15" s="58" t="s">
        <v>1228</v>
      </c>
      <c r="N15" s="58" t="s">
        <v>1229</v>
      </c>
      <c r="O15" s="58" t="s">
        <v>1230</v>
      </c>
      <c r="P15" s="58" t="s">
        <v>1231</v>
      </c>
      <c r="Q15" s="58" t="s">
        <v>1232</v>
      </c>
      <c r="R15" s="58" t="s">
        <v>1233</v>
      </c>
      <c r="S15" s="58" t="s">
        <v>1234</v>
      </c>
      <c r="T15" s="58" t="s">
        <v>1235</v>
      </c>
      <c r="U15" s="58" t="s">
        <v>1236</v>
      </c>
      <c r="V15" s="58" t="s">
        <v>1237</v>
      </c>
      <c r="W15" s="58" t="s">
        <v>1238</v>
      </c>
      <c r="X15" s="58" t="s">
        <v>1239</v>
      </c>
      <c r="Y15" s="59" t="s">
        <v>1240</v>
      </c>
      <c r="Z15" s="59" t="s">
        <v>1241</v>
      </c>
      <c r="AA15" s="59" t="s">
        <v>1242</v>
      </c>
      <c r="AB15" s="59" t="s">
        <v>1243</v>
      </c>
      <c r="AC15" s="59" t="s">
        <v>1244</v>
      </c>
      <c r="AD15" s="59" t="s">
        <v>1245</v>
      </c>
      <c r="AE15" s="59" t="s">
        <v>1246</v>
      </c>
      <c r="AF15" s="59" t="s">
        <v>1247</v>
      </c>
    </row>
    <row r="16" spans="1:38">
      <c r="A16" s="60" t="s">
        <v>1248</v>
      </c>
      <c r="B16" s="70"/>
      <c r="C16" s="61">
        <v>281621</v>
      </c>
      <c r="D16" s="61">
        <v>273878</v>
      </c>
      <c r="E16" s="61">
        <v>277809</v>
      </c>
      <c r="F16" s="61">
        <v>254443</v>
      </c>
      <c r="G16" s="61">
        <v>260570</v>
      </c>
      <c r="H16" s="61">
        <v>336892</v>
      </c>
      <c r="I16" s="61">
        <v>353937</v>
      </c>
      <c r="J16" s="61">
        <v>290810</v>
      </c>
      <c r="K16" s="61">
        <v>287548</v>
      </c>
      <c r="L16" s="61">
        <v>293581</v>
      </c>
      <c r="M16" s="61">
        <v>260800</v>
      </c>
      <c r="N16" s="96">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v>771258.65</v>
      </c>
      <c r="AA16" s="61">
        <v>816469.8</v>
      </c>
      <c r="AB16" s="61">
        <v>775860.44</v>
      </c>
      <c r="AC16" s="124">
        <v>712776.75</v>
      </c>
      <c r="AD16" s="124">
        <v>749152.51000000071</v>
      </c>
      <c r="AE16" s="124">
        <v>784754.15999999898</v>
      </c>
      <c r="AF16" s="124">
        <v>879983.60000000033</v>
      </c>
    </row>
    <row r="17" spans="1:32">
      <c r="A17" s="63" t="s">
        <v>1249</v>
      </c>
      <c r="B17" s="71"/>
      <c r="C17" s="64">
        <v>157254</v>
      </c>
      <c r="D17" s="64">
        <v>174005</v>
      </c>
      <c r="E17" s="64">
        <v>171273</v>
      </c>
      <c r="F17" s="64">
        <v>118695</v>
      </c>
      <c r="G17" s="64">
        <v>125637</v>
      </c>
      <c r="H17" s="64">
        <v>173332</v>
      </c>
      <c r="I17" s="64">
        <v>150428</v>
      </c>
      <c r="J17" s="64">
        <v>151620</v>
      </c>
      <c r="K17" s="64">
        <v>124967</v>
      </c>
      <c r="L17" s="64">
        <v>130035</v>
      </c>
      <c r="M17" s="64">
        <v>120095.34</v>
      </c>
      <c r="N17" s="97">
        <v>195481</v>
      </c>
      <c r="O17" s="64">
        <v>192130</v>
      </c>
      <c r="P17" s="64">
        <v>176189</v>
      </c>
      <c r="Q17" s="64">
        <v>173609</v>
      </c>
      <c r="R17" s="64">
        <v>163129</v>
      </c>
      <c r="S17" s="64">
        <v>151125</v>
      </c>
      <c r="T17" s="64">
        <v>162391</v>
      </c>
      <c r="U17" s="64">
        <v>165932.48000000001</v>
      </c>
      <c r="V17" s="64">
        <v>174978.27</v>
      </c>
      <c r="W17" s="64">
        <v>190435</v>
      </c>
      <c r="X17" s="64">
        <v>218696</v>
      </c>
      <c r="Y17" s="64">
        <v>248084</v>
      </c>
      <c r="Z17" s="64">
        <v>331372</v>
      </c>
      <c r="AA17" s="64">
        <v>332112</v>
      </c>
      <c r="AB17" s="64">
        <v>291118</v>
      </c>
      <c r="AC17" s="126">
        <v>253586</v>
      </c>
      <c r="AD17" s="126">
        <v>279025.34999999998</v>
      </c>
      <c r="AE17" s="126">
        <v>263243.46999999997</v>
      </c>
      <c r="AF17" s="126">
        <v>247762.80000000016</v>
      </c>
    </row>
    <row r="18" spans="1:32">
      <c r="A18" s="65" t="s">
        <v>1250</v>
      </c>
      <c r="B18" s="72"/>
      <c r="C18" s="66">
        <v>105644</v>
      </c>
      <c r="D18" s="66">
        <v>123530</v>
      </c>
      <c r="E18" s="66">
        <v>111756</v>
      </c>
      <c r="F18" s="66">
        <v>101708</v>
      </c>
      <c r="G18" s="66">
        <v>115414</v>
      </c>
      <c r="H18" s="66">
        <v>149559</v>
      </c>
      <c r="I18" s="66">
        <v>140607</v>
      </c>
      <c r="J18" s="66">
        <v>149786</v>
      </c>
      <c r="K18" s="66">
        <v>131233</v>
      </c>
      <c r="L18" s="66">
        <v>134895</v>
      </c>
      <c r="M18" s="66">
        <v>135219</v>
      </c>
      <c r="N18" s="98">
        <v>200784</v>
      </c>
      <c r="O18" s="66">
        <v>185443</v>
      </c>
      <c r="P18" s="66">
        <v>173278</v>
      </c>
      <c r="Q18" s="66">
        <v>161823</v>
      </c>
      <c r="R18" s="66">
        <v>174040</v>
      </c>
      <c r="S18" s="66">
        <v>147768</v>
      </c>
      <c r="T18" s="66">
        <v>154351</v>
      </c>
      <c r="U18" s="66">
        <v>166396.01999999999</v>
      </c>
      <c r="V18" s="66">
        <v>184384.8</v>
      </c>
      <c r="W18" s="66">
        <v>169616</v>
      </c>
      <c r="X18" s="66">
        <v>160236</v>
      </c>
      <c r="Y18" s="66">
        <v>168096</v>
      </c>
      <c r="Z18" s="66">
        <v>231151</v>
      </c>
      <c r="AA18" s="66">
        <v>232388</v>
      </c>
      <c r="AB18" s="66">
        <v>226071</v>
      </c>
      <c r="AC18" s="127">
        <v>182617</v>
      </c>
      <c r="AD18" s="127">
        <v>193963.78</v>
      </c>
      <c r="AE18" s="127">
        <v>188323.60999999993</v>
      </c>
      <c r="AF18" s="127">
        <v>190799.73999999993</v>
      </c>
    </row>
    <row r="19" spans="1:32" ht="15.75" thickBot="1">
      <c r="A19" s="67" t="s">
        <v>1251</v>
      </c>
      <c r="B19" s="73"/>
      <c r="C19" s="68">
        <v>544519</v>
      </c>
      <c r="D19" s="68">
        <v>571413</v>
      </c>
      <c r="E19" s="68">
        <v>560838</v>
      </c>
      <c r="F19" s="68">
        <v>474846</v>
      </c>
      <c r="G19" s="68">
        <v>501621</v>
      </c>
      <c r="H19" s="68">
        <v>659783</v>
      </c>
      <c r="I19" s="68">
        <v>644972</v>
      </c>
      <c r="J19" s="68">
        <v>592216</v>
      </c>
      <c r="K19" s="68">
        <v>543748</v>
      </c>
      <c r="L19" s="68">
        <v>558511</v>
      </c>
      <c r="M19" s="68">
        <v>516114.34</v>
      </c>
      <c r="N19" s="99">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f t="shared" ref="Z19:AE19" si="3">SUM(Z16:Z18)</f>
        <v>1333781.6499999999</v>
      </c>
      <c r="AA19" s="68">
        <f t="shared" si="3"/>
        <v>1380969.8</v>
      </c>
      <c r="AB19" s="68">
        <f t="shared" si="3"/>
        <v>1293049.44</v>
      </c>
      <c r="AC19" s="128">
        <f t="shared" si="3"/>
        <v>1148979.75</v>
      </c>
      <c r="AD19" s="128">
        <f t="shared" si="3"/>
        <v>1222141.6400000006</v>
      </c>
      <c r="AE19" s="128">
        <f t="shared" si="3"/>
        <v>1236321.2399999988</v>
      </c>
      <c r="AF19" s="128">
        <f>SUM(AF16:AF18)</f>
        <v>1318546.1400000004</v>
      </c>
    </row>
    <row r="20" spans="1:32">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spans="1:32" ht="15.75" thickBo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spans="1:32" ht="15.75" thickBot="1">
      <c r="A22" s="36" t="s">
        <v>650</v>
      </c>
      <c r="B22" s="58" t="s">
        <v>1217</v>
      </c>
      <c r="C22" s="58" t="s">
        <v>1218</v>
      </c>
      <c r="D22" s="58" t="s">
        <v>1219</v>
      </c>
      <c r="E22" s="58" t="s">
        <v>1220</v>
      </c>
      <c r="F22" s="58" t="s">
        <v>1221</v>
      </c>
      <c r="G22" s="58" t="s">
        <v>1222</v>
      </c>
      <c r="H22" s="58" t="s">
        <v>1223</v>
      </c>
      <c r="I22" s="58" t="s">
        <v>1224</v>
      </c>
      <c r="J22" s="58" t="s">
        <v>1225</v>
      </c>
      <c r="K22" s="58" t="s">
        <v>1226</v>
      </c>
      <c r="L22" s="58" t="s">
        <v>1227</v>
      </c>
      <c r="M22" s="58" t="s">
        <v>1228</v>
      </c>
      <c r="N22" s="58" t="s">
        <v>1229</v>
      </c>
      <c r="O22" s="58" t="s">
        <v>1230</v>
      </c>
      <c r="P22" s="58" t="s">
        <v>1231</v>
      </c>
      <c r="Q22" s="58" t="s">
        <v>1232</v>
      </c>
      <c r="R22" s="58" t="s">
        <v>1233</v>
      </c>
      <c r="S22" s="58" t="s">
        <v>1234</v>
      </c>
      <c r="T22" s="58" t="s">
        <v>1235</v>
      </c>
      <c r="U22" s="58" t="s">
        <v>1236</v>
      </c>
      <c r="V22" s="58" t="s">
        <v>1237</v>
      </c>
      <c r="W22" s="58" t="s">
        <v>1238</v>
      </c>
      <c r="X22" s="58" t="s">
        <v>1239</v>
      </c>
      <c r="Y22" s="59" t="s">
        <v>1240</v>
      </c>
      <c r="Z22" s="59" t="s">
        <v>1241</v>
      </c>
      <c r="AA22" s="59" t="s">
        <v>1242</v>
      </c>
      <c r="AB22" s="59" t="s">
        <v>1243</v>
      </c>
      <c r="AC22" s="59" t="s">
        <v>1244</v>
      </c>
      <c r="AD22" s="59" t="s">
        <v>1245</v>
      </c>
      <c r="AE22" s="59" t="s">
        <v>1246</v>
      </c>
      <c r="AF22" s="59" t="s">
        <v>1247</v>
      </c>
    </row>
    <row r="23" spans="1:32">
      <c r="A23" s="60" t="s">
        <v>1248</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0">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f t="shared" ref="Z23:AA26" si="4">Z16/Z2</f>
        <v>4.5628973942509046E-2</v>
      </c>
      <c r="AA23" s="75">
        <f t="shared" si="4"/>
        <v>4.6166277152873296E-2</v>
      </c>
      <c r="AB23" s="75">
        <f>AB16/AB2</f>
        <v>4.3479953257412336E-2</v>
      </c>
      <c r="AC23" s="101">
        <f>AC16/AC2</f>
        <v>3.5539954329669013E-2</v>
      </c>
      <c r="AD23" s="101">
        <f>AD16/AD2</f>
        <v>4.0028978414698338E-2</v>
      </c>
      <c r="AE23" s="101">
        <f>AE16/AE2</f>
        <v>4.3601386008790342E-2</v>
      </c>
      <c r="AF23" s="101">
        <f>AF16/AF2</f>
        <v>4.6437838230427464E-2</v>
      </c>
    </row>
    <row r="24" spans="1:32">
      <c r="A24" s="63" t="s">
        <v>1249</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2">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f t="shared" si="4"/>
        <v>5.9854248802634603E-2</v>
      </c>
      <c r="AA24" s="77">
        <f t="shared" si="4"/>
        <v>6.05262508857385E-2</v>
      </c>
      <c r="AB24" s="77">
        <f t="shared" ref="AB24" si="5">AB17/AB3</f>
        <v>5.5691209329374672E-2</v>
      </c>
      <c r="AC24" s="103">
        <f>AC17/AC3</f>
        <v>4.8966105852538126E-2</v>
      </c>
      <c r="AD24" s="103">
        <f>AD17/AD3</f>
        <v>5.1655515112241916E-2</v>
      </c>
      <c r="AE24" s="103">
        <f>AE17/AE3</f>
        <v>4.8953724357191551E-2</v>
      </c>
      <c r="AF24" s="103">
        <f>AF17/AF3</f>
        <v>4.586261115647982E-2</v>
      </c>
    </row>
    <row r="25" spans="1:32">
      <c r="A25" s="65" t="s">
        <v>1250</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4">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f t="shared" si="4"/>
        <v>6.4046165129500704E-2</v>
      </c>
      <c r="AA25" s="79">
        <f t="shared" si="4"/>
        <v>6.3313769712332504E-2</v>
      </c>
      <c r="AB25" s="79">
        <f t="shared" ref="AB25" si="6">AB18/AB4</f>
        <v>6.1523502080664635E-2</v>
      </c>
      <c r="AC25" s="105">
        <f t="shared" ref="AC25:AD25" si="7">AC18/AC4</f>
        <v>5.0171240675134232E-2</v>
      </c>
      <c r="AD25" s="105">
        <f t="shared" si="7"/>
        <v>5.6594190468634564E-2</v>
      </c>
      <c r="AE25" s="105">
        <f>AE18/AE4</f>
        <v>5.255330142653019E-2</v>
      </c>
      <c r="AF25" s="105">
        <f>AF18/AF4</f>
        <v>5.3208950122372499E-2</v>
      </c>
    </row>
    <row r="26" spans="1:32" ht="15.75" thickBot="1">
      <c r="A26" s="67" t="s">
        <v>1251</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6">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f t="shared" si="4"/>
        <v>5.1204225020158575E-2</v>
      </c>
      <c r="AA26" s="81">
        <f t="shared" si="4"/>
        <v>5.144635720690665E-2</v>
      </c>
      <c r="AB26" s="81">
        <f t="shared" ref="AB26" si="8">AB19/AB5</f>
        <v>4.8345521468719642E-2</v>
      </c>
      <c r="AC26" s="107">
        <f t="shared" ref="AC26" si="9">AC19/AC5</f>
        <v>3.9792433853593524E-2</v>
      </c>
      <c r="AD26" s="107">
        <f>AD19/AD5</f>
        <v>4.4370224139327868E-2</v>
      </c>
      <c r="AE26" s="107">
        <f>AE19/AE5</f>
        <v>4.585889054890873E-2</v>
      </c>
      <c r="AF26" s="107">
        <f>AF19/AF5</f>
        <v>4.7195688430388946E-2</v>
      </c>
    </row>
    <row r="27" spans="1:3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spans="1:32" ht="15.75" thickBo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row>
    <row r="29" spans="1:32" ht="15.75" thickBot="1">
      <c r="A29" s="36" t="s">
        <v>1254</v>
      </c>
      <c r="B29" s="58" t="s">
        <v>1217</v>
      </c>
      <c r="C29" s="58" t="s">
        <v>1218</v>
      </c>
      <c r="D29" s="58" t="s">
        <v>1219</v>
      </c>
      <c r="E29" s="58" t="s">
        <v>1220</v>
      </c>
      <c r="F29" s="58" t="s">
        <v>1221</v>
      </c>
      <c r="G29" s="58" t="s">
        <v>1222</v>
      </c>
      <c r="H29" s="58" t="s">
        <v>1223</v>
      </c>
      <c r="I29" s="58" t="s">
        <v>1224</v>
      </c>
      <c r="J29" s="58" t="s">
        <v>1225</v>
      </c>
      <c r="K29" s="58" t="s">
        <v>1226</v>
      </c>
      <c r="L29" s="58" t="s">
        <v>1227</v>
      </c>
      <c r="M29" s="58" t="s">
        <v>1228</v>
      </c>
      <c r="N29" s="58" t="s">
        <v>1229</v>
      </c>
      <c r="O29" s="58" t="s">
        <v>1230</v>
      </c>
      <c r="P29" s="58" t="s">
        <v>1231</v>
      </c>
      <c r="Q29" s="58" t="s">
        <v>1232</v>
      </c>
      <c r="R29" s="58" t="s">
        <v>1233</v>
      </c>
      <c r="S29" s="58" t="s">
        <v>1234</v>
      </c>
      <c r="T29" s="58" t="s">
        <v>1235</v>
      </c>
      <c r="U29" s="58" t="s">
        <v>1236</v>
      </c>
      <c r="V29" s="58" t="s">
        <v>1237</v>
      </c>
      <c r="W29" s="58" t="s">
        <v>1238</v>
      </c>
      <c r="X29" s="58" t="s">
        <v>1239</v>
      </c>
      <c r="Y29" s="59" t="s">
        <v>1240</v>
      </c>
      <c r="Z29" s="59" t="s">
        <v>1241</v>
      </c>
      <c r="AA29" s="59" t="s">
        <v>1242</v>
      </c>
      <c r="AB29" s="59" t="s">
        <v>1243</v>
      </c>
      <c r="AC29" s="59" t="s">
        <v>1244</v>
      </c>
      <c r="AD29" s="59" t="s">
        <v>1245</v>
      </c>
      <c r="AE29" s="59" t="s">
        <v>1246</v>
      </c>
      <c r="AF29" s="59" t="s">
        <v>1247</v>
      </c>
    </row>
    <row r="30" spans="1:32">
      <c r="A30" s="60" t="s">
        <v>1248</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0">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f t="shared" ref="Z30:AA33" si="10">Z16/Z9</f>
        <v>0.15363398954406982</v>
      </c>
      <c r="AA30" s="75">
        <f t="shared" si="10"/>
        <v>0.14605825590070659</v>
      </c>
      <c r="AB30" s="75">
        <f>AB16/AB9</f>
        <v>0.13692717821432049</v>
      </c>
      <c r="AC30" s="101">
        <f>AC16/AC9</f>
        <v>0.13084613001916395</v>
      </c>
      <c r="AD30" s="101">
        <f>AD16/AD9</f>
        <v>0.1348274596651774</v>
      </c>
      <c r="AE30" s="101">
        <f>AE16/AE9</f>
        <v>0.13800714757342847</v>
      </c>
      <c r="AF30" s="101">
        <f>AF16/AF9</f>
        <v>0.1419046958041999</v>
      </c>
    </row>
    <row r="31" spans="1:32">
      <c r="A31" s="63" t="s">
        <v>1249</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2">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f t="shared" si="10"/>
        <v>0.21849534059207087</v>
      </c>
      <c r="AA31" s="77">
        <f t="shared" si="10"/>
        <v>0.20236249462640654</v>
      </c>
      <c r="AB31" s="77">
        <f t="shared" ref="AB31" si="11">AB17/AB10</f>
        <v>0.19247852849973884</v>
      </c>
      <c r="AC31" s="103">
        <f t="shared" ref="AC31:AD31" si="12">AC17/AC10</f>
        <v>0.19219505540313167</v>
      </c>
      <c r="AD31" s="103">
        <f t="shared" si="12"/>
        <v>0.19172196146014456</v>
      </c>
      <c r="AE31" s="103">
        <f t="shared" ref="AE31:AF31" si="13">AE17/AE10</f>
        <v>0.19430890995142283</v>
      </c>
      <c r="AF31" s="103">
        <f t="shared" si="13"/>
        <v>0.18444822860792318</v>
      </c>
    </row>
    <row r="32" spans="1:32">
      <c r="A32" s="65" t="s">
        <v>1250</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4">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f t="shared" si="10"/>
        <v>0.21045161090610795</v>
      </c>
      <c r="AA32" s="79">
        <f t="shared" si="10"/>
        <v>0.20016615510117269</v>
      </c>
      <c r="AB32" s="79">
        <f t="shared" ref="AB32" si="14">AB18/AB11</f>
        <v>0.19290799386642843</v>
      </c>
      <c r="AC32" s="105">
        <f t="shared" ref="AC32:AD32" si="15">AC18/AC11</f>
        <v>0.18831503637049854</v>
      </c>
      <c r="AD32" s="105">
        <f t="shared" si="15"/>
        <v>0.18866554584890002</v>
      </c>
      <c r="AE32" s="105">
        <f t="shared" ref="AE32:AF32" si="16">AE18/AE11</f>
        <v>0.18578714175779468</v>
      </c>
      <c r="AF32" s="105">
        <f t="shared" si="16"/>
        <v>0.18610587804121836</v>
      </c>
    </row>
    <row r="33" spans="1:32" ht="15.75" thickBot="1">
      <c r="A33" s="67" t="s">
        <v>1251</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6">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f t="shared" si="10"/>
        <v>0.17469146967080507</v>
      </c>
      <c r="AA33" s="81">
        <f t="shared" si="10"/>
        <v>0.16455440639043289</v>
      </c>
      <c r="AB33" s="81">
        <f t="shared" ref="AB33" si="17">AB19/AB12</f>
        <v>0.15484495005767693</v>
      </c>
      <c r="AC33" s="107">
        <f t="shared" ref="AC33:AD33" si="18">AC19/AC12</f>
        <v>0.14851215055349187</v>
      </c>
      <c r="AD33" s="107">
        <f t="shared" si="18"/>
        <v>0.15201094548982177</v>
      </c>
      <c r="AE33" s="107">
        <f t="shared" ref="AE33:AF33" si="19">AE19/AE12</f>
        <v>0.15348970484405786</v>
      </c>
      <c r="AF33" s="107">
        <f t="shared" si="19"/>
        <v>0.15386112822301662</v>
      </c>
    </row>
    <row r="34" spans="1:32">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c r="AC34" s="62"/>
      <c r="AD34" s="62"/>
      <c r="AE34" s="62"/>
      <c r="AF34" s="62"/>
    </row>
    <row r="35" spans="1:32" ht="15.75" thickBo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spans="1:32" ht="15.75" thickBot="1">
      <c r="A36" s="82" t="s">
        <v>644</v>
      </c>
      <c r="B36" s="83" t="s">
        <v>1217</v>
      </c>
      <c r="C36" s="83" t="s">
        <v>1218</v>
      </c>
      <c r="D36" s="83" t="s">
        <v>1219</v>
      </c>
      <c r="E36" s="83" t="s">
        <v>1220</v>
      </c>
      <c r="F36" s="83" t="s">
        <v>1221</v>
      </c>
      <c r="G36" s="83" t="s">
        <v>1222</v>
      </c>
      <c r="H36" s="83" t="s">
        <v>1223</v>
      </c>
      <c r="I36" s="83" t="s">
        <v>1224</v>
      </c>
      <c r="J36" s="83" t="s">
        <v>1225</v>
      </c>
      <c r="K36" s="83" t="s">
        <v>1226</v>
      </c>
      <c r="L36" s="83" t="s">
        <v>1227</v>
      </c>
      <c r="M36" s="83" t="s">
        <v>1228</v>
      </c>
      <c r="N36" s="83" t="s">
        <v>1229</v>
      </c>
      <c r="O36" s="83" t="s">
        <v>1230</v>
      </c>
      <c r="P36" s="83" t="s">
        <v>1231</v>
      </c>
      <c r="Q36" s="83" t="s">
        <v>1232</v>
      </c>
      <c r="R36" s="83" t="s">
        <v>1233</v>
      </c>
      <c r="S36" s="83" t="s">
        <v>1234</v>
      </c>
      <c r="T36" s="83" t="s">
        <v>1235</v>
      </c>
      <c r="U36" s="83" t="s">
        <v>1236</v>
      </c>
      <c r="V36" s="83" t="s">
        <v>1237</v>
      </c>
      <c r="W36" s="83" t="s">
        <v>1238</v>
      </c>
      <c r="X36" s="83" t="s">
        <v>1239</v>
      </c>
      <c r="Y36" s="84" t="s">
        <v>1240</v>
      </c>
      <c r="Z36" s="59" t="s">
        <v>1241</v>
      </c>
      <c r="AA36" s="59" t="s">
        <v>1242</v>
      </c>
      <c r="AB36" s="59" t="s">
        <v>1243</v>
      </c>
      <c r="AC36" s="59" t="s">
        <v>1244</v>
      </c>
      <c r="AD36" s="59" t="s">
        <v>1245</v>
      </c>
      <c r="AE36" s="59" t="s">
        <v>1246</v>
      </c>
      <c r="AF36" s="59" t="s">
        <v>1247</v>
      </c>
    </row>
    <row r="37" spans="1:32">
      <c r="A37" s="85" t="s">
        <v>1248</v>
      </c>
      <c r="B37" s="86">
        <v>206450</v>
      </c>
      <c r="C37" s="86">
        <v>201966</v>
      </c>
      <c r="D37" s="86">
        <v>232244</v>
      </c>
      <c r="E37" s="86">
        <v>230500</v>
      </c>
      <c r="F37" s="86">
        <v>228949</v>
      </c>
      <c r="G37" s="86">
        <v>216548</v>
      </c>
      <c r="H37" s="86">
        <v>229222</v>
      </c>
      <c r="I37" s="86">
        <v>226692</v>
      </c>
      <c r="J37" s="86">
        <v>230639</v>
      </c>
      <c r="K37" s="86">
        <v>252280</v>
      </c>
      <c r="L37" s="86">
        <v>264001</v>
      </c>
      <c r="M37" s="108">
        <v>231198</v>
      </c>
      <c r="N37" s="117">
        <v>301961</v>
      </c>
      <c r="O37" s="118">
        <v>331009</v>
      </c>
      <c r="P37" s="118">
        <v>369644</v>
      </c>
      <c r="Q37" s="118">
        <v>419338</v>
      </c>
      <c r="R37" s="118">
        <v>403325</v>
      </c>
      <c r="S37" s="118">
        <v>407084</v>
      </c>
      <c r="T37" s="118">
        <v>446387</v>
      </c>
      <c r="U37" s="118">
        <v>410269</v>
      </c>
      <c r="V37" s="118">
        <v>413757</v>
      </c>
      <c r="W37" s="118">
        <v>445439</v>
      </c>
      <c r="X37" s="118">
        <v>453965</v>
      </c>
      <c r="Y37" s="118">
        <v>462128</v>
      </c>
      <c r="Z37" s="118">
        <v>572775</v>
      </c>
      <c r="AA37" s="118">
        <v>615883</v>
      </c>
      <c r="AB37" s="118">
        <v>604860</v>
      </c>
      <c r="AC37" s="113">
        <v>683843</v>
      </c>
      <c r="AD37" s="113">
        <v>636705</v>
      </c>
      <c r="AE37" s="113">
        <v>621195</v>
      </c>
      <c r="AF37" s="113">
        <v>689495</v>
      </c>
    </row>
    <row r="38" spans="1:32">
      <c r="A38" s="87" t="s">
        <v>1249</v>
      </c>
      <c r="B38" s="88">
        <v>103070</v>
      </c>
      <c r="C38" s="88">
        <v>98910</v>
      </c>
      <c r="D38" s="88">
        <v>116062</v>
      </c>
      <c r="E38" s="88">
        <v>116489</v>
      </c>
      <c r="F38" s="88">
        <v>102286</v>
      </c>
      <c r="G38" s="88">
        <v>110085</v>
      </c>
      <c r="H38" s="88">
        <v>115702</v>
      </c>
      <c r="I38" s="88">
        <v>120670</v>
      </c>
      <c r="J38" s="88">
        <v>142446</v>
      </c>
      <c r="K38" s="88">
        <v>136602</v>
      </c>
      <c r="L38" s="88">
        <v>152488</v>
      </c>
      <c r="M38" s="109">
        <v>144866</v>
      </c>
      <c r="N38" s="119">
        <v>190333</v>
      </c>
      <c r="O38" s="88">
        <v>179484</v>
      </c>
      <c r="P38" s="88">
        <v>182162</v>
      </c>
      <c r="Q38" s="88">
        <v>182919</v>
      </c>
      <c r="R38" s="88">
        <v>183923</v>
      </c>
      <c r="S38" s="88">
        <v>173556</v>
      </c>
      <c r="T38" s="88">
        <v>186892</v>
      </c>
      <c r="U38" s="88">
        <v>171949</v>
      </c>
      <c r="V38" s="88">
        <v>182461</v>
      </c>
      <c r="W38" s="88">
        <v>199796</v>
      </c>
      <c r="X38" s="88">
        <v>214586</v>
      </c>
      <c r="Y38" s="88">
        <v>215754</v>
      </c>
      <c r="Z38" s="88">
        <v>251772</v>
      </c>
      <c r="AA38" s="88">
        <v>247829</v>
      </c>
      <c r="AB38" s="88">
        <v>229484</v>
      </c>
      <c r="AC38" s="114">
        <v>226754</v>
      </c>
      <c r="AD38" s="114">
        <v>241827</v>
      </c>
      <c r="AE38" s="114">
        <v>238449</v>
      </c>
      <c r="AF38" s="114">
        <v>252691</v>
      </c>
    </row>
    <row r="39" spans="1:32">
      <c r="A39" s="89" t="s">
        <v>1250</v>
      </c>
      <c r="B39" s="90">
        <v>65792</v>
      </c>
      <c r="C39" s="90">
        <v>66921</v>
      </c>
      <c r="D39" s="90">
        <v>80622</v>
      </c>
      <c r="E39" s="90">
        <v>81286</v>
      </c>
      <c r="F39" s="90">
        <v>88250</v>
      </c>
      <c r="G39" s="90">
        <v>90033</v>
      </c>
      <c r="H39" s="90">
        <v>103104</v>
      </c>
      <c r="I39" s="90">
        <v>103860</v>
      </c>
      <c r="J39" s="90">
        <v>124892</v>
      </c>
      <c r="K39" s="90">
        <v>133302</v>
      </c>
      <c r="L39" s="90">
        <v>140626</v>
      </c>
      <c r="M39" s="110">
        <v>128870</v>
      </c>
      <c r="N39" s="120">
        <v>159471</v>
      </c>
      <c r="O39" s="90">
        <v>157686</v>
      </c>
      <c r="P39" s="90">
        <v>154308</v>
      </c>
      <c r="Q39" s="90">
        <v>154291</v>
      </c>
      <c r="R39" s="90">
        <v>162133</v>
      </c>
      <c r="S39" s="90">
        <v>136127</v>
      </c>
      <c r="T39" s="90">
        <v>146540</v>
      </c>
      <c r="U39" s="90">
        <v>144576</v>
      </c>
      <c r="V39" s="90">
        <v>153627</v>
      </c>
      <c r="W39" s="90">
        <v>158313</v>
      </c>
      <c r="X39" s="90">
        <v>155184</v>
      </c>
      <c r="Y39" s="90">
        <v>141383</v>
      </c>
      <c r="Z39" s="90">
        <v>167484</v>
      </c>
      <c r="AA39" s="90">
        <v>171660</v>
      </c>
      <c r="AB39" s="90">
        <v>168751</v>
      </c>
      <c r="AC39" s="115">
        <v>167429</v>
      </c>
      <c r="AD39" s="115">
        <v>154307</v>
      </c>
      <c r="AE39" s="115">
        <v>166411</v>
      </c>
      <c r="AF39" s="115">
        <v>170327</v>
      </c>
    </row>
    <row r="40" spans="1:32">
      <c r="A40" s="91" t="s">
        <v>1251</v>
      </c>
      <c r="B40" s="92">
        <v>375312</v>
      </c>
      <c r="C40" s="92">
        <v>367797</v>
      </c>
      <c r="D40" s="92">
        <v>428928</v>
      </c>
      <c r="E40" s="92">
        <v>428275</v>
      </c>
      <c r="F40" s="92">
        <v>419485</v>
      </c>
      <c r="G40" s="92">
        <v>416666</v>
      </c>
      <c r="H40" s="92">
        <v>448028</v>
      </c>
      <c r="I40" s="92">
        <v>451222</v>
      </c>
      <c r="J40" s="92">
        <v>497977</v>
      </c>
      <c r="K40" s="92">
        <v>522184</v>
      </c>
      <c r="L40" s="92">
        <v>557115</v>
      </c>
      <c r="M40" s="111">
        <v>504934</v>
      </c>
      <c r="N40" s="121">
        <v>651765</v>
      </c>
      <c r="O40" s="92">
        <v>668179</v>
      </c>
      <c r="P40" s="92">
        <v>706114</v>
      </c>
      <c r="Q40" s="92">
        <v>756548</v>
      </c>
      <c r="R40" s="92">
        <v>749381</v>
      </c>
      <c r="S40" s="92">
        <v>716767</v>
      </c>
      <c r="T40" s="92">
        <v>779819</v>
      </c>
      <c r="U40" s="92">
        <v>726794</v>
      </c>
      <c r="V40" s="92">
        <v>749845</v>
      </c>
      <c r="W40" s="92">
        <v>803548</v>
      </c>
      <c r="X40" s="92">
        <v>823735</v>
      </c>
      <c r="Y40" s="92">
        <f t="shared" ref="Y40:AD40" si="20">SUM(Y37:Y39)</f>
        <v>819265</v>
      </c>
      <c r="Z40" s="92">
        <f t="shared" si="20"/>
        <v>992031</v>
      </c>
      <c r="AA40" s="92">
        <f t="shared" si="20"/>
        <v>1035372</v>
      </c>
      <c r="AB40" s="92">
        <f t="shared" si="20"/>
        <v>1003095</v>
      </c>
      <c r="AC40" s="92">
        <f t="shared" si="20"/>
        <v>1078026</v>
      </c>
      <c r="AD40" s="92">
        <f t="shared" si="20"/>
        <v>1032839</v>
      </c>
      <c r="AE40" s="92">
        <f>SUM(AE37:AE39)</f>
        <v>1026055</v>
      </c>
      <c r="AF40" s="92">
        <f>SUM(AF37:AF39)</f>
        <v>1112513</v>
      </c>
    </row>
    <row r="41" spans="1:32" ht="15.75" thickBot="1">
      <c r="A41" s="93" t="s">
        <v>1255</v>
      </c>
      <c r="B41" s="94"/>
      <c r="C41" s="95">
        <v>-0.02</v>
      </c>
      <c r="D41" s="95">
        <v>0.17</v>
      </c>
      <c r="E41" s="95">
        <v>0</v>
      </c>
      <c r="F41" s="95">
        <v>-0.02</v>
      </c>
      <c r="G41" s="95">
        <v>-0.01</v>
      </c>
      <c r="H41" s="95">
        <v>0.08</v>
      </c>
      <c r="I41" s="95">
        <v>0.01</v>
      </c>
      <c r="J41" s="95">
        <v>0.1</v>
      </c>
      <c r="K41" s="95">
        <v>0.05</v>
      </c>
      <c r="L41" s="95">
        <v>7.0000000000000007E-2</v>
      </c>
      <c r="M41" s="112">
        <v>-0.09</v>
      </c>
      <c r="N41" s="122">
        <v>0.28999999999999998</v>
      </c>
      <c r="O41" s="123">
        <v>0.03</v>
      </c>
      <c r="P41" s="123">
        <v>0.06</v>
      </c>
      <c r="Q41" s="123">
        <v>7.0000000000000007E-2</v>
      </c>
      <c r="R41" s="123">
        <v>-0.01</v>
      </c>
      <c r="S41" s="123">
        <v>-0.04</v>
      </c>
      <c r="T41" s="123">
        <v>0.09</v>
      </c>
      <c r="U41" s="123">
        <v>-7.0000000000000007E-2</v>
      </c>
      <c r="V41" s="123">
        <v>0.03</v>
      </c>
      <c r="W41" s="123">
        <v>7.0000000000000007E-2</v>
      </c>
      <c r="X41" s="123">
        <v>0.03</v>
      </c>
      <c r="Y41" s="123">
        <v>0</v>
      </c>
      <c r="Z41" s="123">
        <f t="shared" ref="Z41:AF41" si="21">(Z40-Y40)/Y40</f>
        <v>0.21087926373029484</v>
      </c>
      <c r="AA41" s="123">
        <f t="shared" si="21"/>
        <v>4.3689158907332534E-2</v>
      </c>
      <c r="AB41" s="123">
        <f t="shared" si="21"/>
        <v>-3.1174302569511248E-2</v>
      </c>
      <c r="AC41" s="116">
        <f t="shared" si="21"/>
        <v>7.4699804106291026E-2</v>
      </c>
      <c r="AD41" s="116">
        <f t="shared" si="21"/>
        <v>-4.1916428731774556E-2</v>
      </c>
      <c r="AE41" s="116">
        <f t="shared" si="21"/>
        <v>-6.5683034819560455E-3</v>
      </c>
      <c r="AF41" s="116">
        <f t="shared" si="21"/>
        <v>8.4262539532481195E-2</v>
      </c>
    </row>
    <row r="42" spans="1:3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30">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30">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30">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30">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sheetData>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0" zoomScale="85" zoomScaleNormal="85" workbookViewId="0">
      <selection activeCell="U440" sqref="U440"/>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1256</v>
      </c>
      <c r="C1" s="38" t="s">
        <v>1257</v>
      </c>
      <c r="D1" s="38" t="s">
        <v>1258</v>
      </c>
      <c r="E1" s="38" t="s">
        <v>1259</v>
      </c>
      <c r="F1" s="38" t="s">
        <v>1260</v>
      </c>
      <c r="G1" s="38" t="s">
        <v>1261</v>
      </c>
      <c r="H1" s="38" t="s">
        <v>1262</v>
      </c>
      <c r="I1" s="38" t="s">
        <v>1263</v>
      </c>
      <c r="J1" s="38" t="s">
        <v>1264</v>
      </c>
      <c r="K1" s="38" t="s">
        <v>1265</v>
      </c>
      <c r="L1" s="38" t="s">
        <v>1266</v>
      </c>
      <c r="M1" s="38" t="s">
        <v>1267</v>
      </c>
      <c r="N1" s="38" t="s">
        <v>1268</v>
      </c>
      <c r="O1" s="38" t="s">
        <v>1269</v>
      </c>
      <c r="P1" s="38" t="s">
        <v>1270</v>
      </c>
      <c r="Q1" s="38" t="s">
        <v>1271</v>
      </c>
      <c r="R1" s="38" t="s">
        <v>1272</v>
      </c>
      <c r="S1" s="38" t="s">
        <v>1273</v>
      </c>
      <c r="T1" s="38" t="s">
        <v>1274</v>
      </c>
      <c r="U1" s="38" t="s">
        <v>1275</v>
      </c>
      <c r="V1" s="38" t="s">
        <v>1276</v>
      </c>
      <c r="W1" s="38" t="s">
        <v>1277</v>
      </c>
      <c r="X1" s="38" t="s">
        <v>1278</v>
      </c>
      <c r="Y1" s="38" t="s">
        <v>1279</v>
      </c>
      <c r="Z1" s="38" t="s">
        <v>1280</v>
      </c>
      <c r="AA1" s="38" t="s">
        <v>1281</v>
      </c>
      <c r="AD1" s="148" t="s">
        <v>1282</v>
      </c>
      <c r="AE1" s="38" t="s">
        <v>1283</v>
      </c>
      <c r="AF1" s="38" t="s">
        <v>1284</v>
      </c>
      <c r="AG1" s="38" t="s">
        <v>1285</v>
      </c>
      <c r="AH1" s="38" t="s">
        <v>1286</v>
      </c>
      <c r="AI1" s="38" t="s">
        <v>1287</v>
      </c>
      <c r="AJ1" s="38" t="s">
        <v>1288</v>
      </c>
    </row>
    <row r="2" spans="1:36" hidden="1">
      <c r="A2" s="39" t="s">
        <v>461</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27</v>
      </c>
      <c r="AE2" s="28">
        <v>67399</v>
      </c>
      <c r="AF2">
        <v>297250</v>
      </c>
      <c r="AG2">
        <v>63452</v>
      </c>
      <c r="AH2">
        <v>220366</v>
      </c>
    </row>
    <row r="3" spans="1:36" hidden="1">
      <c r="A3" s="39" t="s">
        <v>629</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119</v>
      </c>
      <c r="AE3" s="28">
        <v>4822</v>
      </c>
      <c r="AF3">
        <v>29959</v>
      </c>
      <c r="AG3">
        <v>4146</v>
      </c>
      <c r="AH3">
        <v>24385</v>
      </c>
    </row>
    <row r="4" spans="1:36" hidden="1">
      <c r="A4" s="39" t="s">
        <v>17</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61</v>
      </c>
      <c r="AE4" s="28">
        <v>10249</v>
      </c>
      <c r="AF4">
        <v>30497</v>
      </c>
      <c r="AG4">
        <v>11317</v>
      </c>
      <c r="AH4">
        <v>40299</v>
      </c>
    </row>
    <row r="5" spans="1:36" hidden="1">
      <c r="A5" s="39" t="s">
        <v>883</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23</v>
      </c>
      <c r="AE5" s="28">
        <v>26241</v>
      </c>
      <c r="AF5">
        <v>119613</v>
      </c>
      <c r="AG5">
        <v>21449</v>
      </c>
      <c r="AH5">
        <v>89404</v>
      </c>
    </row>
    <row r="6" spans="1:36" hidden="1">
      <c r="A6" s="39" t="s">
        <v>69</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19</v>
      </c>
      <c r="AE6" s="28">
        <v>20605</v>
      </c>
      <c r="AF6">
        <v>87723</v>
      </c>
      <c r="AG6">
        <v>17467</v>
      </c>
      <c r="AH6">
        <v>88572</v>
      </c>
    </row>
    <row r="7" spans="1:36" hidden="1">
      <c r="A7" s="39" t="s">
        <v>95</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131</v>
      </c>
      <c r="AE7" s="28">
        <v>6929</v>
      </c>
      <c r="AF7">
        <v>20535</v>
      </c>
      <c r="AG7">
        <v>6853</v>
      </c>
      <c r="AH7">
        <v>20846</v>
      </c>
    </row>
    <row r="8" spans="1:36" hidden="1">
      <c r="A8" s="39" t="s">
        <v>577</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247</v>
      </c>
      <c r="AE8" s="28">
        <v>2129</v>
      </c>
      <c r="AF8">
        <v>8488</v>
      </c>
      <c r="AG8">
        <v>2143</v>
      </c>
      <c r="AH8">
        <v>9087</v>
      </c>
    </row>
    <row r="9" spans="1:36" hidden="1">
      <c r="A9" s="39" t="s">
        <v>91</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65</v>
      </c>
      <c r="AE9" s="28">
        <v>11862</v>
      </c>
      <c r="AF9">
        <v>26335</v>
      </c>
      <c r="AG9">
        <v>11360</v>
      </c>
      <c r="AH9">
        <v>25016</v>
      </c>
    </row>
    <row r="10" spans="1:36" hidden="1">
      <c r="A10" s="39" t="s">
        <v>35</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95</v>
      </c>
      <c r="AE10" s="28">
        <v>4129</v>
      </c>
      <c r="AF10">
        <v>18813</v>
      </c>
      <c r="AG10">
        <v>5345</v>
      </c>
      <c r="AH10">
        <v>22943</v>
      </c>
    </row>
    <row r="11" spans="1:36" hidden="1">
      <c r="A11" s="39" t="s">
        <v>487</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17</v>
      </c>
      <c r="AE11" s="28">
        <v>25786</v>
      </c>
      <c r="AF11">
        <v>115850</v>
      </c>
      <c r="AG11">
        <v>23841</v>
      </c>
      <c r="AH11">
        <v>98104</v>
      </c>
    </row>
    <row r="12" spans="1:36" hidden="1">
      <c r="A12" s="39" t="s">
        <v>744</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145</v>
      </c>
      <c r="AE12" s="28">
        <v>4818</v>
      </c>
      <c r="AF12">
        <v>12139</v>
      </c>
      <c r="AG12">
        <v>3375</v>
      </c>
      <c r="AH12">
        <v>8797</v>
      </c>
    </row>
    <row r="13" spans="1:36" hidden="1">
      <c r="A13" s="39" t="s">
        <v>815</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91</v>
      </c>
      <c r="AE13" s="28">
        <v>3732</v>
      </c>
      <c r="AF13">
        <v>12113</v>
      </c>
      <c r="AG13">
        <v>3441</v>
      </c>
      <c r="AH13">
        <v>11479</v>
      </c>
    </row>
    <row r="14" spans="1:36" hidden="1">
      <c r="A14" s="39" t="s">
        <v>191</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29</v>
      </c>
      <c r="AE14" s="28">
        <v>11641</v>
      </c>
      <c r="AF14">
        <v>28899</v>
      </c>
      <c r="AG14">
        <v>10424</v>
      </c>
      <c r="AH14">
        <v>27780</v>
      </c>
    </row>
    <row r="15" spans="1:36" hidden="1">
      <c r="A15" s="39" t="s">
        <v>485</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627</v>
      </c>
      <c r="AE15" s="28">
        <v>7271</v>
      </c>
      <c r="AF15">
        <v>24464</v>
      </c>
      <c r="AG15">
        <v>10543</v>
      </c>
      <c r="AH15">
        <v>40468</v>
      </c>
    </row>
    <row r="16" spans="1:36" hidden="1">
      <c r="A16" s="39" t="s">
        <v>161</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511</v>
      </c>
      <c r="AE16" s="28">
        <v>4069</v>
      </c>
      <c r="AF16">
        <v>14752</v>
      </c>
      <c r="AG16">
        <v>3844</v>
      </c>
      <c r="AH16">
        <v>14485</v>
      </c>
    </row>
    <row r="17" spans="1:34" hidden="1">
      <c r="A17" s="39" t="s">
        <v>311</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265</v>
      </c>
      <c r="AE17" s="28">
        <v>3689</v>
      </c>
      <c r="AF17">
        <v>14117</v>
      </c>
      <c r="AG17">
        <v>3473</v>
      </c>
      <c r="AH17">
        <v>14892</v>
      </c>
    </row>
    <row r="18" spans="1:34" hidden="1">
      <c r="A18" s="39" t="s">
        <v>251</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181</v>
      </c>
      <c r="AE18" s="28">
        <v>1500</v>
      </c>
      <c r="AF18">
        <v>6351</v>
      </c>
      <c r="AH18">
        <v>0</v>
      </c>
    </row>
    <row r="19" spans="1:34" hidden="1">
      <c r="A19" s="39" t="s">
        <v>465</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219</v>
      </c>
      <c r="AE19" s="28">
        <v>2196</v>
      </c>
      <c r="AF19">
        <v>5001</v>
      </c>
      <c r="AG19">
        <v>2246</v>
      </c>
      <c r="AH19">
        <v>4686</v>
      </c>
    </row>
    <row r="20" spans="1:34" hidden="1">
      <c r="A20" s="39" t="s">
        <v>441</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363</v>
      </c>
      <c r="AE20" s="28">
        <v>1326</v>
      </c>
      <c r="AF20">
        <v>7012</v>
      </c>
      <c r="AH20">
        <v>0</v>
      </c>
    </row>
    <row r="21" spans="1:34" hidden="1">
      <c r="A21" s="39" t="s">
        <v>141</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605</v>
      </c>
      <c r="AE21" s="28">
        <v>1109</v>
      </c>
      <c r="AF21">
        <v>3594</v>
      </c>
      <c r="AG21">
        <v>916</v>
      </c>
      <c r="AH21">
        <v>4179</v>
      </c>
    </row>
    <row r="22" spans="1:34" hidden="1">
      <c r="A22" s="39" t="s">
        <v>695</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235</v>
      </c>
      <c r="AE22" s="28">
        <v>4052</v>
      </c>
      <c r="AF22">
        <v>25148</v>
      </c>
      <c r="AG22">
        <v>2601</v>
      </c>
      <c r="AH22">
        <v>23557</v>
      </c>
    </row>
    <row r="23" spans="1:34" hidden="1">
      <c r="A23" s="39" t="s">
        <v>119</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257</v>
      </c>
      <c r="AE23" s="28">
        <v>1476</v>
      </c>
      <c r="AF23">
        <v>6959</v>
      </c>
      <c r="AH23">
        <v>0</v>
      </c>
    </row>
    <row r="24" spans="1:34" hidden="1">
      <c r="A24" s="39" t="s">
        <v>269</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629</v>
      </c>
      <c r="AE24" s="28">
        <v>14987</v>
      </c>
      <c r="AF24">
        <v>52476</v>
      </c>
      <c r="AG24">
        <v>15202</v>
      </c>
      <c r="AH24">
        <v>62646</v>
      </c>
    </row>
    <row r="25" spans="1:34" hidden="1">
      <c r="A25" s="39" t="s">
        <v>185</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535</v>
      </c>
      <c r="AE25" s="28">
        <v>652</v>
      </c>
      <c r="AF25">
        <v>3797</v>
      </c>
      <c r="AG25">
        <v>750</v>
      </c>
      <c r="AH25">
        <v>3773</v>
      </c>
    </row>
    <row r="26" spans="1:34" hidden="1">
      <c r="A26" s="39" t="s">
        <v>415</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563</v>
      </c>
      <c r="AE26" s="28">
        <v>1671</v>
      </c>
      <c r="AF26">
        <v>3766</v>
      </c>
      <c r="AG26">
        <v>1289</v>
      </c>
      <c r="AH26">
        <v>3350</v>
      </c>
    </row>
    <row r="27" spans="1:34" hidden="1">
      <c r="A27" s="39" t="s">
        <v>175</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477</v>
      </c>
      <c r="AE27" s="28">
        <v>2656</v>
      </c>
      <c r="AF27">
        <v>14102</v>
      </c>
      <c r="AG27">
        <v>1956</v>
      </c>
      <c r="AH27">
        <v>10593</v>
      </c>
    </row>
    <row r="28" spans="1:34" hidden="1">
      <c r="A28" s="39" t="s">
        <v>211</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519</v>
      </c>
      <c r="AE28" s="28">
        <v>596</v>
      </c>
      <c r="AF28">
        <v>3841</v>
      </c>
      <c r="AH28">
        <v>0</v>
      </c>
    </row>
    <row r="29" spans="1:34" hidden="1">
      <c r="A29" s="39" t="s">
        <v>511</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277</v>
      </c>
      <c r="AE29" s="28">
        <v>1681</v>
      </c>
      <c r="AF29">
        <v>7809</v>
      </c>
      <c r="AG29">
        <v>1626</v>
      </c>
      <c r="AH29">
        <v>6360</v>
      </c>
    </row>
    <row r="30" spans="1:34" hidden="1">
      <c r="A30" s="39" t="s">
        <v>149</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507</v>
      </c>
      <c r="AE30" s="28">
        <v>1969</v>
      </c>
      <c r="AF30">
        <v>3186</v>
      </c>
      <c r="AG30">
        <v>1236</v>
      </c>
      <c r="AH30">
        <v>3337</v>
      </c>
    </row>
    <row r="31" spans="1:34" hidden="1">
      <c r="A31" s="39" t="s">
        <v>375</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559</v>
      </c>
      <c r="AE31" s="28">
        <v>1923</v>
      </c>
      <c r="AF31">
        <v>7678</v>
      </c>
      <c r="AG31">
        <v>1586</v>
      </c>
      <c r="AH31">
        <v>6667</v>
      </c>
    </row>
    <row r="32" spans="1:34" hidden="1">
      <c r="A32" s="39" t="s">
        <v>281</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557</v>
      </c>
      <c r="AE32" s="28">
        <v>1541</v>
      </c>
      <c r="AF32">
        <v>5675</v>
      </c>
      <c r="AG32">
        <v>1822</v>
      </c>
      <c r="AH32">
        <v>6730</v>
      </c>
    </row>
    <row r="33" spans="1:34" hidden="1">
      <c r="A33" s="39" t="s">
        <v>167</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157</v>
      </c>
      <c r="AE33" s="28">
        <v>2159</v>
      </c>
      <c r="AF33">
        <v>7520</v>
      </c>
      <c r="AG33">
        <v>2259</v>
      </c>
      <c r="AH33">
        <v>7860</v>
      </c>
    </row>
    <row r="34" spans="1:34" hidden="1">
      <c r="A34" s="39" t="s">
        <v>209</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435</v>
      </c>
      <c r="AE34" s="28">
        <v>1658</v>
      </c>
      <c r="AF34">
        <v>6313</v>
      </c>
      <c r="AG34">
        <v>1995</v>
      </c>
      <c r="AH34">
        <v>7785</v>
      </c>
    </row>
    <row r="35" spans="1:34" hidden="1">
      <c r="A35" s="39" t="s">
        <v>169</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529</v>
      </c>
      <c r="AE35" s="28">
        <v>1546</v>
      </c>
      <c r="AF35">
        <v>6817</v>
      </c>
      <c r="AH35">
        <v>0</v>
      </c>
    </row>
    <row r="36" spans="1:34" hidden="1">
      <c r="A36" s="39" t="s">
        <v>535</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125</v>
      </c>
      <c r="AE36" s="28">
        <v>2684</v>
      </c>
      <c r="AF36">
        <v>10777</v>
      </c>
      <c r="AG36">
        <v>2343</v>
      </c>
      <c r="AH36">
        <v>9865</v>
      </c>
    </row>
    <row r="37" spans="1:34" hidden="1">
      <c r="A37" s="39" t="s">
        <v>915</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571</v>
      </c>
      <c r="AE37" s="28">
        <v>4901</v>
      </c>
      <c r="AF37">
        <v>19375</v>
      </c>
      <c r="AG37">
        <v>5061</v>
      </c>
      <c r="AH37">
        <v>23565</v>
      </c>
    </row>
    <row r="38" spans="1:34" hidden="1">
      <c r="A38" s="39" t="s">
        <v>701</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401</v>
      </c>
      <c r="AE38" s="28">
        <v>1150</v>
      </c>
      <c r="AF38">
        <v>3529</v>
      </c>
      <c r="AH38">
        <v>0</v>
      </c>
    </row>
    <row r="39" spans="1:34" hidden="1">
      <c r="A39" s="39" t="s">
        <v>29</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223</v>
      </c>
      <c r="AE39" s="28">
        <v>3490</v>
      </c>
      <c r="AF39">
        <v>18684</v>
      </c>
      <c r="AG39">
        <v>4073</v>
      </c>
      <c r="AH39">
        <v>21724</v>
      </c>
    </row>
    <row r="40" spans="1:34" hidden="1">
      <c r="A40" s="39" t="s">
        <v>721</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351</v>
      </c>
      <c r="AE40" s="28">
        <v>973</v>
      </c>
      <c r="AF40">
        <v>4096</v>
      </c>
      <c r="AH40">
        <v>0</v>
      </c>
    </row>
    <row r="41" spans="1:34" hidden="1">
      <c r="A41" s="39" t="s">
        <v>359</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607</v>
      </c>
      <c r="AE41" s="28">
        <v>1611</v>
      </c>
      <c r="AF41">
        <v>4335</v>
      </c>
      <c r="AG41">
        <v>1357</v>
      </c>
      <c r="AH41">
        <v>2617</v>
      </c>
    </row>
    <row r="42" spans="1:34" hidden="1">
      <c r="A42" s="39" t="s">
        <v>927</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81</v>
      </c>
      <c r="AE42" s="28">
        <v>2321</v>
      </c>
      <c r="AF42">
        <v>21220</v>
      </c>
      <c r="AG42">
        <v>2515</v>
      </c>
      <c r="AH42">
        <v>18482</v>
      </c>
    </row>
    <row r="43" spans="1:34" hidden="1">
      <c r="A43" s="39" t="s">
        <v>819</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173</v>
      </c>
      <c r="AE43" s="28">
        <v>2223</v>
      </c>
      <c r="AF43">
        <v>12395</v>
      </c>
      <c r="AG43">
        <v>2088</v>
      </c>
      <c r="AH43">
        <v>12498</v>
      </c>
    </row>
    <row r="44" spans="1:34" hidden="1">
      <c r="A44" s="39" t="s">
        <v>825</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467</v>
      </c>
      <c r="AE44" s="28">
        <v>741</v>
      </c>
      <c r="AF44">
        <v>2337</v>
      </c>
      <c r="AG44">
        <v>580</v>
      </c>
      <c r="AH44">
        <v>1736</v>
      </c>
    </row>
    <row r="45" spans="1:34" hidden="1">
      <c r="A45" s="39" t="s">
        <v>719</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73</v>
      </c>
      <c r="AE45" s="28">
        <v>1931</v>
      </c>
      <c r="AF45">
        <v>6561</v>
      </c>
      <c r="AG45">
        <v>890</v>
      </c>
      <c r="AH45">
        <v>2945</v>
      </c>
    </row>
    <row r="46" spans="1:34" hidden="1">
      <c r="A46" s="39" t="s">
        <v>861</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165</v>
      </c>
      <c r="AE46" s="28">
        <v>1390</v>
      </c>
      <c r="AF46">
        <v>8504</v>
      </c>
      <c r="AH46">
        <v>0</v>
      </c>
    </row>
    <row r="47" spans="1:34" hidden="1">
      <c r="A47" s="39" t="s">
        <v>237</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595</v>
      </c>
      <c r="AE47" s="28">
        <v>940</v>
      </c>
      <c r="AF47">
        <v>3810</v>
      </c>
      <c r="AG47">
        <v>1019</v>
      </c>
      <c r="AH47">
        <v>5786</v>
      </c>
    </row>
    <row r="48" spans="1:34" hidden="1">
      <c r="A48" s="39" t="s">
        <v>225</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597</v>
      </c>
      <c r="AE48" s="28">
        <v>3488</v>
      </c>
      <c r="AF48">
        <v>16265</v>
      </c>
      <c r="AH48">
        <v>0</v>
      </c>
    </row>
    <row r="49" spans="1:34" hidden="1">
      <c r="A49" s="39" t="s">
        <v>675</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87</v>
      </c>
      <c r="AE49" s="28">
        <v>5377</v>
      </c>
      <c r="AF49">
        <v>25769</v>
      </c>
      <c r="AG49">
        <v>5780</v>
      </c>
      <c r="AH49">
        <v>29652</v>
      </c>
    </row>
    <row r="50" spans="1:34" hidden="1">
      <c r="A50" s="39" t="s">
        <v>845</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293</v>
      </c>
      <c r="AE50" s="28">
        <v>633</v>
      </c>
      <c r="AF50">
        <v>2757</v>
      </c>
      <c r="AH50">
        <v>0</v>
      </c>
    </row>
    <row r="51" spans="1:34" hidden="1">
      <c r="A51" s="39" t="s">
        <v>265</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207</v>
      </c>
      <c r="AE51" s="28">
        <v>1412</v>
      </c>
      <c r="AF51">
        <v>5438</v>
      </c>
      <c r="AG51">
        <v>1615</v>
      </c>
      <c r="AH51">
        <v>5779</v>
      </c>
    </row>
    <row r="52" spans="1:34" hidden="1">
      <c r="A52" s="39" t="s">
        <v>455</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383</v>
      </c>
      <c r="AE52" s="28">
        <v>829</v>
      </c>
      <c r="AF52">
        <v>3547</v>
      </c>
      <c r="AH52">
        <v>0</v>
      </c>
    </row>
    <row r="53" spans="1:34" hidden="1">
      <c r="A53" s="39" t="s">
        <v>207</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55</v>
      </c>
      <c r="AE53" s="28">
        <v>3176</v>
      </c>
      <c r="AF53">
        <v>14241</v>
      </c>
      <c r="AG53">
        <v>2909</v>
      </c>
      <c r="AH53">
        <v>12706</v>
      </c>
    </row>
    <row r="54" spans="1:34" hidden="1">
      <c r="A54" s="39" t="s">
        <v>187</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503</v>
      </c>
      <c r="AE54" s="28">
        <v>775</v>
      </c>
      <c r="AF54">
        <v>3944</v>
      </c>
      <c r="AH54">
        <v>0</v>
      </c>
    </row>
    <row r="55" spans="1:34" hidden="1">
      <c r="A55" s="39" t="s">
        <v>1289</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343</v>
      </c>
      <c r="AE55" s="28">
        <v>652</v>
      </c>
      <c r="AF55">
        <v>4042</v>
      </c>
      <c r="AG55">
        <v>684</v>
      </c>
      <c r="AH55">
        <v>4399</v>
      </c>
    </row>
    <row r="56" spans="1:34" hidden="1">
      <c r="A56" s="39" t="s">
        <v>723</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89</v>
      </c>
      <c r="AE56" s="28">
        <v>7423</v>
      </c>
      <c r="AF56">
        <v>30685</v>
      </c>
      <c r="AG56">
        <v>9541</v>
      </c>
      <c r="AH56">
        <v>38305</v>
      </c>
    </row>
    <row r="57" spans="1:34" hidden="1">
      <c r="A57" s="39" t="s">
        <v>709</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195</v>
      </c>
      <c r="AE57" s="28">
        <v>1327</v>
      </c>
      <c r="AF57">
        <v>11643</v>
      </c>
      <c r="AG57">
        <v>1380</v>
      </c>
      <c r="AH57">
        <v>10923</v>
      </c>
    </row>
    <row r="58" spans="1:34" hidden="1">
      <c r="A58" s="39" t="s">
        <v>707</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413</v>
      </c>
      <c r="AE58" s="28">
        <v>932</v>
      </c>
      <c r="AF58">
        <v>4545</v>
      </c>
      <c r="AH58">
        <v>0</v>
      </c>
    </row>
    <row r="59" spans="1:34" hidden="1">
      <c r="A59" s="39" t="s">
        <v>61</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337</v>
      </c>
      <c r="AE59" s="28">
        <v>1214</v>
      </c>
      <c r="AF59">
        <v>4168</v>
      </c>
      <c r="AH59">
        <v>0</v>
      </c>
    </row>
    <row r="60" spans="1:34" hidden="1">
      <c r="A60" s="39" t="s">
        <v>962</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599</v>
      </c>
      <c r="AE60" s="28">
        <v>1982</v>
      </c>
      <c r="AF60">
        <v>4535</v>
      </c>
      <c r="AG60">
        <v>1664</v>
      </c>
      <c r="AH60">
        <v>3195</v>
      </c>
    </row>
    <row r="61" spans="1:34" hidden="1">
      <c r="A61" s="39" t="s">
        <v>891</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197</v>
      </c>
      <c r="AE61" s="28">
        <v>1254</v>
      </c>
      <c r="AF61">
        <v>8932</v>
      </c>
      <c r="AG61">
        <v>767</v>
      </c>
      <c r="AH61">
        <v>5607</v>
      </c>
    </row>
    <row r="62" spans="1:34" hidden="1">
      <c r="A62" s="39" t="s">
        <v>421</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415</v>
      </c>
      <c r="AE62" s="28">
        <v>971</v>
      </c>
      <c r="AF62">
        <v>5979</v>
      </c>
      <c r="AG62">
        <v>844</v>
      </c>
      <c r="AH62">
        <v>5430</v>
      </c>
    </row>
    <row r="63" spans="1:34" hidden="1">
      <c r="A63" s="39" t="s">
        <v>501</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161</v>
      </c>
      <c r="AE63" s="28">
        <v>3925</v>
      </c>
      <c r="AF63">
        <v>15541</v>
      </c>
      <c r="AG63">
        <v>3954</v>
      </c>
      <c r="AH63">
        <v>14023</v>
      </c>
    </row>
    <row r="64" spans="1:34" hidden="1">
      <c r="A64" s="39" t="s">
        <v>239</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347</v>
      </c>
      <c r="AE64" s="28">
        <v>470</v>
      </c>
      <c r="AF64">
        <v>1786</v>
      </c>
      <c r="AH64">
        <v>0</v>
      </c>
    </row>
    <row r="65" spans="1:34" hidden="1">
      <c r="A65" s="39" t="s">
        <v>113</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577</v>
      </c>
      <c r="AE65" s="28">
        <v>2026</v>
      </c>
      <c r="AF65">
        <v>10626</v>
      </c>
      <c r="AG65">
        <v>1840</v>
      </c>
      <c r="AH65">
        <v>7932</v>
      </c>
    </row>
    <row r="66" spans="1:34" hidden="1">
      <c r="A66" s="39" t="s">
        <v>295</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137</v>
      </c>
      <c r="AE66" s="28">
        <v>2247</v>
      </c>
      <c r="AF66">
        <v>9320</v>
      </c>
      <c r="AG66">
        <v>2293</v>
      </c>
      <c r="AH66">
        <v>8955</v>
      </c>
    </row>
    <row r="67" spans="1:34" hidden="1">
      <c r="A67" s="39" t="s">
        <v>1290</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609</v>
      </c>
      <c r="AE67" s="28">
        <v>2514</v>
      </c>
      <c r="AF67">
        <v>14408</v>
      </c>
      <c r="AG67">
        <v>2314</v>
      </c>
      <c r="AH67">
        <v>9966</v>
      </c>
    </row>
    <row r="68" spans="1:34" hidden="1">
      <c r="A68" s="39" t="s">
        <v>217</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437</v>
      </c>
      <c r="AE68" s="28">
        <v>666</v>
      </c>
      <c r="AF68">
        <v>3291</v>
      </c>
      <c r="AH68">
        <v>0</v>
      </c>
    </row>
    <row r="69" spans="1:34" hidden="1">
      <c r="A69" s="39" t="s">
        <v>687</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57</v>
      </c>
      <c r="AE69" s="28">
        <v>2677</v>
      </c>
      <c r="AF69">
        <v>7629</v>
      </c>
      <c r="AG69">
        <v>3124</v>
      </c>
      <c r="AH69">
        <v>9860</v>
      </c>
    </row>
    <row r="70" spans="1:34" hidden="1">
      <c r="A70" s="39" t="s">
        <v>796</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221</v>
      </c>
      <c r="AE70" s="28">
        <v>1267</v>
      </c>
      <c r="AF70">
        <v>6553</v>
      </c>
      <c r="AG70">
        <v>1252</v>
      </c>
      <c r="AH70">
        <v>6536</v>
      </c>
    </row>
    <row r="71" spans="1:34" hidden="1">
      <c r="A71" s="39" t="s">
        <v>807</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179</v>
      </c>
      <c r="AE71" s="28">
        <v>1937</v>
      </c>
      <c r="AF71">
        <v>8681</v>
      </c>
      <c r="AG71">
        <v>1898</v>
      </c>
      <c r="AH71">
        <v>8948</v>
      </c>
    </row>
    <row r="72" spans="1:34" hidden="1">
      <c r="A72" s="39" t="s">
        <v>956</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543</v>
      </c>
      <c r="AE72" s="28">
        <v>898</v>
      </c>
      <c r="AF72">
        <v>2535</v>
      </c>
      <c r="AH72">
        <v>0</v>
      </c>
    </row>
    <row r="73" spans="1:34" hidden="1">
      <c r="A73" s="39" t="s">
        <v>123</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489</v>
      </c>
      <c r="AE73" s="28">
        <v>866</v>
      </c>
      <c r="AF73">
        <v>4550</v>
      </c>
      <c r="AH73">
        <v>0</v>
      </c>
    </row>
    <row r="74" spans="1:34" hidden="1">
      <c r="A74" s="39" t="s">
        <v>51</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639</v>
      </c>
      <c r="AE74" s="28">
        <v>1675</v>
      </c>
      <c r="AF74">
        <v>10426</v>
      </c>
      <c r="AG74">
        <v>2155</v>
      </c>
      <c r="AH74">
        <v>11551</v>
      </c>
    </row>
    <row r="75" spans="1:34" hidden="1">
      <c r="A75" s="39" t="s">
        <v>83</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481</v>
      </c>
      <c r="AE75" s="28">
        <v>821</v>
      </c>
      <c r="AF75">
        <v>3505</v>
      </c>
      <c r="AH75">
        <v>0</v>
      </c>
    </row>
    <row r="76" spans="1:34" hidden="1">
      <c r="A76" s="39" t="s">
        <v>19</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291</v>
      </c>
      <c r="AE76" s="28">
        <v>472</v>
      </c>
      <c r="AF76">
        <v>1955</v>
      </c>
      <c r="AH76">
        <v>0</v>
      </c>
    </row>
    <row r="77" spans="1:34" hidden="1">
      <c r="A77" s="39" t="s">
        <v>219</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425</v>
      </c>
      <c r="AE77" s="28">
        <v>525</v>
      </c>
      <c r="AF77">
        <v>1914</v>
      </c>
      <c r="AH77">
        <v>0</v>
      </c>
    </row>
    <row r="78" spans="1:34" hidden="1">
      <c r="A78" s="39" t="s">
        <v>271</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369</v>
      </c>
      <c r="AE78" s="28">
        <v>901</v>
      </c>
      <c r="AF78">
        <v>2044</v>
      </c>
      <c r="AH78">
        <v>0</v>
      </c>
    </row>
    <row r="79" spans="1:34" hidden="1">
      <c r="A79" s="39" t="s">
        <v>603</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251</v>
      </c>
      <c r="AE79" s="28">
        <v>2428</v>
      </c>
      <c r="AF79">
        <v>7026</v>
      </c>
      <c r="AG79">
        <v>2713</v>
      </c>
      <c r="AH79">
        <v>9376</v>
      </c>
    </row>
    <row r="80" spans="1:34" hidden="1">
      <c r="A80" s="39" t="s">
        <v>607</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453</v>
      </c>
      <c r="AE80" s="28">
        <v>1476</v>
      </c>
      <c r="AF80">
        <v>4569</v>
      </c>
      <c r="AH80">
        <v>0</v>
      </c>
    </row>
    <row r="81" spans="1:34" hidden="1">
      <c r="A81" s="39" t="s">
        <v>65</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515</v>
      </c>
      <c r="AE81" s="28">
        <v>978</v>
      </c>
      <c r="AF81">
        <v>5143</v>
      </c>
      <c r="AH81">
        <v>0</v>
      </c>
    </row>
    <row r="82" spans="1:34" hidden="1">
      <c r="A82" s="39" t="s">
        <v>873</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501</v>
      </c>
      <c r="AE82" s="28">
        <v>952</v>
      </c>
      <c r="AF82">
        <v>5221</v>
      </c>
      <c r="AG82">
        <v>883</v>
      </c>
      <c r="AH82">
        <v>5063</v>
      </c>
    </row>
    <row r="83" spans="1:34" hidden="1">
      <c r="A83" s="39" t="s">
        <v>875</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189</v>
      </c>
      <c r="AE83" s="28">
        <v>1631</v>
      </c>
      <c r="AF83">
        <v>7645</v>
      </c>
      <c r="AG83">
        <v>1902</v>
      </c>
      <c r="AH83">
        <v>9147</v>
      </c>
    </row>
    <row r="84" spans="1:34" hidden="1">
      <c r="A84" s="39" t="s">
        <v>127</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619</v>
      </c>
      <c r="AE84" s="28">
        <v>602</v>
      </c>
      <c r="AF84">
        <v>3783</v>
      </c>
      <c r="AH84">
        <v>0</v>
      </c>
    </row>
    <row r="85" spans="1:34" hidden="1">
      <c r="A85" s="39" t="s">
        <v>811</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261</v>
      </c>
      <c r="AE85" s="28">
        <v>1231</v>
      </c>
      <c r="AF85">
        <v>4891</v>
      </c>
      <c r="AG85">
        <v>1385</v>
      </c>
      <c r="AH85">
        <v>5413</v>
      </c>
    </row>
    <row r="86" spans="1:34" hidden="1">
      <c r="A86" s="39" t="s">
        <v>1291</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129</v>
      </c>
      <c r="AE86" s="28">
        <v>1672</v>
      </c>
      <c r="AF86">
        <v>9371</v>
      </c>
      <c r="AG86">
        <v>1619</v>
      </c>
      <c r="AH86">
        <v>9686</v>
      </c>
    </row>
    <row r="87" spans="1:34" hidden="1">
      <c r="A87" s="39" t="s">
        <v>1292</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317</v>
      </c>
      <c r="AE87" s="28">
        <v>662</v>
      </c>
      <c r="AF87">
        <v>2203</v>
      </c>
      <c r="AG87">
        <v>660</v>
      </c>
      <c r="AH87">
        <v>2078</v>
      </c>
    </row>
    <row r="88" spans="1:34" hidden="1">
      <c r="A88" s="39" t="s">
        <v>990</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275</v>
      </c>
      <c r="AE88" s="28">
        <v>423</v>
      </c>
      <c r="AF88">
        <v>2735</v>
      </c>
      <c r="AG88">
        <v>560</v>
      </c>
      <c r="AH88">
        <v>3270</v>
      </c>
    </row>
    <row r="89" spans="1:34" hidden="1">
      <c r="A89" s="39" t="s">
        <v>1293</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439</v>
      </c>
      <c r="AE89" s="28">
        <v>431</v>
      </c>
      <c r="AF89">
        <v>2578</v>
      </c>
      <c r="AH89">
        <v>0</v>
      </c>
    </row>
    <row r="90" spans="1:34" hidden="1">
      <c r="A90" s="39" t="s">
        <v>1093</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407</v>
      </c>
      <c r="AE90" s="28">
        <v>208</v>
      </c>
      <c r="AF90">
        <v>1108</v>
      </c>
      <c r="AH90">
        <v>0</v>
      </c>
    </row>
    <row r="91" spans="1:34" hidden="1">
      <c r="A91" s="39" t="s">
        <v>571</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333</v>
      </c>
      <c r="AE91" s="28">
        <v>427</v>
      </c>
      <c r="AF91">
        <v>2097</v>
      </c>
      <c r="AH91">
        <v>0</v>
      </c>
    </row>
    <row r="92" spans="1:34" hidden="1">
      <c r="A92" s="39" t="s">
        <v>599</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35</v>
      </c>
      <c r="AE92" s="28">
        <v>6857</v>
      </c>
      <c r="AF92">
        <v>24329</v>
      </c>
      <c r="AG92">
        <v>6633</v>
      </c>
      <c r="AH92">
        <v>23253</v>
      </c>
    </row>
    <row r="93" spans="1:34" hidden="1">
      <c r="A93" s="39" t="s">
        <v>317</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295</v>
      </c>
      <c r="AE93" s="28">
        <v>1277</v>
      </c>
      <c r="AF93">
        <v>5528</v>
      </c>
      <c r="AG93">
        <v>1354</v>
      </c>
      <c r="AH93">
        <v>5274</v>
      </c>
    </row>
    <row r="94" spans="1:34" hidden="1">
      <c r="A94" s="39" t="s">
        <v>1105</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455</v>
      </c>
      <c r="AE94" s="28">
        <v>1046</v>
      </c>
      <c r="AF94">
        <v>4252</v>
      </c>
      <c r="AG94">
        <v>963</v>
      </c>
      <c r="AH94">
        <v>3558</v>
      </c>
    </row>
    <row r="95" spans="1:34" hidden="1">
      <c r="A95" s="39" t="s">
        <v>1062</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335</v>
      </c>
      <c r="AE95" s="28">
        <v>577</v>
      </c>
      <c r="AF95">
        <v>2249</v>
      </c>
      <c r="AH95">
        <v>0</v>
      </c>
    </row>
    <row r="96" spans="1:34" hidden="1">
      <c r="A96" s="39" t="s">
        <v>1158</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479</v>
      </c>
      <c r="AE96" s="28">
        <v>576</v>
      </c>
      <c r="AF96">
        <v>1593</v>
      </c>
      <c r="AH96">
        <v>0</v>
      </c>
    </row>
    <row r="97" spans="1:34" hidden="1">
      <c r="A97" s="39" t="s">
        <v>1025</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551</v>
      </c>
      <c r="AE97" s="28">
        <v>752</v>
      </c>
      <c r="AF97">
        <v>2822</v>
      </c>
      <c r="AH97">
        <v>0</v>
      </c>
    </row>
    <row r="98" spans="1:34" hidden="1">
      <c r="A98" s="39" t="s">
        <v>869</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263</v>
      </c>
      <c r="AE98" s="28">
        <v>613</v>
      </c>
      <c r="AF98">
        <v>10530</v>
      </c>
      <c r="AG98">
        <v>503</v>
      </c>
      <c r="AH98">
        <v>7597</v>
      </c>
    </row>
    <row r="99" spans="1:34" hidden="1">
      <c r="A99" s="39" t="s">
        <v>15</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419</v>
      </c>
      <c r="AE99" s="28">
        <v>1880</v>
      </c>
      <c r="AF99">
        <v>18081</v>
      </c>
      <c r="AG99">
        <v>1564</v>
      </c>
      <c r="AH99">
        <v>15682</v>
      </c>
    </row>
    <row r="100" spans="1:34" hidden="1">
      <c r="A100" s="39" t="s">
        <v>549</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469</v>
      </c>
      <c r="AE100" s="28">
        <v>513</v>
      </c>
      <c r="AF100">
        <v>2211</v>
      </c>
      <c r="AH100">
        <v>0</v>
      </c>
    </row>
    <row r="101" spans="1:34" hidden="1">
      <c r="A101" s="39" t="s">
        <v>495</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447</v>
      </c>
      <c r="AE101" s="28">
        <v>196</v>
      </c>
      <c r="AF101">
        <v>1176</v>
      </c>
      <c r="AH101">
        <v>0</v>
      </c>
    </row>
    <row r="102" spans="1:34" hidden="1">
      <c r="A102" s="39" t="s">
        <v>341</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429</v>
      </c>
      <c r="AE102" s="28">
        <v>707</v>
      </c>
      <c r="AF102">
        <v>3766</v>
      </c>
      <c r="AH102">
        <v>0</v>
      </c>
    </row>
    <row r="103" spans="1:34" hidden="1">
      <c r="A103" s="39" t="s">
        <v>631</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127</v>
      </c>
      <c r="AE103" s="28">
        <v>1594</v>
      </c>
      <c r="AF103">
        <v>8161</v>
      </c>
      <c r="AG103">
        <v>1148</v>
      </c>
      <c r="AH103">
        <v>7643</v>
      </c>
    </row>
    <row r="104" spans="1:34" hidden="1">
      <c r="A104" s="39" t="s">
        <v>227</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203</v>
      </c>
      <c r="AE104" s="28">
        <v>2511</v>
      </c>
      <c r="AF104">
        <v>12700</v>
      </c>
      <c r="AG104">
        <v>2624</v>
      </c>
      <c r="AH104">
        <v>11543</v>
      </c>
    </row>
    <row r="105" spans="1:34" hidden="1">
      <c r="A105" s="39" t="s">
        <v>137</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465</v>
      </c>
      <c r="AE105" s="28">
        <v>1114</v>
      </c>
      <c r="AF105">
        <v>6172</v>
      </c>
      <c r="AG105">
        <v>1024</v>
      </c>
      <c r="AH105">
        <v>5169</v>
      </c>
    </row>
    <row r="106" spans="1:34" hidden="1">
      <c r="A106" s="39" t="s">
        <v>1205</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527</v>
      </c>
      <c r="AE106" s="28">
        <v>950</v>
      </c>
      <c r="AF106">
        <v>2213</v>
      </c>
      <c r="AH106">
        <v>0</v>
      </c>
    </row>
    <row r="107" spans="1:34" hidden="1">
      <c r="A107" s="39" t="s">
        <v>1294</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525</v>
      </c>
      <c r="AE107" s="28">
        <v>756</v>
      </c>
      <c r="AF107">
        <v>2872</v>
      </c>
      <c r="AH107">
        <v>0</v>
      </c>
    </row>
    <row r="108" spans="1:34" hidden="1">
      <c r="A108" s="39" t="s">
        <v>1127</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417</v>
      </c>
      <c r="AE108" s="28">
        <v>535</v>
      </c>
      <c r="AF108">
        <v>2720</v>
      </c>
      <c r="AH108">
        <v>0</v>
      </c>
    </row>
    <row r="109" spans="1:34" hidden="1">
      <c r="A109" s="39" t="s">
        <v>1163</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141</v>
      </c>
      <c r="AE109" s="28">
        <v>1992</v>
      </c>
      <c r="AF109">
        <v>4809</v>
      </c>
      <c r="AG109">
        <v>1876</v>
      </c>
      <c r="AH109">
        <v>4381</v>
      </c>
    </row>
    <row r="110" spans="1:34" hidden="1">
      <c r="A110" s="39" t="s">
        <v>157</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267</v>
      </c>
      <c r="AE110" s="28">
        <v>910</v>
      </c>
      <c r="AF110">
        <v>4186</v>
      </c>
      <c r="AG110">
        <v>683</v>
      </c>
      <c r="AH110">
        <v>5958</v>
      </c>
    </row>
    <row r="111" spans="1:34" hidden="1">
      <c r="A111" s="39" t="s">
        <v>287</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475</v>
      </c>
      <c r="AE111" s="28">
        <v>991</v>
      </c>
      <c r="AF111">
        <v>4900</v>
      </c>
      <c r="AH111">
        <v>0</v>
      </c>
    </row>
    <row r="112" spans="1:34" hidden="1">
      <c r="A112" s="39" t="s">
        <v>1035</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487</v>
      </c>
      <c r="AE112" s="28">
        <v>1070</v>
      </c>
      <c r="AF112">
        <v>4644</v>
      </c>
      <c r="AG112">
        <v>1149</v>
      </c>
      <c r="AH112">
        <v>4926</v>
      </c>
    </row>
    <row r="113" spans="1:34" hidden="1">
      <c r="A113" s="39" t="s">
        <v>1295</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443</v>
      </c>
      <c r="AE113" s="28">
        <v>269</v>
      </c>
      <c r="AF113">
        <v>1012</v>
      </c>
      <c r="AH113">
        <v>0</v>
      </c>
    </row>
    <row r="114" spans="1:34" hidden="1">
      <c r="A114" s="39" t="s">
        <v>1041</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341</v>
      </c>
      <c r="AE114" s="28">
        <v>366</v>
      </c>
      <c r="AF114">
        <v>2376</v>
      </c>
      <c r="AG114">
        <v>335</v>
      </c>
      <c r="AH114">
        <v>2573</v>
      </c>
    </row>
    <row r="115" spans="1:34" hidden="1">
      <c r="A115" s="39" t="s">
        <v>1152</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185</v>
      </c>
      <c r="AE115" s="28">
        <v>2113</v>
      </c>
      <c r="AF115">
        <v>5392</v>
      </c>
      <c r="AG115">
        <v>1765</v>
      </c>
      <c r="AH115">
        <v>4661</v>
      </c>
    </row>
    <row r="116" spans="1:34" hidden="1">
      <c r="A116" s="39" t="s">
        <v>1124</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163</v>
      </c>
      <c r="AE116" s="28">
        <v>1161</v>
      </c>
      <c r="AF116">
        <v>5011</v>
      </c>
      <c r="AG116">
        <v>1486</v>
      </c>
      <c r="AH116">
        <v>6808</v>
      </c>
    </row>
    <row r="117" spans="1:34" hidden="1">
      <c r="A117" s="39" t="s">
        <v>1296</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353</v>
      </c>
      <c r="AE117" s="28">
        <v>690</v>
      </c>
      <c r="AF117">
        <v>1755</v>
      </c>
      <c r="AH117">
        <v>0</v>
      </c>
    </row>
    <row r="118" spans="1:34" hidden="1">
      <c r="A118" s="39" t="s">
        <v>711</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201</v>
      </c>
      <c r="AE118" s="28">
        <v>1115</v>
      </c>
      <c r="AF118">
        <v>4213</v>
      </c>
      <c r="AG118">
        <v>995</v>
      </c>
      <c r="AH118">
        <v>3952</v>
      </c>
    </row>
    <row r="119" spans="1:34" hidden="1">
      <c r="A119" s="39" t="s">
        <v>1297</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539</v>
      </c>
      <c r="AE119" s="28">
        <v>1273</v>
      </c>
      <c r="AF119">
        <v>4614</v>
      </c>
      <c r="AG119">
        <v>1509</v>
      </c>
      <c r="AH119">
        <v>5326</v>
      </c>
    </row>
    <row r="120" spans="1:34" hidden="1">
      <c r="A120" s="39" t="s">
        <v>758</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485</v>
      </c>
      <c r="AE120" s="28">
        <v>1003</v>
      </c>
      <c r="AF120">
        <v>5089</v>
      </c>
      <c r="AG120">
        <v>1135</v>
      </c>
      <c r="AH120">
        <v>6127</v>
      </c>
    </row>
    <row r="121" spans="1:34" hidden="1">
      <c r="A121" s="39" t="s">
        <v>539</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493</v>
      </c>
      <c r="AE121" s="28">
        <v>425</v>
      </c>
      <c r="AF121">
        <v>1216</v>
      </c>
      <c r="AH121">
        <v>0</v>
      </c>
    </row>
    <row r="122" spans="1:34" hidden="1">
      <c r="A122" s="39" t="s">
        <v>177</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547</v>
      </c>
      <c r="AE122" s="28">
        <v>457</v>
      </c>
      <c r="AF122">
        <v>2842</v>
      </c>
      <c r="AH122">
        <v>0</v>
      </c>
    </row>
    <row r="123" spans="1:34" hidden="1">
      <c r="A123" s="39" t="s">
        <v>459</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409</v>
      </c>
      <c r="AE123" s="28">
        <v>396</v>
      </c>
      <c r="AF123">
        <v>1089</v>
      </c>
      <c r="AH123">
        <v>0</v>
      </c>
    </row>
    <row r="124" spans="1:34" hidden="1">
      <c r="A124" s="39" t="s">
        <v>215</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449</v>
      </c>
      <c r="AE124" s="28">
        <v>374</v>
      </c>
      <c r="AF124">
        <v>1383</v>
      </c>
      <c r="AH124">
        <v>0</v>
      </c>
    </row>
    <row r="125" spans="1:34" hidden="1">
      <c r="A125" s="39" t="s">
        <v>199</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375</v>
      </c>
      <c r="AE125" s="28">
        <v>2024</v>
      </c>
      <c r="AF125">
        <v>10130</v>
      </c>
      <c r="AG125">
        <v>2145</v>
      </c>
      <c r="AH125">
        <v>9967</v>
      </c>
    </row>
    <row r="126" spans="1:34" hidden="1">
      <c r="A126" s="39" t="s">
        <v>1054</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423</v>
      </c>
      <c r="AE126" s="28">
        <v>444</v>
      </c>
      <c r="AF126">
        <v>1903</v>
      </c>
      <c r="AH126">
        <v>0</v>
      </c>
    </row>
    <row r="127" spans="1:34" hidden="1">
      <c r="A127" s="39" t="s">
        <v>1298</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403</v>
      </c>
      <c r="AE127" s="28">
        <v>384</v>
      </c>
      <c r="AF127">
        <v>1342</v>
      </c>
      <c r="AH127">
        <v>0</v>
      </c>
    </row>
    <row r="128" spans="1:34" hidden="1">
      <c r="A128" s="39" t="s">
        <v>373</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215</v>
      </c>
      <c r="AE128" s="28">
        <v>4667</v>
      </c>
      <c r="AF128">
        <v>17712</v>
      </c>
      <c r="AG128">
        <v>4531</v>
      </c>
      <c r="AH128">
        <v>24486</v>
      </c>
    </row>
    <row r="129" spans="1:34" hidden="1">
      <c r="A129" s="39" t="s">
        <v>665</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85</v>
      </c>
      <c r="AE129" s="28">
        <v>2577</v>
      </c>
      <c r="AF129">
        <v>9416</v>
      </c>
      <c r="AG129">
        <v>2224</v>
      </c>
      <c r="AH129">
        <v>8107</v>
      </c>
    </row>
    <row r="130" spans="1:34" hidden="1">
      <c r="A130" s="39" t="s">
        <v>1211</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211</v>
      </c>
      <c r="AE130" s="28">
        <v>2165</v>
      </c>
      <c r="AF130">
        <v>5383</v>
      </c>
      <c r="AG130">
        <v>2320</v>
      </c>
      <c r="AH130">
        <v>5350</v>
      </c>
    </row>
    <row r="131" spans="1:34" hidden="1">
      <c r="A131" s="39" t="s">
        <v>1201</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441</v>
      </c>
      <c r="AE131" s="28">
        <v>1108</v>
      </c>
      <c r="AF131">
        <v>5115</v>
      </c>
      <c r="AG131">
        <v>971</v>
      </c>
      <c r="AH131">
        <v>4608</v>
      </c>
    </row>
    <row r="132" spans="1:34" hidden="1">
      <c r="A132" s="39" t="s">
        <v>1111</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237</v>
      </c>
      <c r="AE132" s="28">
        <v>2302</v>
      </c>
      <c r="AF132">
        <v>10218</v>
      </c>
      <c r="AG132">
        <v>2189</v>
      </c>
      <c r="AH132">
        <v>9526</v>
      </c>
    </row>
    <row r="133" spans="1:34" hidden="1">
      <c r="A133" s="39" t="s">
        <v>1068</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199</v>
      </c>
      <c r="AE133" s="28">
        <v>2047</v>
      </c>
      <c r="AF133">
        <v>7282</v>
      </c>
      <c r="AG133">
        <v>1788</v>
      </c>
      <c r="AH133">
        <v>6367</v>
      </c>
    </row>
    <row r="134" spans="1:34" hidden="1">
      <c r="A134" s="39" t="s">
        <v>1097</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307</v>
      </c>
      <c r="AE134" s="28">
        <v>760</v>
      </c>
      <c r="AF134">
        <v>2586</v>
      </c>
      <c r="AG134">
        <v>654</v>
      </c>
      <c r="AH134">
        <v>2486</v>
      </c>
    </row>
    <row r="135" spans="1:34" hidden="1">
      <c r="A135" s="39" t="s">
        <v>1043</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603</v>
      </c>
      <c r="AE135" s="28">
        <v>1249</v>
      </c>
      <c r="AF135">
        <v>5495</v>
      </c>
      <c r="AG135">
        <v>1127</v>
      </c>
      <c r="AH135">
        <v>5014</v>
      </c>
    </row>
    <row r="136" spans="1:34" hidden="1">
      <c r="A136" s="39" t="s">
        <v>627</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189</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125</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179</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89</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101</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611</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271</v>
      </c>
      <c r="AE142" s="28">
        <v>477</v>
      </c>
      <c r="AF142">
        <v>2478</v>
      </c>
      <c r="AG142">
        <v>475</v>
      </c>
      <c r="AH142">
        <v>2376</v>
      </c>
    </row>
    <row r="143" spans="1:34" hidden="1">
      <c r="A143" s="39" t="s">
        <v>355</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473</v>
      </c>
      <c r="AE143" s="28">
        <v>732</v>
      </c>
      <c r="AF143">
        <v>3414</v>
      </c>
      <c r="AG143">
        <v>738</v>
      </c>
      <c r="AH143">
        <v>3203</v>
      </c>
    </row>
    <row r="144" spans="1:34" hidden="1">
      <c r="A144" s="39" t="s">
        <v>213</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269</v>
      </c>
      <c r="AE144" s="28">
        <v>807</v>
      </c>
      <c r="AF144">
        <v>3474</v>
      </c>
      <c r="AG144">
        <v>685</v>
      </c>
      <c r="AH144">
        <v>3403</v>
      </c>
    </row>
    <row r="145" spans="1:34" hidden="1">
      <c r="A145" s="39" t="s">
        <v>1070</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239</v>
      </c>
      <c r="AE145" s="28">
        <v>1176</v>
      </c>
      <c r="AF145">
        <v>4928</v>
      </c>
      <c r="AG145">
        <v>1070</v>
      </c>
      <c r="AH145">
        <v>3829</v>
      </c>
    </row>
    <row r="146" spans="1:34" hidden="1">
      <c r="A146" s="39" t="s">
        <v>1299</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495</v>
      </c>
      <c r="AE146" s="28">
        <v>485</v>
      </c>
      <c r="AF146">
        <v>1503</v>
      </c>
      <c r="AG146">
        <v>600</v>
      </c>
      <c r="AH146">
        <v>2244</v>
      </c>
    </row>
    <row r="147" spans="1:34" hidden="1">
      <c r="A147" s="39" t="s">
        <v>1300</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433</v>
      </c>
      <c r="AE147" s="28">
        <v>1603</v>
      </c>
      <c r="AF147">
        <v>5425</v>
      </c>
      <c r="AG147">
        <v>1488</v>
      </c>
      <c r="AH147">
        <v>5220</v>
      </c>
    </row>
    <row r="148" spans="1:34" hidden="1">
      <c r="A148" s="39" t="s">
        <v>1161</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79</v>
      </c>
      <c r="AE148" s="28">
        <v>5633</v>
      </c>
      <c r="AF148">
        <v>24131</v>
      </c>
      <c r="AG148">
        <v>5006</v>
      </c>
      <c r="AH148">
        <v>20579</v>
      </c>
    </row>
    <row r="149" spans="1:34" hidden="1">
      <c r="A149" s="39" t="s">
        <v>1103</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461</v>
      </c>
      <c r="AE149" s="28">
        <v>3162</v>
      </c>
      <c r="AF149">
        <v>14680</v>
      </c>
      <c r="AG149">
        <v>3141</v>
      </c>
      <c r="AH149">
        <v>14722</v>
      </c>
    </row>
    <row r="150" spans="1:34" hidden="1">
      <c r="A150" s="39" t="s">
        <v>738</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1301</v>
      </c>
      <c r="AE150" s="28">
        <v>401</v>
      </c>
      <c r="AF150">
        <v>2749</v>
      </c>
      <c r="AH150">
        <v>0</v>
      </c>
    </row>
    <row r="151" spans="1:34" hidden="1">
      <c r="A151" s="39" t="s">
        <v>1302</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349</v>
      </c>
      <c r="AE151" s="28">
        <v>1430</v>
      </c>
      <c r="AF151">
        <v>3218</v>
      </c>
      <c r="AG151">
        <v>1479</v>
      </c>
      <c r="AH151">
        <v>2963</v>
      </c>
    </row>
    <row r="152" spans="1:34" hidden="1">
      <c r="A152" s="39" t="s">
        <v>1101</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497</v>
      </c>
      <c r="AE152" s="28">
        <v>751</v>
      </c>
      <c r="AF152">
        <v>2346</v>
      </c>
      <c r="AH152">
        <v>0</v>
      </c>
    </row>
    <row r="153" spans="1:34" hidden="1">
      <c r="A153" s="39" t="s">
        <v>1303</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509</v>
      </c>
      <c r="AE153" s="28">
        <v>696</v>
      </c>
      <c r="AF153">
        <v>1647</v>
      </c>
      <c r="AH153">
        <v>0</v>
      </c>
    </row>
    <row r="154" spans="1:34" hidden="1">
      <c r="A154" s="39" t="s">
        <v>798</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585</v>
      </c>
      <c r="AE154" s="28">
        <v>1272</v>
      </c>
      <c r="AF154">
        <v>3593</v>
      </c>
      <c r="AG154">
        <v>1083</v>
      </c>
      <c r="AH154">
        <v>3121</v>
      </c>
    </row>
    <row r="155" spans="1:34" hidden="1">
      <c r="A155" s="39" t="s">
        <v>767</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147</v>
      </c>
      <c r="AE155" s="28">
        <v>924</v>
      </c>
      <c r="AF155">
        <v>5069</v>
      </c>
      <c r="AG155">
        <v>968</v>
      </c>
      <c r="AH155">
        <v>5496</v>
      </c>
    </row>
    <row r="156" spans="1:34" hidden="1">
      <c r="A156" s="39" t="s">
        <v>1192</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1291</v>
      </c>
      <c r="AE156" s="28">
        <v>3</v>
      </c>
      <c r="AF156">
        <v>134</v>
      </c>
      <c r="AG156">
        <v>11</v>
      </c>
      <c r="AH156">
        <v>171</v>
      </c>
    </row>
    <row r="157" spans="1:34" hidden="1">
      <c r="A157" s="39" t="s">
        <v>1165</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431</v>
      </c>
      <c r="AE157" s="28">
        <v>654</v>
      </c>
      <c r="AF157">
        <v>2670</v>
      </c>
      <c r="AG157">
        <v>562</v>
      </c>
      <c r="AH157">
        <v>2401</v>
      </c>
    </row>
    <row r="158" spans="1:34" hidden="1">
      <c r="A158" s="39" t="s">
        <v>1087</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1304</v>
      </c>
      <c r="AE158" s="28">
        <v>272</v>
      </c>
      <c r="AF158">
        <v>858</v>
      </c>
      <c r="AH158">
        <v>0</v>
      </c>
    </row>
    <row r="159" spans="1:34" hidden="1">
      <c r="A159" s="39" t="s">
        <v>983</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1305</v>
      </c>
      <c r="AE159" s="28">
        <v>8</v>
      </c>
      <c r="AF159">
        <v>68</v>
      </c>
      <c r="AH159">
        <v>0</v>
      </c>
    </row>
    <row r="160" spans="1:34" hidden="1">
      <c r="A160" s="39" t="s">
        <v>1058</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579</v>
      </c>
      <c r="AE160" s="28">
        <v>460</v>
      </c>
      <c r="AF160">
        <v>2947</v>
      </c>
      <c r="AH160">
        <v>0</v>
      </c>
    </row>
    <row r="161" spans="1:34" hidden="1">
      <c r="A161" s="39" t="s">
        <v>1116</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287</v>
      </c>
      <c r="AE161" s="28">
        <v>1605</v>
      </c>
      <c r="AF161">
        <v>4839</v>
      </c>
      <c r="AG161">
        <v>1480</v>
      </c>
      <c r="AH161">
        <v>4715</v>
      </c>
    </row>
    <row r="162" spans="1:34" hidden="1">
      <c r="A162" s="39" t="s">
        <v>725</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175</v>
      </c>
      <c r="AE162" s="28">
        <v>906</v>
      </c>
      <c r="AF162">
        <v>2927</v>
      </c>
      <c r="AG162">
        <v>951</v>
      </c>
      <c r="AH162">
        <v>3156</v>
      </c>
    </row>
    <row r="163" spans="1:34" hidden="1">
      <c r="A163" s="39" t="s">
        <v>763</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1306</v>
      </c>
      <c r="AE163" s="28">
        <v>2</v>
      </c>
      <c r="AF163">
        <v>10</v>
      </c>
      <c r="AH163">
        <v>0</v>
      </c>
    </row>
    <row r="164" spans="1:34" hidden="1">
      <c r="A164" s="39" t="s">
        <v>1095</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463</v>
      </c>
      <c r="AE164" s="28">
        <v>910</v>
      </c>
      <c r="AF164">
        <v>2491</v>
      </c>
      <c r="AG164">
        <v>794</v>
      </c>
      <c r="AH164">
        <v>2329</v>
      </c>
    </row>
    <row r="165" spans="1:34" hidden="1">
      <c r="A165" s="39" t="s">
        <v>1207</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631</v>
      </c>
      <c r="AE165" s="28">
        <v>2224</v>
      </c>
      <c r="AF165">
        <v>6292</v>
      </c>
      <c r="AG165">
        <v>2171</v>
      </c>
      <c r="AH165">
        <v>6267</v>
      </c>
    </row>
    <row r="166" spans="1:34" hidden="1">
      <c r="A166" s="39" t="s">
        <v>772</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373</v>
      </c>
      <c r="AE166" s="28">
        <v>739</v>
      </c>
      <c r="AF166">
        <v>3285</v>
      </c>
      <c r="AG166">
        <v>766</v>
      </c>
      <c r="AH166">
        <v>3874</v>
      </c>
    </row>
    <row r="167" spans="1:34" hidden="1">
      <c r="A167" s="39" t="s">
        <v>163</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1307</v>
      </c>
      <c r="AE167" s="28">
        <v>189</v>
      </c>
      <c r="AF167">
        <v>685</v>
      </c>
      <c r="AH167">
        <v>0</v>
      </c>
    </row>
    <row r="168" spans="1:34" hidden="1">
      <c r="A168" s="39" t="s">
        <v>671</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1308</v>
      </c>
      <c r="AE168" s="28">
        <v>131</v>
      </c>
      <c r="AF168">
        <v>710</v>
      </c>
      <c r="AH168">
        <v>0</v>
      </c>
    </row>
    <row r="169" spans="1:34" hidden="1">
      <c r="A169" s="39" t="s">
        <v>756</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309</v>
      </c>
      <c r="AE169" s="29">
        <v>241</v>
      </c>
      <c r="AF169">
        <v>1588</v>
      </c>
      <c r="AG169">
        <v>264</v>
      </c>
      <c r="AH169">
        <v>1608</v>
      </c>
    </row>
    <row r="170" spans="1:34" hidden="1">
      <c r="A170" s="39" t="s">
        <v>73</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51</v>
      </c>
      <c r="AE170" s="28">
        <v>2823</v>
      </c>
      <c r="AF170">
        <v>12738</v>
      </c>
      <c r="AG170">
        <v>2583</v>
      </c>
      <c r="AH170">
        <v>13375</v>
      </c>
    </row>
    <row r="171" spans="1:34" hidden="1">
      <c r="A171" s="39" t="s">
        <v>965</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587</v>
      </c>
      <c r="AE171" s="28">
        <v>1428</v>
      </c>
      <c r="AF171">
        <v>3763</v>
      </c>
      <c r="AG171">
        <v>1354</v>
      </c>
      <c r="AH171">
        <v>3424</v>
      </c>
    </row>
    <row r="172" spans="1:34" hidden="1">
      <c r="A172" s="39" t="s">
        <v>223</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345</v>
      </c>
      <c r="AE172" s="28">
        <v>623</v>
      </c>
      <c r="AF172">
        <v>2903</v>
      </c>
      <c r="AG172">
        <v>624</v>
      </c>
      <c r="AH172">
        <v>2785</v>
      </c>
    </row>
    <row r="173" spans="1:34" hidden="1">
      <c r="A173" s="39" t="s">
        <v>992</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549</v>
      </c>
      <c r="AE173" s="28">
        <v>787</v>
      </c>
      <c r="AF173">
        <v>2041</v>
      </c>
      <c r="AG173">
        <v>864</v>
      </c>
      <c r="AH173">
        <v>2251</v>
      </c>
    </row>
    <row r="174" spans="1:34" hidden="1">
      <c r="A174" s="39" t="s">
        <v>1089</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183</v>
      </c>
      <c r="AE174" s="28">
        <v>626</v>
      </c>
      <c r="AF174">
        <v>2805</v>
      </c>
      <c r="AG174">
        <v>606</v>
      </c>
      <c r="AH174">
        <v>2642</v>
      </c>
    </row>
    <row r="175" spans="1:34" hidden="1">
      <c r="A175" s="39" t="s">
        <v>221</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225</v>
      </c>
      <c r="AE175" s="28">
        <v>685</v>
      </c>
      <c r="AF175">
        <v>3289</v>
      </c>
      <c r="AG175">
        <v>567</v>
      </c>
      <c r="AH175">
        <v>2661</v>
      </c>
    </row>
    <row r="176" spans="1:34" hidden="1">
      <c r="A176" s="39" t="s">
        <v>871</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217</v>
      </c>
      <c r="AE176" s="28">
        <v>1328</v>
      </c>
      <c r="AF176">
        <v>4299</v>
      </c>
      <c r="AG176">
        <v>1212</v>
      </c>
      <c r="AH176">
        <v>3861</v>
      </c>
    </row>
    <row r="177" spans="1:34" hidden="1">
      <c r="A177" s="39" t="s">
        <v>837</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575</v>
      </c>
      <c r="AE177" s="28">
        <v>668</v>
      </c>
      <c r="AF177">
        <v>7767</v>
      </c>
      <c r="AG177">
        <v>1143</v>
      </c>
      <c r="AH177">
        <v>10440</v>
      </c>
    </row>
    <row r="178" spans="1:34" hidden="1">
      <c r="A178" s="39" t="s">
        <v>87</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187</v>
      </c>
      <c r="AE178" s="28">
        <v>1208</v>
      </c>
      <c r="AF178">
        <v>4295</v>
      </c>
      <c r="AG178">
        <v>1090</v>
      </c>
      <c r="AH178">
        <v>3763</v>
      </c>
    </row>
    <row r="179" spans="1:34" hidden="1">
      <c r="A179" s="39" t="s">
        <v>545</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231</v>
      </c>
      <c r="AE179" s="28">
        <v>1509</v>
      </c>
      <c r="AF179">
        <v>9133</v>
      </c>
      <c r="AG179">
        <v>1433</v>
      </c>
      <c r="AH179">
        <v>8539</v>
      </c>
    </row>
    <row r="180" spans="1:34" hidden="1">
      <c r="A180" s="39" t="s">
        <v>1017</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625</v>
      </c>
      <c r="AE180" s="28">
        <v>3022</v>
      </c>
      <c r="AF180">
        <v>9157</v>
      </c>
      <c r="AG180">
        <v>3472</v>
      </c>
      <c r="AH180">
        <v>9708</v>
      </c>
    </row>
    <row r="181" spans="1:34" hidden="1">
      <c r="A181" s="39" t="s">
        <v>713</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583</v>
      </c>
      <c r="AE181" s="28">
        <v>1145</v>
      </c>
      <c r="AF181">
        <v>4679</v>
      </c>
      <c r="AG181">
        <v>696</v>
      </c>
      <c r="AH181">
        <v>3009</v>
      </c>
    </row>
    <row r="182" spans="1:34" hidden="1">
      <c r="A182" s="39" t="s">
        <v>593</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445</v>
      </c>
      <c r="AE182" s="28">
        <v>1394</v>
      </c>
      <c r="AF182">
        <v>5524</v>
      </c>
      <c r="AG182">
        <v>1299</v>
      </c>
      <c r="AH182">
        <v>5554</v>
      </c>
    </row>
    <row r="183" spans="1:34" hidden="1">
      <c r="A183" s="39" t="s">
        <v>731</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15</v>
      </c>
      <c r="AE183" s="28">
        <v>33472</v>
      </c>
      <c r="AF183">
        <v>138011</v>
      </c>
      <c r="AG183">
        <v>30123</v>
      </c>
      <c r="AH183">
        <v>128160</v>
      </c>
    </row>
    <row r="184" spans="1:34" hidden="1">
      <c r="A184" s="39" t="s">
        <v>1118</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227</v>
      </c>
      <c r="AE184" s="28">
        <v>1079</v>
      </c>
      <c r="AF184">
        <v>6617</v>
      </c>
      <c r="AG184">
        <v>1129</v>
      </c>
      <c r="AH184">
        <v>6537</v>
      </c>
    </row>
    <row r="185" spans="1:34" hidden="1">
      <c r="A185" s="39" t="s">
        <v>1198</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193</v>
      </c>
      <c r="AE185" s="29">
        <v>1417</v>
      </c>
      <c r="AF185">
        <v>8552</v>
      </c>
      <c r="AG185">
        <v>1530</v>
      </c>
      <c r="AH185">
        <v>8951</v>
      </c>
    </row>
    <row r="186" spans="1:34" hidden="1">
      <c r="A186" s="39" t="s">
        <v>1150</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281</v>
      </c>
      <c r="AE186" s="28">
        <v>834</v>
      </c>
      <c r="AF186">
        <v>3151</v>
      </c>
      <c r="AG186">
        <v>740</v>
      </c>
      <c r="AH186">
        <v>2672</v>
      </c>
    </row>
    <row r="187" spans="1:34" hidden="1">
      <c r="A187" s="39" t="s">
        <v>785</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123</v>
      </c>
      <c r="AE187" s="28">
        <v>1625</v>
      </c>
      <c r="AF187">
        <v>5322</v>
      </c>
      <c r="AG187">
        <v>1697</v>
      </c>
      <c r="AH187">
        <v>6038</v>
      </c>
    </row>
    <row r="188" spans="1:34" hidden="1">
      <c r="A188" s="39" t="s">
        <v>879</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285</v>
      </c>
      <c r="AE188" s="28">
        <v>1102</v>
      </c>
      <c r="AF188">
        <v>5414</v>
      </c>
      <c r="AG188">
        <v>1212</v>
      </c>
      <c r="AH188">
        <v>6482</v>
      </c>
    </row>
    <row r="189" spans="1:34" hidden="1">
      <c r="A189" s="39" t="s">
        <v>1002</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617</v>
      </c>
      <c r="AE189" s="28">
        <v>2369</v>
      </c>
      <c r="AF189">
        <v>7209</v>
      </c>
      <c r="AG189">
        <v>1913</v>
      </c>
      <c r="AH189">
        <v>5327</v>
      </c>
    </row>
    <row r="190" spans="1:34" hidden="1">
      <c r="A190" s="39" t="s">
        <v>967</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325</v>
      </c>
      <c r="AE190" s="28">
        <v>399</v>
      </c>
      <c r="AF190">
        <v>1384</v>
      </c>
      <c r="AG190">
        <v>351</v>
      </c>
      <c r="AH190">
        <v>1247</v>
      </c>
    </row>
    <row r="191" spans="1:34" hidden="1">
      <c r="A191" s="39" t="s">
        <v>1011</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635</v>
      </c>
      <c r="AE191" s="28">
        <v>2274</v>
      </c>
      <c r="AF191">
        <v>14366</v>
      </c>
      <c r="AG191">
        <v>1868</v>
      </c>
      <c r="AH191">
        <v>10981</v>
      </c>
    </row>
    <row r="192" spans="1:34" hidden="1">
      <c r="A192" s="39" t="s">
        <v>1072</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517</v>
      </c>
      <c r="AE192" s="28">
        <v>15</v>
      </c>
      <c r="AF192">
        <v>246</v>
      </c>
      <c r="AG192">
        <v>15</v>
      </c>
      <c r="AH192">
        <v>139</v>
      </c>
    </row>
    <row r="193" spans="1:34" hidden="1">
      <c r="A193" s="39" t="s">
        <v>813</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149</v>
      </c>
      <c r="AE193" s="28">
        <v>1363</v>
      </c>
      <c r="AF193">
        <v>4949</v>
      </c>
      <c r="AG193">
        <v>1260</v>
      </c>
      <c r="AH193">
        <v>4741</v>
      </c>
    </row>
    <row r="194" spans="1:34" hidden="1">
      <c r="A194" s="39" t="s">
        <v>277</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213</v>
      </c>
      <c r="AE194" s="28">
        <v>3262</v>
      </c>
      <c r="AF194">
        <v>9770</v>
      </c>
      <c r="AG194">
        <v>3190</v>
      </c>
      <c r="AH194">
        <v>9222</v>
      </c>
    </row>
    <row r="195" spans="1:34" hidden="1">
      <c r="A195" s="39" t="s">
        <v>940</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521</v>
      </c>
      <c r="AE195" s="28">
        <v>1048</v>
      </c>
      <c r="AF195">
        <v>4779</v>
      </c>
      <c r="AG195">
        <v>1064</v>
      </c>
      <c r="AH195">
        <v>4496</v>
      </c>
    </row>
    <row r="196" spans="1:34" hidden="1">
      <c r="A196" s="39" t="s">
        <v>835</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365</v>
      </c>
      <c r="AE196" s="28">
        <v>1647</v>
      </c>
      <c r="AF196">
        <v>5378</v>
      </c>
      <c r="AG196">
        <v>1530</v>
      </c>
      <c r="AH196">
        <v>5058</v>
      </c>
    </row>
    <row r="197" spans="1:34" hidden="1">
      <c r="A197" s="39" t="s">
        <v>776</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459</v>
      </c>
      <c r="AE197" s="28">
        <v>704</v>
      </c>
      <c r="AF197">
        <v>2761</v>
      </c>
      <c r="AG197">
        <v>830</v>
      </c>
      <c r="AH197">
        <v>3002</v>
      </c>
    </row>
    <row r="198" spans="1:34" hidden="1">
      <c r="A198" s="39" t="s">
        <v>960</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233</v>
      </c>
      <c r="AE198" s="28">
        <v>1322</v>
      </c>
      <c r="AF198">
        <v>6586</v>
      </c>
      <c r="AG198">
        <v>1285</v>
      </c>
      <c r="AH198">
        <v>6266</v>
      </c>
    </row>
    <row r="199" spans="1:34" hidden="1">
      <c r="A199" s="39" t="s">
        <v>705</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177</v>
      </c>
      <c r="AE199" s="28">
        <v>1858</v>
      </c>
      <c r="AF199">
        <v>4998</v>
      </c>
      <c r="AG199">
        <v>1799</v>
      </c>
      <c r="AH199">
        <v>4894</v>
      </c>
    </row>
    <row r="200" spans="1:34" hidden="1">
      <c r="A200" s="39" t="s">
        <v>691</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553</v>
      </c>
      <c r="AE200" s="28">
        <v>1829</v>
      </c>
      <c r="AF200">
        <v>9027</v>
      </c>
      <c r="AG200">
        <v>1855</v>
      </c>
      <c r="AH200">
        <v>7726</v>
      </c>
    </row>
    <row r="201" spans="1:34" hidden="1">
      <c r="A201" s="39" t="s">
        <v>521</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355</v>
      </c>
      <c r="AE201" s="28">
        <v>1488</v>
      </c>
      <c r="AF201">
        <v>6357</v>
      </c>
      <c r="AG201">
        <v>1363</v>
      </c>
      <c r="AH201">
        <v>5727</v>
      </c>
    </row>
    <row r="202" spans="1:34" hidden="1">
      <c r="A202" s="39" t="s">
        <v>1060</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545</v>
      </c>
      <c r="AE202" s="28">
        <v>4708</v>
      </c>
      <c r="AF202">
        <v>13533</v>
      </c>
      <c r="AG202">
        <v>4276</v>
      </c>
      <c r="AH202">
        <v>10352</v>
      </c>
    </row>
    <row r="203" spans="1:34" hidden="1">
      <c r="A203" s="39" t="s">
        <v>977</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169</v>
      </c>
      <c r="AE203" s="28">
        <v>1863</v>
      </c>
      <c r="AF203">
        <v>7779</v>
      </c>
      <c r="AG203">
        <v>1886</v>
      </c>
      <c r="AH203">
        <v>7731</v>
      </c>
    </row>
    <row r="204" spans="1:34" hidden="1">
      <c r="A204" s="39" t="s">
        <v>1144</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143</v>
      </c>
      <c r="AE204" s="28">
        <v>872</v>
      </c>
      <c r="AF204">
        <v>2950</v>
      </c>
      <c r="AH204">
        <v>0</v>
      </c>
    </row>
    <row r="205" spans="1:34" hidden="1">
      <c r="A205" s="39" t="s">
        <v>1019</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611</v>
      </c>
      <c r="AE205" s="28">
        <v>881</v>
      </c>
      <c r="AF205">
        <v>4215</v>
      </c>
      <c r="AG205">
        <v>883</v>
      </c>
      <c r="AH205">
        <v>4039</v>
      </c>
    </row>
    <row r="206" spans="1:34" hidden="1">
      <c r="A206" s="39" t="s">
        <v>1172</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329</v>
      </c>
      <c r="AE206" s="28">
        <v>1829</v>
      </c>
      <c r="AF206">
        <v>5765</v>
      </c>
      <c r="AG206">
        <v>1757</v>
      </c>
      <c r="AH206">
        <v>5305</v>
      </c>
    </row>
    <row r="207" spans="1:34" hidden="1">
      <c r="A207" s="39" t="s">
        <v>1099</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1309</v>
      </c>
      <c r="AE207" s="28">
        <v>0</v>
      </c>
      <c r="AF207">
        <v>0</v>
      </c>
      <c r="AH207">
        <v>0</v>
      </c>
    </row>
    <row r="208" spans="1:34" hidden="1">
      <c r="A208" s="39" t="s">
        <v>1076</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37</v>
      </c>
      <c r="AE208" s="28">
        <v>3661</v>
      </c>
      <c r="AF208">
        <v>22624</v>
      </c>
      <c r="AG208">
        <v>4033</v>
      </c>
      <c r="AH208">
        <v>23512</v>
      </c>
    </row>
    <row r="209" spans="1:34" hidden="1">
      <c r="A209" s="39" t="s">
        <v>1178</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339</v>
      </c>
      <c r="AE209" s="28">
        <v>941</v>
      </c>
      <c r="AF209">
        <v>5236</v>
      </c>
      <c r="AG209">
        <v>989</v>
      </c>
      <c r="AH209">
        <v>5612</v>
      </c>
    </row>
    <row r="210" spans="1:34" hidden="1">
      <c r="A210" s="39" t="s">
        <v>1310</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483</v>
      </c>
      <c r="AE210" s="28">
        <v>1614</v>
      </c>
      <c r="AF210">
        <v>9176</v>
      </c>
      <c r="AG210">
        <v>1395</v>
      </c>
      <c r="AH210">
        <v>8238</v>
      </c>
    </row>
    <row r="211" spans="1:34" hidden="1">
      <c r="A211" s="39" t="s">
        <v>1028</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613</v>
      </c>
      <c r="AE211" s="28">
        <v>627</v>
      </c>
      <c r="AF211">
        <v>2213</v>
      </c>
      <c r="AG211">
        <v>57</v>
      </c>
      <c r="AH211">
        <v>143</v>
      </c>
    </row>
    <row r="212" spans="1:34" hidden="1">
      <c r="A212" s="39" t="s">
        <v>1030</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191</v>
      </c>
      <c r="AE212" s="28">
        <v>1753</v>
      </c>
      <c r="AF212">
        <v>6030</v>
      </c>
      <c r="AG212">
        <v>1659</v>
      </c>
      <c r="AH212">
        <v>4782</v>
      </c>
    </row>
    <row r="213" spans="1:34" hidden="1">
      <c r="A213" s="39" t="s">
        <v>349</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167</v>
      </c>
      <c r="AE213" s="28">
        <v>1376</v>
      </c>
      <c r="AF213">
        <v>6277</v>
      </c>
      <c r="AG213">
        <v>1364</v>
      </c>
      <c r="AH213">
        <v>5971</v>
      </c>
    </row>
    <row r="214" spans="1:34" hidden="1">
      <c r="A214" s="39" t="s">
        <v>585</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209</v>
      </c>
      <c r="AE214" s="28">
        <v>351</v>
      </c>
      <c r="AF214">
        <v>1660</v>
      </c>
      <c r="AG214">
        <v>871</v>
      </c>
      <c r="AH214">
        <v>2942</v>
      </c>
    </row>
    <row r="215" spans="1:34" hidden="1">
      <c r="A215" s="39" t="s">
        <v>145</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75</v>
      </c>
      <c r="AE215" s="28">
        <v>4617</v>
      </c>
      <c r="AF215">
        <v>30049</v>
      </c>
      <c r="AG215">
        <v>3650</v>
      </c>
      <c r="AH215">
        <v>25130</v>
      </c>
    </row>
    <row r="216" spans="1:34" hidden="1">
      <c r="A216" s="39" t="s">
        <v>279</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421</v>
      </c>
      <c r="AE216" s="28">
        <v>3350</v>
      </c>
      <c r="AF216">
        <v>13606</v>
      </c>
      <c r="AG216">
        <v>2931</v>
      </c>
      <c r="AH216">
        <v>11927</v>
      </c>
    </row>
    <row r="217" spans="1:34" hidden="1">
      <c r="A217" s="39" t="s">
        <v>131</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601</v>
      </c>
      <c r="AE217" s="28">
        <v>1866</v>
      </c>
      <c r="AF217">
        <v>6089</v>
      </c>
      <c r="AG217">
        <v>1815</v>
      </c>
      <c r="AH217">
        <v>6215</v>
      </c>
    </row>
    <row r="218" spans="1:34" hidden="1">
      <c r="A218" s="39" t="s">
        <v>27</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171</v>
      </c>
      <c r="AE218" s="28">
        <v>1077</v>
      </c>
      <c r="AF218">
        <v>6667</v>
      </c>
      <c r="AG218">
        <v>881</v>
      </c>
      <c r="AH218">
        <v>8278</v>
      </c>
    </row>
    <row r="219" spans="1:34" hidden="1">
      <c r="A219" s="39" t="s">
        <v>907</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537</v>
      </c>
      <c r="AE219" s="28">
        <v>746</v>
      </c>
      <c r="AF219">
        <v>3743</v>
      </c>
      <c r="AH219">
        <v>0</v>
      </c>
    </row>
    <row r="220" spans="1:34" hidden="1">
      <c r="A220" s="39" t="s">
        <v>1213</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43</v>
      </c>
      <c r="AE220" s="28">
        <v>1508</v>
      </c>
      <c r="AF220">
        <v>5344</v>
      </c>
      <c r="AG220">
        <v>1937</v>
      </c>
      <c r="AH220">
        <v>7566</v>
      </c>
    </row>
    <row r="221" spans="1:34" hidden="1">
      <c r="A221" s="39" t="s">
        <v>823</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279</v>
      </c>
      <c r="AE221" s="28">
        <v>1031</v>
      </c>
      <c r="AF221">
        <v>2567</v>
      </c>
      <c r="AG221">
        <v>796</v>
      </c>
      <c r="AH221">
        <v>1997</v>
      </c>
    </row>
    <row r="222" spans="1:34" hidden="1">
      <c r="A222" s="39" t="s">
        <v>863</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69</v>
      </c>
      <c r="AE222" s="28">
        <v>4286</v>
      </c>
      <c r="AF222">
        <v>16357</v>
      </c>
      <c r="AG222">
        <v>4089</v>
      </c>
      <c r="AH222">
        <v>14561</v>
      </c>
    </row>
    <row r="223" spans="1:34" hidden="1">
      <c r="A223" s="39" t="s">
        <v>827</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101</v>
      </c>
      <c r="AE223" s="28">
        <v>5987</v>
      </c>
      <c r="AF223">
        <v>17769</v>
      </c>
      <c r="AG223">
        <v>4693</v>
      </c>
      <c r="AH223">
        <v>11762</v>
      </c>
    </row>
    <row r="224" spans="1:34" hidden="1">
      <c r="A224" s="39" t="s">
        <v>1311</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113</v>
      </c>
      <c r="AE224" s="28">
        <v>2067</v>
      </c>
      <c r="AF224">
        <v>8979</v>
      </c>
      <c r="AG224">
        <v>1894</v>
      </c>
      <c r="AH224">
        <v>6815</v>
      </c>
    </row>
    <row r="225" spans="1:34" hidden="1">
      <c r="A225" s="39" t="s">
        <v>658</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83</v>
      </c>
      <c r="AE225" s="28">
        <v>3090</v>
      </c>
      <c r="AF225">
        <v>13684</v>
      </c>
      <c r="AG225">
        <v>2906</v>
      </c>
      <c r="AH225">
        <v>11295</v>
      </c>
    </row>
    <row r="226" spans="1:34" hidden="1">
      <c r="A226" s="39" t="s">
        <v>1033</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311</v>
      </c>
      <c r="AE226" s="28">
        <v>1664</v>
      </c>
      <c r="AF226">
        <v>9255</v>
      </c>
      <c r="AG226">
        <v>1604</v>
      </c>
      <c r="AH226">
        <v>7391</v>
      </c>
    </row>
    <row r="227" spans="1:34" hidden="1">
      <c r="A227" s="39" t="s">
        <v>780</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331</v>
      </c>
      <c r="AE227" s="28">
        <v>124</v>
      </c>
      <c r="AF227">
        <v>519</v>
      </c>
      <c r="AG227">
        <v>412</v>
      </c>
      <c r="AH227">
        <v>1805</v>
      </c>
    </row>
    <row r="228" spans="1:34" hidden="1">
      <c r="A228" s="39" t="s">
        <v>1312</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1313</v>
      </c>
      <c r="AE228" s="28">
        <v>64</v>
      </c>
      <c r="AF228">
        <v>405</v>
      </c>
      <c r="AH228">
        <v>0</v>
      </c>
    </row>
    <row r="229" spans="1:34" hidden="1">
      <c r="A229" s="39" t="s">
        <v>1140</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359</v>
      </c>
      <c r="AE229" s="28">
        <v>1664</v>
      </c>
      <c r="AF229">
        <v>6998</v>
      </c>
      <c r="AG229">
        <v>1595</v>
      </c>
      <c r="AH229">
        <v>6871</v>
      </c>
    </row>
    <row r="230" spans="1:34" hidden="1">
      <c r="A230" s="39" t="s">
        <v>1142</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499</v>
      </c>
      <c r="AE230" s="28">
        <v>1145</v>
      </c>
      <c r="AF230">
        <v>5474</v>
      </c>
      <c r="AG230">
        <v>928</v>
      </c>
      <c r="AH230">
        <v>4468</v>
      </c>
    </row>
    <row r="231" spans="1:34" hidden="1">
      <c r="A231" s="39" t="s">
        <v>1187</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581</v>
      </c>
      <c r="AE231" s="28">
        <v>1134</v>
      </c>
      <c r="AF231">
        <v>6878</v>
      </c>
      <c r="AG231">
        <v>1112</v>
      </c>
      <c r="AH231">
        <v>6349</v>
      </c>
    </row>
    <row r="232" spans="1:34" hidden="1">
      <c r="A232" s="39" t="s">
        <v>1138</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567</v>
      </c>
      <c r="AE232" s="28">
        <v>38</v>
      </c>
      <c r="AF232">
        <v>780</v>
      </c>
      <c r="AG232">
        <v>951</v>
      </c>
      <c r="AH232">
        <v>3312</v>
      </c>
    </row>
    <row r="233" spans="1:34" hidden="1">
      <c r="A233" s="39" t="s">
        <v>1189</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565</v>
      </c>
      <c r="AE233" s="28">
        <v>4242</v>
      </c>
      <c r="AF233">
        <v>16553</v>
      </c>
      <c r="AG233">
        <v>4087</v>
      </c>
      <c r="AH233">
        <v>16799</v>
      </c>
    </row>
    <row r="234" spans="1:34" hidden="1">
      <c r="A234" s="39" t="s">
        <v>1037</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623</v>
      </c>
      <c r="AE234" s="28">
        <v>6399</v>
      </c>
      <c r="AF234">
        <v>28292</v>
      </c>
      <c r="AG234">
        <v>5244</v>
      </c>
      <c r="AH234">
        <v>21070</v>
      </c>
    </row>
    <row r="235" spans="1:34" hidden="1">
      <c r="A235" s="39" t="s">
        <v>1074</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593</v>
      </c>
      <c r="AE235" s="28">
        <v>18410</v>
      </c>
      <c r="AF235">
        <v>95635</v>
      </c>
      <c r="AG235">
        <v>15225</v>
      </c>
      <c r="AH235">
        <v>72670</v>
      </c>
    </row>
    <row r="236" spans="1:34" hidden="1">
      <c r="A236" s="39" t="s">
        <v>1013</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954</v>
      </c>
      <c r="AE236" s="19">
        <v>7632</v>
      </c>
      <c r="AF236">
        <v>7844</v>
      </c>
      <c r="AG236">
        <v>5313</v>
      </c>
      <c r="AH236">
        <v>25511</v>
      </c>
    </row>
    <row r="237" spans="1:34" hidden="1">
      <c r="A237" s="39" t="s">
        <v>1154</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658</v>
      </c>
      <c r="AE237" s="19">
        <v>3762</v>
      </c>
      <c r="AF237">
        <v>12737</v>
      </c>
      <c r="AG237">
        <v>3578</v>
      </c>
      <c r="AH237">
        <v>11786</v>
      </c>
    </row>
    <row r="238" spans="1:34" hidden="1">
      <c r="A238" s="39" t="s">
        <v>1148</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927</v>
      </c>
      <c r="AE238" s="19">
        <v>3048</v>
      </c>
      <c r="AF238">
        <v>13735</v>
      </c>
      <c r="AG238">
        <v>3102</v>
      </c>
      <c r="AH238">
        <v>13480</v>
      </c>
    </row>
    <row r="239" spans="1:34" hidden="1">
      <c r="A239" s="39" t="s">
        <v>1146</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744</v>
      </c>
      <c r="AE239" s="19">
        <v>3637</v>
      </c>
      <c r="AF239">
        <v>12674</v>
      </c>
      <c r="AG239">
        <v>3318</v>
      </c>
      <c r="AH239">
        <v>12658</v>
      </c>
    </row>
    <row r="240" spans="1:34" hidden="1">
      <c r="A240" s="39" t="s">
        <v>1156</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934</v>
      </c>
      <c r="AE240" s="19">
        <v>4317</v>
      </c>
      <c r="AF240">
        <v>25101</v>
      </c>
      <c r="AG240">
        <v>3155</v>
      </c>
      <c r="AH240">
        <v>15732</v>
      </c>
    </row>
    <row r="241" spans="1:34" hidden="1">
      <c r="A241" s="39" t="s">
        <v>753</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780</v>
      </c>
      <c r="AE241" s="19">
        <v>5550</v>
      </c>
      <c r="AF241">
        <v>12512</v>
      </c>
      <c r="AG241">
        <v>5622</v>
      </c>
      <c r="AH241">
        <v>13227</v>
      </c>
    </row>
    <row r="242" spans="1:34" hidden="1">
      <c r="A242" s="39" t="s">
        <v>85</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952</v>
      </c>
      <c r="AE242" s="19">
        <v>972</v>
      </c>
      <c r="AF242">
        <v>5298</v>
      </c>
      <c r="AG242">
        <v>1185</v>
      </c>
      <c r="AH242">
        <v>5678</v>
      </c>
    </row>
    <row r="243" spans="1:34" hidden="1">
      <c r="A243" s="39" t="s">
        <v>57</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879</v>
      </c>
      <c r="AE243" s="19">
        <v>1894</v>
      </c>
      <c r="AF243">
        <v>4996</v>
      </c>
      <c r="AG243">
        <v>1618</v>
      </c>
      <c r="AH243">
        <v>4244</v>
      </c>
    </row>
    <row r="244" spans="1:34" hidden="1">
      <c r="A244" s="39" t="s">
        <v>201</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1314</v>
      </c>
      <c r="AE244" s="19">
        <v>2</v>
      </c>
      <c r="AF244">
        <v>13</v>
      </c>
      <c r="AG244">
        <v>1</v>
      </c>
      <c r="AH244">
        <v>14</v>
      </c>
    </row>
    <row r="245" spans="1:34" hidden="1">
      <c r="A245" s="39" t="s">
        <v>557</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772</v>
      </c>
      <c r="AE245" s="19">
        <v>3398</v>
      </c>
      <c r="AF245">
        <v>8739</v>
      </c>
      <c r="AG245">
        <v>3242</v>
      </c>
      <c r="AH245">
        <v>7441</v>
      </c>
    </row>
    <row r="246" spans="1:34" hidden="1">
      <c r="A246" s="39" t="s">
        <v>203</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960</v>
      </c>
      <c r="AE246" s="19">
        <v>5137</v>
      </c>
      <c r="AF246">
        <v>8651</v>
      </c>
      <c r="AG246">
        <v>4951</v>
      </c>
      <c r="AH246">
        <v>8352</v>
      </c>
    </row>
    <row r="247" spans="1:34" hidden="1">
      <c r="A247" s="39" t="s">
        <v>617</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725</v>
      </c>
      <c r="AE247" s="19">
        <v>711</v>
      </c>
      <c r="AF247">
        <v>1902</v>
      </c>
      <c r="AG247">
        <v>742</v>
      </c>
      <c r="AH247">
        <v>1678</v>
      </c>
    </row>
    <row r="248" spans="1:34" hidden="1">
      <c r="A248" s="39" t="s">
        <v>329</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699</v>
      </c>
      <c r="AE248" s="19">
        <v>2183</v>
      </c>
      <c r="AF248">
        <v>8750</v>
      </c>
      <c r="AG248">
        <v>2311</v>
      </c>
      <c r="AH248">
        <v>8895</v>
      </c>
    </row>
    <row r="249" spans="1:34" hidden="1">
      <c r="A249" s="39" t="s">
        <v>988</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863</v>
      </c>
      <c r="AE249" s="19">
        <v>1995</v>
      </c>
      <c r="AF249">
        <v>6914</v>
      </c>
      <c r="AG249">
        <v>1664</v>
      </c>
      <c r="AH249">
        <v>5240</v>
      </c>
    </row>
    <row r="250" spans="1:34" hidden="1">
      <c r="A250" s="39" t="s">
        <v>925</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958</v>
      </c>
      <c r="AE250" s="19">
        <v>1870</v>
      </c>
      <c r="AF250">
        <v>7749</v>
      </c>
      <c r="AG250">
        <v>1643</v>
      </c>
      <c r="AH250">
        <v>7204</v>
      </c>
    </row>
    <row r="251" spans="1:34" hidden="1">
      <c r="A251" s="39" t="s">
        <v>1114</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962</v>
      </c>
      <c r="AE251" s="19">
        <v>1727</v>
      </c>
      <c r="AF251">
        <v>4094</v>
      </c>
      <c r="AG251">
        <v>1618</v>
      </c>
      <c r="AH251">
        <v>3721</v>
      </c>
    </row>
    <row r="252" spans="1:34" hidden="1">
      <c r="A252" s="39" t="s">
        <v>1315</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660</v>
      </c>
      <c r="AE252" s="19">
        <v>40373</v>
      </c>
      <c r="AF252">
        <v>136848</v>
      </c>
      <c r="AG252">
        <v>34307</v>
      </c>
      <c r="AH252">
        <v>108902</v>
      </c>
    </row>
    <row r="253" spans="1:34" hidden="1">
      <c r="A253" s="39" t="s">
        <v>1316</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823</v>
      </c>
      <c r="AE253" s="19">
        <v>1614</v>
      </c>
      <c r="AF253">
        <v>5004</v>
      </c>
      <c r="AG253">
        <v>1873</v>
      </c>
      <c r="AH253">
        <v>5650</v>
      </c>
    </row>
    <row r="254" spans="1:34" hidden="1">
      <c r="A254" s="39" t="s">
        <v>1317</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667</v>
      </c>
      <c r="AE254" s="19">
        <v>2721</v>
      </c>
      <c r="AF254">
        <v>7438</v>
      </c>
      <c r="AG254">
        <v>2794</v>
      </c>
      <c r="AH254">
        <v>7397</v>
      </c>
    </row>
    <row r="255" spans="1:34" hidden="1">
      <c r="A255" s="39" t="s">
        <v>778</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865</v>
      </c>
      <c r="AE255" s="19">
        <v>1207</v>
      </c>
      <c r="AF255">
        <v>3445</v>
      </c>
      <c r="AG255">
        <v>867</v>
      </c>
      <c r="AH255">
        <v>2558</v>
      </c>
    </row>
    <row r="256" spans="1:34" hidden="1">
      <c r="A256" s="39" t="s">
        <v>794</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689</v>
      </c>
      <c r="AE256" s="19">
        <v>611</v>
      </c>
      <c r="AF256">
        <v>3692</v>
      </c>
      <c r="AG256">
        <v>699</v>
      </c>
      <c r="AH256">
        <v>3735</v>
      </c>
    </row>
    <row r="257" spans="1:34" hidden="1">
      <c r="A257" s="39" t="s">
        <v>1318</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919</v>
      </c>
      <c r="AE257" s="19">
        <v>2751</v>
      </c>
      <c r="AF257">
        <v>6496</v>
      </c>
      <c r="AG257">
        <v>2353</v>
      </c>
      <c r="AH257">
        <v>5603</v>
      </c>
    </row>
    <row r="258" spans="1:34" hidden="1">
      <c r="A258" s="39" t="s">
        <v>855</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919</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683</v>
      </c>
      <c r="AE259" s="19">
        <v>1005</v>
      </c>
      <c r="AF259">
        <v>2708</v>
      </c>
      <c r="AG259">
        <v>899</v>
      </c>
      <c r="AH259">
        <v>2439</v>
      </c>
    </row>
    <row r="260" spans="1:34" hidden="1">
      <c r="A260" s="39" t="s">
        <v>1319</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883</v>
      </c>
      <c r="AE260" s="19">
        <v>1039</v>
      </c>
      <c r="AF260">
        <v>4619</v>
      </c>
      <c r="AG260">
        <v>1048</v>
      </c>
      <c r="AH260">
        <v>4768</v>
      </c>
    </row>
    <row r="261" spans="1:34" hidden="1">
      <c r="A261" s="39" t="s">
        <v>1320</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925</v>
      </c>
      <c r="AE261" s="19">
        <v>1195</v>
      </c>
      <c r="AF261">
        <v>4657</v>
      </c>
      <c r="AG261">
        <v>1234</v>
      </c>
      <c r="AH261">
        <v>5817</v>
      </c>
    </row>
    <row r="262" spans="1:34" hidden="1">
      <c r="A262" s="39" t="s">
        <v>833</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889</v>
      </c>
      <c r="AE262" s="19">
        <v>2263</v>
      </c>
      <c r="AF262">
        <v>9919</v>
      </c>
      <c r="AG262">
        <v>1449</v>
      </c>
      <c r="AH262">
        <v>6933</v>
      </c>
    </row>
    <row r="263" spans="1:34" hidden="1">
      <c r="A263" s="39" t="s">
        <v>667</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915</v>
      </c>
      <c r="AE263" s="19">
        <v>2201</v>
      </c>
      <c r="AF263">
        <v>4203</v>
      </c>
      <c r="AG263">
        <v>2213</v>
      </c>
      <c r="AH263">
        <v>4449</v>
      </c>
    </row>
    <row r="264" spans="1:34" hidden="1">
      <c r="A264" s="39" t="s">
        <v>994</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905</v>
      </c>
      <c r="AE264" s="19">
        <v>1667</v>
      </c>
      <c r="AF264">
        <v>5879</v>
      </c>
      <c r="AG264">
        <v>1562</v>
      </c>
      <c r="AH264">
        <v>5830</v>
      </c>
    </row>
    <row r="265" spans="1:34" hidden="1">
      <c r="A265" s="39" t="s">
        <v>1080</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709</v>
      </c>
      <c r="AE265" s="19">
        <v>4039</v>
      </c>
      <c r="AF265">
        <v>7601</v>
      </c>
      <c r="AG265">
        <v>3609</v>
      </c>
      <c r="AH265">
        <v>6505</v>
      </c>
    </row>
    <row r="266" spans="1:34" hidden="1">
      <c r="A266" s="39" t="s">
        <v>660</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715</v>
      </c>
      <c r="AE266" s="19">
        <v>1372</v>
      </c>
      <c r="AF266">
        <v>4022</v>
      </c>
      <c r="AG266">
        <v>1251</v>
      </c>
      <c r="AH266">
        <v>3319</v>
      </c>
    </row>
    <row r="267" spans="1:34" hidden="1">
      <c r="A267" s="39" t="s">
        <v>463</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923</v>
      </c>
      <c r="AE267" s="19">
        <v>1220</v>
      </c>
      <c r="AF267">
        <v>3596</v>
      </c>
      <c r="AG267">
        <v>1315</v>
      </c>
      <c r="AH267">
        <v>3520</v>
      </c>
    </row>
    <row r="268" spans="1:34" hidden="1">
      <c r="A268" s="39" t="s">
        <v>1321</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1303</v>
      </c>
      <c r="AE268" s="19">
        <v>3</v>
      </c>
      <c r="AF268">
        <v>17</v>
      </c>
      <c r="AH268">
        <v>0</v>
      </c>
    </row>
    <row r="269" spans="1:34" hidden="1">
      <c r="A269" s="39" t="s">
        <v>1180</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1005</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747</v>
      </c>
      <c r="AE270" s="19">
        <v>934</v>
      </c>
      <c r="AF270">
        <v>3630</v>
      </c>
      <c r="AG270">
        <v>1029</v>
      </c>
      <c r="AH270">
        <v>3531</v>
      </c>
    </row>
    <row r="271" spans="1:34" hidden="1">
      <c r="A271" s="39" t="s">
        <v>1064</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738</v>
      </c>
      <c r="AE271" s="19">
        <v>1303</v>
      </c>
      <c r="AF271">
        <v>3252</v>
      </c>
      <c r="AG271">
        <v>1070</v>
      </c>
      <c r="AH271">
        <v>2853</v>
      </c>
    </row>
    <row r="272" spans="1:34" hidden="1">
      <c r="A272" s="39" t="s">
        <v>1322</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1323</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819</v>
      </c>
      <c r="AE273" s="19">
        <v>706</v>
      </c>
      <c r="AF273">
        <v>2196</v>
      </c>
      <c r="AG273">
        <v>732</v>
      </c>
      <c r="AH273">
        <v>2397</v>
      </c>
    </row>
    <row r="274" spans="1:34" hidden="1">
      <c r="A274" s="39" t="s">
        <v>1135</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701</v>
      </c>
      <c r="AE274" s="19">
        <v>995</v>
      </c>
      <c r="AF274">
        <v>2538</v>
      </c>
      <c r="AG274">
        <v>871</v>
      </c>
      <c r="AH274">
        <v>2270</v>
      </c>
    </row>
    <row r="275" spans="1:34" hidden="1">
      <c r="A275" s="39" t="s">
        <v>1056</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794</v>
      </c>
      <c r="AE275" s="19">
        <v>942</v>
      </c>
      <c r="AF275">
        <v>2473</v>
      </c>
      <c r="AG275">
        <v>937</v>
      </c>
      <c r="AH275">
        <v>2832</v>
      </c>
    </row>
    <row r="276" spans="1:34" hidden="1">
      <c r="A276" s="39" t="s">
        <v>1131</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845</v>
      </c>
      <c r="AE276" s="19">
        <v>697</v>
      </c>
      <c r="AF276">
        <v>1674</v>
      </c>
      <c r="AG276">
        <v>655</v>
      </c>
      <c r="AH276">
        <v>1477</v>
      </c>
    </row>
    <row r="277" spans="1:34" hidden="1">
      <c r="A277" s="39" t="s">
        <v>1324</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1047</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765</v>
      </c>
      <c r="AE278" s="19">
        <v>1841</v>
      </c>
      <c r="AF278">
        <v>5613</v>
      </c>
      <c r="AG278">
        <v>1598</v>
      </c>
      <c r="AH278">
        <v>4088</v>
      </c>
    </row>
    <row r="279" spans="1:34" hidden="1">
      <c r="A279" s="39" t="s">
        <v>1183</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1325</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827</v>
      </c>
      <c r="AE280" s="19">
        <v>337</v>
      </c>
      <c r="AF280">
        <v>1555</v>
      </c>
      <c r="AG280">
        <v>605</v>
      </c>
      <c r="AH280">
        <v>2345</v>
      </c>
    </row>
    <row r="281" spans="1:34" hidden="1">
      <c r="A281" s="39" t="s">
        <v>445</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756</v>
      </c>
      <c r="AE281" s="19">
        <v>456</v>
      </c>
      <c r="AF281">
        <v>1042</v>
      </c>
      <c r="AG281">
        <v>409</v>
      </c>
      <c r="AH281">
        <v>1124</v>
      </c>
    </row>
    <row r="282" spans="1:34" hidden="1">
      <c r="A282" s="39" t="s">
        <v>587</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776</v>
      </c>
      <c r="AE282" s="19">
        <v>1330</v>
      </c>
      <c r="AF282">
        <v>3293</v>
      </c>
      <c r="AG282">
        <v>1483</v>
      </c>
      <c r="AH282">
        <v>4447</v>
      </c>
    </row>
    <row r="283" spans="1:34" hidden="1">
      <c r="A283" s="39" t="s">
        <v>567</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875</v>
      </c>
      <c r="AE283" s="19">
        <v>736</v>
      </c>
      <c r="AF283">
        <v>3441</v>
      </c>
      <c r="AG283">
        <v>727</v>
      </c>
      <c r="AH283">
        <v>3537</v>
      </c>
    </row>
    <row r="284" spans="1:34" hidden="1">
      <c r="A284" s="39" t="s">
        <v>601</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433</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930</v>
      </c>
      <c r="AE285" s="19">
        <v>1391</v>
      </c>
      <c r="AF285">
        <v>4065</v>
      </c>
      <c r="AG285">
        <v>1341</v>
      </c>
      <c r="AH285">
        <v>3689</v>
      </c>
    </row>
    <row r="286" spans="1:34" hidden="1">
      <c r="A286" s="39" t="s">
        <v>625</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893</v>
      </c>
      <c r="AE286" s="19">
        <v>1388</v>
      </c>
      <c r="AF286">
        <v>3467</v>
      </c>
      <c r="AG286">
        <v>1360</v>
      </c>
      <c r="AH286">
        <v>3409</v>
      </c>
    </row>
    <row r="287" spans="1:34" hidden="1">
      <c r="A287" s="39" t="s">
        <v>339</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936</v>
      </c>
      <c r="AE287" s="19">
        <v>2475</v>
      </c>
      <c r="AF287">
        <v>7874</v>
      </c>
      <c r="AG287">
        <v>3017</v>
      </c>
      <c r="AH287">
        <v>9520</v>
      </c>
    </row>
    <row r="288" spans="1:34" hidden="1">
      <c r="A288" s="39" t="s">
        <v>275</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998</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734</v>
      </c>
      <c r="AE289" s="19">
        <v>2459</v>
      </c>
      <c r="AF289">
        <v>6009</v>
      </c>
      <c r="AG289">
        <v>935</v>
      </c>
      <c r="AH289">
        <v>3880</v>
      </c>
    </row>
    <row r="290" spans="1:34" hidden="1">
      <c r="A290" s="39" t="s">
        <v>1066</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705</v>
      </c>
      <c r="AE290" s="19">
        <v>1983</v>
      </c>
      <c r="AF290">
        <v>4570</v>
      </c>
      <c r="AG290">
        <v>2077</v>
      </c>
      <c r="AH290">
        <v>5047</v>
      </c>
    </row>
    <row r="291" spans="1:34" hidden="1">
      <c r="A291" s="39" t="s">
        <v>1174</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869</v>
      </c>
      <c r="AE291" s="19">
        <v>957</v>
      </c>
      <c r="AF291">
        <v>2138</v>
      </c>
      <c r="AG291">
        <v>828</v>
      </c>
      <c r="AH291">
        <v>1666</v>
      </c>
    </row>
    <row r="292" spans="1:34" hidden="1">
      <c r="A292" s="39" t="s">
        <v>1023</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1209</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996</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758</v>
      </c>
      <c r="AE294" s="19">
        <v>671</v>
      </c>
      <c r="AF294">
        <v>1371</v>
      </c>
      <c r="AG294">
        <v>636</v>
      </c>
      <c r="AH294">
        <v>1517</v>
      </c>
    </row>
    <row r="295" spans="1:34" hidden="1">
      <c r="A295" s="39" t="s">
        <v>975</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1185</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731</v>
      </c>
      <c r="AE296" s="19">
        <v>1810</v>
      </c>
      <c r="AF296">
        <v>6177</v>
      </c>
      <c r="AG296">
        <v>1031</v>
      </c>
      <c r="AH296">
        <v>5005</v>
      </c>
    </row>
    <row r="297" spans="1:34" hidden="1">
      <c r="A297" s="39" t="s">
        <v>1196</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1292</v>
      </c>
      <c r="AE297" s="19">
        <v>130</v>
      </c>
      <c r="AF297">
        <v>303</v>
      </c>
      <c r="AG297">
        <v>136</v>
      </c>
      <c r="AH297">
        <v>282</v>
      </c>
    </row>
    <row r="298" spans="1:34" hidden="1">
      <c r="A298" s="39" t="s">
        <v>1107</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855</v>
      </c>
      <c r="AE298" s="19">
        <v>1461</v>
      </c>
      <c r="AF298">
        <v>4166</v>
      </c>
      <c r="AG298">
        <v>1563</v>
      </c>
      <c r="AH298">
        <v>4498</v>
      </c>
    </row>
    <row r="299" spans="1:34" hidden="1">
      <c r="A299" s="39" t="s">
        <v>1168</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843</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871</v>
      </c>
      <c r="AE300" s="19">
        <v>767</v>
      </c>
      <c r="AF300">
        <v>1139</v>
      </c>
      <c r="AG300">
        <v>636</v>
      </c>
      <c r="AH300">
        <v>987</v>
      </c>
    </row>
    <row r="301" spans="1:34" hidden="1">
      <c r="A301" s="39" t="s">
        <v>703</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763</v>
      </c>
      <c r="AE301" s="19">
        <v>1069</v>
      </c>
      <c r="AF301">
        <v>2732</v>
      </c>
      <c r="AG301">
        <v>1032</v>
      </c>
      <c r="AH301">
        <v>2212</v>
      </c>
    </row>
    <row r="302" spans="1:34" hidden="1">
      <c r="A302" s="39" t="s">
        <v>867</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753</v>
      </c>
      <c r="AE302" s="19">
        <v>1050</v>
      </c>
      <c r="AF302">
        <v>3373</v>
      </c>
      <c r="AG302">
        <v>894</v>
      </c>
      <c r="AH302">
        <v>2989</v>
      </c>
    </row>
    <row r="303" spans="1:34" hidden="1">
      <c r="A303" s="39" t="s">
        <v>749</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785</v>
      </c>
      <c r="AE303" s="19">
        <v>1599</v>
      </c>
      <c r="AF303">
        <v>4378</v>
      </c>
      <c r="AG303">
        <v>1603</v>
      </c>
      <c r="AH303">
        <v>4702</v>
      </c>
    </row>
    <row r="304" spans="1:34" hidden="1">
      <c r="A304" s="39" t="s">
        <v>921</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873</v>
      </c>
      <c r="AE304" s="19">
        <v>986</v>
      </c>
      <c r="AF304">
        <v>3049</v>
      </c>
      <c r="AG304">
        <v>1006</v>
      </c>
      <c r="AH304">
        <v>2782</v>
      </c>
    </row>
    <row r="305" spans="1:34" hidden="1">
      <c r="A305" s="39" t="s">
        <v>715</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913</v>
      </c>
      <c r="AE305" s="19">
        <v>1097</v>
      </c>
      <c r="AF305">
        <v>3777</v>
      </c>
      <c r="AG305">
        <v>1104</v>
      </c>
      <c r="AH305">
        <v>3937</v>
      </c>
    </row>
    <row r="306" spans="1:34" hidden="1">
      <c r="A306" s="39" t="s">
        <v>669</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669</v>
      </c>
      <c r="AE306" s="19">
        <v>4451</v>
      </c>
      <c r="AF306">
        <v>16591</v>
      </c>
      <c r="AG306">
        <v>1697</v>
      </c>
      <c r="AH306">
        <v>7281</v>
      </c>
    </row>
    <row r="307" spans="1:34" hidden="1">
      <c r="A307" s="39" t="s">
        <v>1314</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825</v>
      </c>
      <c r="AE307" s="19">
        <v>1048</v>
      </c>
      <c r="AF307">
        <v>2416</v>
      </c>
      <c r="AG307">
        <v>1064</v>
      </c>
      <c r="AH307">
        <v>2389</v>
      </c>
    </row>
    <row r="308" spans="1:34" hidden="1">
      <c r="A308" s="39" t="s">
        <v>1305</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1297</v>
      </c>
      <c r="AE308" s="19">
        <v>140</v>
      </c>
      <c r="AF308">
        <v>309</v>
      </c>
      <c r="AG308">
        <v>135</v>
      </c>
      <c r="AH308">
        <v>238</v>
      </c>
    </row>
    <row r="309" spans="1:34" hidden="1">
      <c r="A309" s="39" t="s">
        <v>79</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835</v>
      </c>
      <c r="AE309" s="19">
        <v>931</v>
      </c>
      <c r="AF309">
        <v>1974</v>
      </c>
      <c r="AG309">
        <v>1129</v>
      </c>
      <c r="AH309">
        <v>1665</v>
      </c>
    </row>
    <row r="310" spans="1:34" hidden="1">
      <c r="A310" s="39" t="s">
        <v>605</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37</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740</v>
      </c>
      <c r="AE311" s="19">
        <v>1493</v>
      </c>
      <c r="AF311">
        <v>3832</v>
      </c>
      <c r="AG311">
        <v>874</v>
      </c>
      <c r="AH311">
        <v>2577</v>
      </c>
    </row>
    <row r="312" spans="1:34" hidden="1">
      <c r="A312" s="39" t="s">
        <v>261</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675</v>
      </c>
      <c r="AE312" s="19">
        <v>1954</v>
      </c>
      <c r="AF312">
        <v>3897</v>
      </c>
      <c r="AG312">
        <v>2114</v>
      </c>
      <c r="AH312">
        <v>4208</v>
      </c>
    </row>
    <row r="313" spans="1:34" hidden="1">
      <c r="A313" s="39" t="s">
        <v>435</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923</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687</v>
      </c>
      <c r="AE314" s="19">
        <v>1003</v>
      </c>
      <c r="AF314">
        <v>1589</v>
      </c>
      <c r="AG314">
        <v>890</v>
      </c>
      <c r="AH314">
        <v>1398</v>
      </c>
    </row>
    <row r="315" spans="1:34" hidden="1">
      <c r="A315" s="39" t="s">
        <v>697</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905</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807</v>
      </c>
      <c r="AE316" s="19">
        <v>567</v>
      </c>
      <c r="AF316">
        <v>1504</v>
      </c>
      <c r="AG316">
        <v>580</v>
      </c>
      <c r="AH316">
        <v>1328</v>
      </c>
    </row>
    <row r="317" spans="1:34" hidden="1">
      <c r="A317" s="39" t="s">
        <v>893</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695</v>
      </c>
      <c r="AE317" s="19">
        <v>1221</v>
      </c>
      <c r="AF317">
        <v>4464</v>
      </c>
      <c r="AG317">
        <v>1315</v>
      </c>
      <c r="AH317">
        <v>4510</v>
      </c>
    </row>
    <row r="318" spans="1:34" hidden="1">
      <c r="A318" s="39" t="s">
        <v>1313</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553</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897</v>
      </c>
      <c r="AE319" s="19">
        <v>1270</v>
      </c>
      <c r="AF319">
        <v>3786</v>
      </c>
      <c r="AG319">
        <v>1078</v>
      </c>
      <c r="AH319">
        <v>3372</v>
      </c>
    </row>
    <row r="320" spans="1:34" hidden="1">
      <c r="A320" s="39" t="s">
        <v>325</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790</v>
      </c>
      <c r="AE320" s="19">
        <v>3590</v>
      </c>
      <c r="AF320">
        <v>14550</v>
      </c>
      <c r="AG320">
        <v>3606</v>
      </c>
      <c r="AH320">
        <v>14106</v>
      </c>
    </row>
    <row r="321" spans="1:34" hidden="1">
      <c r="A321" s="39" t="s">
        <v>517</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583</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921</v>
      </c>
      <c r="AE322" s="19">
        <v>1934</v>
      </c>
      <c r="AF322">
        <v>3707</v>
      </c>
      <c r="AG322">
        <v>1678</v>
      </c>
      <c r="AH322">
        <v>3103</v>
      </c>
    </row>
    <row r="323" spans="1:34" hidden="1">
      <c r="A323" s="39" t="s">
        <v>331</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736</v>
      </c>
      <c r="AE323" s="19">
        <v>1019</v>
      </c>
      <c r="AF323">
        <v>4079</v>
      </c>
      <c r="AG323">
        <v>1135</v>
      </c>
      <c r="AH323">
        <v>4140</v>
      </c>
    </row>
    <row r="324" spans="1:34" hidden="1">
      <c r="A324" s="39" t="s">
        <v>565</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837</v>
      </c>
      <c r="AE324" s="19">
        <v>2100</v>
      </c>
      <c r="AF324">
        <v>5134</v>
      </c>
      <c r="AG324">
        <v>2163</v>
      </c>
      <c r="AH324">
        <v>4948</v>
      </c>
    </row>
    <row r="325" spans="1:34" hidden="1">
      <c r="A325" s="39" t="s">
        <v>613</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867</v>
      </c>
      <c r="AE325" s="19">
        <v>2322</v>
      </c>
      <c r="AF325">
        <v>7537</v>
      </c>
      <c r="AG325">
        <v>2139</v>
      </c>
      <c r="AH325">
        <v>6324</v>
      </c>
    </row>
    <row r="326" spans="1:34" hidden="1">
      <c r="A326" s="39" t="s">
        <v>467</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721</v>
      </c>
      <c r="AE326" s="19">
        <v>485</v>
      </c>
      <c r="AF326">
        <v>854</v>
      </c>
      <c r="AG326">
        <v>464</v>
      </c>
      <c r="AH326">
        <v>810</v>
      </c>
    </row>
    <row r="327" spans="1:34" hidden="1">
      <c r="A327" s="39" t="s">
        <v>431</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713</v>
      </c>
      <c r="AE327" s="19">
        <v>1498</v>
      </c>
      <c r="AF327">
        <v>5370</v>
      </c>
      <c r="AG327">
        <v>1227</v>
      </c>
      <c r="AH327">
        <v>3936</v>
      </c>
    </row>
    <row r="328" spans="1:34" hidden="1">
      <c r="A328" s="39" t="s">
        <v>889</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671</v>
      </c>
      <c r="AE328" s="19">
        <v>10278</v>
      </c>
      <c r="AF328">
        <v>19771</v>
      </c>
      <c r="AG328">
        <v>8072</v>
      </c>
      <c r="AH328">
        <v>16361</v>
      </c>
    </row>
    <row r="329" spans="1:34" hidden="1">
      <c r="A329" s="39" t="s">
        <v>790</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891</v>
      </c>
      <c r="AE329" s="19">
        <v>1468</v>
      </c>
      <c r="AF329">
        <v>3867</v>
      </c>
      <c r="AG329">
        <v>1315</v>
      </c>
      <c r="AH329">
        <v>3480</v>
      </c>
    </row>
    <row r="330" spans="1:34" hidden="1">
      <c r="A330" s="39" t="s">
        <v>903</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833</v>
      </c>
      <c r="AE330" s="19">
        <v>1079</v>
      </c>
      <c r="AF330">
        <v>2673</v>
      </c>
      <c r="AG330">
        <v>1148</v>
      </c>
      <c r="AH330">
        <v>2673</v>
      </c>
    </row>
    <row r="331" spans="1:34" hidden="1">
      <c r="A331" s="39" t="s">
        <v>765</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913</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774</v>
      </c>
      <c r="AE332" s="19">
        <v>1132</v>
      </c>
      <c r="AF332">
        <v>2219</v>
      </c>
      <c r="AG332">
        <v>746</v>
      </c>
      <c r="AH332">
        <v>1647</v>
      </c>
    </row>
    <row r="333" spans="1:34" hidden="1">
      <c r="A333" s="39" t="s">
        <v>865</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843</v>
      </c>
      <c r="AE333" s="19">
        <v>1142</v>
      </c>
      <c r="AF333">
        <v>2951</v>
      </c>
      <c r="AG333">
        <v>1087</v>
      </c>
      <c r="AH333">
        <v>2839</v>
      </c>
    </row>
    <row r="334" spans="1:34" hidden="1">
      <c r="A334" s="39" t="s">
        <v>129</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749</v>
      </c>
      <c r="AE334" s="19">
        <v>1001</v>
      </c>
      <c r="AF334">
        <v>1621</v>
      </c>
      <c r="AG334">
        <v>860</v>
      </c>
      <c r="AH334">
        <v>1427</v>
      </c>
    </row>
    <row r="335" spans="1:34" hidden="1">
      <c r="A335" s="39" t="s">
        <v>285</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911</v>
      </c>
      <c r="AE335" s="19">
        <v>1255</v>
      </c>
      <c r="AF335">
        <v>2585</v>
      </c>
      <c r="AG335">
        <v>994</v>
      </c>
      <c r="AH335">
        <v>2553</v>
      </c>
    </row>
    <row r="336" spans="1:34" hidden="1">
      <c r="A336" s="39" t="s">
        <v>483</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711</v>
      </c>
      <c r="AE336" s="19">
        <v>442</v>
      </c>
      <c r="AF336">
        <v>907</v>
      </c>
      <c r="AG336">
        <v>361</v>
      </c>
      <c r="AH336">
        <v>768</v>
      </c>
    </row>
    <row r="337" spans="1:34" hidden="1">
      <c r="A337" s="39" t="s">
        <v>75</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811</v>
      </c>
      <c r="AE337" s="19">
        <v>352</v>
      </c>
      <c r="AF337">
        <v>894</v>
      </c>
      <c r="AG337">
        <v>317</v>
      </c>
      <c r="AH337">
        <v>856</v>
      </c>
    </row>
    <row r="338" spans="1:34" hidden="1">
      <c r="A338" s="39" t="s">
        <v>345</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307</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1296</v>
      </c>
      <c r="AE339" s="19">
        <v>304</v>
      </c>
      <c r="AF339">
        <v>744</v>
      </c>
      <c r="AG339">
        <v>254</v>
      </c>
      <c r="AH339">
        <v>671</v>
      </c>
    </row>
    <row r="340" spans="1:34" hidden="1">
      <c r="A340" s="39" t="s">
        <v>1326</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907</v>
      </c>
      <c r="AE340" s="19">
        <v>1773</v>
      </c>
      <c r="AF340">
        <v>3891</v>
      </c>
      <c r="AG340">
        <v>1766</v>
      </c>
      <c r="AH340">
        <v>4227</v>
      </c>
    </row>
    <row r="341" spans="1:34" hidden="1">
      <c r="A341" s="39" t="s">
        <v>55</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956</v>
      </c>
      <c r="AE341" s="19">
        <v>4088</v>
      </c>
      <c r="AF341">
        <v>8958</v>
      </c>
      <c r="AG341">
        <v>4072</v>
      </c>
      <c r="AH341">
        <v>8698</v>
      </c>
    </row>
    <row r="342" spans="1:34" hidden="1">
      <c r="A342" s="39" t="s">
        <v>609</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813</v>
      </c>
      <c r="AE342" s="19">
        <v>307</v>
      </c>
      <c r="AF342">
        <v>913</v>
      </c>
      <c r="AG342">
        <v>303</v>
      </c>
      <c r="AH342">
        <v>791</v>
      </c>
    </row>
    <row r="343" spans="1:34" hidden="1">
      <c r="A343" s="39" t="s">
        <v>171</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903</v>
      </c>
      <c r="AE343" s="19">
        <v>1359</v>
      </c>
      <c r="AF343">
        <v>3067</v>
      </c>
      <c r="AG343">
        <v>1324</v>
      </c>
      <c r="AH343">
        <v>2917</v>
      </c>
    </row>
    <row r="344" spans="1:34" hidden="1">
      <c r="A344" s="39" t="s">
        <v>343</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719</v>
      </c>
      <c r="AE344" s="19">
        <v>4341</v>
      </c>
      <c r="AF344">
        <v>9371</v>
      </c>
      <c r="AG344">
        <v>4145</v>
      </c>
      <c r="AH344">
        <v>9738</v>
      </c>
    </row>
    <row r="345" spans="1:34" hidden="1">
      <c r="A345" s="39" t="s">
        <v>699</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697</v>
      </c>
      <c r="AE345" s="19">
        <v>1730</v>
      </c>
      <c r="AF345">
        <v>5884</v>
      </c>
      <c r="AG345">
        <v>1880</v>
      </c>
      <c r="AH345">
        <v>5451</v>
      </c>
    </row>
    <row r="346" spans="1:34" hidden="1">
      <c r="A346" s="39" t="s">
        <v>897</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942</v>
      </c>
      <c r="AE346" s="19">
        <v>2197</v>
      </c>
      <c r="AF346">
        <v>7621</v>
      </c>
      <c r="AG346">
        <v>2076</v>
      </c>
      <c r="AH346">
        <v>7276</v>
      </c>
    </row>
    <row r="347" spans="1:34" hidden="1">
      <c r="A347" s="39" t="s">
        <v>952</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815</v>
      </c>
      <c r="AE347" s="19">
        <v>680</v>
      </c>
      <c r="AF347">
        <v>1839</v>
      </c>
      <c r="AG347">
        <v>673</v>
      </c>
      <c r="AH347">
        <v>1900</v>
      </c>
    </row>
    <row r="348" spans="1:34" hidden="1">
      <c r="A348" s="39" t="s">
        <v>942</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944</v>
      </c>
      <c r="AE348" s="19">
        <v>556</v>
      </c>
      <c r="AF348">
        <v>3328</v>
      </c>
      <c r="AG348">
        <v>492</v>
      </c>
      <c r="AH348">
        <v>2903</v>
      </c>
    </row>
    <row r="349" spans="1:34" hidden="1">
      <c r="A349" s="39" t="s">
        <v>193</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723</v>
      </c>
      <c r="AE349" s="19">
        <v>709</v>
      </c>
      <c r="AF349">
        <v>1617</v>
      </c>
      <c r="AG349">
        <v>780</v>
      </c>
      <c r="AH349">
        <v>1828</v>
      </c>
    </row>
    <row r="350" spans="1:34" hidden="1">
      <c r="A350" s="39" t="s">
        <v>944</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940</v>
      </c>
      <c r="AE350" s="19">
        <v>1391</v>
      </c>
      <c r="AF350">
        <v>6386</v>
      </c>
      <c r="AG350">
        <v>1391</v>
      </c>
      <c r="AH350">
        <v>6380</v>
      </c>
    </row>
    <row r="351" spans="1:34" hidden="1">
      <c r="A351" s="39" t="s">
        <v>938</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778</v>
      </c>
      <c r="AE351" s="19">
        <v>1104</v>
      </c>
      <c r="AF351">
        <v>3041</v>
      </c>
      <c r="AG351">
        <v>1124</v>
      </c>
      <c r="AH351">
        <v>3196</v>
      </c>
    </row>
    <row r="352" spans="1:34" hidden="1">
      <c r="A352" s="39" t="s">
        <v>859</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917</v>
      </c>
      <c r="AE352" s="19">
        <v>1012</v>
      </c>
      <c r="AF352">
        <v>4711</v>
      </c>
      <c r="AG352">
        <v>900</v>
      </c>
      <c r="AH352">
        <v>3957</v>
      </c>
    </row>
    <row r="353" spans="1:34" hidden="1">
      <c r="A353" s="39" t="s">
        <v>1327</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665</v>
      </c>
      <c r="AE353" s="19">
        <v>563</v>
      </c>
      <c r="AF353">
        <v>1126</v>
      </c>
      <c r="AG353">
        <v>553</v>
      </c>
      <c r="AH353">
        <v>1189</v>
      </c>
    </row>
    <row r="354" spans="1:34" hidden="1">
      <c r="A354" s="39" t="s">
        <v>1328</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950</v>
      </c>
      <c r="AE354" s="19">
        <v>994</v>
      </c>
      <c r="AF354">
        <v>5341</v>
      </c>
      <c r="AG354">
        <v>781</v>
      </c>
      <c r="AH354">
        <v>4714</v>
      </c>
    </row>
    <row r="355" spans="1:34" hidden="1">
      <c r="A355" s="39" t="s">
        <v>1009</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767</v>
      </c>
      <c r="AE355" s="19">
        <v>2392</v>
      </c>
      <c r="AF355">
        <v>4813</v>
      </c>
      <c r="AG355">
        <v>2708</v>
      </c>
      <c r="AH355">
        <v>4674</v>
      </c>
    </row>
    <row r="356" spans="1:34" hidden="1">
      <c r="A356" s="39" t="s">
        <v>1039</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859</v>
      </c>
      <c r="AE356" s="19">
        <v>968</v>
      </c>
      <c r="AF356">
        <v>2161</v>
      </c>
      <c r="AG356">
        <v>1003</v>
      </c>
      <c r="AH356">
        <v>2293</v>
      </c>
    </row>
    <row r="357" spans="1:34" hidden="1">
      <c r="A357" s="39" t="s">
        <v>1051</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691</v>
      </c>
      <c r="AE357" s="19">
        <v>1050</v>
      </c>
      <c r="AF357">
        <v>3313</v>
      </c>
      <c r="AG357">
        <v>647</v>
      </c>
      <c r="AH357">
        <v>2596</v>
      </c>
    </row>
    <row r="358" spans="1:34" hidden="1">
      <c r="A358" s="39" t="s">
        <v>1007</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796</v>
      </c>
      <c r="AE358" s="19">
        <v>1164</v>
      </c>
      <c r="AF358">
        <v>2760</v>
      </c>
      <c r="AG358">
        <v>1126</v>
      </c>
      <c r="AH358">
        <v>2712</v>
      </c>
    </row>
    <row r="359" spans="1:34" hidden="1">
      <c r="A359" s="39" t="s">
        <v>1091</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742</v>
      </c>
      <c r="AE359" s="19">
        <v>1206</v>
      </c>
      <c r="AF359">
        <v>5369</v>
      </c>
      <c r="AG359">
        <v>679</v>
      </c>
      <c r="AH359">
        <v>3541</v>
      </c>
    </row>
    <row r="360" spans="1:34" hidden="1">
      <c r="A360" s="39" t="s">
        <v>23</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938</v>
      </c>
      <c r="AE360" s="19">
        <v>2452</v>
      </c>
      <c r="AF360">
        <v>11987</v>
      </c>
      <c r="AG360">
        <v>2540</v>
      </c>
      <c r="AH360">
        <v>11724</v>
      </c>
    </row>
    <row r="361" spans="1:34" hidden="1">
      <c r="A361" s="39" t="s">
        <v>419</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703</v>
      </c>
      <c r="AE361" s="19">
        <v>1081</v>
      </c>
      <c r="AF361">
        <v>2997</v>
      </c>
      <c r="AG361">
        <v>1041</v>
      </c>
      <c r="AH361">
        <v>2820</v>
      </c>
    </row>
    <row r="362" spans="1:34" hidden="1">
      <c r="A362" s="39" t="s">
        <v>1329</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707</v>
      </c>
      <c r="AE362" s="19">
        <v>2435</v>
      </c>
      <c r="AF362">
        <v>9302</v>
      </c>
      <c r="AG362">
        <v>3143</v>
      </c>
      <c r="AH362">
        <v>11288</v>
      </c>
    </row>
    <row r="363" spans="1:34" hidden="1">
      <c r="A363" s="39" t="s">
        <v>1330</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681</v>
      </c>
      <c r="AE363" s="19">
        <v>932</v>
      </c>
      <c r="AF363">
        <v>2798</v>
      </c>
      <c r="AG363">
        <v>849</v>
      </c>
      <c r="AH363">
        <v>3058</v>
      </c>
    </row>
    <row r="364" spans="1:34" hidden="1">
      <c r="A364" s="39" t="s">
        <v>1331</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717</v>
      </c>
      <c r="AE364" s="19">
        <v>2202</v>
      </c>
      <c r="AF364">
        <v>6672</v>
      </c>
      <c r="AG364">
        <v>1648</v>
      </c>
      <c r="AH364">
        <v>5181</v>
      </c>
    </row>
    <row r="365" spans="1:34" hidden="1">
      <c r="A365" s="39" t="s">
        <v>183</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861</v>
      </c>
      <c r="AE365" s="19">
        <v>1002</v>
      </c>
      <c r="AF365">
        <v>3000</v>
      </c>
      <c r="AG365">
        <v>1090</v>
      </c>
      <c r="AH365">
        <v>3750</v>
      </c>
    </row>
    <row r="366" spans="1:34" hidden="1">
      <c r="A366" s="39" t="s">
        <v>1332</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729</v>
      </c>
      <c r="AE366" s="19">
        <v>871</v>
      </c>
      <c r="AF366">
        <v>3124</v>
      </c>
      <c r="AG366">
        <v>1337</v>
      </c>
      <c r="AH366">
        <v>4374</v>
      </c>
    </row>
    <row r="367" spans="1:34" hidden="1">
      <c r="A367" s="39" t="s">
        <v>309</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639</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247</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623</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263</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235</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365</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581</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197</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798</v>
      </c>
      <c r="AE375" s="19">
        <v>0</v>
      </c>
      <c r="AF375">
        <v>204</v>
      </c>
      <c r="AG375">
        <v>0</v>
      </c>
      <c r="AH375">
        <v>319</v>
      </c>
    </row>
    <row r="376" spans="1:34" hidden="1">
      <c r="A376" s="39" t="s">
        <v>195</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1007</v>
      </c>
      <c r="AE376" s="19">
        <v>3508</v>
      </c>
      <c r="AF376">
        <v>15392</v>
      </c>
      <c r="AG376">
        <v>3259</v>
      </c>
      <c r="AH376">
        <v>13188</v>
      </c>
    </row>
    <row r="377" spans="1:34" hidden="1">
      <c r="A377" s="39" t="s">
        <v>231</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975</v>
      </c>
      <c r="AE377" s="19">
        <v>4183</v>
      </c>
      <c r="AF377">
        <v>8194</v>
      </c>
      <c r="AG377">
        <v>4580</v>
      </c>
      <c r="AH377">
        <v>8690</v>
      </c>
    </row>
    <row r="378" spans="1:34" hidden="1">
      <c r="A378" s="39" t="s">
        <v>499</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994</v>
      </c>
      <c r="AE378" s="19">
        <v>2357</v>
      </c>
      <c r="AF378">
        <v>9489</v>
      </c>
      <c r="AG378">
        <v>2852</v>
      </c>
      <c r="AH378">
        <v>12715</v>
      </c>
    </row>
    <row r="379" spans="1:34" hidden="1">
      <c r="A379" s="39" t="s">
        <v>1333</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977</v>
      </c>
      <c r="AE379" s="19">
        <v>1605</v>
      </c>
      <c r="AF379">
        <v>3876</v>
      </c>
      <c r="AG379">
        <v>1204</v>
      </c>
      <c r="AH379">
        <v>3437</v>
      </c>
    </row>
    <row r="380" spans="1:34" hidden="1">
      <c r="A380" s="39" t="s">
        <v>917</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1023</v>
      </c>
      <c r="AE380" s="19">
        <v>1961</v>
      </c>
      <c r="AF380">
        <v>6052</v>
      </c>
      <c r="AG380">
        <v>1504</v>
      </c>
      <c r="AH380">
        <v>4817</v>
      </c>
    </row>
    <row r="381" spans="1:34" hidden="1">
      <c r="A381" s="39" t="s">
        <v>934</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1163</v>
      </c>
      <c r="AE381" s="19">
        <v>2820</v>
      </c>
      <c r="AF381">
        <v>8999</v>
      </c>
      <c r="AG381">
        <v>3060</v>
      </c>
      <c r="AH381">
        <v>10194</v>
      </c>
    </row>
    <row r="382" spans="1:34" hidden="1">
      <c r="A382" s="39" t="s">
        <v>747</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1198</v>
      </c>
      <c r="AE382" s="19">
        <v>4202</v>
      </c>
      <c r="AF382">
        <v>11724</v>
      </c>
      <c r="AG382">
        <v>3828</v>
      </c>
      <c r="AH382">
        <v>10399</v>
      </c>
    </row>
    <row r="383" spans="1:34" hidden="1">
      <c r="A383" s="39" t="s">
        <v>734</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1124</v>
      </c>
      <c r="AE383" s="19">
        <v>706</v>
      </c>
      <c r="AF383">
        <v>2687</v>
      </c>
      <c r="AG383">
        <v>665</v>
      </c>
      <c r="AH383">
        <v>2636</v>
      </c>
    </row>
    <row r="384" spans="1:34" hidden="1">
      <c r="A384" s="39" t="s">
        <v>1334</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1060</v>
      </c>
      <c r="AE384" s="19">
        <v>1460</v>
      </c>
      <c r="AF384">
        <v>5677</v>
      </c>
      <c r="AG384">
        <v>1391</v>
      </c>
      <c r="AH384">
        <v>5239</v>
      </c>
    </row>
    <row r="385" spans="1:34" hidden="1">
      <c r="A385" s="39" t="s">
        <v>1335</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1156</v>
      </c>
      <c r="AE385" s="19">
        <v>871</v>
      </c>
      <c r="AF385">
        <v>2362</v>
      </c>
      <c r="AG385">
        <v>856</v>
      </c>
      <c r="AH385">
        <v>2160</v>
      </c>
    </row>
    <row r="386" spans="1:34" hidden="1">
      <c r="A386" s="39" t="s">
        <v>1021</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1189</v>
      </c>
      <c r="AE386" s="19">
        <v>4871</v>
      </c>
      <c r="AF386">
        <v>10959</v>
      </c>
      <c r="AG386">
        <v>5077</v>
      </c>
      <c r="AH386">
        <v>10868</v>
      </c>
    </row>
    <row r="387" spans="1:34" hidden="1">
      <c r="A387" s="39" t="s">
        <v>1015</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1002</v>
      </c>
      <c r="AE387" s="19">
        <v>10863</v>
      </c>
      <c r="AF387">
        <v>29065</v>
      </c>
      <c r="AG387">
        <v>10681</v>
      </c>
      <c r="AH387">
        <v>28479</v>
      </c>
    </row>
    <row r="388" spans="1:34" hidden="1">
      <c r="A388" s="39" t="s">
        <v>1133</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1019</v>
      </c>
      <c r="AE388" s="19">
        <v>2105</v>
      </c>
      <c r="AF388">
        <v>8662</v>
      </c>
      <c r="AG388">
        <v>1579</v>
      </c>
      <c r="AH388">
        <v>7006</v>
      </c>
    </row>
    <row r="389" spans="1:34" hidden="1">
      <c r="A389" s="39" t="s">
        <v>1336</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1209</v>
      </c>
      <c r="AE389" s="19">
        <v>1161</v>
      </c>
      <c r="AF389">
        <v>2977</v>
      </c>
      <c r="AG389">
        <v>1190</v>
      </c>
      <c r="AH389">
        <v>3629</v>
      </c>
    </row>
    <row r="390" spans="1:34" hidden="1">
      <c r="A390" s="39" t="s">
        <v>1337</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1047</v>
      </c>
      <c r="AE390" s="19">
        <v>2704</v>
      </c>
      <c r="AF390">
        <v>8137</v>
      </c>
      <c r="AG390">
        <v>2967</v>
      </c>
      <c r="AH390">
        <v>8267</v>
      </c>
    </row>
    <row r="391" spans="1:34" hidden="1">
      <c r="A391" s="39" t="s">
        <v>930</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1035</v>
      </c>
      <c r="AE391" s="19">
        <v>1464</v>
      </c>
      <c r="AF391">
        <v>2994</v>
      </c>
      <c r="AG391">
        <v>1261</v>
      </c>
      <c r="AH391">
        <v>2301</v>
      </c>
    </row>
    <row r="392" spans="1:34" hidden="1">
      <c r="A392" s="39" t="s">
        <v>1338</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1030</v>
      </c>
      <c r="AE392" s="19">
        <v>432</v>
      </c>
      <c r="AF392">
        <v>1316</v>
      </c>
      <c r="AG392">
        <v>298</v>
      </c>
      <c r="AH392">
        <v>986</v>
      </c>
    </row>
    <row r="393" spans="1:34" hidden="1">
      <c r="A393" s="39" t="s">
        <v>1339</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1066</v>
      </c>
      <c r="AE393" s="19">
        <v>1424</v>
      </c>
      <c r="AF393">
        <v>4497</v>
      </c>
      <c r="AG393">
        <v>1548</v>
      </c>
      <c r="AH393">
        <v>4885</v>
      </c>
    </row>
    <row r="394" spans="1:34" hidden="1">
      <c r="A394" s="39" t="s">
        <v>958</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1135</v>
      </c>
      <c r="AE394" s="19">
        <v>1014</v>
      </c>
      <c r="AF394">
        <v>3217</v>
      </c>
      <c r="AG394">
        <v>988</v>
      </c>
      <c r="AH394">
        <v>3110</v>
      </c>
    </row>
    <row r="395" spans="1:34" hidden="1">
      <c r="A395" s="39" t="s">
        <v>477</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1058</v>
      </c>
      <c r="AE395" s="19">
        <v>1525</v>
      </c>
      <c r="AF395">
        <v>6316</v>
      </c>
      <c r="AG395">
        <v>1476</v>
      </c>
      <c r="AH395">
        <v>5853</v>
      </c>
    </row>
    <row r="396" spans="1:34" hidden="1">
      <c r="A396" s="39" t="s">
        <v>1340</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1174</v>
      </c>
      <c r="AE396" s="19">
        <v>816</v>
      </c>
      <c r="AF396">
        <v>2696</v>
      </c>
      <c r="AG396">
        <v>946</v>
      </c>
      <c r="AH396">
        <v>2666</v>
      </c>
    </row>
    <row r="397" spans="1:34" hidden="1">
      <c r="A397" s="39" t="s">
        <v>1341</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1095</v>
      </c>
      <c r="AE397" s="19">
        <v>1682</v>
      </c>
      <c r="AF397">
        <v>4809</v>
      </c>
      <c r="AG397">
        <v>1416</v>
      </c>
      <c r="AH397">
        <v>3743</v>
      </c>
    </row>
    <row r="398" spans="1:34" hidden="1">
      <c r="A398" s="39" t="s">
        <v>1342</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1176</v>
      </c>
      <c r="AE398" s="145">
        <v>261</v>
      </c>
      <c r="AF398">
        <v>1911</v>
      </c>
      <c r="AG398">
        <v>298</v>
      </c>
      <c r="AH398">
        <v>2394</v>
      </c>
    </row>
    <row r="399" spans="1:34" hidden="1">
      <c r="A399" s="39" t="s">
        <v>1343</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1074</v>
      </c>
      <c r="AE399" s="19">
        <v>1366</v>
      </c>
      <c r="AF399">
        <v>3989</v>
      </c>
      <c r="AG399">
        <v>1278</v>
      </c>
      <c r="AH399">
        <v>4055</v>
      </c>
    </row>
    <row r="400" spans="1:34" hidden="1">
      <c r="A400" s="39" t="s">
        <v>1344</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1203</v>
      </c>
      <c r="AE400" s="145">
        <v>1601</v>
      </c>
      <c r="AF400">
        <v>6395</v>
      </c>
      <c r="AG400">
        <v>1173</v>
      </c>
      <c r="AH400">
        <v>10534</v>
      </c>
    </row>
    <row r="401" spans="1:34" hidden="1">
      <c r="A401" s="39" t="s">
        <v>1345</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1025</v>
      </c>
      <c r="AE401" s="19">
        <v>7185</v>
      </c>
      <c r="AF401">
        <v>28733</v>
      </c>
      <c r="AG401">
        <v>7189</v>
      </c>
      <c r="AH401">
        <v>27435</v>
      </c>
    </row>
    <row r="402" spans="1:34" hidden="1">
      <c r="A402" s="39" t="s">
        <v>1346</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1154</v>
      </c>
      <c r="AE402" s="19">
        <v>1016</v>
      </c>
      <c r="AF402">
        <v>3413</v>
      </c>
      <c r="AG402">
        <v>1066</v>
      </c>
      <c r="AH402">
        <v>3236</v>
      </c>
    </row>
    <row r="403" spans="1:34" hidden="1">
      <c r="A403" s="39" t="s">
        <v>1347</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1127</v>
      </c>
      <c r="AE403" s="19">
        <v>1074</v>
      </c>
      <c r="AF403">
        <v>3459</v>
      </c>
      <c r="AG403">
        <v>952</v>
      </c>
      <c r="AH403">
        <v>3082</v>
      </c>
    </row>
    <row r="404" spans="1:34" hidden="1">
      <c r="A404" s="39" t="s">
        <v>1348</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1349</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1011</v>
      </c>
      <c r="AE405" s="19">
        <v>539</v>
      </c>
      <c r="AF405">
        <v>1920</v>
      </c>
      <c r="AG405">
        <v>460</v>
      </c>
      <c r="AH405">
        <v>1426</v>
      </c>
    </row>
    <row r="406" spans="1:34" hidden="1">
      <c r="A406" s="39" t="s">
        <v>1350</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1150</v>
      </c>
      <c r="AE406" s="19">
        <v>1075</v>
      </c>
      <c r="AF406">
        <v>2871</v>
      </c>
      <c r="AG406">
        <v>1086</v>
      </c>
      <c r="AH406">
        <v>3252</v>
      </c>
    </row>
    <row r="407" spans="1:34" hidden="1">
      <c r="A407" s="39" t="s">
        <v>1351</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1033</v>
      </c>
      <c r="AE407" s="19">
        <v>1470</v>
      </c>
      <c r="AF407">
        <v>2142</v>
      </c>
      <c r="AG407">
        <v>1327</v>
      </c>
      <c r="AH407">
        <v>1702</v>
      </c>
    </row>
    <row r="408" spans="1:34" hidden="1">
      <c r="A408" s="39" t="s">
        <v>1352</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1107</v>
      </c>
      <c r="AE408" s="19">
        <v>1676</v>
      </c>
      <c r="AF408">
        <v>4615</v>
      </c>
      <c r="AG408">
        <v>1635</v>
      </c>
      <c r="AH408">
        <v>4368</v>
      </c>
    </row>
    <row r="409" spans="1:34" hidden="1">
      <c r="A409" s="39" t="s">
        <v>1353</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1080</v>
      </c>
      <c r="AE409" s="19">
        <v>556</v>
      </c>
      <c r="AF409">
        <v>1914</v>
      </c>
      <c r="AG409">
        <v>86</v>
      </c>
      <c r="AH409">
        <v>233</v>
      </c>
    </row>
    <row r="410" spans="1:34" hidden="1">
      <c r="A410" s="39" t="s">
        <v>1354</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1180</v>
      </c>
      <c r="AE410" s="19">
        <v>1179</v>
      </c>
      <c r="AF410">
        <v>3377</v>
      </c>
      <c r="AG410">
        <v>1063</v>
      </c>
      <c r="AH410">
        <v>3009</v>
      </c>
    </row>
    <row r="411" spans="1:34" hidden="1">
      <c r="A411" s="39" t="s">
        <v>1355</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1045</v>
      </c>
      <c r="AE411" s="19">
        <v>1553</v>
      </c>
      <c r="AF411">
        <v>1555</v>
      </c>
      <c r="AG411">
        <v>60</v>
      </c>
      <c r="AH411">
        <v>2978</v>
      </c>
    </row>
    <row r="412" spans="1:34" hidden="1">
      <c r="A412" s="39" t="s">
        <v>1356</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1152</v>
      </c>
      <c r="AE412" s="19">
        <v>1400</v>
      </c>
      <c r="AF412">
        <v>2776</v>
      </c>
      <c r="AG412">
        <v>1368</v>
      </c>
      <c r="AH412">
        <v>2916</v>
      </c>
    </row>
    <row r="413" spans="1:34" hidden="1">
      <c r="A413" s="39" t="s">
        <v>1357</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1111</v>
      </c>
      <c r="AE413" s="19">
        <v>1462</v>
      </c>
      <c r="AF413">
        <v>2606</v>
      </c>
      <c r="AG413">
        <v>1404</v>
      </c>
      <c r="AH413">
        <v>2549</v>
      </c>
    </row>
    <row r="414" spans="1:34" hidden="1">
      <c r="A414" s="39" t="s">
        <v>1358</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1211</v>
      </c>
      <c r="AE414" s="19">
        <v>7031</v>
      </c>
      <c r="AF414">
        <v>26136</v>
      </c>
      <c r="AG414">
        <v>6489</v>
      </c>
      <c r="AH414">
        <v>24125</v>
      </c>
    </row>
    <row r="415" spans="1:34" hidden="1">
      <c r="A415" s="39" t="s">
        <v>1359</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1178</v>
      </c>
      <c r="AE415" s="19">
        <v>1743</v>
      </c>
      <c r="AF415">
        <v>6270</v>
      </c>
      <c r="AG415">
        <v>1658</v>
      </c>
      <c r="AH415">
        <v>5768</v>
      </c>
    </row>
    <row r="416" spans="1:34" hidden="1">
      <c r="A416" s="39" t="s">
        <v>1360</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1076</v>
      </c>
      <c r="AE416" s="19">
        <v>1235</v>
      </c>
      <c r="AF416">
        <v>3687</v>
      </c>
      <c r="AG416">
        <v>1056</v>
      </c>
      <c r="AH416">
        <v>3284</v>
      </c>
    </row>
    <row r="417" spans="1:34" hidden="1">
      <c r="A417" s="39" t="s">
        <v>1361</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1324</v>
      </c>
      <c r="AE417" s="19">
        <v>1</v>
      </c>
      <c r="AF417">
        <v>0</v>
      </c>
    </row>
    <row r="418" spans="1:34" hidden="1">
      <c r="A418" s="39" t="s">
        <v>1362</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1142</v>
      </c>
      <c r="AE418" s="19">
        <v>1060</v>
      </c>
      <c r="AF418">
        <v>2714</v>
      </c>
      <c r="AG418">
        <v>1016</v>
      </c>
      <c r="AH418">
        <v>2615</v>
      </c>
    </row>
    <row r="419" spans="1:34" hidden="1">
      <c r="A419" s="39" t="s">
        <v>1363</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1070</v>
      </c>
      <c r="AE419" s="19">
        <v>810</v>
      </c>
      <c r="AF419">
        <v>2057</v>
      </c>
      <c r="AG419">
        <v>781</v>
      </c>
      <c r="AH419">
        <v>2165</v>
      </c>
    </row>
    <row r="420" spans="1:34" hidden="1">
      <c r="A420" s="39" t="s">
        <v>1364</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983</v>
      </c>
      <c r="AE420" s="19">
        <v>1161</v>
      </c>
      <c r="AF420">
        <v>3943</v>
      </c>
      <c r="AG420">
        <v>1200</v>
      </c>
      <c r="AH420">
        <v>4438</v>
      </c>
    </row>
    <row r="421" spans="1:34" hidden="1">
      <c r="A421" s="39" t="s">
        <v>1365</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1205</v>
      </c>
      <c r="AE421" s="19">
        <v>1609</v>
      </c>
      <c r="AF421">
        <v>2968</v>
      </c>
      <c r="AG421">
        <v>1599</v>
      </c>
      <c r="AH421">
        <v>2916</v>
      </c>
    </row>
    <row r="422" spans="1:34" hidden="1">
      <c r="A422" s="39" t="s">
        <v>1366</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1144</v>
      </c>
      <c r="AE422" s="19">
        <v>1107</v>
      </c>
      <c r="AF422">
        <v>3665</v>
      </c>
      <c r="AG422">
        <v>969</v>
      </c>
      <c r="AH422">
        <v>3460</v>
      </c>
    </row>
    <row r="423" spans="1:34" hidden="1">
      <c r="A423" s="39" t="s">
        <v>1367</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1105</v>
      </c>
      <c r="AE423" s="19">
        <v>550</v>
      </c>
      <c r="AF423">
        <v>1773</v>
      </c>
      <c r="AG423">
        <v>494</v>
      </c>
      <c r="AH423">
        <v>1693</v>
      </c>
    </row>
    <row r="424" spans="1:34" hidden="1">
      <c r="B424" s="39"/>
      <c r="C424" s="39"/>
      <c r="D424" s="39"/>
      <c r="E424" s="39"/>
      <c r="F424" s="39"/>
      <c r="G424" s="39"/>
      <c r="H424" s="39"/>
      <c r="I424" s="39"/>
      <c r="AD424" t="s">
        <v>1009</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1013</v>
      </c>
      <c r="AE425" s="19">
        <v>1375</v>
      </c>
      <c r="AF425">
        <v>3541</v>
      </c>
      <c r="AG425">
        <v>1348</v>
      </c>
      <c r="AH425">
        <v>3357</v>
      </c>
    </row>
    <row r="426" spans="1:34" hidden="1">
      <c r="B426" s="39"/>
      <c r="C426" s="39"/>
      <c r="D426" s="39"/>
      <c r="E426" s="39"/>
      <c r="F426" s="39"/>
      <c r="G426" s="39"/>
      <c r="H426" s="39"/>
      <c r="I426" s="39"/>
      <c r="AD426" t="s">
        <v>1165</v>
      </c>
      <c r="AE426" s="19">
        <v>770</v>
      </c>
      <c r="AF426">
        <v>2206</v>
      </c>
      <c r="AG426">
        <v>708</v>
      </c>
      <c r="AH426">
        <v>2045</v>
      </c>
    </row>
    <row r="427" spans="1:34" hidden="1">
      <c r="B427" s="39"/>
      <c r="C427" s="39"/>
      <c r="D427" s="39"/>
      <c r="E427" s="39"/>
      <c r="F427" s="39"/>
      <c r="G427" s="39"/>
      <c r="H427" s="39"/>
      <c r="I427" s="39"/>
      <c r="AD427" t="s">
        <v>1196</v>
      </c>
      <c r="AE427" s="19">
        <v>1104</v>
      </c>
      <c r="AF427">
        <v>3593</v>
      </c>
      <c r="AG427">
        <v>1145</v>
      </c>
      <c r="AH427">
        <v>3700</v>
      </c>
    </row>
    <row r="428" spans="1:34" hidden="1">
      <c r="B428" s="39"/>
      <c r="C428" s="39"/>
      <c r="D428" s="39"/>
      <c r="E428" s="39"/>
      <c r="F428" s="39"/>
      <c r="G428" s="39"/>
      <c r="H428" s="39"/>
      <c r="J428" s="39"/>
      <c r="AD428" t="s">
        <v>1037</v>
      </c>
      <c r="AE428" s="19">
        <v>1299</v>
      </c>
      <c r="AF428">
        <v>2917</v>
      </c>
      <c r="AG428">
        <v>1294</v>
      </c>
      <c r="AH428">
        <v>2694</v>
      </c>
    </row>
    <row r="429" spans="1:34" ht="18.75" hidden="1" customHeight="1">
      <c r="B429" s="39"/>
      <c r="C429" s="39"/>
      <c r="D429" s="39"/>
      <c r="E429" s="39"/>
      <c r="F429" s="39"/>
      <c r="G429" s="39"/>
      <c r="H429" s="39"/>
      <c r="I429" s="39"/>
      <c r="AD429" t="s">
        <v>1185</v>
      </c>
      <c r="AE429" s="19">
        <v>930</v>
      </c>
      <c r="AF429">
        <v>3702</v>
      </c>
      <c r="AG429">
        <v>856</v>
      </c>
      <c r="AH429">
        <v>3015</v>
      </c>
    </row>
    <row r="430" spans="1:34">
      <c r="B430" s="39"/>
      <c r="C430" s="39"/>
      <c r="D430" s="39"/>
      <c r="E430" s="39"/>
      <c r="F430" s="39"/>
      <c r="G430" s="39"/>
      <c r="H430" s="39"/>
      <c r="I430" s="39"/>
      <c r="AD430" t="s">
        <v>1064</v>
      </c>
      <c r="AE430" s="19">
        <v>531</v>
      </c>
      <c r="AF430">
        <v>1889</v>
      </c>
      <c r="AG430">
        <v>382</v>
      </c>
      <c r="AH430">
        <v>1239</v>
      </c>
    </row>
    <row r="431" spans="1:34" ht="12.75" customHeight="1">
      <c r="AD431" s="37" t="s">
        <v>1122</v>
      </c>
      <c r="AE431" s="145">
        <v>1122</v>
      </c>
      <c r="AF431">
        <v>4381</v>
      </c>
      <c r="AG431">
        <v>741</v>
      </c>
      <c r="AH431">
        <v>3467</v>
      </c>
    </row>
    <row r="432" spans="1:34">
      <c r="A432" s="40" t="s">
        <v>1368</v>
      </c>
      <c r="B432" s="41" t="s">
        <v>1369</v>
      </c>
      <c r="C432" s="42" t="s">
        <v>1370</v>
      </c>
      <c r="D432" s="40" t="s">
        <v>1371</v>
      </c>
      <c r="E432" s="41" t="s">
        <v>1372</v>
      </c>
      <c r="F432" s="42" t="s">
        <v>1373</v>
      </c>
      <c r="G432" s="43" t="s">
        <v>1374</v>
      </c>
      <c r="H432" s="44" t="s">
        <v>1375</v>
      </c>
      <c r="I432" s="45" t="s">
        <v>1376</v>
      </c>
      <c r="J432" s="42" t="s">
        <v>1377</v>
      </c>
      <c r="K432" s="52" t="s">
        <v>1378</v>
      </c>
      <c r="L432" s="45" t="s">
        <v>1379</v>
      </c>
      <c r="M432" s="52" t="s">
        <v>1380</v>
      </c>
      <c r="N432" s="42" t="s">
        <v>1381</v>
      </c>
      <c r="O432" s="152" t="s">
        <v>1382</v>
      </c>
      <c r="P432" s="42" t="s">
        <v>1383</v>
      </c>
      <c r="Q432" s="45" t="s">
        <v>1384</v>
      </c>
      <c r="R432" s="152" t="s">
        <v>10</v>
      </c>
      <c r="S432" s="42" t="s">
        <v>13</v>
      </c>
      <c r="AD432" s="27" t="s">
        <v>1015</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53">
        <f>AG488/AH488</f>
        <v>0.2691583864802044</v>
      </c>
      <c r="P433" s="48">
        <f>AI488/AJ488</f>
        <v>0.2696972893725334</v>
      </c>
      <c r="Q433" s="51">
        <f>AL488/AK488</f>
        <v>0.26180803845821882</v>
      </c>
      <c r="R433" s="153">
        <v>0.27239999999999998</v>
      </c>
      <c r="S433" s="48">
        <v>0.28406653769105228</v>
      </c>
      <c r="AD433" s="27" t="s">
        <v>1021</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52"/>
      <c r="P434" s="48"/>
      <c r="Q434" s="51"/>
      <c r="R434" s="152"/>
      <c r="S434" s="48"/>
      <c r="AD434" t="s">
        <v>1385</v>
      </c>
      <c r="AE434" s="19">
        <v>0</v>
      </c>
    </row>
    <row r="435" spans="1:34">
      <c r="AE435" s="19">
        <v>0</v>
      </c>
    </row>
    <row r="436" spans="1:34">
      <c r="AE436" s="19">
        <v>0</v>
      </c>
    </row>
    <row r="437" spans="1:34">
      <c r="AD437" t="s">
        <v>1028</v>
      </c>
      <c r="AE437" s="19">
        <v>1253</v>
      </c>
      <c r="AF437">
        <v>3107</v>
      </c>
      <c r="AG437">
        <v>1273</v>
      </c>
      <c r="AH437">
        <v>3054</v>
      </c>
    </row>
    <row r="438" spans="1:34">
      <c r="AE438" s="19"/>
    </row>
    <row r="439" spans="1:34">
      <c r="AD439" t="s">
        <v>1131</v>
      </c>
      <c r="AE439" s="19">
        <v>566</v>
      </c>
      <c r="AF439">
        <v>2475</v>
      </c>
      <c r="AG439">
        <v>531</v>
      </c>
      <c r="AH439">
        <v>2223</v>
      </c>
    </row>
    <row r="440" spans="1:34">
      <c r="AD440" t="s">
        <v>1146</v>
      </c>
      <c r="AE440" s="19">
        <v>601</v>
      </c>
      <c r="AF440">
        <v>2371</v>
      </c>
      <c r="AG440">
        <v>444</v>
      </c>
      <c r="AH440">
        <v>1884</v>
      </c>
    </row>
    <row r="441" spans="1:34">
      <c r="AD441" t="s">
        <v>1091</v>
      </c>
      <c r="AE441" s="19">
        <v>375</v>
      </c>
      <c r="AF441">
        <v>2654</v>
      </c>
      <c r="AG441">
        <v>317</v>
      </c>
      <c r="AH441">
        <v>2644</v>
      </c>
    </row>
    <row r="442" spans="1:34">
      <c r="AD442" t="s">
        <v>1072</v>
      </c>
      <c r="AE442" s="19">
        <v>17</v>
      </c>
      <c r="AF442">
        <v>75</v>
      </c>
      <c r="AG442">
        <v>31</v>
      </c>
      <c r="AH442">
        <v>81</v>
      </c>
    </row>
    <row r="443" spans="1:34">
      <c r="AD443" t="s">
        <v>1129</v>
      </c>
      <c r="AE443" s="19">
        <v>0</v>
      </c>
      <c r="AF443">
        <v>656</v>
      </c>
      <c r="AG443">
        <v>162</v>
      </c>
      <c r="AH443">
        <v>702</v>
      </c>
    </row>
    <row r="444" spans="1:34">
      <c r="AD444" t="s">
        <v>1207</v>
      </c>
      <c r="AE444" s="19">
        <v>966</v>
      </c>
      <c r="AF444">
        <v>1681</v>
      </c>
      <c r="AG444">
        <v>903</v>
      </c>
      <c r="AH444">
        <v>1681</v>
      </c>
    </row>
    <row r="445" spans="1:34">
      <c r="AD445" t="s">
        <v>1097</v>
      </c>
      <c r="AE445" s="19">
        <v>22</v>
      </c>
      <c r="AF445">
        <v>170</v>
      </c>
      <c r="AG445">
        <v>8</v>
      </c>
      <c r="AH445">
        <v>146</v>
      </c>
    </row>
    <row r="446" spans="1:34">
      <c r="AD446" t="s">
        <v>1148</v>
      </c>
      <c r="AE446" s="19">
        <v>1292</v>
      </c>
      <c r="AF446">
        <v>3882</v>
      </c>
      <c r="AG446">
        <v>1188</v>
      </c>
      <c r="AH446">
        <v>3764</v>
      </c>
    </row>
    <row r="447" spans="1:34">
      <c r="AD447" t="s">
        <v>1114</v>
      </c>
      <c r="AE447" s="19">
        <v>840</v>
      </c>
      <c r="AF447">
        <v>4795</v>
      </c>
      <c r="AG447">
        <v>954</v>
      </c>
      <c r="AH447">
        <v>4619</v>
      </c>
    </row>
    <row r="448" spans="1:34">
      <c r="AD448" t="s">
        <v>1093</v>
      </c>
      <c r="AE448" s="19">
        <v>142</v>
      </c>
      <c r="AF448">
        <v>864</v>
      </c>
      <c r="AG448">
        <v>168</v>
      </c>
      <c r="AH448">
        <v>824</v>
      </c>
    </row>
    <row r="449" spans="30:34">
      <c r="AD449" s="37" t="s">
        <v>1133</v>
      </c>
      <c r="AE449" s="145">
        <v>131</v>
      </c>
      <c r="AF449">
        <v>712</v>
      </c>
      <c r="AG449">
        <v>112</v>
      </c>
      <c r="AH449">
        <v>685</v>
      </c>
    </row>
    <row r="450" spans="30:34">
      <c r="AD450" t="s">
        <v>1109</v>
      </c>
      <c r="AE450" s="19">
        <v>0</v>
      </c>
      <c r="AF450">
        <v>97</v>
      </c>
      <c r="AG450">
        <v>2</v>
      </c>
      <c r="AH450">
        <v>1506</v>
      </c>
    </row>
    <row r="451" spans="30:34">
      <c r="AD451" t="s">
        <v>1041</v>
      </c>
      <c r="AE451" s="19">
        <v>683</v>
      </c>
      <c r="AF451">
        <v>1859</v>
      </c>
      <c r="AG451">
        <v>789</v>
      </c>
      <c r="AH451">
        <v>2046</v>
      </c>
    </row>
    <row r="452" spans="30:34">
      <c r="AD452" t="s">
        <v>1140</v>
      </c>
      <c r="AE452" s="19">
        <v>276</v>
      </c>
      <c r="AF452">
        <v>1244</v>
      </c>
      <c r="AG452">
        <v>293</v>
      </c>
      <c r="AH452">
        <v>1147</v>
      </c>
    </row>
    <row r="453" spans="30:34">
      <c r="AD453" t="s">
        <v>1116</v>
      </c>
      <c r="AE453" s="19">
        <v>295</v>
      </c>
      <c r="AF453">
        <v>1136</v>
      </c>
      <c r="AG453">
        <v>343</v>
      </c>
      <c r="AH453">
        <v>1641</v>
      </c>
    </row>
    <row r="454" spans="30:34">
      <c r="AD454" t="s">
        <v>1294</v>
      </c>
      <c r="AE454" s="19">
        <v>279</v>
      </c>
      <c r="AF454">
        <v>441</v>
      </c>
      <c r="AG454">
        <v>203</v>
      </c>
      <c r="AH454">
        <v>400</v>
      </c>
    </row>
    <row r="455" spans="30:34">
      <c r="AD455" t="s">
        <v>1187</v>
      </c>
      <c r="AE455" s="19">
        <v>1946</v>
      </c>
      <c r="AF455">
        <v>7171</v>
      </c>
      <c r="AG455">
        <v>1777</v>
      </c>
      <c r="AH455">
        <v>5772</v>
      </c>
    </row>
    <row r="456" spans="30:34">
      <c r="AD456" t="s">
        <v>1183</v>
      </c>
      <c r="AE456" s="19">
        <v>1462</v>
      </c>
      <c r="AF456">
        <v>5018</v>
      </c>
      <c r="AG456">
        <v>1152</v>
      </c>
      <c r="AH456">
        <v>4407</v>
      </c>
    </row>
    <row r="457" spans="30:34">
      <c r="AD457" t="s">
        <v>992</v>
      </c>
      <c r="AE457" s="19">
        <v>2083</v>
      </c>
      <c r="AF457">
        <v>5548</v>
      </c>
      <c r="AG457">
        <v>2042</v>
      </c>
      <c r="AH457">
        <v>5663</v>
      </c>
    </row>
    <row r="458" spans="30:34">
      <c r="AD458" s="27" t="s">
        <v>998</v>
      </c>
      <c r="AE458" s="19">
        <v>336</v>
      </c>
      <c r="AF458">
        <v>1519</v>
      </c>
      <c r="AG458">
        <v>352</v>
      </c>
      <c r="AH458">
        <v>1583</v>
      </c>
    </row>
    <row r="459" spans="30:34">
      <c r="AD459" t="s">
        <v>1056</v>
      </c>
      <c r="AE459" s="19">
        <v>1332</v>
      </c>
      <c r="AF459">
        <v>3144</v>
      </c>
      <c r="AG459">
        <v>1166</v>
      </c>
      <c r="AH459">
        <v>2653</v>
      </c>
    </row>
    <row r="460" spans="30:34">
      <c r="AD460" t="s">
        <v>1118</v>
      </c>
      <c r="AE460" s="19">
        <v>796</v>
      </c>
      <c r="AF460">
        <v>2372</v>
      </c>
      <c r="AG460">
        <v>656</v>
      </c>
      <c r="AH460">
        <v>2225</v>
      </c>
    </row>
    <row r="461" spans="30:34">
      <c r="AD461" t="s">
        <v>990</v>
      </c>
      <c r="AE461" s="19">
        <v>3891</v>
      </c>
      <c r="AF461">
        <v>11080</v>
      </c>
      <c r="AG461">
        <v>3754</v>
      </c>
      <c r="AH461">
        <v>10592</v>
      </c>
    </row>
    <row r="462" spans="30:34">
      <c r="AD462" t="s">
        <v>1138</v>
      </c>
      <c r="AE462" s="19">
        <v>1452</v>
      </c>
      <c r="AF462">
        <v>4180</v>
      </c>
      <c r="AG462">
        <v>1291</v>
      </c>
      <c r="AH462">
        <v>3452</v>
      </c>
    </row>
    <row r="463" spans="30:34">
      <c r="AD463" t="s">
        <v>1005</v>
      </c>
      <c r="AE463" s="19">
        <v>1547</v>
      </c>
      <c r="AF463">
        <v>8203</v>
      </c>
      <c r="AG463">
        <v>1368</v>
      </c>
      <c r="AH463">
        <v>9377</v>
      </c>
    </row>
    <row r="464" spans="30:34">
      <c r="AD464" t="s">
        <v>1017</v>
      </c>
      <c r="AE464" s="19">
        <v>303</v>
      </c>
      <c r="AF464">
        <v>2468</v>
      </c>
      <c r="AG464">
        <v>327</v>
      </c>
      <c r="AH464">
        <v>2674</v>
      </c>
    </row>
    <row r="465" spans="30:34">
      <c r="AD465" t="s">
        <v>1192</v>
      </c>
      <c r="AE465" s="19">
        <v>1797</v>
      </c>
      <c r="AF465">
        <v>3968</v>
      </c>
      <c r="AG465">
        <v>1837</v>
      </c>
      <c r="AH465">
        <v>3753</v>
      </c>
    </row>
    <row r="466" spans="30:34">
      <c r="AD466" t="s">
        <v>1089</v>
      </c>
      <c r="AE466" s="19">
        <v>313</v>
      </c>
      <c r="AF466">
        <v>1233</v>
      </c>
      <c r="AG466">
        <v>123</v>
      </c>
      <c r="AH466">
        <v>505</v>
      </c>
    </row>
    <row r="467" spans="30:34">
      <c r="AD467" t="s">
        <v>1161</v>
      </c>
      <c r="AE467" s="19">
        <v>742</v>
      </c>
      <c r="AF467">
        <v>2328</v>
      </c>
      <c r="AG467">
        <v>760</v>
      </c>
      <c r="AH467">
        <v>2605</v>
      </c>
    </row>
    <row r="468" spans="30:34">
      <c r="AD468" t="s">
        <v>1103</v>
      </c>
      <c r="AE468" s="19">
        <v>356</v>
      </c>
      <c r="AF468">
        <v>678</v>
      </c>
      <c r="AG468">
        <v>312</v>
      </c>
      <c r="AH468">
        <v>640</v>
      </c>
    </row>
    <row r="469" spans="30:34">
      <c r="AD469" t="s">
        <v>1172</v>
      </c>
      <c r="AE469" s="19">
        <v>1874</v>
      </c>
      <c r="AF469">
        <v>7170</v>
      </c>
      <c r="AG469">
        <v>1651</v>
      </c>
      <c r="AH469">
        <v>6647</v>
      </c>
    </row>
    <row r="470" spans="30:34">
      <c r="AD470" t="s">
        <v>1087</v>
      </c>
      <c r="AE470" s="19">
        <v>434</v>
      </c>
      <c r="AF470">
        <v>1699</v>
      </c>
      <c r="AG470">
        <v>16</v>
      </c>
      <c r="AH470">
        <v>15</v>
      </c>
    </row>
    <row r="471" spans="30:34">
      <c r="AD471" t="s">
        <v>1062</v>
      </c>
      <c r="AE471" s="19">
        <v>922</v>
      </c>
      <c r="AF471">
        <v>2223</v>
      </c>
      <c r="AG471">
        <v>818</v>
      </c>
      <c r="AH471">
        <v>2568</v>
      </c>
    </row>
    <row r="472" spans="30:34">
      <c r="AD472" t="s">
        <v>996</v>
      </c>
      <c r="AE472" s="19">
        <v>1303</v>
      </c>
      <c r="AF472">
        <v>8739</v>
      </c>
      <c r="AG472">
        <v>1458</v>
      </c>
      <c r="AH472">
        <v>8971</v>
      </c>
    </row>
    <row r="473" spans="30:34">
      <c r="AD473" t="s">
        <v>1051</v>
      </c>
      <c r="AE473" s="19">
        <v>1967</v>
      </c>
      <c r="AF473">
        <v>6950</v>
      </c>
      <c r="AG473">
        <v>2394</v>
      </c>
      <c r="AH473">
        <v>8538</v>
      </c>
    </row>
    <row r="474" spans="30:34">
      <c r="AD474" t="s">
        <v>1054</v>
      </c>
      <c r="AE474" s="19">
        <v>2648</v>
      </c>
      <c r="AF474">
        <v>5829</v>
      </c>
      <c r="AG474">
        <v>2540</v>
      </c>
      <c r="AH474">
        <v>5875</v>
      </c>
    </row>
    <row r="475" spans="30:34">
      <c r="AD475" t="s">
        <v>1168</v>
      </c>
      <c r="AE475" s="19">
        <v>1099</v>
      </c>
      <c r="AF475">
        <v>3946</v>
      </c>
      <c r="AG475">
        <v>805</v>
      </c>
      <c r="AH475">
        <v>3422</v>
      </c>
    </row>
    <row r="476" spans="30:34">
      <c r="AD476" t="s">
        <v>1213</v>
      </c>
      <c r="AE476" s="19">
        <v>3298</v>
      </c>
      <c r="AF476">
        <v>9439</v>
      </c>
      <c r="AG476">
        <v>3094</v>
      </c>
      <c r="AH476">
        <v>8484</v>
      </c>
    </row>
    <row r="477" spans="30:34">
      <c r="AD477" t="s">
        <v>1043</v>
      </c>
      <c r="AE477" s="19">
        <v>355</v>
      </c>
      <c r="AF477">
        <v>1594</v>
      </c>
      <c r="AG477">
        <v>332</v>
      </c>
      <c r="AH477">
        <v>1652</v>
      </c>
    </row>
    <row r="478" spans="30:34">
      <c r="AD478" t="s">
        <v>1158</v>
      </c>
      <c r="AE478" s="19">
        <v>4192</v>
      </c>
      <c r="AF478">
        <v>14541</v>
      </c>
      <c r="AG478">
        <v>4135</v>
      </c>
      <c r="AH478">
        <v>13649</v>
      </c>
    </row>
    <row r="479" spans="30:34">
      <c r="AD479" t="s">
        <v>965</v>
      </c>
      <c r="AE479" s="19">
        <v>5893</v>
      </c>
      <c r="AF479">
        <v>16635</v>
      </c>
      <c r="AG479">
        <v>6172</v>
      </c>
      <c r="AH479">
        <v>17200</v>
      </c>
    </row>
    <row r="480" spans="30:34">
      <c r="AD480" t="s">
        <v>1068</v>
      </c>
      <c r="AE480" s="19">
        <v>1168</v>
      </c>
      <c r="AF480">
        <v>6111</v>
      </c>
      <c r="AG480">
        <v>1334</v>
      </c>
      <c r="AH480">
        <v>6479</v>
      </c>
    </row>
    <row r="481" spans="30:38">
      <c r="AD481" t="s">
        <v>1101</v>
      </c>
      <c r="AE481" s="19">
        <v>660</v>
      </c>
      <c r="AF481">
        <v>2399</v>
      </c>
      <c r="AG481">
        <v>577</v>
      </c>
      <c r="AH481">
        <v>2079</v>
      </c>
    </row>
    <row r="482" spans="30:38">
      <c r="AD482" t="s">
        <v>988</v>
      </c>
      <c r="AE482" s="19">
        <v>1341</v>
      </c>
      <c r="AF482">
        <v>4218</v>
      </c>
      <c r="AG482">
        <v>1501</v>
      </c>
      <c r="AH482">
        <v>4158</v>
      </c>
    </row>
    <row r="483" spans="30:38">
      <c r="AD483" t="s">
        <v>1201</v>
      </c>
      <c r="AE483" s="19">
        <v>3129</v>
      </c>
      <c r="AF483">
        <v>9988</v>
      </c>
      <c r="AG483">
        <v>3119</v>
      </c>
      <c r="AH483">
        <v>10232</v>
      </c>
    </row>
    <row r="484" spans="30:38">
      <c r="AD484" t="s">
        <v>1099</v>
      </c>
      <c r="AE484" s="19">
        <v>3780</v>
      </c>
      <c r="AF484">
        <v>9966</v>
      </c>
      <c r="AG484">
        <v>4347</v>
      </c>
      <c r="AH484">
        <v>11844</v>
      </c>
    </row>
    <row r="485" spans="30:38">
      <c r="AD485" t="s">
        <v>967</v>
      </c>
      <c r="AE485" s="19">
        <v>4424</v>
      </c>
      <c r="AF485">
        <v>19236</v>
      </c>
      <c r="AG485">
        <v>3796</v>
      </c>
      <c r="AH485">
        <v>15646</v>
      </c>
    </row>
    <row r="486" spans="30:38">
      <c r="AD486" t="s">
        <v>1039</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557"/>
  <sheetViews>
    <sheetView topLeftCell="B1" workbookViewId="0">
      <selection activeCell="M514" sqref="M514"/>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style="151" customWidth="1"/>
    <col min="7" max="8" width="1.7109375" customWidth="1"/>
    <col min="9" max="9" width="19" style="140" customWidth="1"/>
    <col min="10" max="10" width="9.7109375" customWidth="1"/>
    <col min="11" max="11" width="8.7109375" customWidth="1"/>
    <col min="12" max="13" width="13.85546875" customWidth="1"/>
    <col min="14" max="14" width="13.85546875" style="141" customWidth="1"/>
    <col min="16" max="18" width="0" hidden="1" customWidth="1"/>
  </cols>
  <sheetData>
    <row r="1" spans="1:18" s="2" customFormat="1" ht="10.5" customHeight="1">
      <c r="A1" s="21" t="s">
        <v>1386</v>
      </c>
      <c r="B1" s="21" t="s">
        <v>1387</v>
      </c>
      <c r="C1" s="21" t="s">
        <v>1282</v>
      </c>
      <c r="D1" s="21" t="s">
        <v>1388</v>
      </c>
      <c r="E1" s="22" t="s">
        <v>1389</v>
      </c>
      <c r="F1" s="155" t="s">
        <v>1390</v>
      </c>
      <c r="G1" s="21"/>
      <c r="H1" s="21"/>
      <c r="I1" s="138" t="s">
        <v>1391</v>
      </c>
      <c r="J1" s="21" t="s">
        <v>1392</v>
      </c>
      <c r="K1" s="21"/>
      <c r="L1" s="21" t="s">
        <v>1393</v>
      </c>
      <c r="M1" s="21" t="s">
        <v>1394</v>
      </c>
      <c r="N1" s="142" t="s">
        <v>1395</v>
      </c>
      <c r="P1" s="2" t="s">
        <v>27</v>
      </c>
      <c r="Q1" s="2">
        <v>67399</v>
      </c>
      <c r="R1" s="2">
        <v>74374.570000000007</v>
      </c>
    </row>
    <row r="2" spans="1:18" hidden="1">
      <c r="A2" t="s">
        <v>1396</v>
      </c>
      <c r="B2" t="s">
        <v>26</v>
      </c>
      <c r="C2" t="s">
        <v>27</v>
      </c>
      <c r="D2" s="28">
        <v>56634</v>
      </c>
      <c r="E2" s="19">
        <f>D2/28</f>
        <v>2022.6428571428571</v>
      </c>
      <c r="F2" s="5">
        <v>71931.490000000005</v>
      </c>
      <c r="I2" s="19">
        <f>IF((D2/28)&gt;100,D2*2,D2*2)</f>
        <v>113268</v>
      </c>
      <c r="J2" t="b">
        <f>IF(F2&gt;1.2*I2,FALSE,TRUE)</f>
        <v>1</v>
      </c>
      <c r="K2" s="4">
        <f t="shared" ref="K2:K64" si="0">F2/I2-1</f>
        <v>-0.36494429141505103</v>
      </c>
      <c r="N2"/>
      <c r="P2" t="s">
        <v>119</v>
      </c>
      <c r="Q2">
        <v>4822</v>
      </c>
      <c r="R2">
        <v>9600.5</v>
      </c>
    </row>
    <row r="3" spans="1:18" hidden="1">
      <c r="A3" t="s">
        <v>1396</v>
      </c>
      <c r="B3" t="s">
        <v>14</v>
      </c>
      <c r="C3" t="s">
        <v>15</v>
      </c>
      <c r="D3" s="28">
        <v>27793</v>
      </c>
      <c r="E3" s="19">
        <f>D3/28</f>
        <v>992.60714285714289</v>
      </c>
      <c r="F3" s="5">
        <v>28290.6</v>
      </c>
      <c r="I3" s="19">
        <f>IF((D3/28)&gt;100,D3*2,D3*2)</f>
        <v>55586</v>
      </c>
      <c r="J3" t="b">
        <f>IF(F3&gt;1.2*I3,FALSE,TRUE)</f>
        <v>1</v>
      </c>
      <c r="K3" s="4">
        <f t="shared" si="0"/>
        <v>-0.4910481056381103</v>
      </c>
      <c r="N3"/>
      <c r="P3" t="s">
        <v>61</v>
      </c>
      <c r="Q3">
        <v>10249</v>
      </c>
      <c r="R3">
        <v>16634</v>
      </c>
    </row>
    <row r="4" spans="1:18" hidden="1">
      <c r="A4" t="s">
        <v>1396</v>
      </c>
      <c r="B4" t="s">
        <v>22</v>
      </c>
      <c r="C4" t="s">
        <v>23</v>
      </c>
      <c r="D4" s="28">
        <v>17919</v>
      </c>
      <c r="E4" s="19">
        <f t="shared" ref="E4:E64" si="1">D4/28</f>
        <v>639.96428571428567</v>
      </c>
      <c r="F4" s="5">
        <v>14145.15</v>
      </c>
      <c r="I4" s="19">
        <f t="shared" ref="I4:I64" si="2">IF((D4/28)&gt;100,D4*2,D4*2)</f>
        <v>35838</v>
      </c>
      <c r="J4" t="b">
        <f t="shared" ref="J4:J64" si="3">IF(F4&gt;1.2*I4,FALSE,TRUE)</f>
        <v>1</v>
      </c>
      <c r="K4" s="4">
        <f t="shared" si="0"/>
        <v>-0.60530303030303023</v>
      </c>
      <c r="N4"/>
      <c r="P4" t="s">
        <v>23</v>
      </c>
      <c r="Q4">
        <v>26241</v>
      </c>
      <c r="R4">
        <v>30072.34</v>
      </c>
    </row>
    <row r="5" spans="1:18" hidden="1">
      <c r="A5" t="s">
        <v>1397</v>
      </c>
      <c r="B5" t="s">
        <v>628</v>
      </c>
      <c r="C5" t="s">
        <v>629</v>
      </c>
      <c r="D5" s="28">
        <v>16986</v>
      </c>
      <c r="E5" s="19">
        <f t="shared" si="1"/>
        <v>606.64285714285711</v>
      </c>
      <c r="F5" s="5">
        <v>10504.81</v>
      </c>
      <c r="I5" s="19">
        <f t="shared" si="2"/>
        <v>33972</v>
      </c>
      <c r="J5" t="b">
        <f t="shared" si="3"/>
        <v>1</v>
      </c>
      <c r="K5" s="4">
        <f t="shared" si="0"/>
        <v>-0.69078034852231252</v>
      </c>
      <c r="N5"/>
      <c r="P5" t="s">
        <v>19</v>
      </c>
      <c r="Q5">
        <v>20605</v>
      </c>
      <c r="R5">
        <v>19405.060000000001</v>
      </c>
    </row>
    <row r="6" spans="1:18" hidden="1">
      <c r="A6" t="s">
        <v>1396</v>
      </c>
      <c r="B6" t="s">
        <v>246</v>
      </c>
      <c r="C6" t="s">
        <v>247</v>
      </c>
      <c r="D6" s="28">
        <v>2460</v>
      </c>
      <c r="E6" s="19">
        <f t="shared" si="1"/>
        <v>87.857142857142861</v>
      </c>
      <c r="F6" s="5">
        <v>3320.31</v>
      </c>
      <c r="I6" s="19">
        <f t="shared" si="2"/>
        <v>4920</v>
      </c>
      <c r="J6" t="b">
        <f t="shared" si="3"/>
        <v>1</v>
      </c>
      <c r="K6" s="4">
        <f t="shared" si="0"/>
        <v>-0.32514024390243901</v>
      </c>
      <c r="N6"/>
      <c r="P6" t="s">
        <v>131</v>
      </c>
      <c r="Q6">
        <v>6929</v>
      </c>
      <c r="R6">
        <v>10453.85</v>
      </c>
    </row>
    <row r="7" spans="1:18" hidden="1">
      <c r="A7" t="s">
        <v>1398</v>
      </c>
      <c r="B7" s="27" t="s">
        <v>172</v>
      </c>
      <c r="C7" t="s">
        <v>173</v>
      </c>
      <c r="D7" s="28">
        <v>2569</v>
      </c>
      <c r="E7" s="19">
        <f t="shared" si="1"/>
        <v>91.75</v>
      </c>
      <c r="F7" s="5">
        <v>3750.82</v>
      </c>
      <c r="I7" s="19">
        <f t="shared" si="2"/>
        <v>5138</v>
      </c>
      <c r="J7" t="b">
        <f t="shared" si="3"/>
        <v>1</v>
      </c>
      <c r="K7" s="4">
        <f t="shared" si="0"/>
        <v>-0.26998442973919812</v>
      </c>
      <c r="N7"/>
      <c r="P7" t="s">
        <v>247</v>
      </c>
      <c r="Q7">
        <v>2129</v>
      </c>
      <c r="R7">
        <v>3078.97</v>
      </c>
    </row>
    <row r="8" spans="1:18" hidden="1">
      <c r="A8" t="s">
        <v>1397</v>
      </c>
      <c r="B8" t="s">
        <v>78</v>
      </c>
      <c r="C8" t="s">
        <v>79</v>
      </c>
      <c r="D8" s="28">
        <v>4196</v>
      </c>
      <c r="E8" s="19">
        <f t="shared" si="1"/>
        <v>149.85714285714286</v>
      </c>
      <c r="F8" s="5">
        <v>2627.55</v>
      </c>
      <c r="I8" s="19">
        <f t="shared" si="2"/>
        <v>8392</v>
      </c>
      <c r="J8" t="b">
        <f t="shared" si="3"/>
        <v>1</v>
      </c>
      <c r="K8" s="4">
        <f t="shared" si="0"/>
        <v>-0.68689823641563397</v>
      </c>
      <c r="N8"/>
      <c r="P8" t="s">
        <v>65</v>
      </c>
      <c r="Q8">
        <v>11862</v>
      </c>
      <c r="R8">
        <v>7272.85</v>
      </c>
    </row>
    <row r="9" spans="1:18" hidden="1">
      <c r="A9" t="s">
        <v>1398</v>
      </c>
      <c r="B9" t="s">
        <v>214</v>
      </c>
      <c r="C9" t="s">
        <v>215</v>
      </c>
      <c r="D9" s="28">
        <v>2686</v>
      </c>
      <c r="E9" s="19">
        <f t="shared" si="1"/>
        <v>95.928571428571431</v>
      </c>
      <c r="F9" s="5">
        <v>2042.86</v>
      </c>
      <c r="I9" s="19">
        <f t="shared" si="2"/>
        <v>5372</v>
      </c>
      <c r="J9" t="b">
        <f t="shared" si="3"/>
        <v>1</v>
      </c>
      <c r="K9" s="4">
        <f t="shared" si="0"/>
        <v>-0.61972077438570361</v>
      </c>
      <c r="N9"/>
      <c r="P9" t="s">
        <v>95</v>
      </c>
      <c r="Q9">
        <v>4129</v>
      </c>
      <c r="R9">
        <v>7431.5</v>
      </c>
    </row>
    <row r="10" spans="1:18" hidden="1">
      <c r="A10" t="s">
        <v>1396</v>
      </c>
      <c r="B10" t="s">
        <v>50</v>
      </c>
      <c r="C10" t="s">
        <v>51</v>
      </c>
      <c r="D10" s="28">
        <v>3330</v>
      </c>
      <c r="E10" s="19">
        <f t="shared" si="1"/>
        <v>118.92857142857143</v>
      </c>
      <c r="F10" s="5">
        <v>3718.43</v>
      </c>
      <c r="I10" s="19">
        <f t="shared" si="2"/>
        <v>6660</v>
      </c>
      <c r="J10" t="b">
        <f t="shared" si="3"/>
        <v>1</v>
      </c>
      <c r="K10" s="4">
        <f t="shared" si="0"/>
        <v>-0.44167717717717725</v>
      </c>
      <c r="N10"/>
      <c r="P10" t="s">
        <v>17</v>
      </c>
      <c r="Q10">
        <v>25786</v>
      </c>
      <c r="R10">
        <v>18542.5</v>
      </c>
    </row>
    <row r="11" spans="1:18" hidden="1">
      <c r="A11" t="s">
        <v>1396</v>
      </c>
      <c r="B11" t="s">
        <v>18</v>
      </c>
      <c r="C11" t="s">
        <v>19</v>
      </c>
      <c r="D11" s="28">
        <v>19148</v>
      </c>
      <c r="E11" s="19">
        <f t="shared" si="1"/>
        <v>683.85714285714289</v>
      </c>
      <c r="F11" s="5">
        <v>17855.72</v>
      </c>
      <c r="I11" s="19">
        <f t="shared" si="2"/>
        <v>38296</v>
      </c>
      <c r="J11" t="b">
        <f t="shared" si="3"/>
        <v>1</v>
      </c>
      <c r="K11" s="4">
        <f t="shared" si="0"/>
        <v>-0.53374451639857945</v>
      </c>
      <c r="N11"/>
      <c r="P11" t="s">
        <v>145</v>
      </c>
      <c r="Q11">
        <v>4818</v>
      </c>
      <c r="R11">
        <v>8527.9500000000007</v>
      </c>
    </row>
    <row r="12" spans="1:18" hidden="1">
      <c r="A12" t="s">
        <v>1398</v>
      </c>
      <c r="B12" s="55" t="s">
        <v>588</v>
      </c>
      <c r="C12" s="37" t="s">
        <v>589</v>
      </c>
      <c r="D12" s="28">
        <v>1062</v>
      </c>
      <c r="E12" s="19">
        <f t="shared" si="1"/>
        <v>37.928571428571431</v>
      </c>
      <c r="F12" s="5">
        <v>1404.08</v>
      </c>
      <c r="I12" s="19">
        <f t="shared" si="2"/>
        <v>2124</v>
      </c>
      <c r="J12" t="b">
        <f t="shared" si="3"/>
        <v>1</v>
      </c>
      <c r="K12" s="4">
        <f t="shared" si="0"/>
        <v>-0.33894538606403013</v>
      </c>
      <c r="N12"/>
      <c r="P12" t="s">
        <v>91</v>
      </c>
      <c r="Q12">
        <v>3732</v>
      </c>
      <c r="R12">
        <v>7397.98</v>
      </c>
    </row>
    <row r="13" spans="1:18" hidden="1">
      <c r="A13" t="s">
        <v>1396</v>
      </c>
      <c r="B13" t="s">
        <v>626</v>
      </c>
      <c r="C13" t="s">
        <v>627</v>
      </c>
      <c r="D13" s="28">
        <v>9857</v>
      </c>
      <c r="E13" s="19">
        <f t="shared" si="1"/>
        <v>352.03571428571428</v>
      </c>
      <c r="F13" s="5">
        <v>14796.09</v>
      </c>
      <c r="I13" s="19">
        <f t="shared" si="2"/>
        <v>19714</v>
      </c>
      <c r="J13" t="b">
        <f t="shared" si="3"/>
        <v>1</v>
      </c>
      <c r="K13" s="4">
        <f t="shared" si="0"/>
        <v>-0.24946281830171446</v>
      </c>
      <c r="N13"/>
      <c r="P13" t="s">
        <v>29</v>
      </c>
      <c r="Q13">
        <v>11641</v>
      </c>
      <c r="R13">
        <v>10505.25</v>
      </c>
    </row>
    <row r="14" spans="1:18" hidden="1">
      <c r="A14" t="s">
        <v>1396</v>
      </c>
      <c r="B14" t="s">
        <v>60</v>
      </c>
      <c r="C14" t="s">
        <v>61</v>
      </c>
      <c r="D14" s="28">
        <v>12606</v>
      </c>
      <c r="E14" s="19">
        <f t="shared" si="1"/>
        <v>450.21428571428572</v>
      </c>
      <c r="F14" s="5">
        <v>16440.689999999999</v>
      </c>
      <c r="I14" s="19">
        <f t="shared" si="2"/>
        <v>25212</v>
      </c>
      <c r="J14" t="b">
        <f t="shared" si="3"/>
        <v>1</v>
      </c>
      <c r="K14" s="4">
        <f t="shared" si="0"/>
        <v>-0.34790218943360307</v>
      </c>
      <c r="N14"/>
      <c r="P14" t="s">
        <v>627</v>
      </c>
      <c r="Q14">
        <v>7271</v>
      </c>
      <c r="R14">
        <v>8084.91</v>
      </c>
    </row>
    <row r="15" spans="1:18" hidden="1">
      <c r="A15" t="s">
        <v>1398</v>
      </c>
      <c r="B15" s="55" t="s">
        <v>24</v>
      </c>
      <c r="C15" s="37" t="s">
        <v>25</v>
      </c>
      <c r="D15" s="28">
        <v>6159</v>
      </c>
      <c r="E15" s="19">
        <f t="shared" si="1"/>
        <v>219.96428571428572</v>
      </c>
      <c r="F15" s="5">
        <v>7399.79</v>
      </c>
      <c r="I15" s="19">
        <f t="shared" si="2"/>
        <v>12318</v>
      </c>
      <c r="J15" t="b">
        <f t="shared" si="3"/>
        <v>1</v>
      </c>
      <c r="K15" s="4">
        <f t="shared" si="0"/>
        <v>-0.39927017372950158</v>
      </c>
      <c r="N15"/>
      <c r="P15" t="s">
        <v>511</v>
      </c>
      <c r="Q15">
        <v>4069</v>
      </c>
      <c r="R15">
        <v>7312.03</v>
      </c>
    </row>
    <row r="16" spans="1:18" hidden="1">
      <c r="A16" t="s">
        <v>1396</v>
      </c>
      <c r="B16" t="s">
        <v>16</v>
      </c>
      <c r="C16" t="s">
        <v>17</v>
      </c>
      <c r="D16" s="28">
        <v>23686</v>
      </c>
      <c r="E16" s="19">
        <f t="shared" si="1"/>
        <v>845.92857142857144</v>
      </c>
      <c r="F16" s="5">
        <v>16825.719999999998</v>
      </c>
      <c r="I16" s="19">
        <f t="shared" si="2"/>
        <v>47372</v>
      </c>
      <c r="J16" t="b">
        <f t="shared" si="3"/>
        <v>1</v>
      </c>
      <c r="K16" s="4">
        <f t="shared" si="0"/>
        <v>-0.64481719158996875</v>
      </c>
      <c r="N16"/>
      <c r="P16" t="s">
        <v>265</v>
      </c>
      <c r="Q16">
        <v>3689</v>
      </c>
      <c r="R16">
        <v>5998.01</v>
      </c>
    </row>
    <row r="17" spans="1:18" hidden="1">
      <c r="A17" t="s">
        <v>1397</v>
      </c>
      <c r="B17" t="s">
        <v>130</v>
      </c>
      <c r="C17" t="s">
        <v>131</v>
      </c>
      <c r="D17" s="28">
        <v>4765</v>
      </c>
      <c r="E17" s="19">
        <f t="shared" si="1"/>
        <v>170.17857142857142</v>
      </c>
      <c r="F17" s="5">
        <v>5971.09</v>
      </c>
      <c r="I17" s="19">
        <f t="shared" si="2"/>
        <v>9530</v>
      </c>
      <c r="J17" t="b">
        <f t="shared" si="3"/>
        <v>1</v>
      </c>
      <c r="K17" s="4">
        <f t="shared" si="0"/>
        <v>-0.37344281217208808</v>
      </c>
      <c r="N17"/>
      <c r="P17" t="s">
        <v>181</v>
      </c>
      <c r="Q17">
        <v>1500</v>
      </c>
      <c r="R17">
        <v>3242.85</v>
      </c>
    </row>
    <row r="18" spans="1:18" hidden="1">
      <c r="A18" t="s">
        <v>1397</v>
      </c>
      <c r="B18" t="s">
        <v>592</v>
      </c>
      <c r="C18" t="s">
        <v>593</v>
      </c>
      <c r="D18" s="28">
        <v>13570</v>
      </c>
      <c r="E18" s="19">
        <f t="shared" si="1"/>
        <v>484.64285714285717</v>
      </c>
      <c r="F18" s="5">
        <v>12448.06</v>
      </c>
      <c r="I18" s="19">
        <f t="shared" si="2"/>
        <v>27140</v>
      </c>
      <c r="J18" t="b">
        <f t="shared" si="3"/>
        <v>1</v>
      </c>
      <c r="K18" s="4">
        <f t="shared" si="0"/>
        <v>-0.54133898305084749</v>
      </c>
      <c r="N18"/>
      <c r="P18" t="s">
        <v>219</v>
      </c>
      <c r="Q18">
        <v>2196</v>
      </c>
      <c r="R18">
        <v>4307.3100000000004</v>
      </c>
    </row>
    <row r="19" spans="1:18" hidden="1">
      <c r="A19" t="s">
        <v>1396</v>
      </c>
      <c r="B19" t="s">
        <v>622</v>
      </c>
      <c r="C19" t="s">
        <v>623</v>
      </c>
      <c r="D19" s="28">
        <v>3854</v>
      </c>
      <c r="E19" s="19">
        <f t="shared" si="1"/>
        <v>137.64285714285714</v>
      </c>
      <c r="F19" s="5">
        <v>3843.55</v>
      </c>
      <c r="I19" s="19">
        <f t="shared" si="2"/>
        <v>7708</v>
      </c>
      <c r="J19" t="b">
        <f t="shared" si="3"/>
        <v>1</v>
      </c>
      <c r="K19" s="4">
        <f t="shared" si="0"/>
        <v>-0.50135573430202385</v>
      </c>
      <c r="N19"/>
      <c r="P19" t="s">
        <v>363</v>
      </c>
      <c r="Q19">
        <v>1326</v>
      </c>
      <c r="R19">
        <v>2816.7</v>
      </c>
    </row>
    <row r="20" spans="1:18" hidden="1">
      <c r="A20" t="s">
        <v>1398</v>
      </c>
      <c r="B20" t="s">
        <v>596</v>
      </c>
      <c r="C20" t="s">
        <v>597</v>
      </c>
      <c r="D20" s="28">
        <v>1001</v>
      </c>
      <c r="E20" s="19">
        <f t="shared" si="1"/>
        <v>35.75</v>
      </c>
      <c r="F20" s="5">
        <v>0</v>
      </c>
      <c r="I20" s="19">
        <f t="shared" si="2"/>
        <v>2002</v>
      </c>
      <c r="J20" t="b">
        <f t="shared" si="3"/>
        <v>1</v>
      </c>
      <c r="K20" s="4">
        <f t="shared" si="0"/>
        <v>-1</v>
      </c>
      <c r="N20"/>
      <c r="P20" t="s">
        <v>605</v>
      </c>
      <c r="Q20">
        <v>1109</v>
      </c>
      <c r="R20">
        <v>2476.85</v>
      </c>
    </row>
    <row r="21" spans="1:18" hidden="1">
      <c r="A21" t="s">
        <v>1396</v>
      </c>
      <c r="B21" s="55" t="s">
        <v>266</v>
      </c>
      <c r="C21" s="37" t="s">
        <v>267</v>
      </c>
      <c r="D21" s="28">
        <v>726</v>
      </c>
      <c r="E21" s="19">
        <f t="shared" si="1"/>
        <v>25.928571428571427</v>
      </c>
      <c r="F21" s="5">
        <v>1332.94</v>
      </c>
      <c r="I21" s="19">
        <f t="shared" si="2"/>
        <v>1452</v>
      </c>
      <c r="J21" t="b">
        <f t="shared" si="3"/>
        <v>1</v>
      </c>
      <c r="K21" s="4">
        <f t="shared" si="0"/>
        <v>-8.1997245179063372E-2</v>
      </c>
      <c r="N21"/>
      <c r="P21" t="s">
        <v>235</v>
      </c>
      <c r="Q21">
        <v>4052</v>
      </c>
      <c r="R21">
        <v>6748.08</v>
      </c>
    </row>
    <row r="22" spans="1:18" hidden="1">
      <c r="A22" t="s">
        <v>1396</v>
      </c>
      <c r="B22" t="s">
        <v>460</v>
      </c>
      <c r="C22" t="s">
        <v>461</v>
      </c>
      <c r="D22" s="28">
        <v>2715</v>
      </c>
      <c r="E22" s="19">
        <f t="shared" si="1"/>
        <v>96.964285714285708</v>
      </c>
      <c r="F22" s="5">
        <v>2473.13</v>
      </c>
      <c r="I22" s="19">
        <f t="shared" si="2"/>
        <v>5430</v>
      </c>
      <c r="J22" t="b">
        <f t="shared" si="3"/>
        <v>1</v>
      </c>
      <c r="K22" s="4">
        <f t="shared" si="0"/>
        <v>-0.54454327808471459</v>
      </c>
      <c r="N22"/>
      <c r="P22" t="s">
        <v>257</v>
      </c>
      <c r="Q22">
        <v>1476</v>
      </c>
      <c r="R22">
        <v>2358.27</v>
      </c>
    </row>
    <row r="23" spans="1:18" hidden="1">
      <c r="A23" t="s">
        <v>1398</v>
      </c>
      <c r="B23" t="s">
        <v>64</v>
      </c>
      <c r="C23" t="s">
        <v>65</v>
      </c>
      <c r="D23" s="28">
        <v>11370</v>
      </c>
      <c r="E23" s="19">
        <f t="shared" si="1"/>
        <v>406.07142857142856</v>
      </c>
      <c r="F23" s="5">
        <v>8878.08</v>
      </c>
      <c r="I23" s="139">
        <f t="shared" si="2"/>
        <v>22740</v>
      </c>
      <c r="J23" t="b">
        <f t="shared" si="3"/>
        <v>1</v>
      </c>
      <c r="K23" s="4">
        <f t="shared" si="0"/>
        <v>-0.60958311345646443</v>
      </c>
      <c r="P23" t="s">
        <v>629</v>
      </c>
      <c r="Q23">
        <v>14987</v>
      </c>
      <c r="R23">
        <v>5594.85</v>
      </c>
    </row>
    <row r="24" spans="1:18" hidden="1">
      <c r="A24" t="s">
        <v>1397</v>
      </c>
      <c r="B24" t="s">
        <v>42</v>
      </c>
      <c r="C24" t="s">
        <v>43</v>
      </c>
      <c r="D24" s="28">
        <v>4426</v>
      </c>
      <c r="E24" s="19">
        <f t="shared" si="1"/>
        <v>158.07142857142858</v>
      </c>
      <c r="F24" s="5">
        <v>2928.56</v>
      </c>
      <c r="I24" s="19">
        <f t="shared" si="2"/>
        <v>8852</v>
      </c>
      <c r="J24" t="b">
        <f t="shared" si="3"/>
        <v>1</v>
      </c>
      <c r="K24" s="4">
        <f t="shared" si="0"/>
        <v>-0.66916403072751929</v>
      </c>
      <c r="N24"/>
      <c r="P24" t="s">
        <v>535</v>
      </c>
      <c r="Q24">
        <v>652</v>
      </c>
      <c r="R24">
        <v>1070.94</v>
      </c>
    </row>
    <row r="25" spans="1:18">
      <c r="A25" t="s">
        <v>1396</v>
      </c>
      <c r="B25" s="55" t="s">
        <v>470</v>
      </c>
      <c r="C25" s="37" t="s">
        <v>471</v>
      </c>
      <c r="D25" s="28">
        <v>586</v>
      </c>
      <c r="E25" s="19">
        <f t="shared" si="1"/>
        <v>20.928571428571427</v>
      </c>
      <c r="F25" s="5">
        <v>1472.21</v>
      </c>
      <c r="I25" s="151">
        <f t="shared" si="2"/>
        <v>1172</v>
      </c>
      <c r="J25" t="b">
        <f t="shared" si="3"/>
        <v>0</v>
      </c>
      <c r="K25" s="4">
        <f t="shared" si="0"/>
        <v>0.25615187713310594</v>
      </c>
      <c r="N25"/>
      <c r="P25" t="s">
        <v>563</v>
      </c>
      <c r="Q25">
        <v>1671</v>
      </c>
      <c r="R25">
        <v>2325.75</v>
      </c>
    </row>
    <row r="26" spans="1:18" hidden="1">
      <c r="A26" t="s">
        <v>1396</v>
      </c>
      <c r="B26" t="s">
        <v>86</v>
      </c>
      <c r="C26" t="s">
        <v>87</v>
      </c>
      <c r="D26" s="28">
        <v>4709</v>
      </c>
      <c r="E26" s="19">
        <f t="shared" si="1"/>
        <v>168.17857142857142</v>
      </c>
      <c r="F26" s="5">
        <v>5633.55</v>
      </c>
      <c r="I26" s="19">
        <f t="shared" si="2"/>
        <v>9418</v>
      </c>
      <c r="J26" t="b">
        <f t="shared" si="3"/>
        <v>1</v>
      </c>
      <c r="K26" s="4">
        <f t="shared" si="0"/>
        <v>-0.40183159906561905</v>
      </c>
      <c r="N26"/>
      <c r="P26" t="s">
        <v>477</v>
      </c>
      <c r="Q26">
        <v>2656</v>
      </c>
      <c r="R26">
        <v>5003.68</v>
      </c>
    </row>
    <row r="27" spans="1:18" hidden="1">
      <c r="A27" t="s">
        <v>1396</v>
      </c>
      <c r="B27" t="s">
        <v>354</v>
      </c>
      <c r="C27" t="s">
        <v>355</v>
      </c>
      <c r="D27" s="28">
        <v>1400</v>
      </c>
      <c r="E27" s="19">
        <f t="shared" si="1"/>
        <v>50</v>
      </c>
      <c r="F27" s="5">
        <v>1441.01</v>
      </c>
      <c r="I27" s="19">
        <f t="shared" si="2"/>
        <v>2800</v>
      </c>
      <c r="J27" t="b">
        <f t="shared" si="3"/>
        <v>1</v>
      </c>
      <c r="K27" s="4">
        <f t="shared" si="0"/>
        <v>-0.48535357142857138</v>
      </c>
      <c r="N27"/>
      <c r="P27" t="s">
        <v>519</v>
      </c>
      <c r="Q27">
        <v>596</v>
      </c>
      <c r="R27">
        <v>1267.94</v>
      </c>
    </row>
    <row r="28" spans="1:18" hidden="1">
      <c r="A28" t="s">
        <v>1397</v>
      </c>
      <c r="B28" t="s">
        <v>144</v>
      </c>
      <c r="C28" t="s">
        <v>145</v>
      </c>
      <c r="D28" s="28">
        <v>3562</v>
      </c>
      <c r="E28" s="19">
        <f t="shared" si="1"/>
        <v>127.21428571428571</v>
      </c>
      <c r="F28" s="5">
        <v>5592.64</v>
      </c>
      <c r="I28" s="19">
        <f t="shared" si="2"/>
        <v>7124</v>
      </c>
      <c r="J28" t="b">
        <f t="shared" si="3"/>
        <v>1</v>
      </c>
      <c r="K28" s="4">
        <f t="shared" si="0"/>
        <v>-0.21495788882650191</v>
      </c>
      <c r="N28"/>
      <c r="P28" t="s">
        <v>277</v>
      </c>
      <c r="Q28">
        <v>1681</v>
      </c>
      <c r="R28">
        <v>3245.25</v>
      </c>
    </row>
    <row r="29" spans="1:18" hidden="1">
      <c r="A29" t="s">
        <v>1397</v>
      </c>
      <c r="B29" t="s">
        <v>126</v>
      </c>
      <c r="C29" t="s">
        <v>127</v>
      </c>
      <c r="D29" s="28">
        <v>1331</v>
      </c>
      <c r="E29" s="19">
        <f t="shared" si="1"/>
        <v>47.535714285714285</v>
      </c>
      <c r="F29" s="5">
        <v>296.14999999999998</v>
      </c>
      <c r="I29" s="19">
        <f t="shared" si="2"/>
        <v>2662</v>
      </c>
      <c r="J29" t="b">
        <f t="shared" si="3"/>
        <v>1</v>
      </c>
      <c r="K29" s="4">
        <f t="shared" si="0"/>
        <v>-0.88874906085649885</v>
      </c>
      <c r="N29"/>
      <c r="P29" t="s">
        <v>507</v>
      </c>
      <c r="Q29">
        <v>1969</v>
      </c>
      <c r="R29">
        <v>2178.64</v>
      </c>
    </row>
    <row r="30" spans="1:18" hidden="1">
      <c r="A30" t="s">
        <v>1397</v>
      </c>
      <c r="B30" t="s">
        <v>250</v>
      </c>
      <c r="C30" t="s">
        <v>251</v>
      </c>
      <c r="D30" s="28">
        <v>2309</v>
      </c>
      <c r="E30" s="19">
        <f t="shared" si="1"/>
        <v>82.464285714285708</v>
      </c>
      <c r="F30" s="5">
        <v>2909.09</v>
      </c>
      <c r="I30" s="19">
        <f t="shared" si="2"/>
        <v>4618</v>
      </c>
      <c r="J30" t="b">
        <f t="shared" si="3"/>
        <v>1</v>
      </c>
      <c r="K30" s="4">
        <f t="shared" si="0"/>
        <v>-0.3700541359896059</v>
      </c>
      <c r="N30"/>
      <c r="P30" t="s">
        <v>559</v>
      </c>
      <c r="Q30">
        <v>1923</v>
      </c>
      <c r="R30">
        <v>3253.75</v>
      </c>
    </row>
    <row r="31" spans="1:18" hidden="1">
      <c r="A31" t="s">
        <v>1396</v>
      </c>
      <c r="B31" t="s">
        <v>482</v>
      </c>
      <c r="C31" t="s">
        <v>483</v>
      </c>
      <c r="D31" s="28">
        <v>854</v>
      </c>
      <c r="E31" s="19">
        <f t="shared" si="1"/>
        <v>30.5</v>
      </c>
      <c r="F31" s="5">
        <v>1615.44</v>
      </c>
      <c r="I31" s="19">
        <f t="shared" si="2"/>
        <v>1708</v>
      </c>
      <c r="J31" t="b">
        <f t="shared" si="3"/>
        <v>1</v>
      </c>
      <c r="K31" s="4">
        <f t="shared" si="0"/>
        <v>-5.4192037470725984E-2</v>
      </c>
      <c r="N31"/>
      <c r="P31" t="s">
        <v>557</v>
      </c>
      <c r="Q31">
        <v>1541</v>
      </c>
      <c r="R31">
        <v>3749.62</v>
      </c>
    </row>
    <row r="32" spans="1:18" hidden="1">
      <c r="A32" t="s">
        <v>1396</v>
      </c>
      <c r="B32" t="s">
        <v>118</v>
      </c>
      <c r="C32" t="s">
        <v>119</v>
      </c>
      <c r="D32" s="28">
        <v>3570</v>
      </c>
      <c r="E32" s="19">
        <f t="shared" si="1"/>
        <v>127.5</v>
      </c>
      <c r="F32" s="5">
        <v>3270.98</v>
      </c>
      <c r="I32" s="19">
        <f t="shared" si="2"/>
        <v>7140</v>
      </c>
      <c r="J32" t="b">
        <f t="shared" si="3"/>
        <v>1</v>
      </c>
      <c r="K32" s="4">
        <f t="shared" si="0"/>
        <v>-0.54187955182072822</v>
      </c>
      <c r="N32"/>
      <c r="P32" t="s">
        <v>157</v>
      </c>
      <c r="Q32">
        <v>2159</v>
      </c>
      <c r="R32">
        <v>4083.97</v>
      </c>
    </row>
    <row r="33" spans="1:18" hidden="1">
      <c r="A33" t="s">
        <v>1396</v>
      </c>
      <c r="B33" t="s">
        <v>234</v>
      </c>
      <c r="C33" t="s">
        <v>235</v>
      </c>
      <c r="D33" s="28">
        <v>3751</v>
      </c>
      <c r="E33" s="19">
        <f t="shared" si="1"/>
        <v>133.96428571428572</v>
      </c>
      <c r="F33" s="5">
        <v>3196.15</v>
      </c>
      <c r="I33" s="139">
        <f t="shared" si="2"/>
        <v>7502</v>
      </c>
      <c r="J33" t="b">
        <f t="shared" si="3"/>
        <v>1</v>
      </c>
      <c r="K33" s="4">
        <f t="shared" si="0"/>
        <v>-0.57396027725939747</v>
      </c>
      <c r="N33" s="143"/>
      <c r="P33" t="s">
        <v>435</v>
      </c>
      <c r="Q33">
        <v>1658</v>
      </c>
      <c r="R33">
        <v>4124.5</v>
      </c>
    </row>
    <row r="34" spans="1:18" hidden="1">
      <c r="A34" t="s">
        <v>1397</v>
      </c>
      <c r="B34" t="s">
        <v>608</v>
      </c>
      <c r="C34" t="s">
        <v>609</v>
      </c>
      <c r="D34" s="28">
        <v>977</v>
      </c>
      <c r="E34" s="19">
        <f t="shared" si="1"/>
        <v>34.892857142857146</v>
      </c>
      <c r="F34" s="5">
        <v>1069.8399999999999</v>
      </c>
      <c r="I34" s="19">
        <f t="shared" si="2"/>
        <v>1954</v>
      </c>
      <c r="J34" t="b">
        <f t="shared" si="3"/>
        <v>1</v>
      </c>
      <c r="K34" s="4">
        <f t="shared" si="0"/>
        <v>-0.45248720573183221</v>
      </c>
      <c r="N34"/>
      <c r="P34" t="s">
        <v>529</v>
      </c>
      <c r="Q34">
        <v>1546</v>
      </c>
      <c r="R34">
        <v>1959.09</v>
      </c>
    </row>
    <row r="35" spans="1:18">
      <c r="A35" t="s">
        <v>1397</v>
      </c>
      <c r="B35" s="54" t="s">
        <v>472</v>
      </c>
      <c r="C35" s="37" t="s">
        <v>473</v>
      </c>
      <c r="D35" s="28">
        <v>173</v>
      </c>
      <c r="E35" s="19">
        <f t="shared" si="1"/>
        <v>6.1785714285714288</v>
      </c>
      <c r="F35" s="5">
        <v>824.09</v>
      </c>
      <c r="I35" s="151">
        <f t="shared" si="2"/>
        <v>346</v>
      </c>
      <c r="J35" t="b">
        <f t="shared" si="3"/>
        <v>0</v>
      </c>
      <c r="K35" s="4">
        <f t="shared" si="0"/>
        <v>1.3817630057803467</v>
      </c>
      <c r="N35"/>
      <c r="P35" t="s">
        <v>125</v>
      </c>
      <c r="Q35">
        <v>2684</v>
      </c>
      <c r="R35">
        <v>4208.54</v>
      </c>
    </row>
    <row r="36" spans="1:18" hidden="1">
      <c r="A36" t="s">
        <v>1396</v>
      </c>
      <c r="B36" t="s">
        <v>556</v>
      </c>
      <c r="C36" t="s">
        <v>557</v>
      </c>
      <c r="D36" s="28">
        <v>1098</v>
      </c>
      <c r="E36" s="19">
        <f t="shared" si="1"/>
        <v>39.214285714285715</v>
      </c>
      <c r="F36" s="5">
        <v>1950.81</v>
      </c>
      <c r="I36" s="19">
        <f t="shared" si="2"/>
        <v>2196</v>
      </c>
      <c r="J36" t="b">
        <f t="shared" si="3"/>
        <v>1</v>
      </c>
      <c r="K36" s="4">
        <f t="shared" si="0"/>
        <v>-0.11165300546448087</v>
      </c>
      <c r="N36"/>
      <c r="P36" t="s">
        <v>571</v>
      </c>
      <c r="Q36">
        <v>4901</v>
      </c>
      <c r="R36">
        <v>9133.83</v>
      </c>
    </row>
    <row r="37" spans="1:18" hidden="1">
      <c r="A37" t="s">
        <v>1396</v>
      </c>
      <c r="B37" t="s">
        <v>194</v>
      </c>
      <c r="C37" t="s">
        <v>195</v>
      </c>
      <c r="D37" s="28">
        <v>1674</v>
      </c>
      <c r="E37" s="19">
        <f t="shared" si="1"/>
        <v>59.785714285714285</v>
      </c>
      <c r="F37" s="5">
        <v>2158.77</v>
      </c>
      <c r="I37" s="19">
        <f t="shared" si="2"/>
        <v>3348</v>
      </c>
      <c r="J37" t="b">
        <f t="shared" si="3"/>
        <v>1</v>
      </c>
      <c r="K37" s="4">
        <f t="shared" si="0"/>
        <v>-0.35520609318996421</v>
      </c>
      <c r="N37"/>
      <c r="P37" t="s">
        <v>401</v>
      </c>
      <c r="Q37">
        <v>1150</v>
      </c>
      <c r="R37">
        <v>1379.51</v>
      </c>
    </row>
    <row r="38" spans="1:18" hidden="1">
      <c r="A38" t="s">
        <v>1396</v>
      </c>
      <c r="B38" t="s">
        <v>100</v>
      </c>
      <c r="C38" t="s">
        <v>101</v>
      </c>
      <c r="D38" s="28">
        <v>4825</v>
      </c>
      <c r="E38" s="19">
        <f t="shared" si="1"/>
        <v>172.32142857142858</v>
      </c>
      <c r="F38" s="5">
        <v>6647.08</v>
      </c>
      <c r="I38" s="19">
        <f t="shared" si="2"/>
        <v>9650</v>
      </c>
      <c r="J38" t="b">
        <f t="shared" si="3"/>
        <v>1</v>
      </c>
      <c r="K38" s="4">
        <f t="shared" si="0"/>
        <v>-0.31118341968911922</v>
      </c>
      <c r="N38"/>
      <c r="P38" t="s">
        <v>223</v>
      </c>
      <c r="Q38">
        <v>3490</v>
      </c>
      <c r="R38">
        <v>6233.8</v>
      </c>
    </row>
    <row r="39" spans="1:18" hidden="1">
      <c r="A39" t="s">
        <v>1398</v>
      </c>
      <c r="B39" t="s">
        <v>112</v>
      </c>
      <c r="C39" t="s">
        <v>113</v>
      </c>
      <c r="D39" s="28">
        <v>2046</v>
      </c>
      <c r="E39" s="19">
        <f t="shared" si="1"/>
        <v>73.071428571428569</v>
      </c>
      <c r="F39" s="5">
        <v>1189.06</v>
      </c>
      <c r="I39" s="19">
        <f t="shared" si="2"/>
        <v>4092</v>
      </c>
      <c r="J39" t="b">
        <f t="shared" si="3"/>
        <v>1</v>
      </c>
      <c r="K39" s="4">
        <f t="shared" si="0"/>
        <v>-0.70941837732160318</v>
      </c>
      <c r="N39"/>
      <c r="P39" t="s">
        <v>351</v>
      </c>
      <c r="Q39">
        <v>973</v>
      </c>
      <c r="R39">
        <v>1765</v>
      </c>
    </row>
    <row r="40" spans="1:18" hidden="1">
      <c r="A40" t="s">
        <v>1396</v>
      </c>
      <c r="B40" t="s">
        <v>90</v>
      </c>
      <c r="C40" t="s">
        <v>91</v>
      </c>
      <c r="D40" s="28">
        <v>3345</v>
      </c>
      <c r="E40" s="19">
        <f t="shared" si="1"/>
        <v>119.46428571428571</v>
      </c>
      <c r="F40" s="5">
        <v>3677.33</v>
      </c>
      <c r="I40" s="19">
        <f t="shared" si="2"/>
        <v>6690</v>
      </c>
      <c r="J40" t="b">
        <f t="shared" si="3"/>
        <v>1</v>
      </c>
      <c r="K40" s="4">
        <f t="shared" si="0"/>
        <v>-0.45032436472346782</v>
      </c>
      <c r="N40"/>
      <c r="P40" t="s">
        <v>607</v>
      </c>
      <c r="Q40">
        <v>1611</v>
      </c>
      <c r="R40">
        <v>2692.2</v>
      </c>
    </row>
    <row r="41" spans="1:18" hidden="1">
      <c r="A41" t="s">
        <v>1398</v>
      </c>
      <c r="B41" t="s">
        <v>364</v>
      </c>
      <c r="C41" t="s">
        <v>365</v>
      </c>
      <c r="D41" s="28">
        <v>562</v>
      </c>
      <c r="E41" s="19">
        <f t="shared" si="1"/>
        <v>20.071428571428573</v>
      </c>
      <c r="F41" s="5">
        <v>1148.8599999999999</v>
      </c>
      <c r="I41" s="19">
        <f t="shared" si="2"/>
        <v>1124</v>
      </c>
      <c r="J41" t="b">
        <f t="shared" si="3"/>
        <v>1</v>
      </c>
      <c r="K41" s="4">
        <f t="shared" si="0"/>
        <v>2.2117437722419808E-2</v>
      </c>
      <c r="N41"/>
      <c r="P41" t="s">
        <v>81</v>
      </c>
      <c r="Q41">
        <v>2321</v>
      </c>
      <c r="R41">
        <v>4250.3999999999996</v>
      </c>
    </row>
    <row r="42" spans="1:18" hidden="1">
      <c r="A42" t="s">
        <v>1398</v>
      </c>
      <c r="B42" t="s">
        <v>74</v>
      </c>
      <c r="C42" t="s">
        <v>75</v>
      </c>
      <c r="D42" s="28">
        <v>3932</v>
      </c>
      <c r="E42" s="19">
        <f t="shared" si="1"/>
        <v>140.42857142857142</v>
      </c>
      <c r="F42" s="5">
        <v>2442.56</v>
      </c>
      <c r="I42" s="19">
        <f t="shared" si="2"/>
        <v>7864</v>
      </c>
      <c r="J42" t="b">
        <f t="shared" si="3"/>
        <v>1</v>
      </c>
      <c r="K42" s="4">
        <f t="shared" si="0"/>
        <v>-0.68939979654120043</v>
      </c>
      <c r="N42"/>
      <c r="P42" t="s">
        <v>173</v>
      </c>
      <c r="Q42">
        <v>2223</v>
      </c>
      <c r="R42">
        <v>4480.07</v>
      </c>
    </row>
    <row r="43" spans="1:18" hidden="1">
      <c r="A43" t="s">
        <v>1398</v>
      </c>
      <c r="B43" s="55" t="s">
        <v>116</v>
      </c>
      <c r="C43" s="37" t="s">
        <v>117</v>
      </c>
      <c r="D43" s="28">
        <v>2267</v>
      </c>
      <c r="E43" s="19">
        <f t="shared" si="1"/>
        <v>80.964285714285708</v>
      </c>
      <c r="F43" s="5">
        <v>3985.01</v>
      </c>
      <c r="I43" s="151">
        <f t="shared" si="2"/>
        <v>4534</v>
      </c>
      <c r="J43" t="b">
        <f t="shared" si="3"/>
        <v>1</v>
      </c>
      <c r="K43" s="4">
        <f t="shared" si="0"/>
        <v>-0.12108292898103212</v>
      </c>
      <c r="N43"/>
      <c r="P43" t="s">
        <v>467</v>
      </c>
      <c r="Q43">
        <v>741</v>
      </c>
      <c r="R43">
        <v>1596.79</v>
      </c>
    </row>
    <row r="44" spans="1:18" hidden="1">
      <c r="A44" t="s">
        <v>1396</v>
      </c>
      <c r="B44" s="56" t="s">
        <v>158</v>
      </c>
      <c r="C44" s="37" t="s">
        <v>159</v>
      </c>
      <c r="D44" s="28">
        <v>1555</v>
      </c>
      <c r="E44" s="19">
        <f t="shared" si="1"/>
        <v>55.535714285714285</v>
      </c>
      <c r="F44" s="5">
        <v>3177.18</v>
      </c>
      <c r="I44" s="19">
        <f t="shared" si="2"/>
        <v>3110</v>
      </c>
      <c r="J44" t="b">
        <f t="shared" si="3"/>
        <v>1</v>
      </c>
      <c r="K44" s="4">
        <f t="shared" si="0"/>
        <v>2.1601286173633438E-2</v>
      </c>
      <c r="N44"/>
      <c r="P44" t="s">
        <v>73</v>
      </c>
      <c r="Q44">
        <v>1931</v>
      </c>
      <c r="R44">
        <v>4461.28</v>
      </c>
    </row>
    <row r="45" spans="1:18" hidden="1">
      <c r="A45" t="s">
        <v>1397</v>
      </c>
      <c r="B45" t="s">
        <v>148</v>
      </c>
      <c r="C45" t="s">
        <v>149</v>
      </c>
      <c r="D45" s="28">
        <v>1963</v>
      </c>
      <c r="E45" s="19">
        <f t="shared" si="1"/>
        <v>70.107142857142861</v>
      </c>
      <c r="F45" s="5">
        <v>3860.49</v>
      </c>
      <c r="I45" s="151">
        <f t="shared" si="2"/>
        <v>3926</v>
      </c>
      <c r="J45" t="b">
        <f t="shared" si="3"/>
        <v>1</v>
      </c>
      <c r="K45" s="4">
        <f t="shared" si="0"/>
        <v>-1.66861946001019E-2</v>
      </c>
      <c r="N45"/>
      <c r="P45" t="s">
        <v>165</v>
      </c>
      <c r="Q45">
        <v>1390</v>
      </c>
      <c r="R45">
        <v>1789.01</v>
      </c>
    </row>
    <row r="46" spans="1:18" hidden="1">
      <c r="A46" t="s">
        <v>1397</v>
      </c>
      <c r="B46" s="55" t="s">
        <v>44</v>
      </c>
      <c r="C46" s="37" t="s">
        <v>45</v>
      </c>
      <c r="D46" s="28">
        <v>1725</v>
      </c>
      <c r="E46" s="19">
        <f t="shared" si="1"/>
        <v>61.607142857142854</v>
      </c>
      <c r="F46" s="5">
        <v>3259.47</v>
      </c>
      <c r="I46" s="19">
        <f t="shared" si="2"/>
        <v>3450</v>
      </c>
      <c r="J46" t="b">
        <f t="shared" si="3"/>
        <v>1</v>
      </c>
      <c r="K46" s="4">
        <f t="shared" si="0"/>
        <v>-5.5226086956521758E-2</v>
      </c>
      <c r="N46"/>
      <c r="P46" t="s">
        <v>595</v>
      </c>
      <c r="Q46">
        <v>940</v>
      </c>
      <c r="R46">
        <v>1618.45</v>
      </c>
    </row>
    <row r="47" spans="1:18">
      <c r="A47" t="s">
        <v>1396</v>
      </c>
      <c r="B47" s="55" t="s">
        <v>522</v>
      </c>
      <c r="C47" s="37" t="s">
        <v>523</v>
      </c>
      <c r="D47" s="28">
        <v>951</v>
      </c>
      <c r="E47" s="19">
        <f t="shared" si="1"/>
        <v>33.964285714285715</v>
      </c>
      <c r="F47" s="5">
        <v>2669.95</v>
      </c>
      <c r="I47" s="151">
        <f t="shared" si="2"/>
        <v>1902</v>
      </c>
      <c r="J47" t="b">
        <f t="shared" si="3"/>
        <v>0</v>
      </c>
      <c r="K47" s="4">
        <f t="shared" si="0"/>
        <v>0.40375920084121963</v>
      </c>
      <c r="N47"/>
      <c r="P47" t="s">
        <v>597</v>
      </c>
      <c r="Q47">
        <v>3488</v>
      </c>
      <c r="R47">
        <v>6528.03</v>
      </c>
    </row>
    <row r="48" spans="1:18" hidden="1">
      <c r="A48" t="s">
        <v>1396</v>
      </c>
      <c r="B48" t="s">
        <v>68</v>
      </c>
      <c r="C48" t="s">
        <v>69</v>
      </c>
      <c r="D48" s="28">
        <v>4563</v>
      </c>
      <c r="E48" s="19">
        <f t="shared" si="1"/>
        <v>162.96428571428572</v>
      </c>
      <c r="F48" s="5">
        <v>5429.64</v>
      </c>
      <c r="I48" s="19">
        <f t="shared" si="2"/>
        <v>9126</v>
      </c>
      <c r="J48" t="b">
        <f t="shared" si="3"/>
        <v>1</v>
      </c>
      <c r="K48" s="4">
        <f t="shared" si="0"/>
        <v>-0.40503616042077573</v>
      </c>
      <c r="N48"/>
      <c r="P48" t="s">
        <v>87</v>
      </c>
      <c r="Q48">
        <v>5377</v>
      </c>
      <c r="R48">
        <v>8788.83</v>
      </c>
    </row>
    <row r="49" spans="1:18" hidden="1">
      <c r="A49" t="s">
        <v>1396</v>
      </c>
      <c r="B49" t="s">
        <v>84</v>
      </c>
      <c r="C49" t="s">
        <v>85</v>
      </c>
      <c r="D49" s="28">
        <v>2836</v>
      </c>
      <c r="E49" s="19">
        <f t="shared" si="1"/>
        <v>101.28571428571429</v>
      </c>
      <c r="F49" s="5">
        <v>5001.5200000000004</v>
      </c>
      <c r="I49" s="151">
        <f t="shared" si="2"/>
        <v>5672</v>
      </c>
      <c r="J49" t="b">
        <f t="shared" si="3"/>
        <v>1</v>
      </c>
      <c r="K49" s="4">
        <f t="shared" si="0"/>
        <v>-0.11820874471086029</v>
      </c>
      <c r="N49"/>
      <c r="P49" t="s">
        <v>293</v>
      </c>
      <c r="Q49">
        <v>633</v>
      </c>
      <c r="R49">
        <v>1173.22</v>
      </c>
    </row>
    <row r="50" spans="1:18" hidden="1">
      <c r="A50" t="s">
        <v>1396</v>
      </c>
      <c r="B50" t="s">
        <v>160</v>
      </c>
      <c r="C50" t="s">
        <v>161</v>
      </c>
      <c r="D50" s="28">
        <v>4089</v>
      </c>
      <c r="E50" s="19">
        <f t="shared" si="1"/>
        <v>146.03571428571428</v>
      </c>
      <c r="F50" s="5">
        <v>4710.99</v>
      </c>
      <c r="I50" s="19">
        <f t="shared" si="2"/>
        <v>8178</v>
      </c>
      <c r="J50" t="b">
        <f t="shared" si="3"/>
        <v>1</v>
      </c>
      <c r="K50" s="4">
        <f t="shared" si="0"/>
        <v>-0.42394350696991934</v>
      </c>
      <c r="N50"/>
      <c r="P50" t="s">
        <v>207</v>
      </c>
      <c r="Q50">
        <v>1412</v>
      </c>
      <c r="R50">
        <v>2519.35</v>
      </c>
    </row>
    <row r="51" spans="1:18" hidden="1">
      <c r="A51" t="s">
        <v>1397</v>
      </c>
      <c r="B51" s="37" t="s">
        <v>146</v>
      </c>
      <c r="C51" s="37" t="s">
        <v>147</v>
      </c>
      <c r="D51" s="28">
        <v>671</v>
      </c>
      <c r="E51" s="19">
        <f t="shared" si="1"/>
        <v>23.964285714285715</v>
      </c>
      <c r="F51" s="5">
        <v>1496.18</v>
      </c>
      <c r="I51" s="151">
        <f t="shared" si="2"/>
        <v>1342</v>
      </c>
      <c r="J51" t="b">
        <f t="shared" si="3"/>
        <v>1</v>
      </c>
      <c r="K51" s="4">
        <f t="shared" si="0"/>
        <v>0.1148882265275708</v>
      </c>
      <c r="N51"/>
      <c r="P51" t="s">
        <v>383</v>
      </c>
      <c r="Q51">
        <v>829</v>
      </c>
      <c r="R51">
        <v>1139.6600000000001</v>
      </c>
    </row>
    <row r="52" spans="1:18" hidden="1">
      <c r="A52" t="s">
        <v>1397</v>
      </c>
      <c r="B52" t="s">
        <v>538</v>
      </c>
      <c r="C52" t="s">
        <v>539</v>
      </c>
      <c r="D52" s="28">
        <v>1113</v>
      </c>
      <c r="E52" s="19">
        <f t="shared" si="1"/>
        <v>39.75</v>
      </c>
      <c r="F52" s="5">
        <v>1104.8900000000001</v>
      </c>
      <c r="I52" s="19">
        <f t="shared" si="2"/>
        <v>2226</v>
      </c>
      <c r="J52" t="b">
        <f t="shared" si="3"/>
        <v>1</v>
      </c>
      <c r="K52" s="4">
        <f t="shared" si="0"/>
        <v>-0.50364330637915544</v>
      </c>
      <c r="N52"/>
      <c r="P52" t="s">
        <v>55</v>
      </c>
      <c r="Q52">
        <v>3176</v>
      </c>
      <c r="R52">
        <v>4296.8900000000003</v>
      </c>
    </row>
    <row r="53" spans="1:18" hidden="1">
      <c r="A53" t="s">
        <v>1397</v>
      </c>
      <c r="B53" t="s">
        <v>180</v>
      </c>
      <c r="C53" t="s">
        <v>181</v>
      </c>
      <c r="D53" s="28">
        <v>1221</v>
      </c>
      <c r="E53" s="19">
        <f t="shared" si="1"/>
        <v>43.607142857142854</v>
      </c>
      <c r="F53" s="5">
        <v>2754.97</v>
      </c>
      <c r="I53" s="151">
        <f t="shared" si="2"/>
        <v>2442</v>
      </c>
      <c r="J53" t="b">
        <f t="shared" si="3"/>
        <v>1</v>
      </c>
      <c r="K53" s="4">
        <f t="shared" si="0"/>
        <v>0.12816134316134309</v>
      </c>
      <c r="P53" t="s">
        <v>503</v>
      </c>
      <c r="Q53">
        <v>775</v>
      </c>
      <c r="R53">
        <v>1364.36</v>
      </c>
    </row>
    <row r="54" spans="1:18" hidden="1">
      <c r="A54" t="s">
        <v>1396</v>
      </c>
      <c r="B54" t="s">
        <v>82</v>
      </c>
      <c r="C54" t="s">
        <v>83</v>
      </c>
      <c r="D54" s="28">
        <v>3012</v>
      </c>
      <c r="E54" s="19">
        <f t="shared" si="1"/>
        <v>107.57142857142857</v>
      </c>
      <c r="F54" s="5">
        <v>2839.51</v>
      </c>
      <c r="I54" s="19">
        <f t="shared" si="2"/>
        <v>6024</v>
      </c>
      <c r="J54" t="b">
        <f t="shared" si="3"/>
        <v>1</v>
      </c>
      <c r="K54" s="4">
        <f t="shared" si="0"/>
        <v>-0.52863379814077027</v>
      </c>
      <c r="N54"/>
      <c r="P54" t="s">
        <v>343</v>
      </c>
      <c r="Q54">
        <v>652</v>
      </c>
      <c r="R54">
        <v>1543.21</v>
      </c>
    </row>
    <row r="55" spans="1:18" hidden="1">
      <c r="A55" t="s">
        <v>1397</v>
      </c>
      <c r="B55" t="s">
        <v>136</v>
      </c>
      <c r="C55" t="s">
        <v>137</v>
      </c>
      <c r="D55" s="28">
        <v>2173</v>
      </c>
      <c r="E55" s="19">
        <f t="shared" si="1"/>
        <v>77.607142857142861</v>
      </c>
      <c r="F55" s="5">
        <v>2210.6799999999998</v>
      </c>
      <c r="I55" s="19">
        <f t="shared" si="2"/>
        <v>4346</v>
      </c>
      <c r="J55" t="b">
        <f t="shared" si="3"/>
        <v>1</v>
      </c>
      <c r="K55" s="4">
        <f t="shared" si="0"/>
        <v>-0.49132995858260475</v>
      </c>
      <c r="N55"/>
      <c r="P55" t="s">
        <v>89</v>
      </c>
      <c r="Q55">
        <v>7423</v>
      </c>
      <c r="R55">
        <v>11232.22</v>
      </c>
    </row>
    <row r="56" spans="1:18" hidden="1">
      <c r="A56" t="s">
        <v>1396</v>
      </c>
      <c r="B56" t="s">
        <v>170</v>
      </c>
      <c r="C56" t="s">
        <v>171</v>
      </c>
      <c r="D56" s="28">
        <v>1330</v>
      </c>
      <c r="E56" s="19">
        <f t="shared" si="1"/>
        <v>47.5</v>
      </c>
      <c r="F56" s="5">
        <v>1428.44</v>
      </c>
      <c r="I56" s="19">
        <f t="shared" si="2"/>
        <v>2660</v>
      </c>
      <c r="J56" t="b">
        <f t="shared" si="3"/>
        <v>1</v>
      </c>
      <c r="K56" s="4">
        <f t="shared" si="0"/>
        <v>-0.46299248120300751</v>
      </c>
      <c r="N56"/>
      <c r="P56" t="s">
        <v>195</v>
      </c>
      <c r="Q56">
        <v>1327</v>
      </c>
      <c r="R56">
        <v>3076.45</v>
      </c>
    </row>
    <row r="57" spans="1:18" hidden="1">
      <c r="A57" t="s">
        <v>1397</v>
      </c>
      <c r="B57" t="s">
        <v>624</v>
      </c>
      <c r="C57" t="s">
        <v>625</v>
      </c>
      <c r="D57" s="28">
        <v>2919</v>
      </c>
      <c r="E57" s="19">
        <f t="shared" si="1"/>
        <v>104.25</v>
      </c>
      <c r="F57" s="5">
        <v>4300.84</v>
      </c>
      <c r="I57" s="19">
        <f t="shared" si="2"/>
        <v>5838</v>
      </c>
      <c r="J57" t="b">
        <f t="shared" si="3"/>
        <v>1</v>
      </c>
      <c r="K57" s="4">
        <f t="shared" si="0"/>
        <v>-0.26330250085645768</v>
      </c>
      <c r="N57"/>
      <c r="P57" t="s">
        <v>413</v>
      </c>
      <c r="Q57">
        <v>932</v>
      </c>
      <c r="R57">
        <v>1032.94</v>
      </c>
    </row>
    <row r="58" spans="1:18">
      <c r="A58" t="s">
        <v>1396</v>
      </c>
      <c r="B58" t="s">
        <v>566</v>
      </c>
      <c r="C58" t="s">
        <v>567</v>
      </c>
      <c r="D58" s="28">
        <v>765</v>
      </c>
      <c r="E58" s="19">
        <f t="shared" si="1"/>
        <v>27.321428571428573</v>
      </c>
      <c r="F58" s="5">
        <v>2012.66</v>
      </c>
      <c r="I58" s="151">
        <f t="shared" si="2"/>
        <v>1530</v>
      </c>
      <c r="J58" t="b">
        <f t="shared" si="3"/>
        <v>0</v>
      </c>
      <c r="K58" s="4">
        <f t="shared" si="0"/>
        <v>0.31546405228758179</v>
      </c>
      <c r="N58"/>
      <c r="P58" t="s">
        <v>337</v>
      </c>
      <c r="Q58">
        <v>1214</v>
      </c>
      <c r="R58">
        <v>1000.47</v>
      </c>
    </row>
    <row r="59" spans="1:18" hidden="1">
      <c r="A59" t="s">
        <v>1396</v>
      </c>
      <c r="B59" s="56" t="s">
        <v>634</v>
      </c>
      <c r="C59" s="37" t="s">
        <v>635</v>
      </c>
      <c r="D59" s="28">
        <v>2753</v>
      </c>
      <c r="E59" s="19">
        <f t="shared" si="1"/>
        <v>98.321428571428569</v>
      </c>
      <c r="F59" s="5">
        <v>3809.03</v>
      </c>
      <c r="I59" s="19">
        <f t="shared" si="2"/>
        <v>5506</v>
      </c>
      <c r="J59" t="b">
        <f t="shared" si="3"/>
        <v>1</v>
      </c>
      <c r="K59" s="4">
        <f t="shared" si="0"/>
        <v>-0.30820377769705776</v>
      </c>
      <c r="N59"/>
      <c r="P59" t="s">
        <v>599</v>
      </c>
      <c r="Q59">
        <v>1982</v>
      </c>
      <c r="R59">
        <v>1597.03</v>
      </c>
    </row>
    <row r="60" spans="1:18" hidden="1">
      <c r="A60" t="s">
        <v>1396</v>
      </c>
      <c r="B60" t="s">
        <v>420</v>
      </c>
      <c r="C60" t="s">
        <v>421</v>
      </c>
      <c r="D60" s="28">
        <v>2506</v>
      </c>
      <c r="E60" s="19">
        <f t="shared" si="1"/>
        <v>89.5</v>
      </c>
      <c r="F60" s="5">
        <v>3057.39</v>
      </c>
      <c r="I60" s="19">
        <f t="shared" si="2"/>
        <v>5012</v>
      </c>
      <c r="J60" t="b">
        <f t="shared" si="3"/>
        <v>1</v>
      </c>
      <c r="K60" s="4">
        <f t="shared" si="0"/>
        <v>-0.38998603351955308</v>
      </c>
      <c r="N60"/>
      <c r="P60" t="s">
        <v>197</v>
      </c>
      <c r="Q60">
        <v>1254</v>
      </c>
      <c r="R60">
        <v>3319.52</v>
      </c>
    </row>
    <row r="61" spans="1:18" hidden="1">
      <c r="A61" t="s">
        <v>1396</v>
      </c>
      <c r="B61" t="s">
        <v>570</v>
      </c>
      <c r="C61" t="s">
        <v>571</v>
      </c>
      <c r="D61" s="28">
        <v>3957</v>
      </c>
      <c r="E61" s="19">
        <f t="shared" si="1"/>
        <v>141.32142857142858</v>
      </c>
      <c r="F61" s="5">
        <v>6084.69</v>
      </c>
      <c r="I61" s="19">
        <f t="shared" si="2"/>
        <v>7914</v>
      </c>
      <c r="J61" t="b">
        <f t="shared" si="3"/>
        <v>1</v>
      </c>
      <c r="K61" s="4">
        <f t="shared" si="0"/>
        <v>-0.23114859742228966</v>
      </c>
      <c r="N61"/>
      <c r="P61" t="s">
        <v>415</v>
      </c>
      <c r="Q61">
        <v>971</v>
      </c>
      <c r="R61">
        <v>1914.05</v>
      </c>
    </row>
    <row r="62" spans="1:18" hidden="1">
      <c r="A62" t="s">
        <v>1396</v>
      </c>
      <c r="B62" t="s">
        <v>528</v>
      </c>
      <c r="C62" t="s">
        <v>529</v>
      </c>
      <c r="D62" s="28">
        <v>430</v>
      </c>
      <c r="E62" s="19">
        <f t="shared" si="1"/>
        <v>15.357142857142858</v>
      </c>
      <c r="F62" s="5">
        <v>332.4</v>
      </c>
      <c r="I62" s="19">
        <f t="shared" si="2"/>
        <v>860</v>
      </c>
      <c r="J62" t="b">
        <f t="shared" si="3"/>
        <v>1</v>
      </c>
      <c r="K62" s="4">
        <f t="shared" si="0"/>
        <v>-0.61348837209302332</v>
      </c>
      <c r="N62"/>
      <c r="P62" t="s">
        <v>161</v>
      </c>
      <c r="Q62">
        <v>3925</v>
      </c>
      <c r="R62">
        <v>5623.45</v>
      </c>
    </row>
    <row r="63" spans="1:18">
      <c r="A63" t="s">
        <v>1396</v>
      </c>
      <c r="B63" s="57" t="s">
        <v>594</v>
      </c>
      <c r="C63" s="37" t="s">
        <v>595</v>
      </c>
      <c r="D63" s="28">
        <v>1563</v>
      </c>
      <c r="E63" s="19">
        <f t="shared" si="1"/>
        <v>55.821428571428569</v>
      </c>
      <c r="F63" s="5">
        <v>3761.82</v>
      </c>
      <c r="I63" s="19">
        <f t="shared" si="2"/>
        <v>3126</v>
      </c>
      <c r="J63" t="b">
        <f t="shared" si="3"/>
        <v>0</v>
      </c>
      <c r="K63" s="4">
        <f t="shared" si="0"/>
        <v>0.20339731285988494</v>
      </c>
      <c r="N63"/>
      <c r="P63" t="s">
        <v>347</v>
      </c>
      <c r="Q63">
        <v>470</v>
      </c>
      <c r="R63">
        <v>1363.19</v>
      </c>
    </row>
    <row r="64" spans="1:18">
      <c r="A64" t="s">
        <v>1396</v>
      </c>
      <c r="B64" s="37" t="s">
        <v>594</v>
      </c>
      <c r="C64" s="37" t="s">
        <v>595</v>
      </c>
      <c r="D64" s="28">
        <v>1563</v>
      </c>
      <c r="E64" s="19">
        <f t="shared" si="1"/>
        <v>55.821428571428569</v>
      </c>
      <c r="F64" s="5">
        <v>3761.82</v>
      </c>
      <c r="I64" s="19">
        <f t="shared" si="2"/>
        <v>3126</v>
      </c>
      <c r="J64" t="b">
        <f t="shared" si="3"/>
        <v>0</v>
      </c>
      <c r="K64" s="4">
        <f t="shared" si="0"/>
        <v>0.20339731285988494</v>
      </c>
      <c r="N64"/>
      <c r="P64" t="s">
        <v>577</v>
      </c>
      <c r="Q64">
        <v>2026</v>
      </c>
      <c r="R64">
        <v>2164.4299999999998</v>
      </c>
    </row>
    <row r="65" spans="1:18" hidden="1">
      <c r="A65" t="s">
        <v>1397</v>
      </c>
      <c r="B65" t="s">
        <v>518</v>
      </c>
      <c r="C65" t="s">
        <v>519</v>
      </c>
      <c r="D65" s="28">
        <v>356</v>
      </c>
      <c r="E65" s="19">
        <f t="shared" ref="E65:E128" si="4">D65/28</f>
        <v>12.714285714285714</v>
      </c>
      <c r="F65" s="5">
        <v>682.51</v>
      </c>
      <c r="I65" s="19">
        <f t="shared" ref="I65:I128" si="5">IF((D65/28)&gt;100,D65*2,D65*2)</f>
        <v>712</v>
      </c>
      <c r="J65" t="b">
        <f t="shared" ref="J65:J128" si="6">IF(F65&gt;1.2*I65,FALSE,TRUE)</f>
        <v>1</v>
      </c>
      <c r="K65" s="4">
        <f t="shared" ref="K65:K128" si="7">F65/I65-1</f>
        <v>-4.1418539325842718E-2</v>
      </c>
      <c r="N65"/>
      <c r="P65" t="s">
        <v>137</v>
      </c>
      <c r="Q65">
        <v>2247</v>
      </c>
      <c r="R65">
        <v>4321.58</v>
      </c>
    </row>
    <row r="66" spans="1:18" hidden="1">
      <c r="A66" t="s">
        <v>1398</v>
      </c>
      <c r="B66" t="s">
        <v>552</v>
      </c>
      <c r="C66" t="s">
        <v>553</v>
      </c>
      <c r="D66" s="28">
        <v>1271</v>
      </c>
      <c r="E66" s="19">
        <f t="shared" si="4"/>
        <v>45.392857142857146</v>
      </c>
      <c r="F66" s="5">
        <v>1451.3899999999999</v>
      </c>
      <c r="I66" s="19">
        <f t="shared" si="5"/>
        <v>2542</v>
      </c>
      <c r="J66" t="b">
        <f t="shared" si="6"/>
        <v>1</v>
      </c>
      <c r="K66" s="4">
        <f t="shared" si="7"/>
        <v>-0.42903619197482301</v>
      </c>
      <c r="N66"/>
      <c r="P66" t="s">
        <v>609</v>
      </c>
      <c r="Q66">
        <v>2514</v>
      </c>
      <c r="R66">
        <v>2598.67</v>
      </c>
    </row>
    <row r="67" spans="1:18" hidden="1">
      <c r="A67" t="s">
        <v>1397</v>
      </c>
      <c r="B67" t="s">
        <v>188</v>
      </c>
      <c r="C67" t="s">
        <v>189</v>
      </c>
      <c r="D67" s="28">
        <v>1804</v>
      </c>
      <c r="E67" s="19">
        <f t="shared" si="4"/>
        <v>64.428571428571431</v>
      </c>
      <c r="F67" s="5">
        <v>766.52</v>
      </c>
      <c r="I67" s="19">
        <f t="shared" si="5"/>
        <v>3608</v>
      </c>
      <c r="J67" t="b">
        <f t="shared" si="6"/>
        <v>1</v>
      </c>
      <c r="K67" s="4">
        <f t="shared" si="7"/>
        <v>-0.78754988913525503</v>
      </c>
      <c r="N67"/>
      <c r="P67" t="s">
        <v>437</v>
      </c>
      <c r="Q67">
        <v>666</v>
      </c>
      <c r="R67">
        <v>974.04</v>
      </c>
    </row>
    <row r="68" spans="1:18" hidden="1">
      <c r="A68" t="s">
        <v>1397</v>
      </c>
      <c r="B68" t="s">
        <v>226</v>
      </c>
      <c r="C68" t="s">
        <v>227</v>
      </c>
      <c r="D68" s="28">
        <v>1063</v>
      </c>
      <c r="E68" s="19">
        <f t="shared" si="4"/>
        <v>37.964285714285715</v>
      </c>
      <c r="F68" s="5">
        <v>1303.21</v>
      </c>
      <c r="I68" s="19">
        <f t="shared" si="5"/>
        <v>2126</v>
      </c>
      <c r="J68" t="b">
        <f t="shared" si="6"/>
        <v>1</v>
      </c>
      <c r="K68" s="4">
        <f t="shared" si="7"/>
        <v>-0.38701317027281279</v>
      </c>
      <c r="N68"/>
      <c r="P68" t="s">
        <v>57</v>
      </c>
      <c r="Q68">
        <v>2677</v>
      </c>
      <c r="R68">
        <v>4678.3900000000003</v>
      </c>
    </row>
    <row r="69" spans="1:18" hidden="1">
      <c r="A69" t="s">
        <v>1396</v>
      </c>
      <c r="B69" t="s">
        <v>202</v>
      </c>
      <c r="C69" t="s">
        <v>203</v>
      </c>
      <c r="D69" s="28">
        <v>1701</v>
      </c>
      <c r="E69" s="19">
        <f t="shared" si="4"/>
        <v>60.75</v>
      </c>
      <c r="F69" s="5">
        <v>2210.61</v>
      </c>
      <c r="I69" s="19">
        <f t="shared" si="5"/>
        <v>3402</v>
      </c>
      <c r="J69" t="b">
        <f t="shared" si="6"/>
        <v>1</v>
      </c>
      <c r="K69" s="4">
        <f t="shared" si="7"/>
        <v>-0.35020282186948848</v>
      </c>
      <c r="N69"/>
      <c r="P69" t="s">
        <v>221</v>
      </c>
      <c r="Q69">
        <v>1267</v>
      </c>
      <c r="R69">
        <v>2666.4</v>
      </c>
    </row>
    <row r="70" spans="1:18" hidden="1">
      <c r="A70" t="s">
        <v>1396</v>
      </c>
      <c r="B70" t="s">
        <v>484</v>
      </c>
      <c r="C70" t="s">
        <v>485</v>
      </c>
      <c r="D70" s="28">
        <v>865</v>
      </c>
      <c r="E70" s="19">
        <f t="shared" si="4"/>
        <v>30.892857142857142</v>
      </c>
      <c r="F70" s="5">
        <v>1699.98</v>
      </c>
      <c r="I70" s="19">
        <f t="shared" si="5"/>
        <v>1730</v>
      </c>
      <c r="J70" t="b">
        <f t="shared" si="6"/>
        <v>1</v>
      </c>
      <c r="K70" s="4">
        <f t="shared" si="7"/>
        <v>-1.7352601156069403E-2</v>
      </c>
      <c r="N70"/>
      <c r="P70" t="s">
        <v>179</v>
      </c>
      <c r="Q70">
        <v>1937</v>
      </c>
      <c r="R70">
        <v>3822.55</v>
      </c>
    </row>
    <row r="71" spans="1:18" hidden="1">
      <c r="A71" t="s">
        <v>1398</v>
      </c>
      <c r="B71" t="s">
        <v>630</v>
      </c>
      <c r="C71" t="s">
        <v>631</v>
      </c>
      <c r="D71" s="28">
        <v>1214</v>
      </c>
      <c r="E71" s="19">
        <f t="shared" si="4"/>
        <v>43.357142857142854</v>
      </c>
      <c r="F71" s="5">
        <v>1483.26</v>
      </c>
      <c r="I71" s="19">
        <f t="shared" si="5"/>
        <v>2428</v>
      </c>
      <c r="J71" t="b">
        <f t="shared" si="6"/>
        <v>1</v>
      </c>
      <c r="K71" s="4">
        <f t="shared" si="7"/>
        <v>-0.38910214168039536</v>
      </c>
      <c r="N71"/>
      <c r="P71" t="s">
        <v>543</v>
      </c>
      <c r="Q71">
        <v>898</v>
      </c>
      <c r="R71">
        <v>1192.75</v>
      </c>
    </row>
    <row r="72" spans="1:18" hidden="1">
      <c r="A72" t="s">
        <v>1396</v>
      </c>
      <c r="B72" t="s">
        <v>260</v>
      </c>
      <c r="C72" t="s">
        <v>261</v>
      </c>
      <c r="D72" s="28">
        <v>1238</v>
      </c>
      <c r="E72" s="19">
        <f t="shared" si="4"/>
        <v>44.214285714285715</v>
      </c>
      <c r="F72" s="5">
        <v>2325.92</v>
      </c>
      <c r="I72" s="19">
        <f t="shared" si="5"/>
        <v>2476</v>
      </c>
      <c r="J72" t="b">
        <f t="shared" si="6"/>
        <v>1</v>
      </c>
      <c r="K72" s="4">
        <f t="shared" si="7"/>
        <v>-6.0613893376413541E-2</v>
      </c>
      <c r="N72"/>
      <c r="P72" t="s">
        <v>489</v>
      </c>
      <c r="Q72">
        <v>866</v>
      </c>
      <c r="R72">
        <v>951.69</v>
      </c>
    </row>
    <row r="73" spans="1:18" hidden="1">
      <c r="A73" t="s">
        <v>1397</v>
      </c>
      <c r="B73" t="s">
        <v>416</v>
      </c>
      <c r="C73" t="s">
        <v>417</v>
      </c>
      <c r="D73" s="28">
        <v>462</v>
      </c>
      <c r="E73" s="19">
        <f t="shared" si="4"/>
        <v>16.5</v>
      </c>
      <c r="F73" s="5">
        <v>478.98</v>
      </c>
      <c r="I73" s="19">
        <f t="shared" si="5"/>
        <v>924</v>
      </c>
      <c r="J73" t="b">
        <f t="shared" si="6"/>
        <v>1</v>
      </c>
      <c r="K73" s="4">
        <f t="shared" si="7"/>
        <v>-0.48162337662337662</v>
      </c>
      <c r="N73"/>
      <c r="P73" t="s">
        <v>639</v>
      </c>
      <c r="Q73">
        <v>1675</v>
      </c>
      <c r="R73">
        <v>3354.17</v>
      </c>
    </row>
    <row r="74" spans="1:18" hidden="1">
      <c r="A74" t="s">
        <v>1398</v>
      </c>
      <c r="B74" t="s">
        <v>486</v>
      </c>
      <c r="C74" t="s">
        <v>487</v>
      </c>
      <c r="D74" s="28">
        <v>1003</v>
      </c>
      <c r="E74" s="19">
        <f t="shared" si="4"/>
        <v>35.821428571428569</v>
      </c>
      <c r="F74" s="5">
        <v>1259.96</v>
      </c>
      <c r="I74" s="19">
        <f t="shared" si="5"/>
        <v>2006</v>
      </c>
      <c r="J74" t="b">
        <f t="shared" si="6"/>
        <v>1</v>
      </c>
      <c r="K74" s="4">
        <f t="shared" si="7"/>
        <v>-0.37190428713858426</v>
      </c>
      <c r="N74"/>
      <c r="P74" t="s">
        <v>481</v>
      </c>
      <c r="Q74">
        <v>821</v>
      </c>
      <c r="R74">
        <v>1269.99</v>
      </c>
    </row>
    <row r="75" spans="1:18" hidden="1">
      <c r="A75" t="s">
        <v>1396</v>
      </c>
      <c r="B75" t="s">
        <v>526</v>
      </c>
      <c r="C75" t="s">
        <v>527</v>
      </c>
      <c r="D75" s="28">
        <v>822</v>
      </c>
      <c r="E75" s="19">
        <f t="shared" si="4"/>
        <v>29.357142857142858</v>
      </c>
      <c r="F75" s="5">
        <v>463.14</v>
      </c>
      <c r="I75" s="19">
        <f t="shared" si="5"/>
        <v>1644</v>
      </c>
      <c r="J75" t="b">
        <f t="shared" si="6"/>
        <v>1</v>
      </c>
      <c r="K75" s="4">
        <f t="shared" si="7"/>
        <v>-0.7182846715328467</v>
      </c>
      <c r="N75"/>
      <c r="P75" t="s">
        <v>291</v>
      </c>
      <c r="Q75">
        <v>472</v>
      </c>
      <c r="R75">
        <v>962.02</v>
      </c>
    </row>
    <row r="76" spans="1:18" hidden="1">
      <c r="A76" t="s">
        <v>1397</v>
      </c>
      <c r="B76" t="s">
        <v>198</v>
      </c>
      <c r="C76" t="s">
        <v>199</v>
      </c>
      <c r="D76" s="28">
        <v>1909</v>
      </c>
      <c r="E76" s="19">
        <f t="shared" si="4"/>
        <v>68.178571428571431</v>
      </c>
      <c r="F76" s="5">
        <v>2071.2600000000002</v>
      </c>
      <c r="I76" s="19">
        <f t="shared" si="5"/>
        <v>3818</v>
      </c>
      <c r="J76" t="b">
        <f t="shared" si="6"/>
        <v>1</v>
      </c>
      <c r="K76" s="4">
        <f t="shared" si="7"/>
        <v>-0.45750130958617075</v>
      </c>
      <c r="N76"/>
      <c r="P76" t="s">
        <v>425</v>
      </c>
      <c r="Q76">
        <v>525</v>
      </c>
      <c r="R76">
        <v>774.67</v>
      </c>
    </row>
    <row r="77" spans="1:18" hidden="1">
      <c r="A77" t="s">
        <v>1397</v>
      </c>
      <c r="B77" t="s">
        <v>200</v>
      </c>
      <c r="C77" t="s">
        <v>201</v>
      </c>
      <c r="D77" s="28">
        <v>1035</v>
      </c>
      <c r="E77" s="19">
        <f t="shared" si="4"/>
        <v>36.964285714285715</v>
      </c>
      <c r="F77" s="5">
        <v>1958.29</v>
      </c>
      <c r="I77" s="151">
        <f t="shared" si="5"/>
        <v>2070</v>
      </c>
      <c r="J77" t="b">
        <f t="shared" si="6"/>
        <v>1</v>
      </c>
      <c r="K77" s="4">
        <f t="shared" si="7"/>
        <v>-5.3966183574879256E-2</v>
      </c>
      <c r="N77"/>
      <c r="P77" t="s">
        <v>369</v>
      </c>
      <c r="Q77">
        <v>901</v>
      </c>
      <c r="R77">
        <v>1451.22</v>
      </c>
    </row>
    <row r="78" spans="1:18" hidden="1">
      <c r="A78" t="s">
        <v>1398</v>
      </c>
      <c r="B78" t="s">
        <v>264</v>
      </c>
      <c r="C78" t="s">
        <v>265</v>
      </c>
      <c r="D78" s="28">
        <v>3912</v>
      </c>
      <c r="E78" s="19">
        <f t="shared" si="4"/>
        <v>139.71428571428572</v>
      </c>
      <c r="F78" s="5">
        <v>4416.4399999999996</v>
      </c>
      <c r="I78" s="19">
        <f t="shared" si="5"/>
        <v>7824</v>
      </c>
      <c r="J78" t="b">
        <f t="shared" si="6"/>
        <v>1</v>
      </c>
      <c r="K78" s="4">
        <f t="shared" si="7"/>
        <v>-0.43552658486707574</v>
      </c>
      <c r="N78"/>
      <c r="P78" t="s">
        <v>251</v>
      </c>
      <c r="Q78">
        <v>2428</v>
      </c>
      <c r="R78">
        <v>2821.81</v>
      </c>
    </row>
    <row r="79" spans="1:18" hidden="1">
      <c r="A79" t="s">
        <v>1397</v>
      </c>
      <c r="B79" s="57" t="s">
        <v>506</v>
      </c>
      <c r="C79" s="37" t="s">
        <v>507</v>
      </c>
      <c r="D79" s="28">
        <v>1508</v>
      </c>
      <c r="E79" s="19">
        <f t="shared" si="4"/>
        <v>53.857142857142854</v>
      </c>
      <c r="F79" s="5">
        <v>2114.23</v>
      </c>
      <c r="I79" s="19">
        <f t="shared" si="5"/>
        <v>3016</v>
      </c>
      <c r="J79" t="b">
        <f t="shared" si="6"/>
        <v>1</v>
      </c>
      <c r="K79" s="4">
        <f t="shared" si="7"/>
        <v>-0.29899535809018563</v>
      </c>
      <c r="N79"/>
      <c r="P79" t="s">
        <v>453</v>
      </c>
      <c r="Q79">
        <v>1476</v>
      </c>
      <c r="R79">
        <v>1165.81</v>
      </c>
    </row>
    <row r="80" spans="1:18" hidden="1">
      <c r="A80" t="s">
        <v>1396</v>
      </c>
      <c r="B80" t="s">
        <v>328</v>
      </c>
      <c r="C80" t="s">
        <v>329</v>
      </c>
      <c r="D80" s="28">
        <v>2268</v>
      </c>
      <c r="E80" s="19">
        <f>D80/28</f>
        <v>81</v>
      </c>
      <c r="F80" s="5">
        <v>4229.28</v>
      </c>
      <c r="I80" s="139">
        <f>IF((D80/28)&gt;100,D80*2,D80*2)</f>
        <v>4536</v>
      </c>
      <c r="J80" t="b">
        <f t="shared" si="6"/>
        <v>1</v>
      </c>
      <c r="K80" s="4">
        <f>F80/I80-1</f>
        <v>-6.761904761904769E-2</v>
      </c>
      <c r="N80" s="144"/>
      <c r="P80" t="s">
        <v>515</v>
      </c>
      <c r="Q80">
        <v>978</v>
      </c>
      <c r="R80">
        <v>871.95</v>
      </c>
    </row>
    <row r="81" spans="1:18" hidden="1">
      <c r="A81" t="s">
        <v>1396</v>
      </c>
      <c r="B81" t="s">
        <v>178</v>
      </c>
      <c r="C81" t="s">
        <v>179</v>
      </c>
      <c r="D81" s="28">
        <v>1674</v>
      </c>
      <c r="E81" s="19">
        <f t="shared" si="4"/>
        <v>59.785714285714285</v>
      </c>
      <c r="F81" s="5">
        <v>2899.31</v>
      </c>
      <c r="I81" s="19">
        <f t="shared" si="5"/>
        <v>3348</v>
      </c>
      <c r="J81" t="b">
        <f t="shared" si="6"/>
        <v>1</v>
      </c>
      <c r="K81" s="4">
        <f t="shared" si="7"/>
        <v>-0.13401732377538833</v>
      </c>
      <c r="N81"/>
      <c r="P81" t="s">
        <v>501</v>
      </c>
      <c r="Q81">
        <v>952</v>
      </c>
      <c r="R81">
        <v>1464.03</v>
      </c>
    </row>
    <row r="82" spans="1:18" hidden="1">
      <c r="A82" t="s">
        <v>1396</v>
      </c>
      <c r="B82" t="s">
        <v>514</v>
      </c>
      <c r="C82" t="s">
        <v>515</v>
      </c>
      <c r="D82" s="28">
        <v>548</v>
      </c>
      <c r="E82" s="19">
        <f t="shared" si="4"/>
        <v>19.571428571428573</v>
      </c>
      <c r="F82" s="5">
        <v>541.04</v>
      </c>
      <c r="I82" s="19">
        <f t="shared" si="5"/>
        <v>1096</v>
      </c>
      <c r="J82" t="b">
        <f t="shared" si="6"/>
        <v>1</v>
      </c>
      <c r="K82" s="4">
        <f t="shared" si="7"/>
        <v>-0.50635036496350372</v>
      </c>
      <c r="N82"/>
      <c r="P82" t="s">
        <v>189</v>
      </c>
      <c r="Q82">
        <v>1631</v>
      </c>
      <c r="R82">
        <v>994.98</v>
      </c>
    </row>
    <row r="83" spans="1:18" hidden="1">
      <c r="A83" t="s">
        <v>1397</v>
      </c>
      <c r="B83" t="s">
        <v>598</v>
      </c>
      <c r="C83" t="s">
        <v>599</v>
      </c>
      <c r="D83" s="28">
        <v>1216</v>
      </c>
      <c r="E83" s="19">
        <f t="shared" si="4"/>
        <v>43.428571428571431</v>
      </c>
      <c r="F83" s="5">
        <v>1014.25</v>
      </c>
      <c r="I83" s="19">
        <f t="shared" si="5"/>
        <v>2432</v>
      </c>
      <c r="J83" t="b">
        <f t="shared" si="6"/>
        <v>1</v>
      </c>
      <c r="K83" s="4">
        <f t="shared" si="7"/>
        <v>-0.58295641447368429</v>
      </c>
      <c r="N83"/>
      <c r="P83" t="s">
        <v>619</v>
      </c>
      <c r="Q83">
        <v>602</v>
      </c>
      <c r="R83">
        <v>654.19000000000005</v>
      </c>
    </row>
    <row r="84" spans="1:18" hidden="1">
      <c r="A84" t="s">
        <v>1397</v>
      </c>
      <c r="B84" s="56" t="s">
        <v>568</v>
      </c>
      <c r="C84" s="37" t="s">
        <v>569</v>
      </c>
      <c r="D84" s="28">
        <v>1077</v>
      </c>
      <c r="E84" s="19">
        <f t="shared" si="4"/>
        <v>38.464285714285715</v>
      </c>
      <c r="F84" s="5">
        <v>2268.12</v>
      </c>
      <c r="I84" s="19">
        <f t="shared" si="5"/>
        <v>2154</v>
      </c>
      <c r="J84" t="b">
        <f t="shared" si="6"/>
        <v>1</v>
      </c>
      <c r="K84" s="4">
        <f t="shared" si="7"/>
        <v>5.2980501392757562E-2</v>
      </c>
      <c r="N84"/>
      <c r="P84" t="s">
        <v>261</v>
      </c>
      <c r="Q84">
        <v>1231</v>
      </c>
      <c r="R84">
        <v>2064.81</v>
      </c>
    </row>
    <row r="85" spans="1:18" hidden="1">
      <c r="A85" t="s">
        <v>1396</v>
      </c>
      <c r="B85" t="s">
        <v>344</v>
      </c>
      <c r="C85" t="s">
        <v>345</v>
      </c>
      <c r="D85" s="28">
        <v>398</v>
      </c>
      <c r="E85" s="19">
        <f t="shared" si="4"/>
        <v>14.214285714285714</v>
      </c>
      <c r="F85" s="5">
        <v>659.02</v>
      </c>
      <c r="I85" s="19">
        <f t="shared" si="5"/>
        <v>796</v>
      </c>
      <c r="J85" t="b">
        <f t="shared" si="6"/>
        <v>1</v>
      </c>
      <c r="K85" s="4">
        <f t="shared" si="7"/>
        <v>-0.17208542713567843</v>
      </c>
      <c r="N85"/>
      <c r="P85" t="s">
        <v>129</v>
      </c>
      <c r="Q85">
        <v>1672</v>
      </c>
      <c r="R85">
        <v>3182.12</v>
      </c>
    </row>
    <row r="86" spans="1:18" hidden="1">
      <c r="A86" t="s">
        <v>1396</v>
      </c>
      <c r="B86" t="s">
        <v>140</v>
      </c>
      <c r="C86" t="s">
        <v>141</v>
      </c>
      <c r="D86" s="28">
        <v>2329</v>
      </c>
      <c r="E86" s="19">
        <f t="shared" si="4"/>
        <v>83.178571428571431</v>
      </c>
      <c r="F86" s="5">
        <v>3462.14</v>
      </c>
      <c r="I86" s="19">
        <f t="shared" si="5"/>
        <v>4658</v>
      </c>
      <c r="J86" t="b">
        <f t="shared" si="6"/>
        <v>1</v>
      </c>
      <c r="K86" s="4">
        <f t="shared" si="7"/>
        <v>-0.25673250322026619</v>
      </c>
      <c r="N86"/>
      <c r="P86" t="s">
        <v>317</v>
      </c>
      <c r="Q86">
        <v>662</v>
      </c>
      <c r="R86">
        <v>310.57</v>
      </c>
    </row>
    <row r="87" spans="1:18" hidden="1">
      <c r="A87" t="s">
        <v>1397</v>
      </c>
      <c r="B87" t="s">
        <v>210</v>
      </c>
      <c r="C87" t="s">
        <v>211</v>
      </c>
      <c r="D87" s="28">
        <v>2263</v>
      </c>
      <c r="E87" s="19">
        <f t="shared" si="4"/>
        <v>80.821428571428569</v>
      </c>
      <c r="F87" s="5">
        <v>3594.78</v>
      </c>
      <c r="I87" s="19">
        <f t="shared" si="5"/>
        <v>4526</v>
      </c>
      <c r="J87" t="b">
        <f t="shared" si="6"/>
        <v>1</v>
      </c>
      <c r="K87" s="4">
        <f t="shared" si="7"/>
        <v>-0.20574900574458677</v>
      </c>
      <c r="N87"/>
      <c r="P87" t="s">
        <v>275</v>
      </c>
      <c r="Q87">
        <v>423</v>
      </c>
      <c r="R87">
        <v>765.94</v>
      </c>
    </row>
    <row r="88" spans="1:18" hidden="1">
      <c r="A88" t="s">
        <v>1398</v>
      </c>
      <c r="B88" t="s">
        <v>534</v>
      </c>
      <c r="C88" t="s">
        <v>535</v>
      </c>
      <c r="D88" s="28">
        <v>845</v>
      </c>
      <c r="E88" s="19">
        <f t="shared" si="4"/>
        <v>30.178571428571427</v>
      </c>
      <c r="F88" s="5">
        <v>1154.71</v>
      </c>
      <c r="I88" s="19">
        <f t="shared" si="5"/>
        <v>1690</v>
      </c>
      <c r="J88" t="b">
        <f t="shared" si="6"/>
        <v>1</v>
      </c>
      <c r="K88" s="4">
        <f t="shared" si="7"/>
        <v>-0.31673964497041418</v>
      </c>
      <c r="N88"/>
      <c r="P88" t="s">
        <v>439</v>
      </c>
      <c r="Q88">
        <v>431</v>
      </c>
      <c r="R88">
        <v>742.51</v>
      </c>
    </row>
    <row r="89" spans="1:18" hidden="1">
      <c r="A89" t="s">
        <v>1396</v>
      </c>
      <c r="B89" t="s">
        <v>208</v>
      </c>
      <c r="C89" t="s">
        <v>209</v>
      </c>
      <c r="D89" s="28">
        <v>996</v>
      </c>
      <c r="E89" s="19">
        <f t="shared" si="4"/>
        <v>35.571428571428569</v>
      </c>
      <c r="F89" s="5">
        <v>979.07</v>
      </c>
      <c r="I89" s="19">
        <f t="shared" si="5"/>
        <v>1992</v>
      </c>
      <c r="J89" t="b">
        <f t="shared" si="6"/>
        <v>1</v>
      </c>
      <c r="K89" s="4">
        <f t="shared" si="7"/>
        <v>-0.50849899598393566</v>
      </c>
      <c r="N89"/>
      <c r="P89" t="s">
        <v>407</v>
      </c>
      <c r="Q89">
        <v>208</v>
      </c>
      <c r="R89">
        <v>461.06</v>
      </c>
    </row>
    <row r="90" spans="1:18" hidden="1">
      <c r="A90" t="s">
        <v>1396</v>
      </c>
      <c r="B90" t="s">
        <v>176</v>
      </c>
      <c r="C90" t="s">
        <v>177</v>
      </c>
      <c r="D90" s="28">
        <v>2271</v>
      </c>
      <c r="E90" s="19">
        <f t="shared" si="4"/>
        <v>81.107142857142861</v>
      </c>
      <c r="F90" s="5">
        <v>2341.8199999999997</v>
      </c>
      <c r="I90" s="19">
        <f t="shared" si="5"/>
        <v>4542</v>
      </c>
      <c r="J90" t="b">
        <f t="shared" si="6"/>
        <v>1</v>
      </c>
      <c r="K90" s="4">
        <f t="shared" si="7"/>
        <v>-0.48440774988991642</v>
      </c>
      <c r="N90"/>
      <c r="P90" t="s">
        <v>333</v>
      </c>
      <c r="Q90">
        <v>427</v>
      </c>
      <c r="R90">
        <v>594.62</v>
      </c>
    </row>
    <row r="91" spans="1:18" hidden="1">
      <c r="A91" t="s">
        <v>1396</v>
      </c>
      <c r="B91" t="s">
        <v>350</v>
      </c>
      <c r="C91" t="s">
        <v>351</v>
      </c>
      <c r="D91" s="28">
        <v>920</v>
      </c>
      <c r="E91" s="19">
        <f t="shared" si="4"/>
        <v>32.857142857142854</v>
      </c>
      <c r="F91" s="5">
        <v>1376.71</v>
      </c>
      <c r="I91" s="19">
        <f t="shared" si="5"/>
        <v>1840</v>
      </c>
      <c r="J91" t="b">
        <f t="shared" si="6"/>
        <v>1</v>
      </c>
      <c r="K91" s="4">
        <f t="shared" si="7"/>
        <v>-0.25178804347826089</v>
      </c>
      <c r="N91"/>
      <c r="P91" t="s">
        <v>35</v>
      </c>
      <c r="Q91">
        <v>6857</v>
      </c>
      <c r="R91">
        <v>7319.16</v>
      </c>
    </row>
    <row r="92" spans="1:18" hidden="1">
      <c r="A92" t="s">
        <v>1397</v>
      </c>
      <c r="B92" t="s">
        <v>206</v>
      </c>
      <c r="C92" t="s">
        <v>207</v>
      </c>
      <c r="D92" s="28">
        <v>1708</v>
      </c>
      <c r="E92" s="19">
        <f t="shared" si="4"/>
        <v>61</v>
      </c>
      <c r="F92" s="5">
        <v>1965.5</v>
      </c>
      <c r="I92" s="19">
        <f t="shared" si="5"/>
        <v>3416</v>
      </c>
      <c r="J92" t="b">
        <f t="shared" si="6"/>
        <v>1</v>
      </c>
      <c r="K92" s="4">
        <f t="shared" si="7"/>
        <v>-0.42461943793911006</v>
      </c>
      <c r="N92"/>
      <c r="P92" t="s">
        <v>295</v>
      </c>
      <c r="Q92">
        <v>1277</v>
      </c>
      <c r="R92">
        <v>2567.0300000000002</v>
      </c>
    </row>
    <row r="93" spans="1:18" hidden="1">
      <c r="A93" t="s">
        <v>1396</v>
      </c>
      <c r="B93" t="s">
        <v>232</v>
      </c>
      <c r="C93" s="27" t="s">
        <v>233</v>
      </c>
      <c r="D93" s="28">
        <v>1465</v>
      </c>
      <c r="E93" s="19">
        <f t="shared" si="4"/>
        <v>52.321428571428569</v>
      </c>
      <c r="F93" s="5">
        <v>3373.36</v>
      </c>
      <c r="I93" s="151">
        <f t="shared" si="5"/>
        <v>2930</v>
      </c>
      <c r="J93" t="b">
        <f t="shared" si="6"/>
        <v>1</v>
      </c>
      <c r="K93" s="4">
        <f t="shared" si="7"/>
        <v>0.15131740614334466</v>
      </c>
      <c r="N93"/>
      <c r="P93" t="s">
        <v>455</v>
      </c>
      <c r="Q93">
        <v>1046</v>
      </c>
      <c r="R93">
        <v>905.93</v>
      </c>
    </row>
    <row r="94" spans="1:18" hidden="1">
      <c r="A94" t="s">
        <v>1398</v>
      </c>
      <c r="B94" t="s">
        <v>474</v>
      </c>
      <c r="C94" t="s">
        <v>475</v>
      </c>
      <c r="D94" s="28">
        <v>664</v>
      </c>
      <c r="E94" s="19">
        <f t="shared" si="4"/>
        <v>23.714285714285715</v>
      </c>
      <c r="F94" s="5">
        <v>813.56</v>
      </c>
      <c r="I94" s="19">
        <f t="shared" si="5"/>
        <v>1328</v>
      </c>
      <c r="J94" t="b">
        <f t="shared" si="6"/>
        <v>1</v>
      </c>
      <c r="K94" s="4">
        <f t="shared" si="7"/>
        <v>-0.38737951807228921</v>
      </c>
      <c r="N94"/>
      <c r="P94" t="s">
        <v>335</v>
      </c>
      <c r="Q94">
        <v>577</v>
      </c>
      <c r="R94">
        <v>720.77</v>
      </c>
    </row>
    <row r="95" spans="1:18" hidden="1">
      <c r="A95" t="s">
        <v>1396</v>
      </c>
      <c r="B95" t="s">
        <v>168</v>
      </c>
      <c r="C95" t="s">
        <v>169</v>
      </c>
      <c r="D95" s="28">
        <v>1785</v>
      </c>
      <c r="E95" s="19">
        <f t="shared" si="4"/>
        <v>63.75</v>
      </c>
      <c r="F95" s="5">
        <v>1109.08</v>
      </c>
      <c r="I95" s="19">
        <f t="shared" si="5"/>
        <v>3570</v>
      </c>
      <c r="J95" t="b">
        <f t="shared" si="6"/>
        <v>1</v>
      </c>
      <c r="K95" s="4">
        <f t="shared" si="7"/>
        <v>-0.68933333333333335</v>
      </c>
      <c r="N95"/>
      <c r="P95" t="s">
        <v>479</v>
      </c>
      <c r="Q95">
        <v>576</v>
      </c>
      <c r="R95">
        <v>686.87</v>
      </c>
    </row>
    <row r="96" spans="1:18" hidden="1">
      <c r="A96" t="s">
        <v>1398</v>
      </c>
      <c r="B96" t="s">
        <v>216</v>
      </c>
      <c r="C96" t="s">
        <v>217</v>
      </c>
      <c r="D96" s="28">
        <v>1229</v>
      </c>
      <c r="E96" s="19">
        <f t="shared" si="4"/>
        <v>43.892857142857146</v>
      </c>
      <c r="F96" s="5">
        <v>1120.8800000000001</v>
      </c>
      <c r="I96" s="19">
        <f t="shared" si="5"/>
        <v>2458</v>
      </c>
      <c r="J96" t="b">
        <f t="shared" si="6"/>
        <v>1</v>
      </c>
      <c r="K96" s="4">
        <f t="shared" si="7"/>
        <v>-0.54398698128559797</v>
      </c>
      <c r="N96"/>
      <c r="P96" t="s">
        <v>551</v>
      </c>
      <c r="Q96">
        <v>752</v>
      </c>
      <c r="R96">
        <v>616.62</v>
      </c>
    </row>
    <row r="97" spans="1:18">
      <c r="A97" t="s">
        <v>1396</v>
      </c>
      <c r="B97" t="s">
        <v>430</v>
      </c>
      <c r="C97" t="s">
        <v>431</v>
      </c>
      <c r="D97" s="28">
        <v>611</v>
      </c>
      <c r="E97" s="19">
        <f t="shared" si="4"/>
        <v>21.821428571428573</v>
      </c>
      <c r="F97" s="5">
        <v>1485.62</v>
      </c>
      <c r="I97" s="151">
        <f t="shared" si="5"/>
        <v>1222</v>
      </c>
      <c r="J97" t="b">
        <f t="shared" si="6"/>
        <v>0</v>
      </c>
      <c r="K97" s="4">
        <f t="shared" si="7"/>
        <v>0.21572831423895256</v>
      </c>
      <c r="N97"/>
      <c r="P97" t="s">
        <v>263</v>
      </c>
      <c r="Q97">
        <v>613</v>
      </c>
      <c r="R97">
        <v>1513.71</v>
      </c>
    </row>
    <row r="98" spans="1:18" hidden="1">
      <c r="A98" t="s">
        <v>1396</v>
      </c>
      <c r="B98" t="s">
        <v>222</v>
      </c>
      <c r="C98" t="s">
        <v>223</v>
      </c>
      <c r="D98" s="28">
        <v>2906</v>
      </c>
      <c r="E98" s="19">
        <f t="shared" si="4"/>
        <v>103.78571428571429</v>
      </c>
      <c r="F98" s="5">
        <v>3116.98</v>
      </c>
      <c r="I98" s="19">
        <f t="shared" si="5"/>
        <v>5812</v>
      </c>
      <c r="J98" t="b">
        <f t="shared" si="6"/>
        <v>1</v>
      </c>
      <c r="K98" s="4">
        <f t="shared" si="7"/>
        <v>-0.4636992429456297</v>
      </c>
      <c r="N98"/>
      <c r="P98" t="s">
        <v>419</v>
      </c>
      <c r="Q98">
        <v>1880</v>
      </c>
      <c r="R98">
        <v>3516.22</v>
      </c>
    </row>
    <row r="99" spans="1:18" hidden="1">
      <c r="A99" t="s">
        <v>1396</v>
      </c>
      <c r="B99" t="s">
        <v>174</v>
      </c>
      <c r="C99" t="s">
        <v>175</v>
      </c>
      <c r="D99" s="28">
        <v>1115</v>
      </c>
      <c r="E99" s="19">
        <f t="shared" si="4"/>
        <v>39.821428571428569</v>
      </c>
      <c r="F99" s="5">
        <v>1030.47</v>
      </c>
      <c r="I99" s="19">
        <f t="shared" si="5"/>
        <v>2230</v>
      </c>
      <c r="J99" t="b">
        <f t="shared" si="6"/>
        <v>1</v>
      </c>
      <c r="K99" s="4">
        <f t="shared" si="7"/>
        <v>-0.53790582959641253</v>
      </c>
      <c r="N99"/>
      <c r="P99" t="s">
        <v>469</v>
      </c>
      <c r="Q99">
        <v>513</v>
      </c>
      <c r="R99">
        <v>883.21</v>
      </c>
    </row>
    <row r="100" spans="1:18" hidden="1">
      <c r="A100" t="s">
        <v>1397</v>
      </c>
      <c r="B100" t="s">
        <v>280</v>
      </c>
      <c r="C100" t="s">
        <v>281</v>
      </c>
      <c r="D100" s="28">
        <v>690</v>
      </c>
      <c r="E100" s="19">
        <f t="shared" si="4"/>
        <v>24.642857142857142</v>
      </c>
      <c r="F100" s="5">
        <v>929.87</v>
      </c>
      <c r="I100" s="19">
        <f t="shared" si="5"/>
        <v>1380</v>
      </c>
      <c r="J100" t="b">
        <f t="shared" si="6"/>
        <v>1</v>
      </c>
      <c r="K100" s="4">
        <f t="shared" si="7"/>
        <v>-0.3261811594202898</v>
      </c>
      <c r="N100"/>
      <c r="P100" t="s">
        <v>447</v>
      </c>
      <c r="Q100">
        <v>196</v>
      </c>
      <c r="R100">
        <v>537.36</v>
      </c>
    </row>
    <row r="101" spans="1:18" hidden="1">
      <c r="A101" t="s">
        <v>1396</v>
      </c>
      <c r="B101" t="s">
        <v>330</v>
      </c>
      <c r="C101" t="s">
        <v>331</v>
      </c>
      <c r="D101" s="28">
        <v>701</v>
      </c>
      <c r="E101" s="19">
        <f t="shared" si="4"/>
        <v>25.035714285714285</v>
      </c>
      <c r="F101" s="5">
        <v>1475.78</v>
      </c>
      <c r="I101" s="19">
        <f t="shared" si="5"/>
        <v>1402</v>
      </c>
      <c r="J101" t="b">
        <f t="shared" si="6"/>
        <v>1</v>
      </c>
      <c r="K101" s="4">
        <f t="shared" si="7"/>
        <v>5.2624821683309619E-2</v>
      </c>
      <c r="N101"/>
      <c r="P101" t="s">
        <v>429</v>
      </c>
      <c r="Q101">
        <v>707</v>
      </c>
      <c r="R101">
        <v>1007.87</v>
      </c>
    </row>
    <row r="102" spans="1:18" hidden="1">
      <c r="A102" t="s">
        <v>1398</v>
      </c>
      <c r="B102" t="s">
        <v>580</v>
      </c>
      <c r="C102" t="s">
        <v>581</v>
      </c>
      <c r="D102" s="28">
        <v>1246</v>
      </c>
      <c r="E102" s="19">
        <f t="shared" si="4"/>
        <v>44.5</v>
      </c>
      <c r="F102" s="5">
        <v>2294.4299999999998</v>
      </c>
      <c r="I102" s="19">
        <f t="shared" si="5"/>
        <v>2492</v>
      </c>
      <c r="J102" t="b">
        <f t="shared" si="6"/>
        <v>1</v>
      </c>
      <c r="K102" s="4">
        <f t="shared" si="7"/>
        <v>-7.9281701444622876E-2</v>
      </c>
      <c r="N102"/>
      <c r="P102" t="s">
        <v>127</v>
      </c>
      <c r="Q102">
        <v>1594</v>
      </c>
      <c r="R102">
        <v>209.91</v>
      </c>
    </row>
    <row r="103" spans="1:18">
      <c r="A103" t="s">
        <v>1398</v>
      </c>
      <c r="B103" s="55" t="s">
        <v>404</v>
      </c>
      <c r="C103" s="37" t="s">
        <v>405</v>
      </c>
      <c r="D103" s="28">
        <v>813</v>
      </c>
      <c r="E103" s="19">
        <f t="shared" si="4"/>
        <v>29.035714285714285</v>
      </c>
      <c r="F103" s="5">
        <v>2077.21</v>
      </c>
      <c r="I103" s="19">
        <f t="shared" si="5"/>
        <v>1626</v>
      </c>
      <c r="J103" t="b">
        <f t="shared" si="6"/>
        <v>0</v>
      </c>
      <c r="K103" s="4">
        <f t="shared" si="7"/>
        <v>0.27749692496924983</v>
      </c>
      <c r="N103"/>
      <c r="P103" t="s">
        <v>203</v>
      </c>
      <c r="Q103">
        <v>2511</v>
      </c>
      <c r="R103">
        <v>2473.92</v>
      </c>
    </row>
    <row r="104" spans="1:18" hidden="1">
      <c r="A104" t="s">
        <v>1397</v>
      </c>
      <c r="B104" t="s">
        <v>382</v>
      </c>
      <c r="C104" t="s">
        <v>383</v>
      </c>
      <c r="D104" s="28">
        <v>703</v>
      </c>
      <c r="E104" s="19">
        <f t="shared" si="4"/>
        <v>25.107142857142858</v>
      </c>
      <c r="F104" s="5">
        <v>684.87</v>
      </c>
      <c r="I104" s="19">
        <f t="shared" si="5"/>
        <v>1406</v>
      </c>
      <c r="J104" t="b">
        <f t="shared" si="6"/>
        <v>1</v>
      </c>
      <c r="K104" s="4">
        <f t="shared" si="7"/>
        <v>-0.51289473684210529</v>
      </c>
      <c r="N104"/>
      <c r="P104" t="s">
        <v>465</v>
      </c>
      <c r="Q104">
        <v>1114</v>
      </c>
      <c r="R104">
        <v>1550.98</v>
      </c>
    </row>
    <row r="105" spans="1:18" hidden="1">
      <c r="A105" t="s">
        <v>1396</v>
      </c>
      <c r="B105" t="s">
        <v>292</v>
      </c>
      <c r="C105" t="s">
        <v>293</v>
      </c>
      <c r="D105" s="28">
        <v>697</v>
      </c>
      <c r="E105" s="19">
        <f t="shared" si="4"/>
        <v>24.892857142857142</v>
      </c>
      <c r="F105" s="5">
        <v>1242.77</v>
      </c>
      <c r="I105" s="19">
        <f t="shared" si="5"/>
        <v>1394</v>
      </c>
      <c r="J105" t="b">
        <f t="shared" si="6"/>
        <v>1</v>
      </c>
      <c r="K105" s="4">
        <f t="shared" si="7"/>
        <v>-0.10848637015781926</v>
      </c>
      <c r="N105"/>
      <c r="P105" t="s">
        <v>527</v>
      </c>
      <c r="Q105">
        <v>950</v>
      </c>
      <c r="R105">
        <v>648.47</v>
      </c>
    </row>
    <row r="106" spans="1:18">
      <c r="A106" t="s">
        <v>1396</v>
      </c>
      <c r="B106" s="57" t="s">
        <v>456</v>
      </c>
      <c r="C106" s="37" t="s">
        <v>457</v>
      </c>
      <c r="D106" s="28">
        <v>927</v>
      </c>
      <c r="E106" s="19">
        <f t="shared" si="4"/>
        <v>33.107142857142854</v>
      </c>
      <c r="F106" s="5">
        <v>2254.19</v>
      </c>
      <c r="I106" s="19">
        <f t="shared" si="5"/>
        <v>1854</v>
      </c>
      <c r="J106" t="b">
        <f t="shared" si="6"/>
        <v>0</v>
      </c>
      <c r="K106" s="4">
        <f t="shared" si="7"/>
        <v>0.21585221143473565</v>
      </c>
      <c r="N106"/>
      <c r="P106" t="s">
        <v>525</v>
      </c>
      <c r="Q106">
        <v>756</v>
      </c>
      <c r="R106">
        <v>555.17999999999995</v>
      </c>
    </row>
    <row r="107" spans="1:18" hidden="1">
      <c r="A107" t="s">
        <v>1396</v>
      </c>
      <c r="B107" t="s">
        <v>290</v>
      </c>
      <c r="C107" t="s">
        <v>291</v>
      </c>
      <c r="D107" s="28">
        <v>380</v>
      </c>
      <c r="E107" s="19">
        <f t="shared" si="4"/>
        <v>13.571428571428571</v>
      </c>
      <c r="F107" s="5">
        <v>0</v>
      </c>
      <c r="I107" s="19">
        <f t="shared" si="5"/>
        <v>760</v>
      </c>
      <c r="J107" t="b">
        <f t="shared" si="6"/>
        <v>1</v>
      </c>
      <c r="K107" s="4">
        <f t="shared" si="7"/>
        <v>-1</v>
      </c>
      <c r="N107"/>
      <c r="P107" t="s">
        <v>417</v>
      </c>
      <c r="Q107">
        <v>535</v>
      </c>
      <c r="R107">
        <v>654.45000000000005</v>
      </c>
    </row>
    <row r="108" spans="1:18" hidden="1">
      <c r="A108" t="s">
        <v>1396</v>
      </c>
      <c r="B108" t="s">
        <v>212</v>
      </c>
      <c r="C108" t="s">
        <v>213</v>
      </c>
      <c r="D108" s="28">
        <v>2769</v>
      </c>
      <c r="E108" s="19">
        <f t="shared" si="4"/>
        <v>98.892857142857139</v>
      </c>
      <c r="F108" s="5">
        <v>4871.1899999999996</v>
      </c>
      <c r="I108" s="19">
        <f t="shared" si="5"/>
        <v>5538</v>
      </c>
      <c r="J108" t="b">
        <f t="shared" si="6"/>
        <v>1</v>
      </c>
      <c r="K108" s="4">
        <f t="shared" si="7"/>
        <v>-0.12040628385698815</v>
      </c>
      <c r="N108"/>
      <c r="P108" t="s">
        <v>141</v>
      </c>
      <c r="Q108">
        <v>1992</v>
      </c>
      <c r="R108">
        <v>2894.27</v>
      </c>
    </row>
    <row r="109" spans="1:18" hidden="1">
      <c r="A109" t="s">
        <v>1396</v>
      </c>
      <c r="B109" t="s">
        <v>142</v>
      </c>
      <c r="C109" t="s">
        <v>143</v>
      </c>
      <c r="D109" s="28">
        <v>1046</v>
      </c>
      <c r="E109" s="19">
        <f t="shared" si="4"/>
        <v>37.357142857142854</v>
      </c>
      <c r="F109" s="5">
        <v>1369.62</v>
      </c>
      <c r="I109" s="139">
        <f t="shared" si="5"/>
        <v>2092</v>
      </c>
      <c r="J109" t="b">
        <f t="shared" si="6"/>
        <v>1</v>
      </c>
      <c r="K109" s="4">
        <f t="shared" si="7"/>
        <v>-0.34530592734225629</v>
      </c>
      <c r="N109" s="144"/>
      <c r="P109" t="s">
        <v>267</v>
      </c>
      <c r="Q109">
        <v>910</v>
      </c>
      <c r="R109">
        <v>725.37</v>
      </c>
    </row>
    <row r="110" spans="1:18" hidden="1">
      <c r="A110" t="s">
        <v>1396</v>
      </c>
      <c r="B110" t="s">
        <v>434</v>
      </c>
      <c r="C110" t="s">
        <v>435</v>
      </c>
      <c r="D110" s="28">
        <v>1935</v>
      </c>
      <c r="E110" s="19">
        <f t="shared" si="4"/>
        <v>69.107142857142861</v>
      </c>
      <c r="F110" s="5">
        <v>3348.92</v>
      </c>
      <c r="I110" s="19">
        <f t="shared" si="5"/>
        <v>3870</v>
      </c>
      <c r="J110" t="b">
        <f t="shared" si="6"/>
        <v>1</v>
      </c>
      <c r="K110" s="4">
        <f t="shared" si="7"/>
        <v>-0.13464599483204132</v>
      </c>
      <c r="N110"/>
      <c r="P110" t="s">
        <v>475</v>
      </c>
      <c r="Q110">
        <v>991</v>
      </c>
      <c r="R110">
        <v>1487.32</v>
      </c>
    </row>
    <row r="111" spans="1:18" hidden="1">
      <c r="A111" t="s">
        <v>1396</v>
      </c>
      <c r="B111" t="s">
        <v>618</v>
      </c>
      <c r="C111" t="s">
        <v>619</v>
      </c>
      <c r="D111" s="28">
        <v>480</v>
      </c>
      <c r="E111" s="19">
        <f t="shared" si="4"/>
        <v>17.142857142857142</v>
      </c>
      <c r="F111" s="5">
        <v>461.1</v>
      </c>
      <c r="I111" s="19">
        <f t="shared" si="5"/>
        <v>960</v>
      </c>
      <c r="J111" t="b">
        <f t="shared" si="6"/>
        <v>1</v>
      </c>
      <c r="K111" s="4">
        <f t="shared" si="7"/>
        <v>-0.51968749999999997</v>
      </c>
      <c r="N111"/>
      <c r="P111" t="s">
        <v>487</v>
      </c>
      <c r="Q111">
        <v>1070</v>
      </c>
      <c r="R111">
        <v>1533.49</v>
      </c>
    </row>
    <row r="112" spans="1:18" hidden="1">
      <c r="A112" t="s">
        <v>1398</v>
      </c>
      <c r="B112" t="s">
        <v>524</v>
      </c>
      <c r="C112" t="s">
        <v>525</v>
      </c>
      <c r="D112" s="28">
        <v>560</v>
      </c>
      <c r="E112" s="19">
        <f t="shared" si="4"/>
        <v>20</v>
      </c>
      <c r="F112" s="5">
        <v>261.95999999999998</v>
      </c>
      <c r="I112" s="19">
        <f t="shared" si="5"/>
        <v>1120</v>
      </c>
      <c r="J112" t="b">
        <f t="shared" si="6"/>
        <v>1</v>
      </c>
      <c r="K112" s="4">
        <f t="shared" si="7"/>
        <v>-0.76610714285714288</v>
      </c>
      <c r="N112"/>
      <c r="P112" t="s">
        <v>443</v>
      </c>
      <c r="Q112">
        <v>269</v>
      </c>
      <c r="R112">
        <v>387.38</v>
      </c>
    </row>
    <row r="113" spans="1:18" hidden="1">
      <c r="A113" t="s">
        <v>1397</v>
      </c>
      <c r="B113" t="s">
        <v>494</v>
      </c>
      <c r="C113" t="s">
        <v>495</v>
      </c>
      <c r="D113" s="28">
        <v>403</v>
      </c>
      <c r="E113" s="19">
        <f t="shared" si="4"/>
        <v>14.392857142857142</v>
      </c>
      <c r="F113" s="5">
        <v>786.34</v>
      </c>
      <c r="I113" s="151">
        <f t="shared" si="5"/>
        <v>806</v>
      </c>
      <c r="J113" t="b">
        <f t="shared" si="6"/>
        <v>1</v>
      </c>
      <c r="K113" s="4">
        <f t="shared" si="7"/>
        <v>-2.4392059553349887E-2</v>
      </c>
      <c r="N113"/>
      <c r="P113" t="s">
        <v>341</v>
      </c>
      <c r="Q113">
        <v>366</v>
      </c>
      <c r="R113">
        <v>652.61</v>
      </c>
    </row>
    <row r="114" spans="1:18" hidden="1">
      <c r="A114" t="s">
        <v>1396</v>
      </c>
      <c r="B114" t="s">
        <v>406</v>
      </c>
      <c r="C114" t="s">
        <v>407</v>
      </c>
      <c r="D114" s="28">
        <v>0</v>
      </c>
      <c r="E114" s="19">
        <f t="shared" si="4"/>
        <v>0</v>
      </c>
      <c r="F114" s="5">
        <v>0</v>
      </c>
      <c r="I114" s="19">
        <f t="shared" si="5"/>
        <v>0</v>
      </c>
      <c r="J114" t="b">
        <f t="shared" si="6"/>
        <v>1</v>
      </c>
      <c r="K114" s="4" t="e">
        <f t="shared" si="7"/>
        <v>#DIV/0!</v>
      </c>
      <c r="N114"/>
      <c r="P114" t="s">
        <v>185</v>
      </c>
      <c r="Q114">
        <v>2113</v>
      </c>
      <c r="R114">
        <v>2307.63</v>
      </c>
    </row>
    <row r="115" spans="1:18" hidden="1">
      <c r="A115" t="s">
        <v>1396</v>
      </c>
      <c r="B115" t="s">
        <v>218</v>
      </c>
      <c r="C115" t="s">
        <v>219</v>
      </c>
      <c r="D115" s="28">
        <v>2165</v>
      </c>
      <c r="E115" s="19">
        <f t="shared" si="4"/>
        <v>77.321428571428569</v>
      </c>
      <c r="F115" s="5">
        <v>2338.8200000000002</v>
      </c>
      <c r="I115" s="19">
        <f t="shared" si="5"/>
        <v>4330</v>
      </c>
      <c r="J115" t="b">
        <f t="shared" si="6"/>
        <v>1</v>
      </c>
      <c r="K115" s="4">
        <f t="shared" si="7"/>
        <v>-0.45985681293302538</v>
      </c>
      <c r="N115"/>
      <c r="P115" t="s">
        <v>163</v>
      </c>
      <c r="Q115">
        <v>1161</v>
      </c>
      <c r="R115">
        <v>883.15</v>
      </c>
    </row>
    <row r="116" spans="1:18" hidden="1">
      <c r="A116" t="s">
        <v>1397</v>
      </c>
      <c r="B116" t="s">
        <v>468</v>
      </c>
      <c r="C116" t="s">
        <v>469</v>
      </c>
      <c r="D116" s="28">
        <v>587</v>
      </c>
      <c r="E116" s="19">
        <f t="shared" si="4"/>
        <v>20.964285714285715</v>
      </c>
      <c r="F116" s="5">
        <v>852.58</v>
      </c>
      <c r="I116" s="19">
        <f t="shared" si="5"/>
        <v>1174</v>
      </c>
      <c r="J116" t="b">
        <f t="shared" si="6"/>
        <v>1</v>
      </c>
      <c r="K116" s="4">
        <f t="shared" si="7"/>
        <v>-0.27378194207836448</v>
      </c>
      <c r="N116"/>
      <c r="P116" t="s">
        <v>353</v>
      </c>
      <c r="Q116">
        <v>690</v>
      </c>
      <c r="R116">
        <v>545.20000000000005</v>
      </c>
    </row>
    <row r="117" spans="1:18" hidden="1">
      <c r="A117" t="s">
        <v>1398</v>
      </c>
      <c r="B117" t="s">
        <v>286</v>
      </c>
      <c r="C117" t="s">
        <v>287</v>
      </c>
      <c r="D117" s="28">
        <v>1139</v>
      </c>
      <c r="E117" s="19">
        <f t="shared" si="4"/>
        <v>40.678571428571431</v>
      </c>
      <c r="F117" s="5">
        <v>1625.62</v>
      </c>
      <c r="I117" s="19">
        <f t="shared" si="5"/>
        <v>2278</v>
      </c>
      <c r="J117" t="b">
        <f t="shared" si="6"/>
        <v>1</v>
      </c>
      <c r="K117" s="4">
        <f t="shared" si="7"/>
        <v>-0.2863827919227393</v>
      </c>
      <c r="N117"/>
      <c r="P117" t="s">
        <v>201</v>
      </c>
      <c r="Q117">
        <v>1115</v>
      </c>
      <c r="R117">
        <v>2200.4899999999998</v>
      </c>
    </row>
    <row r="118" spans="1:18" hidden="1">
      <c r="A118" t="s">
        <v>1396</v>
      </c>
      <c r="B118" t="s">
        <v>440</v>
      </c>
      <c r="C118" t="s">
        <v>441</v>
      </c>
      <c r="D118" s="28">
        <v>931</v>
      </c>
      <c r="E118" s="19">
        <f t="shared" si="4"/>
        <v>33.25</v>
      </c>
      <c r="F118" s="5">
        <v>1182</v>
      </c>
      <c r="I118" s="19">
        <f t="shared" si="5"/>
        <v>1862</v>
      </c>
      <c r="J118" t="b">
        <f t="shared" si="6"/>
        <v>1</v>
      </c>
      <c r="K118" s="4">
        <f t="shared" si="7"/>
        <v>-0.36519871106337276</v>
      </c>
      <c r="N118"/>
      <c r="P118" t="s">
        <v>539</v>
      </c>
      <c r="Q118">
        <v>1273</v>
      </c>
      <c r="R118">
        <v>1409.27</v>
      </c>
    </row>
    <row r="119" spans="1:18" hidden="1">
      <c r="A119" t="s">
        <v>1397</v>
      </c>
      <c r="B119" t="s">
        <v>184</v>
      </c>
      <c r="C119" t="s">
        <v>185</v>
      </c>
      <c r="D119" s="28">
        <v>1667</v>
      </c>
      <c r="E119" s="19">
        <f t="shared" si="4"/>
        <v>59.535714285714285</v>
      </c>
      <c r="F119" s="5">
        <v>1309.19</v>
      </c>
      <c r="I119" s="19">
        <f t="shared" si="5"/>
        <v>3334</v>
      </c>
      <c r="J119" t="b">
        <f t="shared" si="6"/>
        <v>1</v>
      </c>
      <c r="K119" s="4">
        <f t="shared" si="7"/>
        <v>-0.6073215356928614</v>
      </c>
      <c r="N119"/>
      <c r="P119" t="s">
        <v>485</v>
      </c>
      <c r="Q119">
        <v>1003</v>
      </c>
      <c r="R119">
        <v>2186.44</v>
      </c>
    </row>
    <row r="120" spans="1:18" hidden="1">
      <c r="A120" t="s">
        <v>1396</v>
      </c>
      <c r="B120" t="s">
        <v>190</v>
      </c>
      <c r="C120" t="s">
        <v>191</v>
      </c>
      <c r="D120" s="28">
        <v>1913</v>
      </c>
      <c r="E120" s="19">
        <f t="shared" si="4"/>
        <v>68.321428571428569</v>
      </c>
      <c r="F120" s="5">
        <v>1562.02</v>
      </c>
      <c r="I120" s="19">
        <f t="shared" si="5"/>
        <v>3826</v>
      </c>
      <c r="J120" t="b">
        <f t="shared" si="6"/>
        <v>1</v>
      </c>
      <c r="K120" s="4">
        <f t="shared" si="7"/>
        <v>-0.59173549398849978</v>
      </c>
      <c r="N120"/>
      <c r="P120" t="s">
        <v>493</v>
      </c>
      <c r="Q120">
        <v>425</v>
      </c>
      <c r="R120">
        <v>530.95000000000005</v>
      </c>
    </row>
    <row r="121" spans="1:18" hidden="1">
      <c r="A121" t="s">
        <v>1398</v>
      </c>
      <c r="B121" t="s">
        <v>480</v>
      </c>
      <c r="C121" t="s">
        <v>481</v>
      </c>
      <c r="D121" s="28">
        <v>453</v>
      </c>
      <c r="E121" s="19">
        <f t="shared" si="4"/>
        <v>16.178571428571427</v>
      </c>
      <c r="F121" s="5">
        <v>523.13</v>
      </c>
      <c r="I121" s="19">
        <f t="shared" si="5"/>
        <v>906</v>
      </c>
      <c r="J121" t="b">
        <f t="shared" si="6"/>
        <v>1</v>
      </c>
      <c r="K121" s="4">
        <f t="shared" si="7"/>
        <v>-0.42259381898454751</v>
      </c>
      <c r="N121"/>
      <c r="P121" t="s">
        <v>547</v>
      </c>
      <c r="Q121">
        <v>457</v>
      </c>
      <c r="R121">
        <v>280.43</v>
      </c>
    </row>
    <row r="122" spans="1:18">
      <c r="A122" t="s">
        <v>1398</v>
      </c>
      <c r="B122" t="s">
        <v>278</v>
      </c>
      <c r="C122" t="s">
        <v>279</v>
      </c>
      <c r="D122" s="28">
        <v>934</v>
      </c>
      <c r="E122" s="19">
        <f t="shared" si="4"/>
        <v>33.357142857142854</v>
      </c>
      <c r="F122" s="5">
        <v>2315.0700000000002</v>
      </c>
      <c r="I122" s="19">
        <f t="shared" si="5"/>
        <v>1868</v>
      </c>
      <c r="J122" t="b">
        <f t="shared" si="6"/>
        <v>0</v>
      </c>
      <c r="K122" s="4">
        <f t="shared" si="7"/>
        <v>0.2393308351177732</v>
      </c>
      <c r="N122"/>
      <c r="P122" t="s">
        <v>409</v>
      </c>
      <c r="Q122">
        <v>396</v>
      </c>
      <c r="R122">
        <v>403.81</v>
      </c>
    </row>
    <row r="123" spans="1:18" hidden="1">
      <c r="A123" t="s">
        <v>1396</v>
      </c>
      <c r="B123" t="s">
        <v>438</v>
      </c>
      <c r="C123" t="s">
        <v>439</v>
      </c>
      <c r="D123" s="28">
        <v>355</v>
      </c>
      <c r="E123" s="19">
        <f t="shared" si="4"/>
        <v>12.678571428571429</v>
      </c>
      <c r="F123" s="5">
        <v>495.27</v>
      </c>
      <c r="I123" s="19">
        <f t="shared" si="5"/>
        <v>710</v>
      </c>
      <c r="J123" t="b">
        <f t="shared" si="6"/>
        <v>1</v>
      </c>
      <c r="K123" s="4">
        <f t="shared" si="7"/>
        <v>-0.30243661971830993</v>
      </c>
      <c r="N123"/>
      <c r="P123" t="s">
        <v>449</v>
      </c>
      <c r="Q123">
        <v>374</v>
      </c>
      <c r="R123">
        <v>329.94</v>
      </c>
    </row>
    <row r="124" spans="1:18" hidden="1">
      <c r="A124" t="s">
        <v>1396</v>
      </c>
      <c r="B124" t="s">
        <v>600</v>
      </c>
      <c r="C124" t="s">
        <v>601</v>
      </c>
      <c r="D124" s="28">
        <v>1198</v>
      </c>
      <c r="E124" s="19">
        <f t="shared" si="4"/>
        <v>42.785714285714285</v>
      </c>
      <c r="F124" s="5">
        <v>1838.45</v>
      </c>
      <c r="I124" s="19">
        <f t="shared" si="5"/>
        <v>2396</v>
      </c>
      <c r="J124" t="b">
        <f t="shared" si="6"/>
        <v>1</v>
      </c>
      <c r="K124" s="4">
        <f t="shared" si="7"/>
        <v>-0.23270033388981637</v>
      </c>
      <c r="N124"/>
      <c r="P124" t="s">
        <v>375</v>
      </c>
      <c r="Q124">
        <v>2024</v>
      </c>
      <c r="R124">
        <v>4886.3999999999996</v>
      </c>
    </row>
    <row r="125" spans="1:18" hidden="1">
      <c r="A125" t="s">
        <v>1396</v>
      </c>
      <c r="B125" t="s">
        <v>458</v>
      </c>
      <c r="C125" t="s">
        <v>459</v>
      </c>
      <c r="D125" s="28">
        <v>623</v>
      </c>
      <c r="E125" s="19">
        <f t="shared" si="4"/>
        <v>22.25</v>
      </c>
      <c r="F125" s="5">
        <v>1339.71</v>
      </c>
      <c r="I125" s="19">
        <f t="shared" si="5"/>
        <v>1246</v>
      </c>
      <c r="J125" t="b">
        <f t="shared" si="6"/>
        <v>1</v>
      </c>
      <c r="K125" s="4">
        <f t="shared" si="7"/>
        <v>7.5208667736757606E-2</v>
      </c>
      <c r="N125"/>
      <c r="P125" t="s">
        <v>423</v>
      </c>
      <c r="Q125">
        <v>444</v>
      </c>
      <c r="R125">
        <v>278.83</v>
      </c>
    </row>
    <row r="126" spans="1:18" hidden="1">
      <c r="A126" t="s">
        <v>1396</v>
      </c>
      <c r="B126" t="s">
        <v>238</v>
      </c>
      <c r="C126" t="s">
        <v>239</v>
      </c>
      <c r="D126" s="28">
        <v>1206</v>
      </c>
      <c r="E126" s="19">
        <f t="shared" si="4"/>
        <v>43.071428571428569</v>
      </c>
      <c r="F126" s="5">
        <v>735.91</v>
      </c>
      <c r="I126" s="19">
        <f t="shared" si="5"/>
        <v>2412</v>
      </c>
      <c r="J126" t="b">
        <f t="shared" si="6"/>
        <v>1</v>
      </c>
      <c r="K126" s="4">
        <f t="shared" si="7"/>
        <v>-0.69489635157545604</v>
      </c>
      <c r="N126"/>
      <c r="P126" t="s">
        <v>403</v>
      </c>
      <c r="Q126">
        <v>384</v>
      </c>
      <c r="R126">
        <v>284.83</v>
      </c>
    </row>
    <row r="127" spans="1:18">
      <c r="A127" t="s">
        <v>1398</v>
      </c>
      <c r="B127" s="37" t="s">
        <v>558</v>
      </c>
      <c r="C127" s="37" t="s">
        <v>559</v>
      </c>
      <c r="D127" s="28">
        <v>1201</v>
      </c>
      <c r="E127" s="19">
        <f t="shared" si="4"/>
        <v>42.892857142857146</v>
      </c>
      <c r="F127" s="5">
        <v>3116.3</v>
      </c>
      <c r="I127" s="19">
        <f t="shared" si="5"/>
        <v>2402</v>
      </c>
      <c r="J127" t="b">
        <f t="shared" si="6"/>
        <v>0</v>
      </c>
      <c r="K127" s="4">
        <f>F127/I127-1</f>
        <v>0.29737718567860116</v>
      </c>
      <c r="N127"/>
      <c r="P127" t="s">
        <v>215</v>
      </c>
      <c r="Q127">
        <v>4667</v>
      </c>
      <c r="R127">
        <v>10317.379999999999</v>
      </c>
    </row>
    <row r="128" spans="1:18" hidden="1">
      <c r="A128" t="s">
        <v>1396</v>
      </c>
      <c r="B128" t="s">
        <v>276</v>
      </c>
      <c r="C128" t="s">
        <v>277</v>
      </c>
      <c r="D128" s="28">
        <v>1702</v>
      </c>
      <c r="E128" s="19">
        <f t="shared" si="4"/>
        <v>60.785714285714285</v>
      </c>
      <c r="F128" s="5">
        <v>3093.39</v>
      </c>
      <c r="I128" s="19">
        <f t="shared" si="5"/>
        <v>3404</v>
      </c>
      <c r="J128" t="b">
        <f t="shared" si="6"/>
        <v>1</v>
      </c>
      <c r="K128" s="4">
        <f t="shared" si="7"/>
        <v>-9.1248531139835554E-2</v>
      </c>
      <c r="N128"/>
      <c r="P128" t="s">
        <v>85</v>
      </c>
      <c r="Q128">
        <v>2577</v>
      </c>
      <c r="R128">
        <v>5023.1499999999996</v>
      </c>
    </row>
    <row r="129" spans="1:18" hidden="1">
      <c r="A129" t="s">
        <v>1396</v>
      </c>
      <c r="B129" t="s">
        <v>550</v>
      </c>
      <c r="C129" t="s">
        <v>551</v>
      </c>
      <c r="D129" s="28">
        <v>408</v>
      </c>
      <c r="E129" s="19">
        <f t="shared" ref="E129:E188" si="8">D129/28</f>
        <v>14.571428571428571</v>
      </c>
      <c r="F129" s="5">
        <v>246.22</v>
      </c>
      <c r="I129" s="19">
        <f t="shared" ref="I129:I188" si="9">IF((D129/28)&gt;100,D129*2,D129*2)</f>
        <v>816</v>
      </c>
      <c r="J129" t="b">
        <f t="shared" ref="J129:J188" si="10">IF(F129&gt;1.2*I129,FALSE,TRUE)</f>
        <v>1</v>
      </c>
      <c r="K129" s="4">
        <f t="shared" ref="K129:K188" si="11">F129/I129-1</f>
        <v>-0.69825980392156861</v>
      </c>
      <c r="N129"/>
      <c r="P129" t="s">
        <v>211</v>
      </c>
      <c r="Q129">
        <v>2165</v>
      </c>
      <c r="R129">
        <v>3961.47</v>
      </c>
    </row>
    <row r="130" spans="1:18" hidden="1">
      <c r="A130" t="s">
        <v>1397</v>
      </c>
      <c r="B130" s="55" t="s">
        <v>282</v>
      </c>
      <c r="C130" s="37" t="s">
        <v>283</v>
      </c>
      <c r="D130" s="28">
        <v>936</v>
      </c>
      <c r="E130" s="19">
        <f t="shared" si="8"/>
        <v>33.428571428571431</v>
      </c>
      <c r="F130" s="5">
        <v>927.67</v>
      </c>
      <c r="I130" s="19">
        <f t="shared" si="9"/>
        <v>1872</v>
      </c>
      <c r="J130" t="b">
        <f t="shared" si="10"/>
        <v>1</v>
      </c>
      <c r="K130" s="4">
        <f t="shared" si="11"/>
        <v>-0.50444978632478632</v>
      </c>
      <c r="N130"/>
      <c r="P130" t="s">
        <v>441</v>
      </c>
      <c r="Q130">
        <v>1108</v>
      </c>
      <c r="R130">
        <v>2267.13</v>
      </c>
    </row>
    <row r="131" spans="1:18" hidden="1">
      <c r="A131" t="s">
        <v>1397</v>
      </c>
      <c r="B131" s="55" t="s">
        <v>326</v>
      </c>
      <c r="C131" s="37" t="s">
        <v>327</v>
      </c>
      <c r="D131" s="28">
        <v>1052</v>
      </c>
      <c r="E131" s="19">
        <f t="shared" si="8"/>
        <v>37.571428571428569</v>
      </c>
      <c r="F131" s="5">
        <v>2369.17</v>
      </c>
      <c r="I131" s="19">
        <f t="shared" si="9"/>
        <v>2104</v>
      </c>
      <c r="J131" t="b">
        <f t="shared" si="10"/>
        <v>1</v>
      </c>
      <c r="K131" s="4">
        <f t="shared" si="11"/>
        <v>0.12603136882129284</v>
      </c>
      <c r="N131"/>
      <c r="P131" t="s">
        <v>237</v>
      </c>
      <c r="Q131">
        <v>2302</v>
      </c>
      <c r="R131">
        <v>4803.66</v>
      </c>
    </row>
    <row r="132" spans="1:18" hidden="1">
      <c r="A132" t="s">
        <v>1398</v>
      </c>
      <c r="B132" t="s">
        <v>166</v>
      </c>
      <c r="C132" t="s">
        <v>167</v>
      </c>
      <c r="D132" s="28">
        <v>1520</v>
      </c>
      <c r="E132" s="19">
        <f t="shared" si="8"/>
        <v>54.285714285714285</v>
      </c>
      <c r="F132" s="5">
        <v>1817.29</v>
      </c>
      <c r="I132" s="19">
        <f t="shared" si="9"/>
        <v>3040</v>
      </c>
      <c r="J132" t="b">
        <f t="shared" si="10"/>
        <v>1</v>
      </c>
      <c r="K132" s="4">
        <f t="shared" si="11"/>
        <v>-0.40220723684210524</v>
      </c>
      <c r="N132"/>
      <c r="P132" t="s">
        <v>307</v>
      </c>
      <c r="Q132">
        <v>760</v>
      </c>
      <c r="R132">
        <v>1679.4</v>
      </c>
    </row>
    <row r="133" spans="1:18" hidden="1">
      <c r="A133" t="s">
        <v>1396</v>
      </c>
      <c r="B133" t="s">
        <v>418</v>
      </c>
      <c r="C133" t="s">
        <v>419</v>
      </c>
      <c r="D133" s="28">
        <v>1472</v>
      </c>
      <c r="E133" s="19">
        <f t="shared" si="8"/>
        <v>52.571428571428569</v>
      </c>
      <c r="F133" s="5">
        <v>1343.86</v>
      </c>
      <c r="I133" s="19">
        <f t="shared" si="9"/>
        <v>2944</v>
      </c>
      <c r="J133" t="b">
        <f t="shared" si="10"/>
        <v>1</v>
      </c>
      <c r="K133" s="4">
        <f t="shared" si="11"/>
        <v>-0.54352581521739141</v>
      </c>
      <c r="N133"/>
      <c r="P133" t="s">
        <v>603</v>
      </c>
      <c r="Q133">
        <v>1249</v>
      </c>
      <c r="R133">
        <v>1523.67</v>
      </c>
    </row>
    <row r="134" spans="1:18">
      <c r="A134" t="s">
        <v>1398</v>
      </c>
      <c r="B134" s="55" t="s">
        <v>620</v>
      </c>
      <c r="C134" s="37" t="s">
        <v>621</v>
      </c>
      <c r="D134" s="28">
        <v>1073</v>
      </c>
      <c r="E134" s="19">
        <f t="shared" si="8"/>
        <v>38.321428571428569</v>
      </c>
      <c r="F134" s="5">
        <v>3452.91</v>
      </c>
      <c r="I134" s="151">
        <f t="shared" si="9"/>
        <v>2146</v>
      </c>
      <c r="J134" t="b">
        <f t="shared" si="10"/>
        <v>0</v>
      </c>
      <c r="K134" s="4">
        <f t="shared" si="11"/>
        <v>0.60899813606710151</v>
      </c>
      <c r="N134"/>
      <c r="Q134">
        <v>0</v>
      </c>
      <c r="R134">
        <v>0</v>
      </c>
    </row>
    <row r="135" spans="1:18" hidden="1">
      <c r="A135" t="s">
        <v>1398</v>
      </c>
      <c r="B135" t="s">
        <v>338</v>
      </c>
      <c r="C135" t="s">
        <v>339</v>
      </c>
      <c r="D135" s="28">
        <v>947</v>
      </c>
      <c r="E135" s="19">
        <f t="shared" si="8"/>
        <v>33.821428571428569</v>
      </c>
      <c r="F135" s="5">
        <v>1486.2</v>
      </c>
      <c r="I135" s="19">
        <f t="shared" si="9"/>
        <v>1894</v>
      </c>
      <c r="J135" t="b">
        <f t="shared" si="10"/>
        <v>1</v>
      </c>
      <c r="K135" s="4">
        <f t="shared" si="11"/>
        <v>-0.21531151003167892</v>
      </c>
      <c r="N135"/>
      <c r="Q135">
        <v>0</v>
      </c>
      <c r="R135">
        <v>0</v>
      </c>
    </row>
    <row r="136" spans="1:18" hidden="1">
      <c r="A136" t="s">
        <v>1396</v>
      </c>
      <c r="B136" t="s">
        <v>340</v>
      </c>
      <c r="C136" t="s">
        <v>341</v>
      </c>
      <c r="D136" s="28">
        <v>379</v>
      </c>
      <c r="E136" s="19">
        <f t="shared" si="8"/>
        <v>13.535714285714286</v>
      </c>
      <c r="F136" s="5">
        <v>476.69</v>
      </c>
      <c r="I136" s="19">
        <f t="shared" si="9"/>
        <v>758</v>
      </c>
      <c r="J136" t="b">
        <f t="shared" si="10"/>
        <v>1</v>
      </c>
      <c r="K136" s="4">
        <f t="shared" si="11"/>
        <v>-0.37112137203166229</v>
      </c>
      <c r="N136"/>
      <c r="Q136">
        <v>0</v>
      </c>
      <c r="R136">
        <v>0</v>
      </c>
    </row>
    <row r="137" spans="1:18" hidden="1">
      <c r="A137" t="s">
        <v>1396</v>
      </c>
      <c r="B137" t="s">
        <v>358</v>
      </c>
      <c r="C137" t="s">
        <v>359</v>
      </c>
      <c r="D137" s="28">
        <v>1428</v>
      </c>
      <c r="E137" s="19">
        <f t="shared" si="8"/>
        <v>51</v>
      </c>
      <c r="F137" s="5">
        <v>2018.39</v>
      </c>
      <c r="I137" s="19">
        <f t="shared" si="9"/>
        <v>2856</v>
      </c>
      <c r="J137" t="b">
        <f t="shared" si="10"/>
        <v>1</v>
      </c>
      <c r="K137" s="4">
        <f t="shared" si="11"/>
        <v>-0.29328081232492997</v>
      </c>
      <c r="N137"/>
      <c r="Q137">
        <v>0</v>
      </c>
      <c r="R137">
        <v>0</v>
      </c>
    </row>
    <row r="138" spans="1:18" hidden="1">
      <c r="A138" t="s">
        <v>1398</v>
      </c>
      <c r="B138" t="s">
        <v>316</v>
      </c>
      <c r="C138" t="s">
        <v>317</v>
      </c>
      <c r="D138" s="28">
        <v>677</v>
      </c>
      <c r="E138" s="19">
        <f t="shared" si="8"/>
        <v>24.178571428571427</v>
      </c>
      <c r="F138" s="5">
        <v>435.88</v>
      </c>
      <c r="I138" s="19">
        <f t="shared" si="9"/>
        <v>1354</v>
      </c>
      <c r="J138" t="b">
        <f t="shared" si="10"/>
        <v>1</v>
      </c>
      <c r="K138" s="4">
        <f t="shared" si="11"/>
        <v>-0.67807976366322009</v>
      </c>
      <c r="N138"/>
      <c r="Q138">
        <v>0</v>
      </c>
      <c r="R138">
        <v>0</v>
      </c>
    </row>
    <row r="139" spans="1:18" hidden="1">
      <c r="A139" t="s">
        <v>1396</v>
      </c>
      <c r="B139" t="s">
        <v>412</v>
      </c>
      <c r="C139" t="s">
        <v>413</v>
      </c>
      <c r="D139" s="28">
        <v>546</v>
      </c>
      <c r="E139" s="19">
        <f t="shared" si="8"/>
        <v>19.5</v>
      </c>
      <c r="F139" s="5">
        <v>607.29999999999995</v>
      </c>
      <c r="I139" s="19">
        <f t="shared" si="9"/>
        <v>1092</v>
      </c>
      <c r="J139" t="b">
        <f t="shared" si="10"/>
        <v>1</v>
      </c>
      <c r="K139" s="4">
        <f t="shared" si="11"/>
        <v>-0.44386446886446895</v>
      </c>
      <c r="N139"/>
      <c r="Q139">
        <v>0</v>
      </c>
      <c r="R139">
        <v>0</v>
      </c>
    </row>
    <row r="140" spans="1:18" hidden="1">
      <c r="A140" t="s">
        <v>1396</v>
      </c>
      <c r="B140" t="s">
        <v>606</v>
      </c>
      <c r="C140" t="s">
        <v>607</v>
      </c>
      <c r="D140" s="28">
        <v>1257</v>
      </c>
      <c r="E140" s="19">
        <f t="shared" si="8"/>
        <v>44.892857142857146</v>
      </c>
      <c r="F140" s="5">
        <v>1787.86</v>
      </c>
      <c r="I140" s="19">
        <f t="shared" si="9"/>
        <v>2514</v>
      </c>
      <c r="J140" t="b">
        <f t="shared" si="10"/>
        <v>1</v>
      </c>
      <c r="K140" s="4">
        <f t="shared" si="11"/>
        <v>-0.2888385043754973</v>
      </c>
      <c r="N140"/>
      <c r="P140" t="s">
        <v>271</v>
      </c>
      <c r="Q140">
        <v>477</v>
      </c>
      <c r="R140">
        <v>944.89</v>
      </c>
    </row>
    <row r="141" spans="1:18" hidden="1">
      <c r="A141" t="s">
        <v>1398</v>
      </c>
      <c r="B141" s="57" t="s">
        <v>572</v>
      </c>
      <c r="C141" s="37" t="s">
        <v>573</v>
      </c>
      <c r="D141" s="28">
        <v>669</v>
      </c>
      <c r="E141" s="19">
        <f t="shared" si="8"/>
        <v>23.892857142857142</v>
      </c>
      <c r="F141" s="5">
        <v>1596.27</v>
      </c>
      <c r="I141" s="19">
        <f t="shared" si="9"/>
        <v>1338</v>
      </c>
      <c r="J141" t="b">
        <f t="shared" si="10"/>
        <v>1</v>
      </c>
      <c r="K141" s="4">
        <f t="shared" si="11"/>
        <v>0.19302690582959636</v>
      </c>
      <c r="N141"/>
      <c r="P141" t="s">
        <v>473</v>
      </c>
      <c r="Q141">
        <v>732</v>
      </c>
      <c r="R141">
        <v>2164.04</v>
      </c>
    </row>
    <row r="142" spans="1:18" hidden="1">
      <c r="A142" t="s">
        <v>1397</v>
      </c>
      <c r="B142" t="s">
        <v>536</v>
      </c>
      <c r="C142" t="s">
        <v>537</v>
      </c>
      <c r="D142" s="28">
        <v>453</v>
      </c>
      <c r="E142" s="19">
        <f t="shared" si="8"/>
        <v>16.178571428571427</v>
      </c>
      <c r="F142" s="5">
        <v>588.36</v>
      </c>
      <c r="I142" s="19">
        <f t="shared" si="9"/>
        <v>906</v>
      </c>
      <c r="J142" t="b">
        <f t="shared" si="10"/>
        <v>1</v>
      </c>
      <c r="K142" s="4">
        <f t="shared" si="11"/>
        <v>-0.35059602649006616</v>
      </c>
      <c r="N142"/>
      <c r="P142" t="s">
        <v>269</v>
      </c>
      <c r="Q142">
        <v>807</v>
      </c>
      <c r="R142">
        <v>1003.12</v>
      </c>
    </row>
    <row r="143" spans="1:18" hidden="1">
      <c r="A143" t="s">
        <v>1397</v>
      </c>
      <c r="B143" t="s">
        <v>478</v>
      </c>
      <c r="C143" t="s">
        <v>479</v>
      </c>
      <c r="D143" s="28">
        <v>496</v>
      </c>
      <c r="E143" s="19">
        <f t="shared" si="8"/>
        <v>17.714285714285715</v>
      </c>
      <c r="F143" s="5">
        <v>541.12</v>
      </c>
      <c r="I143" s="19">
        <f t="shared" si="9"/>
        <v>992</v>
      </c>
      <c r="J143" t="b">
        <f t="shared" si="10"/>
        <v>1</v>
      </c>
      <c r="K143" s="4">
        <f t="shared" si="11"/>
        <v>-0.45451612903225802</v>
      </c>
      <c r="N143"/>
      <c r="P143" t="s">
        <v>239</v>
      </c>
      <c r="Q143">
        <v>1176</v>
      </c>
      <c r="R143">
        <v>1389.04</v>
      </c>
    </row>
    <row r="144" spans="1:18" hidden="1">
      <c r="A144" t="s">
        <v>1396</v>
      </c>
      <c r="B144" s="55" t="s">
        <v>48</v>
      </c>
      <c r="C144" s="37" t="s">
        <v>49</v>
      </c>
      <c r="D144">
        <v>1284</v>
      </c>
      <c r="E144" s="19">
        <f t="shared" si="8"/>
        <v>45.857142857142854</v>
      </c>
      <c r="F144" s="5">
        <v>2157.9</v>
      </c>
      <c r="I144" s="154">
        <f t="shared" si="9"/>
        <v>2568</v>
      </c>
      <c r="J144" t="b">
        <f t="shared" si="10"/>
        <v>1</v>
      </c>
      <c r="K144" s="4">
        <f t="shared" si="11"/>
        <v>-0.15969626168224293</v>
      </c>
      <c r="N144"/>
      <c r="P144" t="s">
        <v>495</v>
      </c>
      <c r="Q144">
        <v>485</v>
      </c>
      <c r="R144">
        <v>1024.1400000000001</v>
      </c>
    </row>
    <row r="145" spans="1:18" hidden="1">
      <c r="A145" t="s">
        <v>1396</v>
      </c>
      <c r="B145" t="s">
        <v>436</v>
      </c>
      <c r="C145" t="s">
        <v>437</v>
      </c>
      <c r="D145" s="28">
        <v>542</v>
      </c>
      <c r="E145" s="19">
        <f t="shared" si="8"/>
        <v>19.357142857142858</v>
      </c>
      <c r="F145" s="5">
        <v>451.59</v>
      </c>
      <c r="I145" s="19">
        <f t="shared" si="9"/>
        <v>1084</v>
      </c>
      <c r="J145" t="b">
        <f t="shared" si="10"/>
        <v>1</v>
      </c>
      <c r="K145" s="4">
        <f t="shared" si="11"/>
        <v>-0.58340405904059045</v>
      </c>
      <c r="N145"/>
      <c r="P145" t="s">
        <v>433</v>
      </c>
      <c r="Q145">
        <v>1603</v>
      </c>
      <c r="R145">
        <v>2952.38</v>
      </c>
    </row>
    <row r="146" spans="1:18">
      <c r="A146" t="s">
        <v>1397</v>
      </c>
      <c r="B146" t="s">
        <v>308</v>
      </c>
      <c r="C146" t="s">
        <v>309</v>
      </c>
      <c r="D146" s="29">
        <v>317</v>
      </c>
      <c r="E146" s="19">
        <f t="shared" si="8"/>
        <v>11.321428571428571</v>
      </c>
      <c r="F146" s="5">
        <v>1082.57</v>
      </c>
      <c r="I146" s="151">
        <f t="shared" si="9"/>
        <v>634</v>
      </c>
      <c r="J146" t="b">
        <f t="shared" si="10"/>
        <v>0</v>
      </c>
      <c r="K146" s="4">
        <f t="shared" si="11"/>
        <v>0.70752365930599348</v>
      </c>
      <c r="N146"/>
      <c r="P146" t="s">
        <v>79</v>
      </c>
      <c r="Q146">
        <v>5633</v>
      </c>
      <c r="R146">
        <v>3251.64</v>
      </c>
    </row>
    <row r="147" spans="1:18" hidden="1">
      <c r="A147" t="s">
        <v>1398</v>
      </c>
      <c r="B147" t="s">
        <v>500</v>
      </c>
      <c r="C147" t="s">
        <v>501</v>
      </c>
      <c r="D147" s="28">
        <v>731</v>
      </c>
      <c r="E147" s="19">
        <f t="shared" si="8"/>
        <v>26.107142857142858</v>
      </c>
      <c r="F147" s="5">
        <v>917.7</v>
      </c>
      <c r="I147" s="19">
        <f t="shared" si="9"/>
        <v>1462</v>
      </c>
      <c r="J147" t="b">
        <f t="shared" si="10"/>
        <v>1</v>
      </c>
      <c r="K147" s="4">
        <f t="shared" si="11"/>
        <v>-0.3722982216142271</v>
      </c>
      <c r="N147"/>
      <c r="P147" t="s">
        <v>461</v>
      </c>
      <c r="Q147">
        <v>3162</v>
      </c>
      <c r="R147">
        <v>3743.79</v>
      </c>
    </row>
    <row r="148" spans="1:18" hidden="1">
      <c r="A148" t="s">
        <v>1396</v>
      </c>
      <c r="B148" t="s">
        <v>332</v>
      </c>
      <c r="C148" t="s">
        <v>333</v>
      </c>
      <c r="D148" s="28">
        <v>421</v>
      </c>
      <c r="E148" s="19">
        <f t="shared" si="8"/>
        <v>15.035714285714286</v>
      </c>
      <c r="F148" s="5">
        <v>447.17</v>
      </c>
      <c r="I148" s="154">
        <f t="shared" si="9"/>
        <v>842</v>
      </c>
      <c r="J148" t="b">
        <f t="shared" si="10"/>
        <v>1</v>
      </c>
      <c r="K148" s="4">
        <f t="shared" si="11"/>
        <v>-0.46891923990498807</v>
      </c>
      <c r="N148"/>
      <c r="P148" t="s">
        <v>1301</v>
      </c>
      <c r="Q148">
        <v>401</v>
      </c>
      <c r="R148">
        <v>371.16</v>
      </c>
    </row>
    <row r="149" spans="1:18" hidden="1">
      <c r="A149" t="s">
        <v>1396</v>
      </c>
      <c r="B149" t="s">
        <v>428</v>
      </c>
      <c r="C149" t="s">
        <v>429</v>
      </c>
      <c r="D149" s="28">
        <v>464</v>
      </c>
      <c r="E149" s="19">
        <f t="shared" si="8"/>
        <v>16.571428571428573</v>
      </c>
      <c r="F149" s="5">
        <v>514.92999999999995</v>
      </c>
      <c r="I149" s="19">
        <f t="shared" si="9"/>
        <v>928</v>
      </c>
      <c r="J149" t="b">
        <f t="shared" si="10"/>
        <v>1</v>
      </c>
      <c r="K149" s="4">
        <f t="shared" si="11"/>
        <v>-0.44511853448275862</v>
      </c>
      <c r="N149"/>
      <c r="P149" t="s">
        <v>349</v>
      </c>
      <c r="Q149">
        <v>1430</v>
      </c>
      <c r="R149">
        <v>2394.31</v>
      </c>
    </row>
    <row r="150" spans="1:18" hidden="1">
      <c r="A150" t="s">
        <v>1396</v>
      </c>
      <c r="B150" t="s">
        <v>236</v>
      </c>
      <c r="C150" t="s">
        <v>237</v>
      </c>
      <c r="D150" s="28">
        <v>1950</v>
      </c>
      <c r="E150" s="19">
        <f t="shared" si="8"/>
        <v>69.642857142857139</v>
      </c>
      <c r="F150" s="5">
        <v>2226.62</v>
      </c>
      <c r="I150" s="19">
        <f t="shared" si="9"/>
        <v>3900</v>
      </c>
      <c r="J150" t="b">
        <f t="shared" si="10"/>
        <v>1</v>
      </c>
      <c r="K150" s="4">
        <f t="shared" si="11"/>
        <v>-0.42907179487179492</v>
      </c>
      <c r="N150"/>
      <c r="P150" t="s">
        <v>497</v>
      </c>
      <c r="Q150">
        <v>751</v>
      </c>
      <c r="R150">
        <v>53.21</v>
      </c>
    </row>
    <row r="151" spans="1:18" hidden="1">
      <c r="A151" t="s">
        <v>1396</v>
      </c>
      <c r="B151" t="s">
        <v>442</v>
      </c>
      <c r="C151" t="s">
        <v>443</v>
      </c>
      <c r="D151" s="28">
        <v>268</v>
      </c>
      <c r="E151" s="19">
        <f t="shared" si="8"/>
        <v>9.5714285714285712</v>
      </c>
      <c r="F151" s="5">
        <v>394.45</v>
      </c>
      <c r="I151" s="19">
        <f t="shared" si="9"/>
        <v>536</v>
      </c>
      <c r="J151" t="b">
        <f t="shared" si="10"/>
        <v>1</v>
      </c>
      <c r="K151" s="4">
        <f t="shared" si="11"/>
        <v>-0.26408582089552246</v>
      </c>
      <c r="N151"/>
      <c r="P151" t="s">
        <v>509</v>
      </c>
      <c r="Q151">
        <v>696</v>
      </c>
      <c r="R151">
        <v>966.85</v>
      </c>
    </row>
    <row r="152" spans="1:18" hidden="1">
      <c r="A152" t="s">
        <v>1397</v>
      </c>
      <c r="B152" t="s">
        <v>220</v>
      </c>
      <c r="C152" t="s">
        <v>221</v>
      </c>
      <c r="D152" s="28">
        <v>1445</v>
      </c>
      <c r="E152" s="19">
        <f t="shared" si="8"/>
        <v>51.607142857142854</v>
      </c>
      <c r="F152" s="5">
        <v>1510.63</v>
      </c>
      <c r="I152" s="19">
        <f t="shared" si="9"/>
        <v>2890</v>
      </c>
      <c r="J152" t="b">
        <f t="shared" si="10"/>
        <v>1</v>
      </c>
      <c r="K152" s="4">
        <f t="shared" si="11"/>
        <v>-0.47729065743944632</v>
      </c>
      <c r="N152"/>
      <c r="P152" t="s">
        <v>585</v>
      </c>
      <c r="Q152">
        <v>1272</v>
      </c>
      <c r="R152">
        <v>2336.77</v>
      </c>
    </row>
    <row r="153" spans="1:18" hidden="1">
      <c r="A153" t="s">
        <v>1398</v>
      </c>
      <c r="B153" t="s">
        <v>262</v>
      </c>
      <c r="C153" t="s">
        <v>263</v>
      </c>
      <c r="D153" s="28">
        <v>566</v>
      </c>
      <c r="E153" s="19">
        <f t="shared" si="8"/>
        <v>20.214285714285715</v>
      </c>
      <c r="F153" s="5">
        <v>1111.3800000000001</v>
      </c>
      <c r="I153" s="154">
        <f t="shared" si="9"/>
        <v>1132</v>
      </c>
      <c r="J153" t="b">
        <f t="shared" si="10"/>
        <v>1</v>
      </c>
      <c r="K153" s="4">
        <f t="shared" si="11"/>
        <v>-1.8215547703180124E-2</v>
      </c>
      <c r="N153"/>
      <c r="P153" t="s">
        <v>147</v>
      </c>
      <c r="Q153">
        <v>924</v>
      </c>
      <c r="R153">
        <v>1371.73</v>
      </c>
    </row>
    <row r="154" spans="1:18" hidden="1">
      <c r="A154" t="s">
        <v>1396</v>
      </c>
      <c r="B154" t="s">
        <v>444</v>
      </c>
      <c r="C154" t="s">
        <v>445</v>
      </c>
      <c r="D154" s="28">
        <v>1283</v>
      </c>
      <c r="E154" s="19">
        <f t="shared" si="8"/>
        <v>45.821428571428569</v>
      </c>
      <c r="F154" s="5">
        <v>1300</v>
      </c>
      <c r="I154" s="19">
        <f t="shared" si="9"/>
        <v>2566</v>
      </c>
      <c r="J154" t="b">
        <f t="shared" si="10"/>
        <v>1</v>
      </c>
      <c r="K154" s="4">
        <f t="shared" si="11"/>
        <v>-0.4933749025720966</v>
      </c>
      <c r="N154"/>
      <c r="P154" t="s">
        <v>1291</v>
      </c>
      <c r="Q154">
        <v>3</v>
      </c>
      <c r="R154">
        <v>4.76</v>
      </c>
    </row>
    <row r="155" spans="1:18" hidden="1">
      <c r="A155" t="s">
        <v>1398</v>
      </c>
      <c r="B155" t="s">
        <v>446</v>
      </c>
      <c r="C155" t="s">
        <v>447</v>
      </c>
      <c r="D155" s="28">
        <v>115</v>
      </c>
      <c r="E155" s="19">
        <f t="shared" si="8"/>
        <v>4.1071428571428568</v>
      </c>
      <c r="F155" s="5">
        <v>221.44</v>
      </c>
      <c r="I155" s="19">
        <f t="shared" si="9"/>
        <v>230</v>
      </c>
      <c r="J155" t="b">
        <f t="shared" si="10"/>
        <v>1</v>
      </c>
      <c r="K155" s="4">
        <f t="shared" si="11"/>
        <v>-3.7217391304347869E-2</v>
      </c>
      <c r="N155"/>
      <c r="P155" t="s">
        <v>431</v>
      </c>
      <c r="Q155">
        <v>654</v>
      </c>
      <c r="R155">
        <v>1923.98</v>
      </c>
    </row>
    <row r="156" spans="1:18" hidden="1">
      <c r="A156" t="s">
        <v>1396</v>
      </c>
      <c r="B156" t="s">
        <v>424</v>
      </c>
      <c r="C156" t="s">
        <v>425</v>
      </c>
      <c r="D156" s="28">
        <v>349</v>
      </c>
      <c r="E156" s="19">
        <f t="shared" si="8"/>
        <v>12.464285714285714</v>
      </c>
      <c r="F156" s="5">
        <v>422.34000000000003</v>
      </c>
      <c r="I156" s="19">
        <f t="shared" si="9"/>
        <v>698</v>
      </c>
      <c r="J156" t="b">
        <f t="shared" si="10"/>
        <v>1</v>
      </c>
      <c r="K156" s="4">
        <f t="shared" si="11"/>
        <v>-0.39492836676217757</v>
      </c>
      <c r="N156"/>
      <c r="P156" t="s">
        <v>1304</v>
      </c>
      <c r="Q156">
        <v>272</v>
      </c>
      <c r="R156">
        <v>150.43</v>
      </c>
    </row>
    <row r="157" spans="1:18" hidden="1">
      <c r="A157" t="s">
        <v>1397</v>
      </c>
      <c r="B157" t="s">
        <v>372</v>
      </c>
      <c r="C157" t="s">
        <v>373</v>
      </c>
      <c r="D157" s="28">
        <v>641</v>
      </c>
      <c r="E157" s="19">
        <f t="shared" si="8"/>
        <v>22.892857142857142</v>
      </c>
      <c r="F157" s="5">
        <v>1306.53</v>
      </c>
      <c r="I157" s="19">
        <f t="shared" si="9"/>
        <v>1282</v>
      </c>
      <c r="J157" t="b">
        <f t="shared" si="10"/>
        <v>1</v>
      </c>
      <c r="K157" s="4">
        <f t="shared" si="11"/>
        <v>1.9134165366614608E-2</v>
      </c>
      <c r="N157"/>
      <c r="P157" t="s">
        <v>1305</v>
      </c>
      <c r="Q157">
        <v>8</v>
      </c>
      <c r="R157">
        <v>0</v>
      </c>
    </row>
    <row r="158" spans="1:18" hidden="1">
      <c r="A158" t="s">
        <v>1397</v>
      </c>
      <c r="B158" t="s">
        <v>186</v>
      </c>
      <c r="C158" t="s">
        <v>187</v>
      </c>
      <c r="D158" s="28">
        <v>1278</v>
      </c>
      <c r="E158" s="19">
        <f t="shared" si="8"/>
        <v>45.642857142857146</v>
      </c>
      <c r="F158" s="5">
        <v>1837.6599999999999</v>
      </c>
      <c r="I158" s="139">
        <f t="shared" si="9"/>
        <v>2556</v>
      </c>
      <c r="J158" t="b">
        <f t="shared" si="10"/>
        <v>1</v>
      </c>
      <c r="K158" s="4">
        <f t="shared" si="11"/>
        <v>-0.28104068857589992</v>
      </c>
      <c r="P158" t="s">
        <v>579</v>
      </c>
      <c r="Q158">
        <v>460</v>
      </c>
      <c r="R158">
        <v>0</v>
      </c>
    </row>
    <row r="159" spans="1:18" hidden="1">
      <c r="A159" t="s">
        <v>1398</v>
      </c>
      <c r="B159" t="s">
        <v>334</v>
      </c>
      <c r="C159" t="s">
        <v>335</v>
      </c>
      <c r="D159" s="28">
        <v>631</v>
      </c>
      <c r="E159" s="19">
        <f t="shared" si="8"/>
        <v>22.535714285714285</v>
      </c>
      <c r="F159" s="5">
        <v>831.37</v>
      </c>
      <c r="I159" s="19">
        <f t="shared" si="9"/>
        <v>1262</v>
      </c>
      <c r="J159" t="b">
        <f t="shared" si="10"/>
        <v>1</v>
      </c>
      <c r="K159" s="4">
        <f t="shared" si="11"/>
        <v>-0.34122820919175911</v>
      </c>
      <c r="N159"/>
      <c r="P159" t="s">
        <v>287</v>
      </c>
      <c r="Q159">
        <v>1605</v>
      </c>
      <c r="R159">
        <v>3252.58</v>
      </c>
    </row>
    <row r="160" spans="1:18" hidden="1">
      <c r="A160" t="s">
        <v>1398</v>
      </c>
      <c r="B160" t="s">
        <v>400</v>
      </c>
      <c r="C160" t="s">
        <v>401</v>
      </c>
      <c r="D160" s="28">
        <v>1191</v>
      </c>
      <c r="E160" s="19">
        <f t="shared" si="8"/>
        <v>42.535714285714285</v>
      </c>
      <c r="F160" s="5">
        <v>1386.39</v>
      </c>
      <c r="I160" s="19">
        <f t="shared" si="9"/>
        <v>2382</v>
      </c>
      <c r="J160" t="b">
        <f t="shared" si="10"/>
        <v>1</v>
      </c>
      <c r="K160" s="4">
        <f t="shared" si="11"/>
        <v>-0.41797229219143572</v>
      </c>
      <c r="N160"/>
      <c r="P160" t="s">
        <v>175</v>
      </c>
      <c r="Q160">
        <v>906</v>
      </c>
      <c r="R160">
        <v>870.89</v>
      </c>
    </row>
    <row r="161" spans="1:18" hidden="1">
      <c r="A161" t="s">
        <v>1396</v>
      </c>
      <c r="B161" t="s">
        <v>352</v>
      </c>
      <c r="C161" t="s">
        <v>353</v>
      </c>
      <c r="D161" s="28">
        <v>618</v>
      </c>
      <c r="E161" s="19">
        <f t="shared" si="8"/>
        <v>22.071428571428573</v>
      </c>
      <c r="F161" s="5">
        <v>409.65</v>
      </c>
      <c r="I161" s="19">
        <f t="shared" si="9"/>
        <v>1236</v>
      </c>
      <c r="J161" t="b">
        <f t="shared" si="10"/>
        <v>1</v>
      </c>
      <c r="K161" s="4">
        <f t="shared" si="11"/>
        <v>-0.66856796116504857</v>
      </c>
      <c r="N161"/>
      <c r="P161" t="s">
        <v>1306</v>
      </c>
      <c r="Q161">
        <v>2</v>
      </c>
      <c r="R161">
        <v>5.22</v>
      </c>
    </row>
    <row r="162" spans="1:18" hidden="1">
      <c r="A162" t="s">
        <v>1397</v>
      </c>
      <c r="B162" t="s">
        <v>368</v>
      </c>
      <c r="C162" t="s">
        <v>369</v>
      </c>
      <c r="D162" s="28">
        <v>756</v>
      </c>
      <c r="E162" s="19">
        <f t="shared" si="8"/>
        <v>27</v>
      </c>
      <c r="F162" s="5">
        <v>1212</v>
      </c>
      <c r="I162" s="139">
        <f t="shared" si="9"/>
        <v>1512</v>
      </c>
      <c r="J162" t="b">
        <f t="shared" si="10"/>
        <v>1</v>
      </c>
      <c r="K162" s="4">
        <f t="shared" si="11"/>
        <v>-0.19841269841269837</v>
      </c>
      <c r="P162" t="s">
        <v>463</v>
      </c>
      <c r="Q162">
        <v>910</v>
      </c>
      <c r="R162">
        <v>1227.83</v>
      </c>
    </row>
    <row r="163" spans="1:18" hidden="1">
      <c r="A163" t="s">
        <v>1397</v>
      </c>
      <c r="B163" t="s">
        <v>464</v>
      </c>
      <c r="C163" t="s">
        <v>465</v>
      </c>
      <c r="D163" s="28">
        <v>1057</v>
      </c>
      <c r="E163" s="19">
        <f t="shared" si="8"/>
        <v>37.75</v>
      </c>
      <c r="F163" s="5">
        <v>783.64</v>
      </c>
      <c r="I163" s="19">
        <f t="shared" si="9"/>
        <v>2114</v>
      </c>
      <c r="J163" t="b">
        <f t="shared" si="10"/>
        <v>1</v>
      </c>
      <c r="K163" s="4">
        <f t="shared" si="11"/>
        <v>-0.62930936613055821</v>
      </c>
      <c r="N163"/>
      <c r="P163" t="s">
        <v>631</v>
      </c>
      <c r="Q163">
        <v>2224</v>
      </c>
      <c r="R163">
        <v>3393.97</v>
      </c>
    </row>
    <row r="164" spans="1:18" hidden="1">
      <c r="A164" t="s">
        <v>1398</v>
      </c>
      <c r="B164" t="s">
        <v>156</v>
      </c>
      <c r="C164" t="s">
        <v>157</v>
      </c>
      <c r="D164" s="28">
        <v>2665</v>
      </c>
      <c r="E164" s="19">
        <f t="shared" si="8"/>
        <v>95.178571428571431</v>
      </c>
      <c r="F164" s="5">
        <v>3935.89</v>
      </c>
      <c r="I164" s="139">
        <f t="shared" si="9"/>
        <v>5330</v>
      </c>
      <c r="J164" t="b">
        <f t="shared" si="10"/>
        <v>1</v>
      </c>
      <c r="K164" s="4">
        <f t="shared" si="11"/>
        <v>-0.26155909943714828</v>
      </c>
      <c r="P164" t="s">
        <v>373</v>
      </c>
      <c r="Q164">
        <v>739</v>
      </c>
      <c r="R164">
        <v>1714.51</v>
      </c>
    </row>
    <row r="165" spans="1:18" hidden="1">
      <c r="A165" t="s">
        <v>1396</v>
      </c>
      <c r="B165" t="s">
        <v>34</v>
      </c>
      <c r="C165" t="s">
        <v>35</v>
      </c>
      <c r="D165" s="28">
        <v>7632</v>
      </c>
      <c r="E165" s="19">
        <f>D165/28</f>
        <v>272.57142857142856</v>
      </c>
      <c r="F165" s="5">
        <v>6764.32</v>
      </c>
      <c r="I165" s="19">
        <f t="shared" si="9"/>
        <v>15264</v>
      </c>
      <c r="J165" t="b">
        <f t="shared" si="10"/>
        <v>1</v>
      </c>
      <c r="K165" s="4">
        <f t="shared" si="11"/>
        <v>-0.5568448637316562</v>
      </c>
      <c r="N165"/>
      <c r="P165" t="s">
        <v>1308</v>
      </c>
      <c r="Q165">
        <v>131</v>
      </c>
      <c r="R165">
        <v>91.13</v>
      </c>
    </row>
    <row r="166" spans="1:18" hidden="1">
      <c r="A166" t="s">
        <v>1398</v>
      </c>
      <c r="B166" t="s">
        <v>270</v>
      </c>
      <c r="C166" t="s">
        <v>271</v>
      </c>
      <c r="D166" s="28">
        <v>500</v>
      </c>
      <c r="E166" s="19">
        <f t="shared" si="8"/>
        <v>17.857142857142858</v>
      </c>
      <c r="F166" s="5">
        <v>609.4</v>
      </c>
      <c r="I166" s="19">
        <f t="shared" si="9"/>
        <v>1000</v>
      </c>
      <c r="J166" t="b">
        <f t="shared" si="10"/>
        <v>1</v>
      </c>
      <c r="K166" s="4">
        <f t="shared" si="11"/>
        <v>-0.39060000000000006</v>
      </c>
      <c r="N166"/>
      <c r="P166" t="s">
        <v>309</v>
      </c>
      <c r="Q166">
        <v>241</v>
      </c>
      <c r="R166">
        <v>1011.31</v>
      </c>
    </row>
    <row r="167" spans="1:18" hidden="1">
      <c r="A167" t="s">
        <v>1398</v>
      </c>
      <c r="B167" t="s">
        <v>374</v>
      </c>
      <c r="C167" t="s">
        <v>375</v>
      </c>
      <c r="D167" s="28">
        <v>1553</v>
      </c>
      <c r="E167" s="19">
        <f t="shared" si="8"/>
        <v>55.464285714285715</v>
      </c>
      <c r="F167" s="5">
        <v>2063.19</v>
      </c>
      <c r="I167" s="19">
        <f t="shared" si="9"/>
        <v>3106</v>
      </c>
      <c r="J167" t="b">
        <f t="shared" si="10"/>
        <v>1</v>
      </c>
      <c r="K167" s="4">
        <f t="shared" si="11"/>
        <v>-0.33574050225370244</v>
      </c>
      <c r="N167"/>
      <c r="P167" t="s">
        <v>51</v>
      </c>
      <c r="Q167">
        <v>2823</v>
      </c>
      <c r="R167">
        <v>3165.3</v>
      </c>
    </row>
    <row r="168" spans="1:18" hidden="1">
      <c r="A168" t="s">
        <v>1398</v>
      </c>
      <c r="B168" t="s">
        <v>454</v>
      </c>
      <c r="C168" t="s">
        <v>455</v>
      </c>
      <c r="D168" s="28">
        <v>953</v>
      </c>
      <c r="E168" s="19">
        <f t="shared" si="8"/>
        <v>34.035714285714285</v>
      </c>
      <c r="F168" s="5">
        <v>799.38</v>
      </c>
      <c r="I168" s="139">
        <f t="shared" si="9"/>
        <v>1906</v>
      </c>
      <c r="J168" t="b">
        <f t="shared" si="10"/>
        <v>1</v>
      </c>
      <c r="K168" s="4">
        <f t="shared" si="11"/>
        <v>-0.580598111227702</v>
      </c>
      <c r="N168" s="143"/>
      <c r="P168" t="s">
        <v>587</v>
      </c>
      <c r="Q168">
        <v>1428</v>
      </c>
      <c r="R168">
        <v>2934.62</v>
      </c>
    </row>
    <row r="169" spans="1:18" hidden="1">
      <c r="A169" t="s">
        <v>1396</v>
      </c>
      <c r="B169" t="s">
        <v>492</v>
      </c>
      <c r="C169" t="s">
        <v>493</v>
      </c>
      <c r="D169" s="28">
        <v>349</v>
      </c>
      <c r="E169" s="19">
        <f t="shared" si="8"/>
        <v>12.464285714285714</v>
      </c>
      <c r="F169" s="5">
        <v>507.77</v>
      </c>
      <c r="I169" s="19">
        <f t="shared" si="9"/>
        <v>698</v>
      </c>
      <c r="J169" t="b">
        <f t="shared" si="10"/>
        <v>1</v>
      </c>
      <c r="K169" s="4">
        <f t="shared" si="11"/>
        <v>-0.27253581661891124</v>
      </c>
      <c r="N169"/>
      <c r="P169" t="s">
        <v>345</v>
      </c>
      <c r="Q169">
        <v>623</v>
      </c>
      <c r="R169">
        <v>1035.93</v>
      </c>
    </row>
    <row r="170" spans="1:18">
      <c r="A170" t="s">
        <v>1398</v>
      </c>
      <c r="B170" t="s">
        <v>516</v>
      </c>
      <c r="C170" t="s">
        <v>517</v>
      </c>
      <c r="D170" s="28">
        <v>479</v>
      </c>
      <c r="E170" s="19">
        <f t="shared" si="8"/>
        <v>17.107142857142858</v>
      </c>
      <c r="F170" s="5">
        <v>1329.44</v>
      </c>
      <c r="I170" s="151">
        <f t="shared" si="9"/>
        <v>958</v>
      </c>
      <c r="J170" t="b">
        <f t="shared" si="10"/>
        <v>0</v>
      </c>
      <c r="K170" s="4">
        <f t="shared" si="11"/>
        <v>0.38772442588726519</v>
      </c>
      <c r="N170"/>
      <c r="P170" t="s">
        <v>549</v>
      </c>
      <c r="Q170">
        <v>787</v>
      </c>
      <c r="R170">
        <v>1703.07</v>
      </c>
    </row>
    <row r="171" spans="1:18" hidden="1">
      <c r="A171" t="s">
        <v>1398</v>
      </c>
      <c r="B171" t="s">
        <v>502</v>
      </c>
      <c r="C171" t="s">
        <v>503</v>
      </c>
      <c r="D171" s="28">
        <v>514</v>
      </c>
      <c r="E171" s="19">
        <f t="shared" si="8"/>
        <v>18.357142857142858</v>
      </c>
      <c r="F171" s="5">
        <v>22.42</v>
      </c>
      <c r="I171" s="19">
        <f t="shared" si="9"/>
        <v>1028</v>
      </c>
      <c r="J171" t="b">
        <f t="shared" si="10"/>
        <v>1</v>
      </c>
      <c r="K171" s="4">
        <f t="shared" si="11"/>
        <v>-0.97819066147859923</v>
      </c>
      <c r="N171"/>
      <c r="P171" t="s">
        <v>183</v>
      </c>
      <c r="Q171">
        <v>626</v>
      </c>
      <c r="R171">
        <v>1564.77</v>
      </c>
    </row>
    <row r="172" spans="1:18" hidden="1">
      <c r="A172" t="s">
        <v>1398</v>
      </c>
      <c r="B172" t="s">
        <v>432</v>
      </c>
      <c r="C172" t="s">
        <v>433</v>
      </c>
      <c r="D172" s="28">
        <v>1588</v>
      </c>
      <c r="E172" s="19">
        <f t="shared" si="8"/>
        <v>56.714285714285715</v>
      </c>
      <c r="F172" s="5">
        <v>2935.36</v>
      </c>
      <c r="I172" s="19">
        <f t="shared" si="9"/>
        <v>3176</v>
      </c>
      <c r="J172" t="b">
        <f t="shared" si="10"/>
        <v>1</v>
      </c>
      <c r="K172" s="4">
        <f t="shared" si="11"/>
        <v>-7.5768261964735517E-2</v>
      </c>
      <c r="N172"/>
      <c r="P172" t="s">
        <v>225</v>
      </c>
      <c r="Q172">
        <v>685</v>
      </c>
      <c r="R172">
        <v>641.12</v>
      </c>
    </row>
    <row r="173" spans="1:18" hidden="1">
      <c r="A173" t="s">
        <v>1396</v>
      </c>
      <c r="B173" t="s">
        <v>414</v>
      </c>
      <c r="C173" t="s">
        <v>415</v>
      </c>
      <c r="D173" s="28">
        <v>672</v>
      </c>
      <c r="E173" s="19">
        <f t="shared" si="8"/>
        <v>24</v>
      </c>
      <c r="F173" s="5">
        <v>998.75</v>
      </c>
      <c r="I173" s="19">
        <f t="shared" si="9"/>
        <v>1344</v>
      </c>
      <c r="J173" t="b">
        <f t="shared" si="10"/>
        <v>1</v>
      </c>
      <c r="K173" s="4">
        <f t="shared" si="11"/>
        <v>-0.25688244047619047</v>
      </c>
      <c r="N173"/>
      <c r="P173" t="s">
        <v>217</v>
      </c>
      <c r="Q173">
        <v>1328</v>
      </c>
      <c r="R173">
        <v>1448.98</v>
      </c>
    </row>
    <row r="174" spans="1:18" hidden="1">
      <c r="A174" t="s">
        <v>1396</v>
      </c>
      <c r="B174" t="s">
        <v>294</v>
      </c>
      <c r="C174" t="s">
        <v>295</v>
      </c>
      <c r="D174" s="28">
        <v>1061</v>
      </c>
      <c r="E174" s="19">
        <f t="shared" si="8"/>
        <v>37.892857142857146</v>
      </c>
      <c r="F174" s="5">
        <v>1630.5</v>
      </c>
      <c r="I174" s="19">
        <f t="shared" si="9"/>
        <v>2122</v>
      </c>
      <c r="J174" t="b">
        <f t="shared" si="10"/>
        <v>1</v>
      </c>
      <c r="K174" s="4">
        <f t="shared" si="11"/>
        <v>-0.23162111215834114</v>
      </c>
      <c r="N174"/>
      <c r="P174" t="s">
        <v>575</v>
      </c>
      <c r="Q174">
        <v>668</v>
      </c>
      <c r="R174">
        <v>1066.51</v>
      </c>
    </row>
    <row r="175" spans="1:18" hidden="1">
      <c r="A175" t="s">
        <v>1396</v>
      </c>
      <c r="B175" t="s">
        <v>402</v>
      </c>
      <c r="C175" t="s">
        <v>403</v>
      </c>
      <c r="D175" s="28">
        <v>291</v>
      </c>
      <c r="E175" s="19">
        <f t="shared" si="8"/>
        <v>10.392857142857142</v>
      </c>
      <c r="F175" s="5">
        <v>192.83</v>
      </c>
      <c r="I175" s="19">
        <f t="shared" si="9"/>
        <v>582</v>
      </c>
      <c r="J175" t="b">
        <f t="shared" si="10"/>
        <v>1</v>
      </c>
      <c r="K175" s="4">
        <f t="shared" si="11"/>
        <v>-0.66867697594501718</v>
      </c>
      <c r="N175"/>
      <c r="P175" t="s">
        <v>231</v>
      </c>
      <c r="Q175">
        <v>1509</v>
      </c>
      <c r="R175">
        <v>1951.13</v>
      </c>
    </row>
    <row r="176" spans="1:18" hidden="1">
      <c r="A176" t="s">
        <v>1397</v>
      </c>
      <c r="B176" s="55" t="s">
        <v>258</v>
      </c>
      <c r="C176" s="37" t="s">
        <v>259</v>
      </c>
      <c r="D176" s="28">
        <v>1704</v>
      </c>
      <c r="E176" s="19">
        <f t="shared" si="8"/>
        <v>60.857142857142854</v>
      </c>
      <c r="F176" s="5">
        <v>3786.78</v>
      </c>
      <c r="I176" s="19">
        <f t="shared" si="9"/>
        <v>3408</v>
      </c>
      <c r="J176" t="b">
        <f t="shared" si="10"/>
        <v>1</v>
      </c>
      <c r="K176" s="4">
        <f t="shared" si="11"/>
        <v>0.11114436619718315</v>
      </c>
      <c r="N176"/>
      <c r="P176" t="s">
        <v>625</v>
      </c>
      <c r="Q176">
        <v>3022</v>
      </c>
      <c r="R176">
        <v>5124.5200000000004</v>
      </c>
    </row>
    <row r="177" spans="1:18" hidden="1">
      <c r="A177" t="s">
        <v>1397</v>
      </c>
      <c r="B177" t="s">
        <v>604</v>
      </c>
      <c r="C177" t="s">
        <v>605</v>
      </c>
      <c r="D177" s="28">
        <v>991</v>
      </c>
      <c r="E177" s="19">
        <f t="shared" si="8"/>
        <v>35.392857142857146</v>
      </c>
      <c r="F177" s="5">
        <v>1641.08</v>
      </c>
      <c r="I177" s="19">
        <f t="shared" si="9"/>
        <v>1982</v>
      </c>
      <c r="J177" t="b">
        <f t="shared" si="10"/>
        <v>1</v>
      </c>
      <c r="K177" s="4">
        <f t="shared" si="11"/>
        <v>-0.17200807265388496</v>
      </c>
      <c r="N177"/>
      <c r="P177" t="s">
        <v>583</v>
      </c>
      <c r="Q177">
        <v>1145</v>
      </c>
      <c r="R177">
        <v>1818.18</v>
      </c>
    </row>
    <row r="178" spans="1:18" hidden="1">
      <c r="A178" t="s">
        <v>1397</v>
      </c>
      <c r="B178" t="s">
        <v>578</v>
      </c>
      <c r="C178" t="s">
        <v>579</v>
      </c>
      <c r="D178" s="28">
        <v>421</v>
      </c>
      <c r="E178" s="19">
        <f t="shared" si="8"/>
        <v>15.035714285714286</v>
      </c>
      <c r="F178" s="5">
        <v>0</v>
      </c>
      <c r="I178" s="19">
        <f t="shared" si="9"/>
        <v>842</v>
      </c>
      <c r="J178" t="b">
        <f t="shared" si="10"/>
        <v>1</v>
      </c>
      <c r="K178" s="4">
        <f t="shared" si="11"/>
        <v>-1</v>
      </c>
      <c r="N178"/>
      <c r="P178" t="s">
        <v>445</v>
      </c>
      <c r="Q178">
        <v>1394</v>
      </c>
      <c r="R178">
        <v>1861.92</v>
      </c>
    </row>
    <row r="179" spans="1:18" hidden="1">
      <c r="A179" t="s">
        <v>1398</v>
      </c>
      <c r="B179" t="s">
        <v>520</v>
      </c>
      <c r="C179" t="s">
        <v>521</v>
      </c>
      <c r="D179" s="28">
        <v>953</v>
      </c>
      <c r="E179" s="19">
        <f t="shared" si="8"/>
        <v>34.035714285714285</v>
      </c>
      <c r="F179" s="5">
        <v>980.29</v>
      </c>
      <c r="I179" s="19">
        <f t="shared" si="9"/>
        <v>1906</v>
      </c>
      <c r="J179" t="b">
        <f t="shared" si="10"/>
        <v>1</v>
      </c>
      <c r="K179" s="4">
        <f t="shared" si="11"/>
        <v>-0.48568205666316899</v>
      </c>
      <c r="N179"/>
      <c r="P179" t="s">
        <v>15</v>
      </c>
      <c r="Q179">
        <v>33472</v>
      </c>
      <c r="R179">
        <v>35816.089999999997</v>
      </c>
    </row>
    <row r="180" spans="1:18" hidden="1">
      <c r="A180" t="s">
        <v>1396</v>
      </c>
      <c r="B180" t="s">
        <v>488</v>
      </c>
      <c r="C180" t="s">
        <v>489</v>
      </c>
      <c r="D180" s="28">
        <v>688</v>
      </c>
      <c r="E180" s="19">
        <f t="shared" si="8"/>
        <v>24.571428571428573</v>
      </c>
      <c r="F180" s="5">
        <v>656.43</v>
      </c>
      <c r="I180" s="19">
        <f t="shared" si="9"/>
        <v>1376</v>
      </c>
      <c r="J180" t="b">
        <f t="shared" si="10"/>
        <v>1</v>
      </c>
      <c r="K180" s="4">
        <f t="shared" si="11"/>
        <v>-0.52294331395348848</v>
      </c>
      <c r="N180"/>
      <c r="P180" t="s">
        <v>227</v>
      </c>
      <c r="Q180">
        <v>1079</v>
      </c>
      <c r="R180">
        <v>1820.14</v>
      </c>
    </row>
    <row r="181" spans="1:18" hidden="1">
      <c r="A181" t="s">
        <v>1398</v>
      </c>
      <c r="B181" t="s">
        <v>498</v>
      </c>
      <c r="C181" t="s">
        <v>499</v>
      </c>
      <c r="D181" s="28">
        <v>638</v>
      </c>
      <c r="E181" s="19">
        <f t="shared" si="8"/>
        <v>22.785714285714285</v>
      </c>
      <c r="F181" s="5">
        <v>1163.97</v>
      </c>
      <c r="I181" s="19">
        <f t="shared" si="9"/>
        <v>1276</v>
      </c>
      <c r="J181" t="b">
        <f t="shared" si="10"/>
        <v>1</v>
      </c>
      <c r="K181" s="4">
        <f>F181/I181-1</f>
        <v>-8.7797805642633175E-2</v>
      </c>
      <c r="N181"/>
      <c r="P181" t="s">
        <v>193</v>
      </c>
      <c r="Q181">
        <v>1417</v>
      </c>
      <c r="R181">
        <v>2743.68</v>
      </c>
    </row>
    <row r="182" spans="1:18" hidden="1">
      <c r="A182" t="s">
        <v>1397</v>
      </c>
      <c r="B182" t="s">
        <v>28</v>
      </c>
      <c r="C182" t="s">
        <v>29</v>
      </c>
      <c r="D182" s="28">
        <v>9161</v>
      </c>
      <c r="E182" s="19">
        <f t="shared" si="8"/>
        <v>327.17857142857144</v>
      </c>
      <c r="F182" s="5">
        <v>10246.27</v>
      </c>
      <c r="I182" s="19">
        <f t="shared" si="9"/>
        <v>18322</v>
      </c>
      <c r="J182" t="b">
        <f t="shared" si="10"/>
        <v>1</v>
      </c>
      <c r="K182" s="4">
        <f t="shared" si="11"/>
        <v>-0.44076683768147584</v>
      </c>
      <c r="N182"/>
      <c r="P182" t="s">
        <v>281</v>
      </c>
      <c r="Q182">
        <v>834</v>
      </c>
      <c r="R182">
        <v>558.63</v>
      </c>
    </row>
    <row r="183" spans="1:18" hidden="1">
      <c r="A183" t="s">
        <v>1397</v>
      </c>
      <c r="B183" t="s">
        <v>452</v>
      </c>
      <c r="C183" t="s">
        <v>453</v>
      </c>
      <c r="D183" s="28">
        <v>1203</v>
      </c>
      <c r="E183" s="19">
        <f t="shared" si="8"/>
        <v>42.964285714285715</v>
      </c>
      <c r="F183" s="5">
        <v>1059.6600000000001</v>
      </c>
      <c r="I183" s="139">
        <f t="shared" si="9"/>
        <v>2406</v>
      </c>
      <c r="J183" t="b">
        <f t="shared" si="10"/>
        <v>1</v>
      </c>
      <c r="K183" s="4">
        <f t="shared" si="11"/>
        <v>-0.55957605985037406</v>
      </c>
      <c r="P183" t="s">
        <v>123</v>
      </c>
      <c r="Q183">
        <v>1625</v>
      </c>
      <c r="R183">
        <v>2545.71</v>
      </c>
    </row>
    <row r="184" spans="1:18" hidden="1">
      <c r="A184" t="s">
        <v>1397</v>
      </c>
      <c r="B184" t="s">
        <v>462</v>
      </c>
      <c r="C184" t="s">
        <v>463</v>
      </c>
      <c r="D184" s="28">
        <v>806</v>
      </c>
      <c r="E184" s="19">
        <f t="shared" si="8"/>
        <v>28.785714285714285</v>
      </c>
      <c r="F184" s="5">
        <v>1124.42</v>
      </c>
      <c r="I184" s="19">
        <f t="shared" si="9"/>
        <v>1612</v>
      </c>
      <c r="J184" t="b">
        <f t="shared" si="10"/>
        <v>1</v>
      </c>
      <c r="K184" s="4">
        <f t="shared" si="11"/>
        <v>-0.30246898263027289</v>
      </c>
      <c r="N184"/>
      <c r="P184" t="s">
        <v>285</v>
      </c>
      <c r="Q184">
        <v>1102</v>
      </c>
      <c r="R184">
        <v>2842.03</v>
      </c>
    </row>
    <row r="185" spans="1:18" hidden="1">
      <c r="A185" t="s">
        <v>1397</v>
      </c>
      <c r="B185" t="s">
        <v>508</v>
      </c>
      <c r="C185" t="s">
        <v>509</v>
      </c>
      <c r="D185" s="28">
        <v>802</v>
      </c>
      <c r="E185" s="19">
        <f t="shared" si="8"/>
        <v>28.642857142857142</v>
      </c>
      <c r="F185" s="5">
        <v>1323.91</v>
      </c>
      <c r="I185" s="19">
        <f t="shared" si="9"/>
        <v>1604</v>
      </c>
      <c r="J185" t="b">
        <f t="shared" si="10"/>
        <v>1</v>
      </c>
      <c r="K185" s="4">
        <f t="shared" si="11"/>
        <v>-0.1746197007481296</v>
      </c>
      <c r="N185"/>
      <c r="P185" t="s">
        <v>617</v>
      </c>
      <c r="Q185">
        <v>2369</v>
      </c>
      <c r="R185">
        <v>4283</v>
      </c>
    </row>
    <row r="186" spans="1:18">
      <c r="A186" t="s">
        <v>1396</v>
      </c>
      <c r="B186" t="s">
        <v>548</v>
      </c>
      <c r="C186" t="s">
        <v>549</v>
      </c>
      <c r="D186" s="28">
        <v>438</v>
      </c>
      <c r="E186" s="19">
        <f t="shared" si="8"/>
        <v>15.642857142857142</v>
      </c>
      <c r="F186" s="5">
        <v>1051.29</v>
      </c>
      <c r="I186" s="19">
        <f t="shared" si="9"/>
        <v>876</v>
      </c>
      <c r="J186" t="b">
        <f t="shared" si="10"/>
        <v>0</v>
      </c>
      <c r="K186" s="4">
        <f t="shared" si="11"/>
        <v>0.20010273972602732</v>
      </c>
      <c r="N186"/>
      <c r="P186" t="s">
        <v>325</v>
      </c>
      <c r="Q186">
        <v>399</v>
      </c>
      <c r="R186">
        <v>1084.67</v>
      </c>
    </row>
    <row r="187" spans="1:18" hidden="1">
      <c r="A187" t="s">
        <v>1396</v>
      </c>
      <c r="B187" s="57" t="s">
        <v>360</v>
      </c>
      <c r="C187" s="37" t="s">
        <v>361</v>
      </c>
      <c r="D187" s="28">
        <v>287</v>
      </c>
      <c r="E187" s="19">
        <f t="shared" si="8"/>
        <v>10.25</v>
      </c>
      <c r="F187" s="5">
        <v>97.86</v>
      </c>
      <c r="I187" s="19">
        <f t="shared" si="9"/>
        <v>574</v>
      </c>
      <c r="J187" t="b">
        <f t="shared" si="10"/>
        <v>1</v>
      </c>
      <c r="K187" s="4">
        <f t="shared" si="11"/>
        <v>-0.82951219512195118</v>
      </c>
      <c r="N187"/>
      <c r="P187" t="s">
        <v>635</v>
      </c>
      <c r="Q187">
        <v>2274</v>
      </c>
      <c r="R187">
        <v>2660.71</v>
      </c>
    </row>
    <row r="188" spans="1:18" hidden="1">
      <c r="A188" t="s">
        <v>1398</v>
      </c>
      <c r="B188" t="s">
        <v>256</v>
      </c>
      <c r="C188" t="s">
        <v>257</v>
      </c>
      <c r="D188" s="28">
        <v>1219</v>
      </c>
      <c r="E188" s="19">
        <f t="shared" si="8"/>
        <v>43.535714285714285</v>
      </c>
      <c r="F188" s="5">
        <v>2078.7799999999997</v>
      </c>
      <c r="I188" s="19">
        <f t="shared" si="9"/>
        <v>2438</v>
      </c>
      <c r="J188" t="b">
        <f t="shared" si="10"/>
        <v>1</v>
      </c>
      <c r="K188" s="4">
        <f t="shared" si="11"/>
        <v>-0.14734208367514368</v>
      </c>
      <c r="N188"/>
      <c r="P188" t="s">
        <v>517</v>
      </c>
      <c r="Q188">
        <v>15</v>
      </c>
      <c r="R188">
        <v>6.29</v>
      </c>
    </row>
    <row r="189" spans="1:18" hidden="1">
      <c r="A189" t="s">
        <v>1397</v>
      </c>
      <c r="B189" t="s">
        <v>422</v>
      </c>
      <c r="C189" t="s">
        <v>423</v>
      </c>
      <c r="D189" s="28">
        <v>575</v>
      </c>
      <c r="E189" s="19">
        <f t="shared" ref="E189:E246" si="12">D189/28</f>
        <v>20.535714285714285</v>
      </c>
      <c r="F189" s="5">
        <v>1.1499999999999999</v>
      </c>
      <c r="I189" s="19">
        <f t="shared" ref="I189:I246" si="13">IF((D189/28)&gt;100,D189*2,D189*2)</f>
        <v>1150</v>
      </c>
      <c r="J189" t="b">
        <f t="shared" ref="J189:J246" si="14">IF(F189&gt;1.2*I189,FALSE,TRUE)</f>
        <v>1</v>
      </c>
      <c r="K189" s="4">
        <f t="shared" ref="K189:K246" si="15">F189/I189-1</f>
        <v>-0.999</v>
      </c>
      <c r="N189"/>
      <c r="P189" t="s">
        <v>149</v>
      </c>
      <c r="Q189">
        <v>1363</v>
      </c>
      <c r="R189">
        <v>2351.85</v>
      </c>
    </row>
    <row r="190" spans="1:18" hidden="1">
      <c r="A190" t="s">
        <v>1396</v>
      </c>
      <c r="B190" t="s">
        <v>182</v>
      </c>
      <c r="C190" t="s">
        <v>183</v>
      </c>
      <c r="D190" s="28">
        <v>856</v>
      </c>
      <c r="E190" s="19">
        <f t="shared" si="12"/>
        <v>30.571428571428573</v>
      </c>
      <c r="F190" s="5">
        <v>1506.92</v>
      </c>
      <c r="I190" s="151">
        <f t="shared" si="13"/>
        <v>1712</v>
      </c>
      <c r="J190" t="b">
        <f t="shared" si="14"/>
        <v>1</v>
      </c>
      <c r="K190" s="4">
        <f t="shared" si="15"/>
        <v>-0.11978971962616813</v>
      </c>
      <c r="N190"/>
      <c r="P190" t="s">
        <v>213</v>
      </c>
      <c r="Q190">
        <v>3262</v>
      </c>
      <c r="R190">
        <v>5310.92</v>
      </c>
    </row>
    <row r="191" spans="1:18">
      <c r="A191" t="s">
        <v>1396</v>
      </c>
      <c r="B191" s="57" t="s">
        <v>554</v>
      </c>
      <c r="C191" s="37" t="s">
        <v>555</v>
      </c>
      <c r="D191" s="28">
        <v>241</v>
      </c>
      <c r="E191" s="19">
        <f t="shared" si="12"/>
        <v>8.6071428571428577</v>
      </c>
      <c r="F191" s="5">
        <v>841.24</v>
      </c>
      <c r="I191" s="19">
        <f t="shared" si="13"/>
        <v>482</v>
      </c>
      <c r="J191" t="b">
        <f t="shared" si="14"/>
        <v>0</v>
      </c>
      <c r="K191" s="4">
        <f t="shared" si="15"/>
        <v>0.74531120331950218</v>
      </c>
      <c r="N191"/>
      <c r="P191" t="s">
        <v>521</v>
      </c>
      <c r="Q191">
        <v>1048</v>
      </c>
      <c r="R191">
        <v>1891.9</v>
      </c>
    </row>
    <row r="192" spans="1:18" hidden="1">
      <c r="A192" t="s">
        <v>1396</v>
      </c>
      <c r="B192" s="56" t="s">
        <v>304</v>
      </c>
      <c r="C192" s="37" t="s">
        <v>305</v>
      </c>
      <c r="D192" s="28">
        <v>1470</v>
      </c>
      <c r="E192" s="19">
        <f t="shared" si="12"/>
        <v>52.5</v>
      </c>
      <c r="F192" s="5">
        <v>3086.03</v>
      </c>
      <c r="I192" s="19">
        <f t="shared" si="13"/>
        <v>2940</v>
      </c>
      <c r="J192" t="b">
        <f t="shared" si="14"/>
        <v>1</v>
      </c>
      <c r="K192" s="4">
        <f t="shared" si="15"/>
        <v>4.9670068027210856E-2</v>
      </c>
      <c r="N192"/>
      <c r="P192" t="s">
        <v>365</v>
      </c>
      <c r="Q192">
        <v>1647</v>
      </c>
      <c r="R192">
        <v>2183.27</v>
      </c>
    </row>
    <row r="193" spans="1:18" hidden="1">
      <c r="A193" t="s">
        <v>1398</v>
      </c>
      <c r="B193" t="s">
        <v>448</v>
      </c>
      <c r="C193" t="s">
        <v>449</v>
      </c>
      <c r="D193" s="28">
        <v>359</v>
      </c>
      <c r="E193" s="19">
        <f t="shared" si="12"/>
        <v>12.821428571428571</v>
      </c>
      <c r="F193" s="5">
        <v>286.92</v>
      </c>
      <c r="I193" s="19">
        <f t="shared" si="13"/>
        <v>718</v>
      </c>
      <c r="J193" t="b">
        <f t="shared" si="14"/>
        <v>1</v>
      </c>
      <c r="K193" s="4">
        <f t="shared" si="15"/>
        <v>-0.6003899721448468</v>
      </c>
      <c r="N193"/>
      <c r="P193" t="s">
        <v>459</v>
      </c>
      <c r="Q193">
        <v>704</v>
      </c>
      <c r="R193">
        <v>1247.75</v>
      </c>
    </row>
    <row r="194" spans="1:18">
      <c r="A194" t="s">
        <v>1396</v>
      </c>
      <c r="B194" s="55" t="s">
        <v>562</v>
      </c>
      <c r="C194" s="37" t="s">
        <v>563</v>
      </c>
      <c r="D194" s="28">
        <v>1090</v>
      </c>
      <c r="E194" s="19">
        <f>D194/28</f>
        <v>38.928571428571431</v>
      </c>
      <c r="F194" s="5">
        <v>2630.19</v>
      </c>
      <c r="I194" s="19">
        <f t="shared" si="13"/>
        <v>2180</v>
      </c>
      <c r="J194" t="b">
        <f t="shared" si="14"/>
        <v>0</v>
      </c>
      <c r="K194" s="4">
        <f t="shared" si="15"/>
        <v>0.20650917431192672</v>
      </c>
      <c r="N194"/>
      <c r="P194" t="s">
        <v>233</v>
      </c>
      <c r="Q194">
        <v>1322</v>
      </c>
      <c r="R194">
        <v>3434.74</v>
      </c>
    </row>
    <row r="195" spans="1:18">
      <c r="A195" t="s">
        <v>1396</v>
      </c>
      <c r="B195" s="55" t="s">
        <v>490</v>
      </c>
      <c r="C195" s="37" t="s">
        <v>491</v>
      </c>
      <c r="D195" s="28">
        <v>1243</v>
      </c>
      <c r="E195" s="19">
        <f t="shared" si="12"/>
        <v>44.392857142857146</v>
      </c>
      <c r="F195" s="5">
        <v>3207.28</v>
      </c>
      <c r="I195" s="19">
        <f t="shared" si="13"/>
        <v>2486</v>
      </c>
      <c r="J195" t="b">
        <f t="shared" si="14"/>
        <v>0</v>
      </c>
      <c r="K195" s="4">
        <f t="shared" si="15"/>
        <v>0.29013676588897841</v>
      </c>
      <c r="N195"/>
      <c r="P195" t="s">
        <v>177</v>
      </c>
      <c r="Q195">
        <v>1858</v>
      </c>
      <c r="R195">
        <v>2426.17</v>
      </c>
    </row>
    <row r="196" spans="1:18" hidden="1">
      <c r="A196" t="s">
        <v>1396</v>
      </c>
      <c r="B196" t="s">
        <v>348</v>
      </c>
      <c r="C196" t="s">
        <v>349</v>
      </c>
      <c r="D196" s="28">
        <v>1688</v>
      </c>
      <c r="E196" s="19">
        <f t="shared" si="12"/>
        <v>60.285714285714285</v>
      </c>
      <c r="F196" s="5">
        <v>2775.83</v>
      </c>
      <c r="I196" s="19">
        <f t="shared" si="13"/>
        <v>3376</v>
      </c>
      <c r="J196" t="b">
        <f t="shared" si="14"/>
        <v>1</v>
      </c>
      <c r="K196" s="4">
        <f t="shared" si="15"/>
        <v>-0.17777547393364934</v>
      </c>
      <c r="N196"/>
      <c r="P196" t="s">
        <v>553</v>
      </c>
      <c r="Q196">
        <v>1829</v>
      </c>
      <c r="R196">
        <v>3966.6</v>
      </c>
    </row>
    <row r="197" spans="1:18" hidden="1">
      <c r="A197" t="s">
        <v>1398</v>
      </c>
      <c r="B197" t="s">
        <v>408</v>
      </c>
      <c r="C197" t="s">
        <v>409</v>
      </c>
      <c r="D197" s="28">
        <v>440</v>
      </c>
      <c r="E197" s="19">
        <f t="shared" si="12"/>
        <v>15.714285714285714</v>
      </c>
      <c r="F197" s="5">
        <v>725.56</v>
      </c>
      <c r="I197" s="139">
        <f t="shared" si="13"/>
        <v>880</v>
      </c>
      <c r="J197" t="b">
        <f t="shared" si="14"/>
        <v>1</v>
      </c>
      <c r="K197" s="4">
        <f t="shared" si="15"/>
        <v>-0.1755000000000001</v>
      </c>
      <c r="P197" t="s">
        <v>355</v>
      </c>
      <c r="Q197">
        <v>1488</v>
      </c>
      <c r="R197">
        <v>1258.69</v>
      </c>
    </row>
    <row r="198" spans="1:18" hidden="1">
      <c r="A198" t="s">
        <v>1397</v>
      </c>
      <c r="B198" t="s">
        <v>546</v>
      </c>
      <c r="C198" t="s">
        <v>547</v>
      </c>
      <c r="D198" s="28">
        <v>322</v>
      </c>
      <c r="E198" s="19">
        <f t="shared" si="12"/>
        <v>11.5</v>
      </c>
      <c r="F198" s="5">
        <v>147.97</v>
      </c>
      <c r="I198" s="19">
        <f t="shared" si="13"/>
        <v>644</v>
      </c>
      <c r="J198" t="b">
        <f t="shared" si="14"/>
        <v>1</v>
      </c>
      <c r="K198" s="4">
        <f t="shared" si="15"/>
        <v>-0.77023291925465842</v>
      </c>
      <c r="N198"/>
      <c r="P198" t="s">
        <v>545</v>
      </c>
      <c r="Q198">
        <v>4708</v>
      </c>
      <c r="R198">
        <v>8799.1</v>
      </c>
    </row>
    <row r="199" spans="1:18" hidden="1">
      <c r="A199" t="s">
        <v>1397</v>
      </c>
      <c r="B199" t="s">
        <v>224</v>
      </c>
      <c r="C199" t="s">
        <v>225</v>
      </c>
      <c r="D199" s="28">
        <v>778</v>
      </c>
      <c r="E199" s="19">
        <f t="shared" si="12"/>
        <v>27.785714285714285</v>
      </c>
      <c r="F199" s="5">
        <v>640.73</v>
      </c>
      <c r="I199" s="19">
        <f t="shared" si="13"/>
        <v>1556</v>
      </c>
      <c r="J199" t="b">
        <f t="shared" si="14"/>
        <v>1</v>
      </c>
      <c r="K199" s="4">
        <f t="shared" si="15"/>
        <v>-0.58821979434447302</v>
      </c>
      <c r="N199"/>
      <c r="P199" t="s">
        <v>169</v>
      </c>
      <c r="Q199">
        <v>1863</v>
      </c>
      <c r="R199">
        <v>2162.81</v>
      </c>
    </row>
    <row r="200" spans="1:18">
      <c r="A200" t="s">
        <v>1396</v>
      </c>
      <c r="B200" s="57" t="s">
        <v>410</v>
      </c>
      <c r="C200" s="37" t="s">
        <v>411</v>
      </c>
      <c r="D200" s="28">
        <v>97</v>
      </c>
      <c r="E200" s="19">
        <f t="shared" si="12"/>
        <v>3.4642857142857144</v>
      </c>
      <c r="F200" s="5">
        <v>279.05</v>
      </c>
      <c r="I200" s="19">
        <f t="shared" si="13"/>
        <v>194</v>
      </c>
      <c r="J200" t="b">
        <f t="shared" si="14"/>
        <v>0</v>
      </c>
      <c r="K200" s="4">
        <f t="shared" si="15"/>
        <v>0.4384020618556701</v>
      </c>
      <c r="N200"/>
      <c r="P200" t="s">
        <v>143</v>
      </c>
      <c r="Q200">
        <v>872</v>
      </c>
      <c r="R200">
        <v>1214.8699999999999</v>
      </c>
    </row>
    <row r="201" spans="1:18" hidden="1">
      <c r="A201" t="s">
        <v>1398</v>
      </c>
      <c r="B201" t="s">
        <v>576</v>
      </c>
      <c r="C201" t="s">
        <v>577</v>
      </c>
      <c r="D201" s="28">
        <v>1262</v>
      </c>
      <c r="E201" s="19">
        <f t="shared" si="12"/>
        <v>45.071428571428569</v>
      </c>
      <c r="F201" s="5">
        <v>450.35</v>
      </c>
      <c r="I201" s="19">
        <f t="shared" si="13"/>
        <v>2524</v>
      </c>
      <c r="J201" t="b">
        <f t="shared" si="14"/>
        <v>1</v>
      </c>
      <c r="K201" s="4">
        <f t="shared" si="15"/>
        <v>-0.82157290015847861</v>
      </c>
      <c r="N201"/>
      <c r="P201" t="s">
        <v>611</v>
      </c>
      <c r="Q201">
        <v>881</v>
      </c>
      <c r="R201">
        <v>1652.3</v>
      </c>
    </row>
    <row r="202" spans="1:18" ht="14.25" hidden="1" customHeight="1">
      <c r="A202" t="s">
        <v>1396</v>
      </c>
      <c r="B202" t="s">
        <v>128</v>
      </c>
      <c r="C202" t="s">
        <v>129</v>
      </c>
      <c r="D202" s="28">
        <v>2085</v>
      </c>
      <c r="E202" s="19">
        <f t="shared" si="12"/>
        <v>74.464285714285708</v>
      </c>
      <c r="F202" s="5">
        <v>3281.85</v>
      </c>
      <c r="I202" s="19">
        <f t="shared" si="13"/>
        <v>4170</v>
      </c>
      <c r="J202" t="b">
        <f t="shared" si="14"/>
        <v>1</v>
      </c>
      <c r="K202" s="4">
        <f t="shared" si="15"/>
        <v>-0.21298561151079143</v>
      </c>
      <c r="N202"/>
      <c r="P202" t="s">
        <v>329</v>
      </c>
      <c r="Q202">
        <v>1829</v>
      </c>
      <c r="R202">
        <v>4095.28</v>
      </c>
    </row>
    <row r="203" spans="1:18" hidden="1">
      <c r="A203" t="s">
        <v>1396</v>
      </c>
      <c r="B203" t="s">
        <v>336</v>
      </c>
      <c r="C203" t="s">
        <v>337</v>
      </c>
      <c r="D203" s="28">
        <v>1136</v>
      </c>
      <c r="E203" s="19">
        <f t="shared" si="12"/>
        <v>40.571428571428569</v>
      </c>
      <c r="F203" s="5">
        <v>802.04</v>
      </c>
      <c r="I203" s="19">
        <f t="shared" si="13"/>
        <v>2272</v>
      </c>
      <c r="J203" t="b">
        <f t="shared" si="14"/>
        <v>1</v>
      </c>
      <c r="K203" s="4">
        <f t="shared" si="15"/>
        <v>-0.64698943661971831</v>
      </c>
      <c r="N203"/>
      <c r="P203" t="s">
        <v>1309</v>
      </c>
      <c r="Q203">
        <v>0</v>
      </c>
      <c r="R203">
        <v>0</v>
      </c>
    </row>
    <row r="204" spans="1:18" hidden="1">
      <c r="A204" t="s">
        <v>1396</v>
      </c>
      <c r="B204" t="s">
        <v>122</v>
      </c>
      <c r="C204" t="s">
        <v>123</v>
      </c>
      <c r="D204" s="28">
        <v>2278</v>
      </c>
      <c r="E204" s="19">
        <f t="shared" si="12"/>
        <v>81.357142857142861</v>
      </c>
      <c r="F204" s="5">
        <v>4059.29</v>
      </c>
      <c r="I204" s="19">
        <f t="shared" si="13"/>
        <v>4556</v>
      </c>
      <c r="J204" t="b">
        <f t="shared" si="14"/>
        <v>1</v>
      </c>
      <c r="K204" s="4">
        <f t="shared" si="15"/>
        <v>-0.10902326602282708</v>
      </c>
      <c r="N204"/>
      <c r="P204" t="s">
        <v>37</v>
      </c>
      <c r="Q204">
        <v>3661</v>
      </c>
      <c r="R204">
        <v>7728.05</v>
      </c>
    </row>
    <row r="205" spans="1:18" hidden="1">
      <c r="A205" t="s">
        <v>1398</v>
      </c>
      <c r="B205" t="s">
        <v>164</v>
      </c>
      <c r="C205" t="s">
        <v>165</v>
      </c>
      <c r="D205" s="28">
        <v>3610</v>
      </c>
      <c r="E205" s="19">
        <f t="shared" si="12"/>
        <v>128.92857142857142</v>
      </c>
      <c r="F205" s="5">
        <v>3849.8</v>
      </c>
      <c r="I205" s="19">
        <f t="shared" si="13"/>
        <v>7220</v>
      </c>
      <c r="J205" t="b">
        <f t="shared" si="14"/>
        <v>1</v>
      </c>
      <c r="K205" s="4">
        <f t="shared" si="15"/>
        <v>-0.46678670360110797</v>
      </c>
      <c r="N205"/>
      <c r="P205" t="s">
        <v>339</v>
      </c>
      <c r="Q205">
        <v>941</v>
      </c>
      <c r="R205">
        <v>2119.17</v>
      </c>
    </row>
    <row r="206" spans="1:18">
      <c r="A206" t="s">
        <v>1397</v>
      </c>
      <c r="B206" t="s">
        <v>582</v>
      </c>
      <c r="C206" t="s">
        <v>583</v>
      </c>
      <c r="D206" s="28">
        <v>410</v>
      </c>
      <c r="E206" s="19">
        <f t="shared" si="12"/>
        <v>14.642857142857142</v>
      </c>
      <c r="F206" s="5">
        <v>1214.3800000000001</v>
      </c>
      <c r="I206" s="19">
        <f t="shared" si="13"/>
        <v>820</v>
      </c>
      <c r="J206" t="b">
        <f t="shared" si="14"/>
        <v>0</v>
      </c>
      <c r="K206" s="4">
        <f t="shared" si="15"/>
        <v>0.48095121951219522</v>
      </c>
      <c r="N206"/>
      <c r="P206" t="s">
        <v>483</v>
      </c>
      <c r="Q206">
        <v>1614</v>
      </c>
      <c r="R206">
        <v>3807.06</v>
      </c>
    </row>
    <row r="207" spans="1:18" hidden="1">
      <c r="A207" t="s">
        <v>1396</v>
      </c>
      <c r="B207" t="s">
        <v>342</v>
      </c>
      <c r="C207" t="s">
        <v>343</v>
      </c>
      <c r="D207" s="28">
        <v>482</v>
      </c>
      <c r="E207" s="19">
        <f t="shared" si="12"/>
        <v>17.214285714285715</v>
      </c>
      <c r="F207" s="5">
        <v>1067.6600000000001</v>
      </c>
      <c r="I207" s="19">
        <f t="shared" si="13"/>
        <v>964</v>
      </c>
      <c r="J207" t="b">
        <f t="shared" si="14"/>
        <v>1</v>
      </c>
      <c r="K207" s="4">
        <f t="shared" si="15"/>
        <v>0.10753112033195023</v>
      </c>
      <c r="N207"/>
      <c r="P207" t="s">
        <v>613</v>
      </c>
      <c r="Q207">
        <v>627</v>
      </c>
      <c r="R207">
        <v>626.16</v>
      </c>
    </row>
    <row r="208" spans="1:18" hidden="1">
      <c r="A208" t="s">
        <v>1397</v>
      </c>
      <c r="B208" t="s">
        <v>586</v>
      </c>
      <c r="C208" t="s">
        <v>587</v>
      </c>
      <c r="D208" s="28">
        <v>1001</v>
      </c>
      <c r="E208" s="19">
        <f t="shared" si="12"/>
        <v>35.75</v>
      </c>
      <c r="F208" s="5">
        <v>2375.91</v>
      </c>
      <c r="I208" s="19">
        <f t="shared" si="13"/>
        <v>2002</v>
      </c>
      <c r="J208" t="b">
        <f t="shared" si="14"/>
        <v>1</v>
      </c>
      <c r="K208" s="4">
        <f t="shared" si="15"/>
        <v>0.18676823176823176</v>
      </c>
      <c r="N208"/>
      <c r="P208" t="s">
        <v>191</v>
      </c>
      <c r="Q208">
        <v>1753</v>
      </c>
      <c r="R208">
        <v>1596.89</v>
      </c>
    </row>
    <row r="209" spans="1:18" hidden="1">
      <c r="A209" t="s">
        <v>1398</v>
      </c>
      <c r="B209" t="s">
        <v>466</v>
      </c>
      <c r="C209" t="s">
        <v>467</v>
      </c>
      <c r="D209" s="28">
        <v>534</v>
      </c>
      <c r="E209" s="19">
        <f t="shared" si="12"/>
        <v>19.071428571428573</v>
      </c>
      <c r="F209" s="5">
        <v>931.32</v>
      </c>
      <c r="I209" s="19">
        <f t="shared" si="13"/>
        <v>1068</v>
      </c>
      <c r="J209" t="b">
        <f t="shared" si="14"/>
        <v>1</v>
      </c>
      <c r="K209" s="4">
        <f t="shared" si="15"/>
        <v>-0.1279775280898876</v>
      </c>
      <c r="N209"/>
      <c r="P209" t="s">
        <v>167</v>
      </c>
      <c r="Q209">
        <v>1376</v>
      </c>
      <c r="R209">
        <v>2237.9499999999998</v>
      </c>
    </row>
    <row r="210" spans="1:18" hidden="1">
      <c r="A210" t="s">
        <v>1396</v>
      </c>
      <c r="B210" t="s">
        <v>306</v>
      </c>
      <c r="C210" t="s">
        <v>307</v>
      </c>
      <c r="D210" s="28">
        <v>900</v>
      </c>
      <c r="E210" s="19">
        <f t="shared" si="12"/>
        <v>32.142857142857146</v>
      </c>
      <c r="F210" s="5">
        <v>1514.84</v>
      </c>
      <c r="I210" s="19">
        <f t="shared" si="13"/>
        <v>1800</v>
      </c>
      <c r="J210" t="b">
        <f t="shared" si="14"/>
        <v>1</v>
      </c>
      <c r="K210" s="4">
        <f t="shared" si="15"/>
        <v>-0.15842222222222224</v>
      </c>
      <c r="N210"/>
      <c r="P210" t="s">
        <v>209</v>
      </c>
      <c r="Q210">
        <v>351</v>
      </c>
      <c r="R210">
        <v>625.14</v>
      </c>
    </row>
    <row r="211" spans="1:18" hidden="1">
      <c r="A211" t="s">
        <v>1396</v>
      </c>
      <c r="B211" t="s">
        <v>496</v>
      </c>
      <c r="C211" t="s">
        <v>497</v>
      </c>
      <c r="D211" s="28">
        <v>676</v>
      </c>
      <c r="E211" s="19">
        <f t="shared" si="12"/>
        <v>24.142857142857142</v>
      </c>
      <c r="F211" s="5">
        <v>61.65</v>
      </c>
      <c r="I211" s="19">
        <f t="shared" si="13"/>
        <v>1352</v>
      </c>
      <c r="J211" t="b">
        <f t="shared" si="14"/>
        <v>1</v>
      </c>
      <c r="K211" s="4">
        <f t="shared" si="15"/>
        <v>-0.95440088757396446</v>
      </c>
      <c r="N211"/>
      <c r="P211" t="s">
        <v>75</v>
      </c>
      <c r="Q211">
        <v>4617</v>
      </c>
      <c r="R211">
        <v>5247.92</v>
      </c>
    </row>
    <row r="212" spans="1:18" hidden="1">
      <c r="A212" t="s">
        <v>1397</v>
      </c>
      <c r="B212" s="27" t="s">
        <v>638</v>
      </c>
      <c r="C212" s="27" t="s">
        <v>639</v>
      </c>
      <c r="D212" s="28">
        <v>1820</v>
      </c>
      <c r="E212" s="19">
        <f t="shared" si="12"/>
        <v>65</v>
      </c>
      <c r="F212" s="18">
        <v>2329.9899999999998</v>
      </c>
      <c r="I212" s="19">
        <f t="shared" si="13"/>
        <v>3640</v>
      </c>
      <c r="J212" t="b">
        <f t="shared" si="14"/>
        <v>1</v>
      </c>
      <c r="K212" s="4">
        <f t="shared" si="15"/>
        <v>-0.35989285714285724</v>
      </c>
      <c r="N212"/>
      <c r="P212" t="s">
        <v>421</v>
      </c>
      <c r="Q212">
        <v>3350</v>
      </c>
      <c r="R212">
        <v>6045.53</v>
      </c>
    </row>
    <row r="213" spans="1:18">
      <c r="A213" t="s">
        <v>1397</v>
      </c>
      <c r="B213" s="55" t="s">
        <v>150</v>
      </c>
      <c r="C213" s="37" t="s">
        <v>151</v>
      </c>
      <c r="D213">
        <v>641</v>
      </c>
      <c r="E213" s="19">
        <f t="shared" si="12"/>
        <v>22.892857142857142</v>
      </c>
      <c r="F213" s="5">
        <v>1658.67</v>
      </c>
      <c r="I213" s="151">
        <f t="shared" si="13"/>
        <v>1282</v>
      </c>
      <c r="J213" t="b">
        <f t="shared" si="14"/>
        <v>0</v>
      </c>
      <c r="K213" s="4">
        <f t="shared" si="15"/>
        <v>0.29381435257410304</v>
      </c>
      <c r="N213"/>
      <c r="P213" t="s">
        <v>601</v>
      </c>
      <c r="Q213">
        <v>1866</v>
      </c>
      <c r="R213">
        <v>3855.15</v>
      </c>
    </row>
    <row r="214" spans="1:18" hidden="1">
      <c r="A214" t="s">
        <v>1396</v>
      </c>
      <c r="B214" t="s">
        <v>542</v>
      </c>
      <c r="C214" t="s">
        <v>543</v>
      </c>
      <c r="D214" s="28">
        <v>992</v>
      </c>
      <c r="E214" s="19">
        <f t="shared" si="12"/>
        <v>35.428571428571431</v>
      </c>
      <c r="F214" s="5">
        <v>1537.6</v>
      </c>
      <c r="I214" s="19">
        <f t="shared" si="13"/>
        <v>1984</v>
      </c>
      <c r="J214" t="b">
        <f t="shared" si="14"/>
        <v>1</v>
      </c>
      <c r="K214" s="4">
        <f t="shared" si="15"/>
        <v>-0.22500000000000009</v>
      </c>
      <c r="N214"/>
      <c r="P214" t="s">
        <v>171</v>
      </c>
      <c r="Q214">
        <v>1077</v>
      </c>
      <c r="R214">
        <v>3291.87</v>
      </c>
    </row>
    <row r="215" spans="1:18" hidden="1">
      <c r="A215" t="s">
        <v>1397</v>
      </c>
      <c r="B215" t="s">
        <v>362</v>
      </c>
      <c r="C215" t="s">
        <v>363</v>
      </c>
      <c r="D215" s="28">
        <v>1099</v>
      </c>
      <c r="E215" s="19">
        <f t="shared" si="12"/>
        <v>39.25</v>
      </c>
      <c r="F215" s="5">
        <v>2288.0100000000002</v>
      </c>
      <c r="I215" s="19">
        <f t="shared" si="13"/>
        <v>2198</v>
      </c>
      <c r="J215" t="b">
        <f t="shared" si="14"/>
        <v>1</v>
      </c>
      <c r="K215" s="4">
        <f t="shared" si="15"/>
        <v>4.0950864422202082E-2</v>
      </c>
      <c r="N215"/>
      <c r="P215" t="s">
        <v>537</v>
      </c>
      <c r="Q215">
        <v>746</v>
      </c>
      <c r="R215">
        <v>1167.75</v>
      </c>
    </row>
    <row r="216" spans="1:18" hidden="1">
      <c r="A216" t="s">
        <v>1396</v>
      </c>
      <c r="B216" s="57" t="s">
        <v>300</v>
      </c>
      <c r="C216" s="37" t="s">
        <v>301</v>
      </c>
      <c r="D216" s="28">
        <v>1150</v>
      </c>
      <c r="E216" s="19">
        <f t="shared" si="12"/>
        <v>41.071428571428569</v>
      </c>
      <c r="F216" s="5">
        <v>1852.23</v>
      </c>
      <c r="I216" s="19">
        <f t="shared" si="13"/>
        <v>2300</v>
      </c>
      <c r="J216" t="b">
        <f t="shared" si="14"/>
        <v>1</v>
      </c>
      <c r="K216" s="4">
        <f t="shared" si="15"/>
        <v>-0.19468260869565213</v>
      </c>
      <c r="N216"/>
      <c r="P216" t="s">
        <v>43</v>
      </c>
      <c r="Q216">
        <v>1508</v>
      </c>
      <c r="R216">
        <v>26.36</v>
      </c>
    </row>
    <row r="217" spans="1:18" hidden="1">
      <c r="A217" t="s">
        <v>1397</v>
      </c>
      <c r="B217" t="s">
        <v>346</v>
      </c>
      <c r="C217" t="s">
        <v>347</v>
      </c>
      <c r="D217" s="28">
        <v>570</v>
      </c>
      <c r="E217" s="19">
        <f t="shared" si="12"/>
        <v>20.357142857142858</v>
      </c>
      <c r="F217" s="5">
        <v>1355.55</v>
      </c>
      <c r="I217" s="19">
        <f t="shared" si="13"/>
        <v>1140</v>
      </c>
      <c r="J217" t="b">
        <f t="shared" si="14"/>
        <v>1</v>
      </c>
      <c r="K217" s="4">
        <f t="shared" si="15"/>
        <v>0.1890789473684209</v>
      </c>
      <c r="N217"/>
      <c r="P217" t="s">
        <v>279</v>
      </c>
      <c r="Q217">
        <v>1031</v>
      </c>
      <c r="R217">
        <v>2527.0700000000002</v>
      </c>
    </row>
    <row r="218" spans="1:18" hidden="1">
      <c r="A218" t="s">
        <v>1398</v>
      </c>
      <c r="B218" t="s">
        <v>274</v>
      </c>
      <c r="C218" t="s">
        <v>275</v>
      </c>
      <c r="D218" s="28">
        <v>656</v>
      </c>
      <c r="E218" s="19">
        <f t="shared" si="12"/>
        <v>23.428571428571427</v>
      </c>
      <c r="F218" s="5">
        <v>850.65</v>
      </c>
      <c r="I218" s="139">
        <f t="shared" si="13"/>
        <v>1312</v>
      </c>
      <c r="J218" t="b">
        <f t="shared" si="14"/>
        <v>1</v>
      </c>
      <c r="K218" s="4">
        <f t="shared" si="15"/>
        <v>-0.35163871951219516</v>
      </c>
      <c r="P218" t="s">
        <v>69</v>
      </c>
      <c r="Q218">
        <v>4286</v>
      </c>
      <c r="R218">
        <v>4897.3</v>
      </c>
    </row>
    <row r="219" spans="1:18" hidden="1">
      <c r="A219" t="s">
        <v>1396</v>
      </c>
      <c r="B219" t="s">
        <v>54</v>
      </c>
      <c r="C219" t="s">
        <v>55</v>
      </c>
      <c r="D219" s="28">
        <v>4102</v>
      </c>
      <c r="E219" s="19">
        <f t="shared" si="12"/>
        <v>146.5</v>
      </c>
      <c r="F219" s="5">
        <v>4390.7299999999996</v>
      </c>
      <c r="I219" s="19">
        <f t="shared" si="13"/>
        <v>8204</v>
      </c>
      <c r="J219" t="b">
        <f t="shared" si="14"/>
        <v>1</v>
      </c>
      <c r="K219" s="4">
        <f t="shared" si="15"/>
        <v>-0.46480619210141405</v>
      </c>
      <c r="N219"/>
      <c r="P219" t="s">
        <v>101</v>
      </c>
      <c r="Q219">
        <v>5987</v>
      </c>
      <c r="R219">
        <v>6518.57</v>
      </c>
    </row>
    <row r="220" spans="1:18" hidden="1">
      <c r="A220" t="s">
        <v>1398</v>
      </c>
      <c r="B220" t="s">
        <v>268</v>
      </c>
      <c r="C220" t="s">
        <v>269</v>
      </c>
      <c r="D220" s="28">
        <v>875</v>
      </c>
      <c r="E220" s="19">
        <f t="shared" si="12"/>
        <v>31.25</v>
      </c>
      <c r="F220" s="5">
        <v>1112.54</v>
      </c>
      <c r="I220" s="19">
        <f t="shared" si="13"/>
        <v>1750</v>
      </c>
      <c r="J220" t="b">
        <f t="shared" si="14"/>
        <v>1</v>
      </c>
      <c r="K220" s="4">
        <f t="shared" si="15"/>
        <v>-0.36426285714285711</v>
      </c>
      <c r="N220"/>
      <c r="P220" t="s">
        <v>113</v>
      </c>
      <c r="Q220">
        <v>2067</v>
      </c>
      <c r="R220">
        <v>1152.29</v>
      </c>
    </row>
    <row r="221" spans="1:18">
      <c r="A221" t="s">
        <v>1396</v>
      </c>
      <c r="B221" t="s">
        <v>324</v>
      </c>
      <c r="C221" t="s">
        <v>325</v>
      </c>
      <c r="D221" s="28">
        <v>475</v>
      </c>
      <c r="E221" s="19">
        <f t="shared" si="12"/>
        <v>16.964285714285715</v>
      </c>
      <c r="F221" s="5">
        <v>1280.27</v>
      </c>
      <c r="I221" s="151">
        <f t="shared" si="13"/>
        <v>950</v>
      </c>
      <c r="J221" t="b">
        <f t="shared" si="14"/>
        <v>0</v>
      </c>
      <c r="K221" s="4">
        <f t="shared" si="15"/>
        <v>0.34765263157894744</v>
      </c>
      <c r="N221"/>
      <c r="P221" t="s">
        <v>83</v>
      </c>
      <c r="Q221">
        <v>3090</v>
      </c>
      <c r="R221">
        <v>3298.37</v>
      </c>
    </row>
    <row r="222" spans="1:18" hidden="1">
      <c r="A222" t="s">
        <v>1397</v>
      </c>
      <c r="B222" t="s">
        <v>564</v>
      </c>
      <c r="C222" t="s">
        <v>565</v>
      </c>
      <c r="D222" s="28">
        <v>2326</v>
      </c>
      <c r="E222" s="19">
        <f t="shared" si="12"/>
        <v>83.071428571428569</v>
      </c>
      <c r="F222" s="5">
        <v>4727.3599999999997</v>
      </c>
      <c r="I222" s="19">
        <f t="shared" si="13"/>
        <v>4652</v>
      </c>
      <c r="J222" t="b">
        <f t="shared" si="14"/>
        <v>1</v>
      </c>
      <c r="K222" s="4">
        <f t="shared" si="15"/>
        <v>1.6199484092863203E-2</v>
      </c>
      <c r="N222"/>
      <c r="P222" t="s">
        <v>311</v>
      </c>
      <c r="Q222">
        <v>1664</v>
      </c>
      <c r="R222">
        <v>2049.73</v>
      </c>
    </row>
    <row r="223" spans="1:18" hidden="1">
      <c r="A223" t="s">
        <v>1398</v>
      </c>
      <c r="B223" s="57" t="s">
        <v>574</v>
      </c>
      <c r="C223" s="37" t="s">
        <v>575</v>
      </c>
      <c r="D223" s="28">
        <v>1261</v>
      </c>
      <c r="E223" s="19">
        <f t="shared" si="12"/>
        <v>45.035714285714285</v>
      </c>
      <c r="F223" s="5">
        <v>2626.91</v>
      </c>
      <c r="I223" s="139">
        <f t="shared" si="13"/>
        <v>2522</v>
      </c>
      <c r="J223" t="b">
        <f t="shared" si="14"/>
        <v>1</v>
      </c>
      <c r="K223" s="4">
        <f t="shared" si="15"/>
        <v>4.1597938144329882E-2</v>
      </c>
      <c r="P223" t="s">
        <v>331</v>
      </c>
      <c r="Q223">
        <v>124</v>
      </c>
      <c r="R223">
        <v>275.04000000000002</v>
      </c>
    </row>
    <row r="224" spans="1:18" hidden="1">
      <c r="A224" t="s">
        <v>1396</v>
      </c>
      <c r="B224" s="57" t="s">
        <v>242</v>
      </c>
      <c r="C224" s="37" t="s">
        <v>243</v>
      </c>
      <c r="D224" s="28">
        <v>944</v>
      </c>
      <c r="E224" s="19">
        <f t="shared" si="12"/>
        <v>33.714285714285715</v>
      </c>
      <c r="F224" s="5">
        <v>1813.25</v>
      </c>
      <c r="I224" s="19">
        <f t="shared" si="13"/>
        <v>1888</v>
      </c>
      <c r="J224" t="b">
        <f t="shared" si="14"/>
        <v>1</v>
      </c>
      <c r="K224" s="4">
        <f t="shared" si="15"/>
        <v>-3.9592161016949179E-2</v>
      </c>
      <c r="N224"/>
      <c r="P224" t="s">
        <v>1313</v>
      </c>
      <c r="Q224">
        <v>64</v>
      </c>
      <c r="R224">
        <v>178.31</v>
      </c>
    </row>
    <row r="225" spans="1:18" hidden="1">
      <c r="A225" t="s">
        <v>1396</v>
      </c>
      <c r="B225" s="57" t="s">
        <v>38</v>
      </c>
      <c r="C225" s="37" t="s">
        <v>39</v>
      </c>
      <c r="D225" s="28">
        <v>5543</v>
      </c>
      <c r="E225" s="19">
        <f t="shared" si="12"/>
        <v>197.96428571428572</v>
      </c>
      <c r="F225" s="5">
        <v>8156.45</v>
      </c>
      <c r="I225" s="19">
        <f t="shared" si="13"/>
        <v>11086</v>
      </c>
      <c r="J225" t="b">
        <f t="shared" si="14"/>
        <v>1</v>
      </c>
      <c r="K225" s="4">
        <f t="shared" si="15"/>
        <v>-0.26425672018762403</v>
      </c>
      <c r="N225"/>
      <c r="P225" t="s">
        <v>359</v>
      </c>
      <c r="Q225">
        <v>1664</v>
      </c>
      <c r="R225">
        <v>1764.37</v>
      </c>
    </row>
    <row r="226" spans="1:18" hidden="1">
      <c r="A226" t="s">
        <v>1398</v>
      </c>
      <c r="B226" s="55" t="s">
        <v>244</v>
      </c>
      <c r="C226" s="37" t="s">
        <v>245</v>
      </c>
      <c r="D226">
        <v>695</v>
      </c>
      <c r="E226" s="19">
        <f t="shared" si="12"/>
        <v>24.821428571428573</v>
      </c>
      <c r="F226" s="5">
        <v>1193.28</v>
      </c>
      <c r="I226" s="19">
        <f t="shared" si="13"/>
        <v>1390</v>
      </c>
      <c r="J226" t="b">
        <f t="shared" si="14"/>
        <v>1</v>
      </c>
      <c r="K226" s="4">
        <f t="shared" si="15"/>
        <v>-0.14152517985611512</v>
      </c>
      <c r="N226"/>
      <c r="P226" t="s">
        <v>499</v>
      </c>
      <c r="Q226">
        <v>1145</v>
      </c>
      <c r="R226">
        <v>1234.98</v>
      </c>
    </row>
    <row r="227" spans="1:18" hidden="1">
      <c r="A227" t="s">
        <v>1396</v>
      </c>
      <c r="B227" s="55" t="s">
        <v>322</v>
      </c>
      <c r="C227" s="37" t="s">
        <v>323</v>
      </c>
      <c r="D227">
        <v>927</v>
      </c>
      <c r="E227" s="19">
        <f t="shared" si="12"/>
        <v>33.107142857142854</v>
      </c>
      <c r="F227" s="5">
        <v>1636.05</v>
      </c>
      <c r="I227" s="154">
        <f t="shared" si="13"/>
        <v>1854</v>
      </c>
      <c r="J227" t="b">
        <f t="shared" si="14"/>
        <v>1</v>
      </c>
      <c r="K227" s="4">
        <f t="shared" si="15"/>
        <v>-0.11755663430420715</v>
      </c>
      <c r="N227"/>
      <c r="P227" t="s">
        <v>581</v>
      </c>
      <c r="Q227">
        <v>1134</v>
      </c>
      <c r="R227">
        <v>2253.0500000000002</v>
      </c>
    </row>
    <row r="228" spans="1:18" hidden="1">
      <c r="A228" t="s">
        <v>1396</v>
      </c>
      <c r="B228" s="55" t="s">
        <v>32</v>
      </c>
      <c r="C228" s="37" t="s">
        <v>33</v>
      </c>
      <c r="D228" s="28">
        <v>3162</v>
      </c>
      <c r="E228" s="19">
        <f t="shared" si="12"/>
        <v>112.92857142857143</v>
      </c>
      <c r="F228" s="5">
        <v>6583.79</v>
      </c>
      <c r="I228" s="19">
        <f t="shared" si="13"/>
        <v>6324</v>
      </c>
      <c r="J228" t="b">
        <f t="shared" si="14"/>
        <v>1</v>
      </c>
      <c r="K228" s="4">
        <f t="shared" si="15"/>
        <v>4.108001265022132E-2</v>
      </c>
      <c r="N228"/>
      <c r="P228" t="s">
        <v>567</v>
      </c>
      <c r="Q228">
        <v>38</v>
      </c>
      <c r="R228">
        <v>156.91</v>
      </c>
    </row>
    <row r="229" spans="1:18" hidden="1">
      <c r="A229" t="s">
        <v>1397</v>
      </c>
      <c r="B229" t="s">
        <v>192</v>
      </c>
      <c r="C229" s="27" t="s">
        <v>193</v>
      </c>
      <c r="D229" s="29">
        <v>2266</v>
      </c>
      <c r="E229" s="19">
        <f t="shared" si="12"/>
        <v>80.928571428571431</v>
      </c>
      <c r="F229" s="5">
        <v>3755.64</v>
      </c>
      <c r="I229" s="19">
        <f t="shared" si="13"/>
        <v>4532</v>
      </c>
      <c r="J229" t="b">
        <f t="shared" si="14"/>
        <v>1</v>
      </c>
      <c r="K229" s="4">
        <f t="shared" si="15"/>
        <v>-0.17130626654898506</v>
      </c>
      <c r="N229"/>
      <c r="P229" t="s">
        <v>565</v>
      </c>
      <c r="Q229">
        <v>4242</v>
      </c>
      <c r="R229">
        <v>7415.45</v>
      </c>
    </row>
    <row r="230" spans="1:18" hidden="1">
      <c r="A230" t="s">
        <v>1396</v>
      </c>
      <c r="B230" s="55" t="s">
        <v>532</v>
      </c>
      <c r="C230" s="37" t="s">
        <v>533</v>
      </c>
      <c r="D230" s="28">
        <v>200</v>
      </c>
      <c r="E230" s="19">
        <f t="shared" si="12"/>
        <v>7.1428571428571432</v>
      </c>
      <c r="F230" s="5">
        <v>365.02</v>
      </c>
      <c r="I230" s="19">
        <f t="shared" si="13"/>
        <v>400</v>
      </c>
      <c r="J230" t="b">
        <f t="shared" si="14"/>
        <v>1</v>
      </c>
      <c r="K230" s="4">
        <f t="shared" si="15"/>
        <v>-8.7450000000000028E-2</v>
      </c>
      <c r="N230"/>
      <c r="P230" t="s">
        <v>623</v>
      </c>
      <c r="Q230">
        <v>6399</v>
      </c>
      <c r="R230">
        <v>1838.47</v>
      </c>
    </row>
    <row r="231" spans="1:18" hidden="1">
      <c r="A231" t="s">
        <v>1398</v>
      </c>
      <c r="B231" s="55" t="s">
        <v>272</v>
      </c>
      <c r="C231" s="37" t="s">
        <v>273</v>
      </c>
      <c r="D231">
        <v>774</v>
      </c>
      <c r="E231" s="19">
        <f t="shared" si="12"/>
        <v>27.642857142857142</v>
      </c>
      <c r="F231" s="5">
        <v>1584.69</v>
      </c>
      <c r="I231" s="19">
        <f t="shared" si="13"/>
        <v>1548</v>
      </c>
      <c r="J231" t="b">
        <f t="shared" si="14"/>
        <v>1</v>
      </c>
      <c r="K231" s="4">
        <f t="shared" si="15"/>
        <v>2.3701550387597026E-2</v>
      </c>
      <c r="N231"/>
      <c r="P231" t="s">
        <v>954</v>
      </c>
      <c r="Q231">
        <v>7632</v>
      </c>
      <c r="R231">
        <v>11858.24</v>
      </c>
    </row>
    <row r="232" spans="1:18" hidden="1">
      <c r="A232" t="s">
        <v>1396</v>
      </c>
      <c r="B232" t="s">
        <v>36</v>
      </c>
      <c r="C232" t="s">
        <v>37</v>
      </c>
      <c r="D232" s="28">
        <v>6540</v>
      </c>
      <c r="E232" s="19">
        <f t="shared" si="12"/>
        <v>233.57142857142858</v>
      </c>
      <c r="F232" s="5">
        <v>8808.7099999999991</v>
      </c>
      <c r="I232" s="19">
        <f t="shared" si="13"/>
        <v>13080</v>
      </c>
      <c r="J232" t="b">
        <f t="shared" si="14"/>
        <v>1</v>
      </c>
      <c r="K232" s="4">
        <f t="shared" si="15"/>
        <v>-0.32655122324159025</v>
      </c>
      <c r="N232"/>
      <c r="P232" t="s">
        <v>658</v>
      </c>
      <c r="Q232">
        <v>3762</v>
      </c>
      <c r="R232">
        <v>6511.64</v>
      </c>
    </row>
    <row r="233" spans="1:18" hidden="1">
      <c r="A233" t="s">
        <v>1397</v>
      </c>
      <c r="B233" t="s">
        <v>162</v>
      </c>
      <c r="C233" t="s">
        <v>163</v>
      </c>
      <c r="D233" s="28">
        <v>1615</v>
      </c>
      <c r="E233" s="19">
        <f t="shared" si="12"/>
        <v>57.678571428571431</v>
      </c>
      <c r="F233" s="5">
        <v>2107.91</v>
      </c>
      <c r="I233" s="19">
        <f t="shared" si="13"/>
        <v>3230</v>
      </c>
      <c r="J233" t="b">
        <f t="shared" si="14"/>
        <v>1</v>
      </c>
      <c r="K233" s="4">
        <f t="shared" si="15"/>
        <v>-0.3473962848297214</v>
      </c>
      <c r="N233"/>
      <c r="P233" t="s">
        <v>927</v>
      </c>
      <c r="Q233">
        <v>3048</v>
      </c>
      <c r="R233">
        <v>4722.41</v>
      </c>
    </row>
    <row r="234" spans="1:18" hidden="1">
      <c r="A234" t="s">
        <v>1396</v>
      </c>
      <c r="B234" t="s">
        <v>230</v>
      </c>
      <c r="C234" t="s">
        <v>231</v>
      </c>
      <c r="D234" s="28">
        <v>2134</v>
      </c>
      <c r="E234" s="19">
        <f t="shared" si="12"/>
        <v>76.214285714285708</v>
      </c>
      <c r="F234" s="5">
        <v>2280.6799999999998</v>
      </c>
      <c r="I234" s="19">
        <f t="shared" si="13"/>
        <v>4268</v>
      </c>
      <c r="J234" t="b">
        <f t="shared" si="14"/>
        <v>1</v>
      </c>
      <c r="K234" s="4">
        <f t="shared" si="15"/>
        <v>-0.46563261480787255</v>
      </c>
      <c r="N234"/>
      <c r="P234" t="s">
        <v>744</v>
      </c>
      <c r="Q234">
        <v>3637</v>
      </c>
      <c r="R234">
        <v>7335.47</v>
      </c>
    </row>
    <row r="235" spans="1:18" hidden="1">
      <c r="A235" t="s">
        <v>1398</v>
      </c>
      <c r="B235" t="s">
        <v>80</v>
      </c>
      <c r="C235" t="s">
        <v>81</v>
      </c>
      <c r="D235" s="28">
        <v>3639</v>
      </c>
      <c r="E235" s="19">
        <f t="shared" si="12"/>
        <v>129.96428571428572</v>
      </c>
      <c r="F235" s="5">
        <v>2636.97</v>
      </c>
      <c r="I235" s="19">
        <f t="shared" si="13"/>
        <v>7278</v>
      </c>
      <c r="J235" t="b">
        <f t="shared" si="14"/>
        <v>1</v>
      </c>
      <c r="K235" s="4">
        <f t="shared" si="15"/>
        <v>-0.63767930750206103</v>
      </c>
      <c r="N235"/>
      <c r="P235" t="s">
        <v>934</v>
      </c>
      <c r="Q235">
        <v>4317</v>
      </c>
      <c r="R235">
        <v>6897.7699999999995</v>
      </c>
    </row>
    <row r="236" spans="1:18" hidden="1">
      <c r="A236" t="s">
        <v>1396</v>
      </c>
      <c r="B236" s="55" t="s">
        <v>640</v>
      </c>
      <c r="C236" s="37" t="s">
        <v>641</v>
      </c>
      <c r="D236">
        <v>747</v>
      </c>
      <c r="E236" s="19">
        <f t="shared" si="12"/>
        <v>26.678571428571427</v>
      </c>
      <c r="F236" s="5">
        <v>56.08</v>
      </c>
      <c r="I236" s="19">
        <f t="shared" si="13"/>
        <v>1494</v>
      </c>
      <c r="J236" t="b">
        <f t="shared" si="14"/>
        <v>1</v>
      </c>
      <c r="K236" s="4">
        <f t="shared" si="15"/>
        <v>-0.96246318607764392</v>
      </c>
      <c r="N236"/>
      <c r="P236" t="s">
        <v>780</v>
      </c>
      <c r="Q236">
        <v>5550</v>
      </c>
      <c r="R236">
        <v>9885.65</v>
      </c>
    </row>
    <row r="237" spans="1:18" hidden="1">
      <c r="A237" t="s">
        <v>1398</v>
      </c>
      <c r="B237" t="s">
        <v>72</v>
      </c>
      <c r="C237" t="s">
        <v>73</v>
      </c>
      <c r="D237" s="28">
        <v>3681</v>
      </c>
      <c r="E237" s="19">
        <f t="shared" si="12"/>
        <v>131.46428571428572</v>
      </c>
      <c r="F237" s="5">
        <v>5875.01</v>
      </c>
      <c r="I237" s="19">
        <f t="shared" si="13"/>
        <v>7362</v>
      </c>
      <c r="J237" t="b">
        <f t="shared" si="14"/>
        <v>1</v>
      </c>
      <c r="K237" s="4">
        <f t="shared" si="15"/>
        <v>-0.20198179842434116</v>
      </c>
      <c r="N237"/>
      <c r="P237" t="s">
        <v>879</v>
      </c>
      <c r="Q237">
        <v>1894</v>
      </c>
      <c r="R237">
        <v>3441.08</v>
      </c>
    </row>
    <row r="238" spans="1:18">
      <c r="A238" t="s">
        <v>1396</v>
      </c>
      <c r="B238" s="55" t="s">
        <v>614</v>
      </c>
      <c r="C238" s="37" t="s">
        <v>615</v>
      </c>
      <c r="D238">
        <v>607</v>
      </c>
      <c r="E238" s="19">
        <f t="shared" si="12"/>
        <v>21.678571428571427</v>
      </c>
      <c r="F238" s="5">
        <v>1591.37</v>
      </c>
      <c r="I238" s="19">
        <f t="shared" si="13"/>
        <v>1214</v>
      </c>
      <c r="J238" t="b">
        <f t="shared" si="14"/>
        <v>0</v>
      </c>
      <c r="K238" s="4">
        <f t="shared" si="15"/>
        <v>0.31084843492586489</v>
      </c>
      <c r="N238"/>
      <c r="P238" t="s">
        <v>1314</v>
      </c>
      <c r="Q238">
        <v>2</v>
      </c>
      <c r="R238">
        <v>0</v>
      </c>
    </row>
    <row r="239" spans="1:18" hidden="1">
      <c r="A239" t="s">
        <v>1397</v>
      </c>
      <c r="B239" s="55" t="s">
        <v>240</v>
      </c>
      <c r="C239" s="37" t="s">
        <v>241</v>
      </c>
      <c r="D239">
        <v>1013</v>
      </c>
      <c r="E239" s="19">
        <f t="shared" si="12"/>
        <v>36.178571428571431</v>
      </c>
      <c r="F239" s="5">
        <v>2159.77</v>
      </c>
      <c r="I239" s="19">
        <f t="shared" si="13"/>
        <v>2026</v>
      </c>
      <c r="J239" t="b">
        <f t="shared" si="14"/>
        <v>1</v>
      </c>
      <c r="K239" s="4">
        <f t="shared" si="15"/>
        <v>6.6026653504442256E-2</v>
      </c>
      <c r="N239"/>
      <c r="P239" t="s">
        <v>772</v>
      </c>
      <c r="Q239">
        <v>3398</v>
      </c>
      <c r="R239">
        <v>4409.53</v>
      </c>
    </row>
    <row r="240" spans="1:18" hidden="1">
      <c r="A240" t="s">
        <v>1396</v>
      </c>
      <c r="B240" s="55" t="s">
        <v>204</v>
      </c>
      <c r="C240" s="37" t="s">
        <v>205</v>
      </c>
      <c r="D240">
        <v>1035</v>
      </c>
      <c r="E240" s="19">
        <f t="shared" si="12"/>
        <v>36.964285714285715</v>
      </c>
      <c r="F240" s="5">
        <v>968.5</v>
      </c>
      <c r="I240" s="19">
        <f t="shared" si="13"/>
        <v>2070</v>
      </c>
      <c r="J240" t="b">
        <f t="shared" si="14"/>
        <v>1</v>
      </c>
      <c r="K240" s="4">
        <f t="shared" si="15"/>
        <v>-0.53212560386473429</v>
      </c>
      <c r="N240"/>
      <c r="P240" t="s">
        <v>960</v>
      </c>
      <c r="Q240">
        <v>5137</v>
      </c>
      <c r="R240">
        <v>8701.9699999999993</v>
      </c>
    </row>
    <row r="241" spans="1:18" hidden="1">
      <c r="A241" t="s">
        <v>1397</v>
      </c>
      <c r="B241" t="s">
        <v>616</v>
      </c>
      <c r="C241" t="s">
        <v>617</v>
      </c>
      <c r="D241" s="28">
        <v>1796</v>
      </c>
      <c r="E241" s="19">
        <f t="shared" si="12"/>
        <v>64.142857142857139</v>
      </c>
      <c r="F241" s="5">
        <v>2867.69</v>
      </c>
      <c r="I241" s="19">
        <f t="shared" si="13"/>
        <v>3592</v>
      </c>
      <c r="J241" t="b">
        <f t="shared" si="14"/>
        <v>1</v>
      </c>
      <c r="K241" s="4">
        <f t="shared" si="15"/>
        <v>-0.20164532293986637</v>
      </c>
      <c r="N241"/>
      <c r="P241" t="s">
        <v>725</v>
      </c>
      <c r="Q241">
        <v>711</v>
      </c>
      <c r="R241">
        <v>1448.65</v>
      </c>
    </row>
    <row r="242" spans="1:18" hidden="1">
      <c r="A242" t="s">
        <v>1398</v>
      </c>
      <c r="B242" t="s">
        <v>510</v>
      </c>
      <c r="C242" t="s">
        <v>511</v>
      </c>
      <c r="D242" s="28">
        <v>4945</v>
      </c>
      <c r="E242" s="19">
        <f t="shared" si="12"/>
        <v>176.60714285714286</v>
      </c>
      <c r="F242" s="5">
        <v>7836.39</v>
      </c>
      <c r="I242" s="19">
        <f t="shared" si="13"/>
        <v>9890</v>
      </c>
      <c r="J242" t="b">
        <f t="shared" si="14"/>
        <v>1</v>
      </c>
      <c r="K242" s="4">
        <f t="shared" si="15"/>
        <v>-0.20764509605662285</v>
      </c>
      <c r="N242"/>
      <c r="P242" t="s">
        <v>699</v>
      </c>
      <c r="Q242">
        <v>2183</v>
      </c>
      <c r="R242">
        <v>3642.64</v>
      </c>
    </row>
    <row r="243" spans="1:18" hidden="1">
      <c r="A243" t="s">
        <v>1396</v>
      </c>
      <c r="B243" s="57" t="s">
        <v>134</v>
      </c>
      <c r="C243" s="37" t="s">
        <v>135</v>
      </c>
      <c r="D243" s="28">
        <v>2315</v>
      </c>
      <c r="E243" s="19">
        <f t="shared" si="12"/>
        <v>82.678571428571431</v>
      </c>
      <c r="F243" s="5">
        <v>4948.45</v>
      </c>
      <c r="I243" s="19">
        <f t="shared" si="13"/>
        <v>4630</v>
      </c>
      <c r="J243" t="b">
        <f t="shared" si="14"/>
        <v>1</v>
      </c>
      <c r="K243" s="4">
        <f t="shared" si="15"/>
        <v>6.8779697624190117E-2</v>
      </c>
      <c r="N243"/>
      <c r="P243" t="s">
        <v>863</v>
      </c>
      <c r="Q243">
        <v>1995</v>
      </c>
      <c r="R243">
        <v>4535.91</v>
      </c>
    </row>
    <row r="244" spans="1:18" hidden="1">
      <c r="A244" t="s">
        <v>1397</v>
      </c>
      <c r="B244" s="55" t="s">
        <v>254</v>
      </c>
      <c r="C244" s="37" t="s">
        <v>255</v>
      </c>
      <c r="D244" s="28">
        <v>808</v>
      </c>
      <c r="E244" s="19">
        <f t="shared" si="12"/>
        <v>28.857142857142858</v>
      </c>
      <c r="F244" s="5">
        <v>1637.79</v>
      </c>
      <c r="I244" s="19">
        <f t="shared" si="13"/>
        <v>1616</v>
      </c>
      <c r="J244" t="b">
        <f t="shared" si="14"/>
        <v>1</v>
      </c>
      <c r="K244" s="4">
        <f t="shared" si="15"/>
        <v>1.3483910891089135E-2</v>
      </c>
      <c r="N244"/>
      <c r="P244" t="s">
        <v>958</v>
      </c>
      <c r="Q244">
        <v>1870</v>
      </c>
      <c r="R244">
        <v>3839.5</v>
      </c>
    </row>
    <row r="245" spans="1:18" hidden="1">
      <c r="A245" t="s">
        <v>1397</v>
      </c>
      <c r="B245" s="55" t="s">
        <v>540</v>
      </c>
      <c r="C245" s="37" t="s">
        <v>541</v>
      </c>
      <c r="D245" s="28">
        <v>801</v>
      </c>
      <c r="E245" s="19">
        <f t="shared" si="12"/>
        <v>28.607142857142858</v>
      </c>
      <c r="F245" s="5">
        <v>1784.39</v>
      </c>
      <c r="I245" s="151">
        <f t="shared" si="13"/>
        <v>1602</v>
      </c>
      <c r="J245" t="b">
        <f t="shared" si="14"/>
        <v>1</v>
      </c>
      <c r="K245" s="4">
        <f t="shared" si="15"/>
        <v>0.11385143570536838</v>
      </c>
      <c r="N245"/>
      <c r="P245" t="s">
        <v>962</v>
      </c>
      <c r="Q245">
        <v>1727</v>
      </c>
      <c r="R245">
        <v>3534.84</v>
      </c>
    </row>
    <row r="246" spans="1:18" hidden="1">
      <c r="A246" t="s">
        <v>1396</v>
      </c>
      <c r="B246" t="s">
        <v>584</v>
      </c>
      <c r="C246" t="s">
        <v>585</v>
      </c>
      <c r="D246" s="28">
        <v>1122</v>
      </c>
      <c r="E246" s="19">
        <f t="shared" si="12"/>
        <v>40.071428571428569</v>
      </c>
      <c r="F246" s="5">
        <v>1921.04</v>
      </c>
      <c r="I246" s="19">
        <f t="shared" si="13"/>
        <v>2244</v>
      </c>
      <c r="J246" t="b">
        <f t="shared" si="14"/>
        <v>1</v>
      </c>
      <c r="K246" s="4">
        <f t="shared" si="15"/>
        <v>-0.14392156862745098</v>
      </c>
      <c r="N246"/>
      <c r="P246" t="s">
        <v>660</v>
      </c>
      <c r="Q246">
        <v>40373</v>
      </c>
      <c r="R246">
        <v>31043.68</v>
      </c>
    </row>
    <row r="247" spans="1:18" hidden="1">
      <c r="A247" t="s">
        <v>1398</v>
      </c>
      <c r="B247" t="s">
        <v>56</v>
      </c>
      <c r="C247" t="s">
        <v>57</v>
      </c>
      <c r="D247" s="28">
        <v>4295</v>
      </c>
      <c r="E247" s="19">
        <f t="shared" ref="E247:E296" si="16">D247/28</f>
        <v>153.39285714285714</v>
      </c>
      <c r="F247" s="5">
        <v>3985.46</v>
      </c>
      <c r="I247" s="19">
        <f t="shared" ref="I247:I296" si="17">IF((D247/28)&gt;100,D247*2,D247*2)</f>
        <v>8590</v>
      </c>
      <c r="J247" t="b">
        <f t="shared" ref="J247:J296" si="18">IF(F247&gt;1.2*I247,FALSE,TRUE)</f>
        <v>1</v>
      </c>
      <c r="K247" s="4">
        <f t="shared" ref="K247:K296" si="19">F247/I247-1</f>
        <v>-0.53603492433061706</v>
      </c>
      <c r="N247"/>
      <c r="P247" t="s">
        <v>823</v>
      </c>
      <c r="Q247">
        <v>1614</v>
      </c>
      <c r="R247">
        <v>3358.06</v>
      </c>
    </row>
    <row r="248" spans="1:18">
      <c r="A248" t="s">
        <v>1396</v>
      </c>
      <c r="B248" t="s">
        <v>610</v>
      </c>
      <c r="C248" t="s">
        <v>611</v>
      </c>
      <c r="D248" s="28">
        <v>1046</v>
      </c>
      <c r="E248" s="19">
        <f t="shared" si="16"/>
        <v>37.357142857142854</v>
      </c>
      <c r="F248" s="5">
        <v>2609.1999999999998</v>
      </c>
      <c r="I248" s="19">
        <f t="shared" si="17"/>
        <v>2092</v>
      </c>
      <c r="J248" t="b">
        <f t="shared" si="18"/>
        <v>0</v>
      </c>
      <c r="K248" s="4">
        <f t="shared" si="19"/>
        <v>0.24722753346080295</v>
      </c>
      <c r="N248"/>
      <c r="P248" t="s">
        <v>667</v>
      </c>
      <c r="Q248">
        <v>2721</v>
      </c>
      <c r="R248">
        <v>5511.35</v>
      </c>
    </row>
    <row r="249" spans="1:18" hidden="1">
      <c r="A249" t="s">
        <v>1398</v>
      </c>
      <c r="B249" s="55" t="s">
        <v>114</v>
      </c>
      <c r="C249" s="37" t="s">
        <v>115</v>
      </c>
      <c r="D249" s="28">
        <v>1972</v>
      </c>
      <c r="E249" s="19">
        <f t="shared" si="16"/>
        <v>70.428571428571431</v>
      </c>
      <c r="F249" s="5">
        <v>3464.91</v>
      </c>
      <c r="I249" s="154">
        <f t="shared" si="17"/>
        <v>3944</v>
      </c>
      <c r="J249" t="b">
        <f t="shared" si="18"/>
        <v>1</v>
      </c>
      <c r="K249" s="4">
        <f t="shared" si="19"/>
        <v>-0.12147312373225161</v>
      </c>
      <c r="N249"/>
      <c r="P249" t="s">
        <v>865</v>
      </c>
      <c r="Q249">
        <v>1207</v>
      </c>
      <c r="R249">
        <v>2348.6</v>
      </c>
    </row>
    <row r="250" spans="1:18" hidden="1">
      <c r="A250" t="s">
        <v>1397</v>
      </c>
      <c r="B250" s="55" t="s">
        <v>426</v>
      </c>
      <c r="C250" s="37" t="s">
        <v>427</v>
      </c>
      <c r="D250">
        <v>1488</v>
      </c>
      <c r="E250" s="19">
        <f t="shared" si="16"/>
        <v>53.142857142857146</v>
      </c>
      <c r="F250" s="5">
        <v>2910.39</v>
      </c>
      <c r="I250" s="19">
        <f t="shared" si="17"/>
        <v>2976</v>
      </c>
      <c r="J250" t="b">
        <f t="shared" si="18"/>
        <v>1</v>
      </c>
      <c r="K250" s="4">
        <f t="shared" si="19"/>
        <v>-2.2046370967741979E-2</v>
      </c>
      <c r="N250"/>
      <c r="P250" t="s">
        <v>689</v>
      </c>
      <c r="Q250">
        <v>611</v>
      </c>
      <c r="R250">
        <v>1458.74</v>
      </c>
    </row>
    <row r="251" spans="1:18" hidden="1">
      <c r="A251" t="s">
        <v>1396</v>
      </c>
      <c r="B251" t="s">
        <v>602</v>
      </c>
      <c r="C251" t="s">
        <v>603</v>
      </c>
      <c r="D251" s="28">
        <v>1370</v>
      </c>
      <c r="E251" s="19">
        <f t="shared" si="16"/>
        <v>48.928571428571431</v>
      </c>
      <c r="F251" s="5">
        <v>1307</v>
      </c>
      <c r="I251" s="19">
        <f t="shared" si="17"/>
        <v>2740</v>
      </c>
      <c r="J251" t="b">
        <f t="shared" si="18"/>
        <v>1</v>
      </c>
      <c r="K251" s="4">
        <f t="shared" si="19"/>
        <v>-0.52299270072992698</v>
      </c>
      <c r="N251"/>
      <c r="P251" t="s">
        <v>919</v>
      </c>
      <c r="Q251">
        <v>2751</v>
      </c>
      <c r="R251">
        <v>3498.09</v>
      </c>
    </row>
    <row r="252" spans="1:18" hidden="1">
      <c r="A252" t="s">
        <v>1397</v>
      </c>
      <c r="B252" t="s">
        <v>124</v>
      </c>
      <c r="C252" t="s">
        <v>125</v>
      </c>
      <c r="D252" s="28">
        <v>3258</v>
      </c>
      <c r="E252" s="19">
        <f t="shared" si="16"/>
        <v>116.35714285714286</v>
      </c>
      <c r="F252" s="5">
        <v>4282.04</v>
      </c>
      <c r="I252" s="19">
        <f t="shared" si="17"/>
        <v>6516</v>
      </c>
      <c r="J252" t="b">
        <f t="shared" si="18"/>
        <v>1</v>
      </c>
      <c r="K252" s="4">
        <f t="shared" si="19"/>
        <v>-0.34284223449969309</v>
      </c>
      <c r="N252"/>
      <c r="P252" t="s">
        <v>693</v>
      </c>
      <c r="Q252">
        <v>2185</v>
      </c>
      <c r="R252">
        <v>3732.5</v>
      </c>
    </row>
    <row r="253" spans="1:18" hidden="1">
      <c r="A253" t="s">
        <v>1397</v>
      </c>
      <c r="B253" s="55" t="s">
        <v>288</v>
      </c>
      <c r="C253" s="37" t="s">
        <v>289</v>
      </c>
      <c r="D253" s="28">
        <v>710</v>
      </c>
      <c r="E253" s="19">
        <f t="shared" si="16"/>
        <v>25.357142857142858</v>
      </c>
      <c r="F253" s="5">
        <v>1531.94</v>
      </c>
      <c r="I253" s="19">
        <f t="shared" si="17"/>
        <v>1420</v>
      </c>
      <c r="J253" t="b">
        <f t="shared" si="18"/>
        <v>1</v>
      </c>
      <c r="K253" s="4">
        <f t="shared" si="19"/>
        <v>7.8830985915492979E-2</v>
      </c>
      <c r="N253"/>
      <c r="P253" t="s">
        <v>883</v>
      </c>
      <c r="Q253">
        <v>1039</v>
      </c>
      <c r="R253">
        <v>1446.12</v>
      </c>
    </row>
    <row r="254" spans="1:18" hidden="1">
      <c r="A254" t="s">
        <v>1396</v>
      </c>
      <c r="B254" s="55" t="s">
        <v>46</v>
      </c>
      <c r="C254" s="37" t="s">
        <v>47</v>
      </c>
      <c r="D254">
        <v>4275</v>
      </c>
      <c r="E254" s="19">
        <f t="shared" si="16"/>
        <v>152.67857142857142</v>
      </c>
      <c r="F254" s="5">
        <v>4319.6499999999996</v>
      </c>
      <c r="I254" s="19">
        <f t="shared" si="17"/>
        <v>8550</v>
      </c>
      <c r="J254" t="b">
        <f t="shared" si="18"/>
        <v>1</v>
      </c>
      <c r="K254" s="4">
        <f t="shared" si="19"/>
        <v>-0.49477777777777787</v>
      </c>
      <c r="N254"/>
      <c r="P254" t="s">
        <v>925</v>
      </c>
      <c r="Q254">
        <v>1195</v>
      </c>
      <c r="R254">
        <v>2255.9299999999998</v>
      </c>
    </row>
    <row r="255" spans="1:18" hidden="1">
      <c r="A255" t="s">
        <v>1398</v>
      </c>
      <c r="B255" s="55" t="s">
        <v>70</v>
      </c>
      <c r="C255" s="37" t="s">
        <v>71</v>
      </c>
      <c r="D255">
        <v>1584</v>
      </c>
      <c r="E255" s="19">
        <f t="shared" si="16"/>
        <v>56.571428571428569</v>
      </c>
      <c r="F255" s="5">
        <v>3454.92</v>
      </c>
      <c r="I255" s="151">
        <f t="shared" si="17"/>
        <v>3168</v>
      </c>
      <c r="J255" t="b">
        <f t="shared" si="18"/>
        <v>1</v>
      </c>
      <c r="K255" s="4">
        <f t="shared" si="19"/>
        <v>9.0568181818181825E-2</v>
      </c>
      <c r="N255"/>
      <c r="P255" t="s">
        <v>889</v>
      </c>
      <c r="Q255">
        <v>2263</v>
      </c>
      <c r="R255">
        <v>5130.78</v>
      </c>
    </row>
    <row r="256" spans="1:18" hidden="1">
      <c r="A256" t="s">
        <v>1398</v>
      </c>
      <c r="B256" s="57" t="s">
        <v>106</v>
      </c>
      <c r="C256" s="27" t="s">
        <v>107</v>
      </c>
      <c r="D256" s="28">
        <v>2147</v>
      </c>
      <c r="E256" s="19">
        <f t="shared" si="16"/>
        <v>76.678571428571431</v>
      </c>
      <c r="F256" s="5">
        <v>4631.7700000000004</v>
      </c>
      <c r="I256" s="139">
        <f t="shared" si="17"/>
        <v>4294</v>
      </c>
      <c r="J256" t="b">
        <f t="shared" si="18"/>
        <v>1</v>
      </c>
      <c r="K256" s="4">
        <f t="shared" si="19"/>
        <v>7.8660922217047125E-2</v>
      </c>
      <c r="P256" t="s">
        <v>915</v>
      </c>
      <c r="Q256">
        <v>2201</v>
      </c>
      <c r="R256">
        <v>2780.43</v>
      </c>
    </row>
    <row r="257" spans="1:18" hidden="1">
      <c r="A257" t="s">
        <v>1397</v>
      </c>
      <c r="B257" s="55" t="s">
        <v>560</v>
      </c>
      <c r="C257" s="37" t="s">
        <v>561</v>
      </c>
      <c r="D257">
        <v>885</v>
      </c>
      <c r="E257" s="19">
        <f t="shared" si="16"/>
        <v>31.607142857142858</v>
      </c>
      <c r="F257" s="5">
        <v>1718.61</v>
      </c>
      <c r="I257" s="19">
        <f t="shared" si="17"/>
        <v>1770</v>
      </c>
      <c r="J257" t="b">
        <f t="shared" si="18"/>
        <v>1</v>
      </c>
      <c r="K257" s="4">
        <f t="shared" si="19"/>
        <v>-2.9033898305084849E-2</v>
      </c>
      <c r="N257"/>
      <c r="P257" t="s">
        <v>905</v>
      </c>
      <c r="Q257">
        <v>1667</v>
      </c>
      <c r="R257">
        <v>2965.44</v>
      </c>
    </row>
    <row r="258" spans="1:18" hidden="1">
      <c r="A258" t="s">
        <v>1398</v>
      </c>
      <c r="B258" s="55" t="s">
        <v>138</v>
      </c>
      <c r="C258" s="37" t="s">
        <v>139</v>
      </c>
      <c r="D258">
        <v>1770</v>
      </c>
      <c r="E258" s="19">
        <f t="shared" si="16"/>
        <v>63.214285714285715</v>
      </c>
      <c r="F258" s="5">
        <v>2061.86</v>
      </c>
      <c r="I258" s="19">
        <f t="shared" si="17"/>
        <v>3540</v>
      </c>
      <c r="J258" t="b">
        <f t="shared" si="18"/>
        <v>1</v>
      </c>
      <c r="K258" s="4">
        <f t="shared" si="19"/>
        <v>-0.41755367231638418</v>
      </c>
      <c r="N258"/>
      <c r="P258" t="s">
        <v>709</v>
      </c>
      <c r="Q258">
        <v>4039</v>
      </c>
      <c r="R258">
        <v>5176.58</v>
      </c>
    </row>
    <row r="259" spans="1:18" hidden="1">
      <c r="A259" t="s">
        <v>1398</v>
      </c>
      <c r="B259" t="s">
        <v>284</v>
      </c>
      <c r="C259" t="s">
        <v>285</v>
      </c>
      <c r="D259" s="28">
        <v>2078</v>
      </c>
      <c r="E259" s="19">
        <f t="shared" si="16"/>
        <v>74.214285714285708</v>
      </c>
      <c r="F259" s="5">
        <v>2892.52</v>
      </c>
      <c r="I259" s="19">
        <f t="shared" si="17"/>
        <v>4156</v>
      </c>
      <c r="J259" t="b">
        <f t="shared" si="18"/>
        <v>1</v>
      </c>
      <c r="K259" s="4">
        <f t="shared" si="19"/>
        <v>-0.3040134744947065</v>
      </c>
      <c r="N259"/>
      <c r="P259" t="s">
        <v>715</v>
      </c>
      <c r="Q259">
        <v>1372</v>
      </c>
      <c r="R259">
        <v>3179.39</v>
      </c>
    </row>
    <row r="260" spans="1:18" hidden="1">
      <c r="A260" t="s">
        <v>1396</v>
      </c>
      <c r="B260" s="55" t="s">
        <v>590</v>
      </c>
      <c r="C260" s="37" t="s">
        <v>591</v>
      </c>
      <c r="D260" s="28">
        <v>1682</v>
      </c>
      <c r="E260" s="19">
        <f t="shared" si="16"/>
        <v>60.071428571428569</v>
      </c>
      <c r="F260" s="5">
        <v>1753.87</v>
      </c>
      <c r="I260" s="139">
        <f t="shared" si="17"/>
        <v>3364</v>
      </c>
      <c r="J260" t="b">
        <f t="shared" si="18"/>
        <v>1</v>
      </c>
      <c r="K260" s="4">
        <f t="shared" si="19"/>
        <v>-0.47863555291319859</v>
      </c>
      <c r="N260" s="144"/>
      <c r="P260" t="s">
        <v>1303</v>
      </c>
      <c r="Q260">
        <v>3</v>
      </c>
      <c r="R260">
        <v>0</v>
      </c>
    </row>
    <row r="261" spans="1:18" hidden="1">
      <c r="A261" t="s">
        <v>1397</v>
      </c>
      <c r="B261" t="s">
        <v>94</v>
      </c>
      <c r="C261" t="s">
        <v>95</v>
      </c>
      <c r="D261" s="28">
        <v>4785</v>
      </c>
      <c r="E261" s="19">
        <f t="shared" si="16"/>
        <v>170.89285714285714</v>
      </c>
      <c r="F261" s="5">
        <v>6663.9</v>
      </c>
      <c r="I261" s="19">
        <f t="shared" si="17"/>
        <v>9570</v>
      </c>
      <c r="J261" t="b">
        <f t="shared" si="18"/>
        <v>1</v>
      </c>
      <c r="K261" s="4">
        <f t="shared" si="19"/>
        <v>-0.30366771159874617</v>
      </c>
      <c r="N261"/>
      <c r="P261" t="s">
        <v>839</v>
      </c>
      <c r="Q261">
        <v>740</v>
      </c>
      <c r="R261">
        <v>1692.16</v>
      </c>
    </row>
    <row r="262" spans="1:18" hidden="1">
      <c r="A262" t="s">
        <v>1396</v>
      </c>
      <c r="B262" t="s">
        <v>310</v>
      </c>
      <c r="C262" t="s">
        <v>311</v>
      </c>
      <c r="D262" s="28">
        <v>1596</v>
      </c>
      <c r="E262" s="19">
        <f t="shared" si="16"/>
        <v>57</v>
      </c>
      <c r="F262" s="5">
        <v>3766.46</v>
      </c>
      <c r="I262" s="151">
        <f t="shared" si="17"/>
        <v>3192</v>
      </c>
      <c r="J262" t="b">
        <f t="shared" si="18"/>
        <v>1</v>
      </c>
      <c r="K262" s="4">
        <f t="shared" si="19"/>
        <v>0.17996867167919794</v>
      </c>
      <c r="N262"/>
      <c r="P262" t="s">
        <v>747</v>
      </c>
      <c r="Q262">
        <v>934</v>
      </c>
      <c r="R262">
        <v>1679.4</v>
      </c>
    </row>
    <row r="263" spans="1:18" hidden="1">
      <c r="A263" t="s">
        <v>1397</v>
      </c>
      <c r="B263" t="s">
        <v>612</v>
      </c>
      <c r="C263" t="s">
        <v>613</v>
      </c>
      <c r="D263" s="28">
        <v>1193</v>
      </c>
      <c r="E263" s="19">
        <f t="shared" si="16"/>
        <v>42.607142857142854</v>
      </c>
      <c r="F263" s="5">
        <v>2734.41</v>
      </c>
      <c r="I263" s="19">
        <f t="shared" si="17"/>
        <v>2386</v>
      </c>
      <c r="J263" t="b">
        <f t="shared" si="18"/>
        <v>1</v>
      </c>
      <c r="K263" s="4">
        <f t="shared" si="19"/>
        <v>0.14602263202011723</v>
      </c>
      <c r="N263"/>
      <c r="P263" t="s">
        <v>783</v>
      </c>
      <c r="Q263">
        <v>1221</v>
      </c>
      <c r="R263">
        <v>1238.4000000000001</v>
      </c>
    </row>
    <row r="264" spans="1:18" hidden="1">
      <c r="A264" t="s">
        <v>1396</v>
      </c>
      <c r="B264" s="57" t="s">
        <v>632</v>
      </c>
      <c r="C264" s="37" t="s">
        <v>633</v>
      </c>
      <c r="D264" s="28">
        <v>1992</v>
      </c>
      <c r="E264" s="19">
        <f t="shared" si="16"/>
        <v>71.142857142857139</v>
      </c>
      <c r="F264" s="5">
        <v>3373.6</v>
      </c>
      <c r="I264" s="19">
        <f t="shared" si="17"/>
        <v>3984</v>
      </c>
      <c r="J264" t="b">
        <f t="shared" si="18"/>
        <v>1</v>
      </c>
      <c r="K264" s="4">
        <f t="shared" si="19"/>
        <v>-0.15321285140562246</v>
      </c>
      <c r="N264"/>
      <c r="P264" t="s">
        <v>819</v>
      </c>
      <c r="Q264">
        <v>706</v>
      </c>
      <c r="R264">
        <v>887.74</v>
      </c>
    </row>
    <row r="265" spans="1:18" hidden="1">
      <c r="A265" t="s">
        <v>1396</v>
      </c>
      <c r="B265" s="55" t="s">
        <v>450</v>
      </c>
      <c r="C265" s="37" t="s">
        <v>451</v>
      </c>
      <c r="D265" s="28">
        <v>1621</v>
      </c>
      <c r="E265" s="19">
        <f t="shared" si="16"/>
        <v>57.892857142857146</v>
      </c>
      <c r="F265" s="5">
        <v>3654.11</v>
      </c>
      <c r="I265" s="19">
        <f t="shared" si="17"/>
        <v>3242</v>
      </c>
      <c r="J265" t="b">
        <f t="shared" si="18"/>
        <v>1</v>
      </c>
      <c r="K265" s="4">
        <f t="shared" si="19"/>
        <v>0.12711597779148676</v>
      </c>
      <c r="N265"/>
      <c r="P265" t="s">
        <v>701</v>
      </c>
      <c r="Q265">
        <v>995</v>
      </c>
      <c r="R265">
        <v>1253.03</v>
      </c>
    </row>
    <row r="266" spans="1:18" hidden="1">
      <c r="A266" t="s">
        <v>1396</v>
      </c>
      <c r="B266" t="s">
        <v>476</v>
      </c>
      <c r="C266" t="s">
        <v>477</v>
      </c>
      <c r="D266" s="28">
        <v>2311</v>
      </c>
      <c r="E266" s="19">
        <f t="shared" si="16"/>
        <v>82.535714285714292</v>
      </c>
      <c r="F266" s="5">
        <v>3921.69</v>
      </c>
      <c r="I266" s="19">
        <f t="shared" si="17"/>
        <v>4622</v>
      </c>
      <c r="J266" t="b">
        <f t="shared" si="18"/>
        <v>1</v>
      </c>
      <c r="K266" s="4">
        <f t="shared" si="19"/>
        <v>-0.15151665945478143</v>
      </c>
      <c r="N266"/>
      <c r="P266" t="s">
        <v>794</v>
      </c>
      <c r="Q266">
        <v>942</v>
      </c>
      <c r="R266">
        <v>1905.07</v>
      </c>
    </row>
    <row r="267" spans="1:18" hidden="1">
      <c r="A267" t="s">
        <v>1396</v>
      </c>
      <c r="B267" t="s">
        <v>544</v>
      </c>
      <c r="C267" t="s">
        <v>545</v>
      </c>
      <c r="D267" s="28">
        <v>4704</v>
      </c>
      <c r="E267" s="19">
        <f t="shared" si="16"/>
        <v>168</v>
      </c>
      <c r="F267" s="5">
        <v>7667.42</v>
      </c>
      <c r="I267" s="19">
        <f t="shared" si="17"/>
        <v>9408</v>
      </c>
      <c r="J267" t="b">
        <f t="shared" si="18"/>
        <v>1</v>
      </c>
      <c r="K267" s="4">
        <f t="shared" si="19"/>
        <v>-0.18501062925170064</v>
      </c>
      <c r="N267"/>
      <c r="P267" t="s">
        <v>845</v>
      </c>
      <c r="Q267">
        <v>697</v>
      </c>
      <c r="R267">
        <v>933.22</v>
      </c>
    </row>
    <row r="268" spans="1:18" hidden="1">
      <c r="A268" t="s">
        <v>1398</v>
      </c>
      <c r="B268" s="55" t="s">
        <v>66</v>
      </c>
      <c r="C268" s="37" t="s">
        <v>67</v>
      </c>
      <c r="D268" s="28">
        <v>3146</v>
      </c>
      <c r="E268" s="19">
        <f t="shared" si="16"/>
        <v>112.35714285714286</v>
      </c>
      <c r="F268" s="5">
        <v>7142.23</v>
      </c>
      <c r="I268" s="19">
        <f t="shared" si="17"/>
        <v>6292</v>
      </c>
      <c r="J268" t="b">
        <f t="shared" si="18"/>
        <v>1</v>
      </c>
      <c r="K268" s="4">
        <f t="shared" si="19"/>
        <v>0.13512873490146204</v>
      </c>
      <c r="N268"/>
      <c r="P268" t="s">
        <v>851</v>
      </c>
      <c r="Q268">
        <v>1585</v>
      </c>
      <c r="R268">
        <v>1853.67</v>
      </c>
    </row>
    <row r="269" spans="1:18" hidden="1">
      <c r="A269" t="s">
        <v>1396</v>
      </c>
      <c r="B269" s="55" t="s">
        <v>512</v>
      </c>
      <c r="C269" s="37" t="s">
        <v>513</v>
      </c>
      <c r="D269">
        <v>1290</v>
      </c>
      <c r="E269" s="19">
        <f t="shared" si="16"/>
        <v>46.071428571428569</v>
      </c>
      <c r="F269" s="5">
        <v>2036.72</v>
      </c>
      <c r="I269" s="19">
        <f t="shared" si="17"/>
        <v>2580</v>
      </c>
      <c r="J269" t="b">
        <f t="shared" si="18"/>
        <v>1</v>
      </c>
      <c r="K269" s="4">
        <f t="shared" si="19"/>
        <v>-0.21057364341085272</v>
      </c>
      <c r="N269"/>
      <c r="P269" t="s">
        <v>765</v>
      </c>
      <c r="Q269">
        <v>1841</v>
      </c>
      <c r="R269">
        <v>2630.37</v>
      </c>
    </row>
    <row r="270" spans="1:18" hidden="1">
      <c r="A270" t="s">
        <v>1397</v>
      </c>
      <c r="B270" t="s">
        <v>196</v>
      </c>
      <c r="C270" s="27" t="s">
        <v>197</v>
      </c>
      <c r="D270" s="28">
        <v>2157</v>
      </c>
      <c r="E270" s="19">
        <f t="shared" si="16"/>
        <v>77.035714285714292</v>
      </c>
      <c r="F270" s="5">
        <v>4132.5</v>
      </c>
      <c r="I270" s="19">
        <f t="shared" si="17"/>
        <v>4314</v>
      </c>
      <c r="J270" t="b">
        <f t="shared" si="18"/>
        <v>1</v>
      </c>
      <c r="K270" s="4">
        <f t="shared" si="19"/>
        <v>-4.2072322670375528E-2</v>
      </c>
      <c r="N270"/>
      <c r="P270" t="s">
        <v>817</v>
      </c>
      <c r="Q270">
        <v>1079</v>
      </c>
      <c r="R270">
        <v>2122.04</v>
      </c>
    </row>
    <row r="271" spans="1:18" hidden="1">
      <c r="A271" t="s">
        <v>1398</v>
      </c>
      <c r="B271" s="55" t="s">
        <v>302</v>
      </c>
      <c r="C271" s="37" t="s">
        <v>303</v>
      </c>
      <c r="D271" s="28">
        <v>1142</v>
      </c>
      <c r="E271" s="19">
        <f t="shared" si="16"/>
        <v>40.785714285714285</v>
      </c>
      <c r="F271" s="5">
        <v>1950.15</v>
      </c>
      <c r="I271" s="19">
        <f t="shared" si="17"/>
        <v>2284</v>
      </c>
      <c r="J271" t="b">
        <f t="shared" si="18"/>
        <v>1</v>
      </c>
      <c r="K271" s="4">
        <f t="shared" si="19"/>
        <v>-0.14616900175131342</v>
      </c>
      <c r="N271"/>
      <c r="P271" t="s">
        <v>827</v>
      </c>
      <c r="Q271">
        <v>337</v>
      </c>
      <c r="R271">
        <v>529.88</v>
      </c>
    </row>
    <row r="272" spans="1:18" hidden="1">
      <c r="A272" t="s">
        <v>1396</v>
      </c>
      <c r="B272" s="55" t="s">
        <v>530</v>
      </c>
      <c r="C272" s="37" t="s">
        <v>531</v>
      </c>
      <c r="D272">
        <v>1398</v>
      </c>
      <c r="E272" s="19">
        <f t="shared" si="16"/>
        <v>49.928571428571431</v>
      </c>
      <c r="F272" s="5">
        <v>3346.69</v>
      </c>
      <c r="I272" s="19">
        <f t="shared" si="17"/>
        <v>2796</v>
      </c>
      <c r="J272" t="b">
        <f t="shared" si="18"/>
        <v>1</v>
      </c>
      <c r="K272" s="4">
        <f t="shared" si="19"/>
        <v>0.19695636623748203</v>
      </c>
      <c r="N272"/>
      <c r="P272" t="s">
        <v>756</v>
      </c>
      <c r="Q272">
        <v>456</v>
      </c>
      <c r="R272">
        <v>569.27</v>
      </c>
    </row>
    <row r="273" spans="1:18">
      <c r="A273" t="s">
        <v>1397</v>
      </c>
      <c r="B273" s="55" t="s">
        <v>636</v>
      </c>
      <c r="C273" s="37" t="s">
        <v>637</v>
      </c>
      <c r="D273" s="28">
        <v>1081</v>
      </c>
      <c r="E273" s="19">
        <f t="shared" si="16"/>
        <v>38.607142857142854</v>
      </c>
      <c r="F273" s="5">
        <v>2676.34</v>
      </c>
      <c r="I273" s="19">
        <f t="shared" si="17"/>
        <v>2162</v>
      </c>
      <c r="J273" t="b">
        <f t="shared" si="18"/>
        <v>0</v>
      </c>
      <c r="K273" s="4">
        <f t="shared" si="19"/>
        <v>0.23790009250693811</v>
      </c>
      <c r="N273"/>
      <c r="P273" t="s">
        <v>776</v>
      </c>
      <c r="Q273">
        <v>1330</v>
      </c>
      <c r="R273">
        <v>1531.91</v>
      </c>
    </row>
    <row r="274" spans="1:18" hidden="1">
      <c r="A274" t="s">
        <v>1396</v>
      </c>
      <c r="B274" s="55" t="s">
        <v>96</v>
      </c>
      <c r="C274" s="37" t="s">
        <v>97</v>
      </c>
      <c r="D274">
        <v>2537</v>
      </c>
      <c r="E274" s="19">
        <f t="shared" si="16"/>
        <v>90.607142857142861</v>
      </c>
      <c r="F274" s="5">
        <v>4863.33</v>
      </c>
      <c r="I274" s="19">
        <f t="shared" si="17"/>
        <v>5074</v>
      </c>
      <c r="J274" t="b">
        <f t="shared" si="18"/>
        <v>1</v>
      </c>
      <c r="K274" s="4">
        <f t="shared" si="19"/>
        <v>-4.1519511233740647E-2</v>
      </c>
      <c r="N274"/>
      <c r="P274" t="s">
        <v>875</v>
      </c>
      <c r="Q274">
        <v>736</v>
      </c>
      <c r="R274">
        <v>930.48</v>
      </c>
    </row>
    <row r="275" spans="1:18" hidden="1">
      <c r="A275" t="s">
        <v>1397</v>
      </c>
      <c r="B275" s="55" t="s">
        <v>108</v>
      </c>
      <c r="C275" s="37" t="s">
        <v>109</v>
      </c>
      <c r="D275">
        <v>1468</v>
      </c>
      <c r="E275" s="19">
        <f t="shared" si="16"/>
        <v>52.428571428571431</v>
      </c>
      <c r="F275" s="5">
        <v>3468.07</v>
      </c>
      <c r="I275" s="151">
        <f t="shared" si="17"/>
        <v>2936</v>
      </c>
      <c r="J275" t="b">
        <f t="shared" si="18"/>
        <v>1</v>
      </c>
      <c r="K275" s="4">
        <f t="shared" si="19"/>
        <v>0.18122275204359672</v>
      </c>
      <c r="N275"/>
      <c r="P275" t="s">
        <v>847</v>
      </c>
      <c r="Q275">
        <v>468</v>
      </c>
      <c r="R275">
        <v>604.41</v>
      </c>
    </row>
    <row r="276" spans="1:18" hidden="1">
      <c r="A276" t="s">
        <v>1397</v>
      </c>
      <c r="B276" s="55" t="s">
        <v>30</v>
      </c>
      <c r="C276" s="37" t="s">
        <v>31</v>
      </c>
      <c r="D276">
        <v>5158</v>
      </c>
      <c r="E276" s="19">
        <f t="shared" si="16"/>
        <v>184.21428571428572</v>
      </c>
      <c r="F276" s="5">
        <v>4353.8999999999996</v>
      </c>
      <c r="I276" s="19">
        <f t="shared" si="17"/>
        <v>10316</v>
      </c>
      <c r="J276" t="b">
        <f t="shared" si="18"/>
        <v>1</v>
      </c>
      <c r="K276" s="4">
        <f t="shared" si="19"/>
        <v>-0.57794687863512995</v>
      </c>
      <c r="N276"/>
      <c r="P276" t="s">
        <v>930</v>
      </c>
      <c r="Q276">
        <v>1391</v>
      </c>
      <c r="R276">
        <v>3435.81</v>
      </c>
    </row>
    <row r="277" spans="1:18" hidden="1">
      <c r="A277" t="s">
        <v>1397</v>
      </c>
      <c r="B277" t="s">
        <v>88</v>
      </c>
      <c r="C277" t="s">
        <v>89</v>
      </c>
      <c r="D277" s="28">
        <v>7713</v>
      </c>
      <c r="E277" s="19">
        <f t="shared" si="16"/>
        <v>275.46428571428572</v>
      </c>
      <c r="F277" s="5">
        <v>11430.13</v>
      </c>
      <c r="I277" s="19">
        <f t="shared" si="17"/>
        <v>15426</v>
      </c>
      <c r="J277" t="b">
        <f t="shared" si="18"/>
        <v>1</v>
      </c>
      <c r="K277" s="4">
        <f t="shared" si="19"/>
        <v>-0.25903474653182945</v>
      </c>
      <c r="N277"/>
      <c r="P277" t="s">
        <v>893</v>
      </c>
      <c r="Q277">
        <v>1388</v>
      </c>
      <c r="R277">
        <v>939.57</v>
      </c>
    </row>
    <row r="278" spans="1:18" hidden="1">
      <c r="A278" t="s">
        <v>1396</v>
      </c>
      <c r="B278" s="57" t="s">
        <v>642</v>
      </c>
      <c r="C278" s="37" t="s">
        <v>643</v>
      </c>
      <c r="D278" s="28">
        <v>14321</v>
      </c>
      <c r="E278" s="19">
        <f t="shared" si="16"/>
        <v>511.46428571428572</v>
      </c>
      <c r="F278" s="5">
        <v>8592.65</v>
      </c>
      <c r="I278" s="19">
        <f t="shared" si="17"/>
        <v>28642</v>
      </c>
      <c r="J278" t="b">
        <f t="shared" si="18"/>
        <v>1</v>
      </c>
      <c r="K278" s="4">
        <f t="shared" si="19"/>
        <v>-0.6999982543118497</v>
      </c>
      <c r="N278"/>
      <c r="P278" t="s">
        <v>936</v>
      </c>
      <c r="Q278">
        <v>2475</v>
      </c>
      <c r="R278">
        <v>4662.12</v>
      </c>
    </row>
    <row r="279" spans="1:18" hidden="1">
      <c r="A279" t="s">
        <v>1396</v>
      </c>
      <c r="B279" s="55" t="s">
        <v>20</v>
      </c>
      <c r="C279" s="37" t="s">
        <v>21</v>
      </c>
      <c r="D279" s="28">
        <v>15640</v>
      </c>
      <c r="E279" s="19">
        <f t="shared" si="16"/>
        <v>558.57142857142856</v>
      </c>
      <c r="F279" s="5">
        <v>16801.330000000002</v>
      </c>
      <c r="I279" s="19">
        <f t="shared" si="17"/>
        <v>31280</v>
      </c>
      <c r="J279" t="b">
        <f t="shared" si="18"/>
        <v>1</v>
      </c>
      <c r="K279" s="4">
        <f t="shared" si="19"/>
        <v>-0.46287308184143217</v>
      </c>
      <c r="N279"/>
      <c r="P279" t="s">
        <v>887</v>
      </c>
      <c r="Q279">
        <v>480</v>
      </c>
      <c r="R279">
        <v>1367.15</v>
      </c>
    </row>
    <row r="280" spans="1:18" hidden="1">
      <c r="A280" t="s">
        <v>1398</v>
      </c>
      <c r="B280" s="55" t="s">
        <v>152</v>
      </c>
      <c r="C280" s="37" t="s">
        <v>153</v>
      </c>
      <c r="D280" s="28">
        <v>1690</v>
      </c>
      <c r="E280" s="19">
        <f t="shared" si="16"/>
        <v>60.357142857142854</v>
      </c>
      <c r="F280" s="5">
        <v>2795.71</v>
      </c>
      <c r="I280" s="19">
        <f t="shared" si="17"/>
        <v>3380</v>
      </c>
      <c r="J280" t="b">
        <f t="shared" si="18"/>
        <v>1</v>
      </c>
      <c r="K280" s="4">
        <f t="shared" si="19"/>
        <v>-0.17286686390532546</v>
      </c>
      <c r="N280"/>
      <c r="P280" t="s">
        <v>734</v>
      </c>
      <c r="Q280">
        <v>2459</v>
      </c>
      <c r="R280">
        <v>2134.25</v>
      </c>
    </row>
    <row r="281" spans="1:18">
      <c r="A281" t="s">
        <v>1397</v>
      </c>
      <c r="B281" s="55" t="s">
        <v>504</v>
      </c>
      <c r="C281" s="37" t="s">
        <v>505</v>
      </c>
      <c r="D281" s="28">
        <v>471</v>
      </c>
      <c r="E281" s="19">
        <f t="shared" si="16"/>
        <v>16.821428571428573</v>
      </c>
      <c r="F281" s="5">
        <v>1512.32</v>
      </c>
      <c r="I281" s="151">
        <f t="shared" si="17"/>
        <v>942</v>
      </c>
      <c r="J281" t="b">
        <f t="shared" si="18"/>
        <v>0</v>
      </c>
      <c r="K281" s="4">
        <f t="shared" si="19"/>
        <v>0.60543524416135885</v>
      </c>
      <c r="N281"/>
      <c r="P281" t="s">
        <v>869</v>
      </c>
      <c r="Q281">
        <v>957</v>
      </c>
      <c r="R281">
        <v>952.57</v>
      </c>
    </row>
    <row r="282" spans="1:18" hidden="1">
      <c r="A282" t="s">
        <v>1398</v>
      </c>
      <c r="B282" s="55" t="s">
        <v>248</v>
      </c>
      <c r="C282" s="37" t="s">
        <v>249</v>
      </c>
      <c r="D282" s="28">
        <v>833</v>
      </c>
      <c r="E282" s="19">
        <f t="shared" si="16"/>
        <v>29.75</v>
      </c>
      <c r="F282" s="5">
        <v>1528.77</v>
      </c>
      <c r="I282" s="19">
        <f t="shared" si="17"/>
        <v>1666</v>
      </c>
      <c r="J282" t="b">
        <f t="shared" si="18"/>
        <v>1</v>
      </c>
      <c r="K282" s="4">
        <f t="shared" si="19"/>
        <v>-8.2370948379351772E-2</v>
      </c>
      <c r="N282"/>
      <c r="P282" t="s">
        <v>805</v>
      </c>
      <c r="Q282">
        <v>171</v>
      </c>
      <c r="R282">
        <v>98.72</v>
      </c>
    </row>
    <row r="283" spans="1:18" hidden="1">
      <c r="A283" t="s">
        <v>1396</v>
      </c>
      <c r="B283" s="55" t="s">
        <v>320</v>
      </c>
      <c r="C283" s="37" t="s">
        <v>321</v>
      </c>
      <c r="D283" s="28">
        <v>1170</v>
      </c>
      <c r="E283" s="19">
        <f t="shared" si="16"/>
        <v>41.785714285714285</v>
      </c>
      <c r="F283" s="5">
        <v>1994.69</v>
      </c>
      <c r="I283" s="19">
        <f t="shared" si="17"/>
        <v>2340</v>
      </c>
      <c r="J283" t="b">
        <f t="shared" si="18"/>
        <v>1</v>
      </c>
      <c r="K283" s="4">
        <f t="shared" si="19"/>
        <v>-0.14756837606837603</v>
      </c>
      <c r="N283"/>
      <c r="P283" t="s">
        <v>1332</v>
      </c>
      <c r="Q283">
        <v>0</v>
      </c>
      <c r="R283">
        <v>0</v>
      </c>
    </row>
    <row r="284" spans="1:18" hidden="1">
      <c r="A284" t="s">
        <v>1396</v>
      </c>
      <c r="B284" s="55" t="s">
        <v>120</v>
      </c>
      <c r="C284" s="37" t="s">
        <v>121</v>
      </c>
      <c r="D284" s="28">
        <v>1296</v>
      </c>
      <c r="E284" s="19">
        <f t="shared" si="16"/>
        <v>46.285714285714285</v>
      </c>
      <c r="F284" s="5">
        <v>1866.33</v>
      </c>
      <c r="I284" s="19">
        <f t="shared" si="17"/>
        <v>2592</v>
      </c>
      <c r="J284" t="b">
        <f t="shared" si="18"/>
        <v>1</v>
      </c>
      <c r="K284" s="4">
        <f t="shared" si="19"/>
        <v>-0.2799652777777778</v>
      </c>
      <c r="N284"/>
      <c r="P284" t="s">
        <v>758</v>
      </c>
      <c r="Q284">
        <v>671</v>
      </c>
      <c r="R284">
        <v>0</v>
      </c>
    </row>
    <row r="285" spans="1:18" hidden="1">
      <c r="A285" t="s">
        <v>1397</v>
      </c>
      <c r="B285" s="55" t="s">
        <v>92</v>
      </c>
      <c r="C285" s="37" t="s">
        <v>93</v>
      </c>
      <c r="D285" s="28">
        <v>1227</v>
      </c>
      <c r="E285" s="19">
        <f t="shared" si="16"/>
        <v>43.821428571428569</v>
      </c>
      <c r="F285" s="5">
        <v>2503.69</v>
      </c>
      <c r="I285" s="19">
        <f t="shared" si="17"/>
        <v>2454</v>
      </c>
      <c r="J285" t="b">
        <f t="shared" si="18"/>
        <v>1</v>
      </c>
      <c r="K285" s="4">
        <f t="shared" si="19"/>
        <v>2.0248573757131183E-2</v>
      </c>
      <c r="N285"/>
      <c r="P285" t="s">
        <v>885</v>
      </c>
      <c r="Q285">
        <v>1758</v>
      </c>
      <c r="R285">
        <v>3478.4</v>
      </c>
    </row>
    <row r="286" spans="1:18" hidden="1">
      <c r="A286" t="s">
        <v>1396</v>
      </c>
      <c r="B286" s="55" t="s">
        <v>104</v>
      </c>
      <c r="C286" s="37" t="s">
        <v>105</v>
      </c>
      <c r="D286" s="28">
        <v>865</v>
      </c>
      <c r="E286" s="19">
        <f t="shared" si="16"/>
        <v>30.892857142857142</v>
      </c>
      <c r="F286" s="5">
        <v>1451.05</v>
      </c>
      <c r="I286" s="19">
        <f t="shared" si="17"/>
        <v>1730</v>
      </c>
      <c r="J286" t="b">
        <f t="shared" si="18"/>
        <v>1</v>
      </c>
      <c r="K286" s="4">
        <f t="shared" si="19"/>
        <v>-0.16124277456647407</v>
      </c>
      <c r="N286"/>
      <c r="P286" t="s">
        <v>731</v>
      </c>
      <c r="Q286">
        <v>1810</v>
      </c>
      <c r="R286">
        <v>2248.7199999999998</v>
      </c>
    </row>
    <row r="287" spans="1:18" hidden="1">
      <c r="A287" t="s">
        <v>1397</v>
      </c>
      <c r="B287" s="55" t="s">
        <v>132</v>
      </c>
      <c r="C287" s="37" t="s">
        <v>133</v>
      </c>
      <c r="D287" s="28">
        <v>763</v>
      </c>
      <c r="E287" s="19">
        <f t="shared" si="16"/>
        <v>27.25</v>
      </c>
      <c r="F287" s="5">
        <v>805.33</v>
      </c>
      <c r="I287" s="19">
        <f t="shared" si="17"/>
        <v>1526</v>
      </c>
      <c r="J287" t="b">
        <f t="shared" si="18"/>
        <v>1</v>
      </c>
      <c r="K287" s="4">
        <f t="shared" si="19"/>
        <v>-0.47226081258191344</v>
      </c>
      <c r="N287"/>
      <c r="P287" t="s">
        <v>1292</v>
      </c>
      <c r="Q287">
        <v>130</v>
      </c>
      <c r="R287">
        <v>0</v>
      </c>
    </row>
    <row r="288" spans="1:18">
      <c r="A288" t="s">
        <v>1398</v>
      </c>
      <c r="B288" s="55" t="s">
        <v>154</v>
      </c>
      <c r="C288" s="37" t="s">
        <v>155</v>
      </c>
      <c r="D288" s="28">
        <v>559</v>
      </c>
      <c r="E288" s="19">
        <f t="shared" si="16"/>
        <v>19.964285714285715</v>
      </c>
      <c r="F288" s="5">
        <v>1528.78</v>
      </c>
      <c r="I288" s="19">
        <f t="shared" si="17"/>
        <v>1118</v>
      </c>
      <c r="J288" t="b">
        <f t="shared" si="18"/>
        <v>0</v>
      </c>
      <c r="K288" s="4">
        <f t="shared" si="19"/>
        <v>0.36742397137745963</v>
      </c>
      <c r="N288"/>
      <c r="P288" t="s">
        <v>855</v>
      </c>
      <c r="Q288">
        <v>1461</v>
      </c>
      <c r="R288">
        <v>3193.14</v>
      </c>
    </row>
    <row r="289" spans="1:18" hidden="1">
      <c r="A289" t="s">
        <v>1398</v>
      </c>
      <c r="B289" s="55" t="s">
        <v>58</v>
      </c>
      <c r="C289" s="37" t="s">
        <v>59</v>
      </c>
      <c r="D289" s="28">
        <v>1502</v>
      </c>
      <c r="E289" s="19">
        <f t="shared" si="16"/>
        <v>53.642857142857146</v>
      </c>
      <c r="F289" s="5">
        <v>2888.65</v>
      </c>
      <c r="I289" s="139">
        <f t="shared" si="17"/>
        <v>3004</v>
      </c>
      <c r="J289" t="b">
        <f t="shared" si="18"/>
        <v>1</v>
      </c>
      <c r="K289" s="4">
        <f t="shared" si="19"/>
        <v>-3.8398801597869459E-2</v>
      </c>
      <c r="N289" s="144"/>
      <c r="P289" t="s">
        <v>895</v>
      </c>
      <c r="Q289">
        <v>898</v>
      </c>
      <c r="R289">
        <v>1140.48</v>
      </c>
    </row>
    <row r="290" spans="1:18">
      <c r="A290" t="s">
        <v>1396</v>
      </c>
      <c r="B290" s="55" t="s">
        <v>62</v>
      </c>
      <c r="C290" s="37" t="s">
        <v>63</v>
      </c>
      <c r="D290" s="28">
        <v>1168</v>
      </c>
      <c r="E290" s="19">
        <f t="shared" si="16"/>
        <v>41.714285714285715</v>
      </c>
      <c r="F290" s="5">
        <v>3131.9</v>
      </c>
      <c r="I290" s="19">
        <f t="shared" si="17"/>
        <v>2336</v>
      </c>
      <c r="J290" t="b">
        <f t="shared" si="18"/>
        <v>0</v>
      </c>
      <c r="K290" s="4">
        <f t="shared" si="19"/>
        <v>0.34071061643835621</v>
      </c>
      <c r="N290"/>
      <c r="P290" t="s">
        <v>871</v>
      </c>
      <c r="Q290">
        <v>767</v>
      </c>
      <c r="R290">
        <v>780.51</v>
      </c>
    </row>
    <row r="291" spans="1:18">
      <c r="A291" t="s">
        <v>1396</v>
      </c>
      <c r="B291" s="55" t="s">
        <v>312</v>
      </c>
      <c r="C291" s="37" t="s">
        <v>313</v>
      </c>
      <c r="D291" s="28">
        <v>112</v>
      </c>
      <c r="E291" s="19">
        <f t="shared" si="16"/>
        <v>4</v>
      </c>
      <c r="F291" s="5">
        <v>502.16</v>
      </c>
      <c r="I291" s="19">
        <f t="shared" si="17"/>
        <v>224</v>
      </c>
      <c r="J291" t="b">
        <f t="shared" si="18"/>
        <v>0</v>
      </c>
      <c r="K291" s="4">
        <f t="shared" si="19"/>
        <v>1.2417857142857143</v>
      </c>
      <c r="N291"/>
      <c r="P291" t="s">
        <v>763</v>
      </c>
      <c r="Q291">
        <v>1069</v>
      </c>
      <c r="R291">
        <v>1609.44</v>
      </c>
    </row>
    <row r="292" spans="1:18" hidden="1">
      <c r="A292" t="s">
        <v>1397</v>
      </c>
      <c r="B292" s="55" t="s">
        <v>252</v>
      </c>
      <c r="C292" s="37" t="s">
        <v>253</v>
      </c>
      <c r="D292" s="28">
        <v>179</v>
      </c>
      <c r="E292" s="19">
        <f t="shared" si="16"/>
        <v>6.3928571428571432</v>
      </c>
      <c r="F292" s="5">
        <v>104.57</v>
      </c>
      <c r="I292" s="19">
        <f t="shared" si="17"/>
        <v>358</v>
      </c>
      <c r="J292" t="b">
        <f t="shared" si="18"/>
        <v>1</v>
      </c>
      <c r="K292" s="4">
        <f t="shared" si="19"/>
        <v>-0.70790502793296084</v>
      </c>
      <c r="N292"/>
      <c r="P292" t="s">
        <v>753</v>
      </c>
      <c r="Q292">
        <v>1050</v>
      </c>
      <c r="R292">
        <v>2642.42</v>
      </c>
    </row>
    <row r="293" spans="1:18" hidden="1">
      <c r="A293" t="s">
        <v>1396</v>
      </c>
      <c r="B293" s="55" t="s">
        <v>40</v>
      </c>
      <c r="C293" s="37" t="s">
        <v>41</v>
      </c>
      <c r="D293" s="28">
        <v>1589</v>
      </c>
      <c r="E293" s="19">
        <f t="shared" si="16"/>
        <v>56.75</v>
      </c>
      <c r="F293" s="5">
        <v>3655.84</v>
      </c>
      <c r="I293" s="151">
        <f t="shared" si="17"/>
        <v>3178</v>
      </c>
      <c r="J293" t="b">
        <f t="shared" si="18"/>
        <v>1</v>
      </c>
      <c r="K293" s="4">
        <f t="shared" si="19"/>
        <v>0.15035871617369412</v>
      </c>
      <c r="N293"/>
      <c r="P293" t="s">
        <v>785</v>
      </c>
      <c r="Q293">
        <v>1599</v>
      </c>
      <c r="R293">
        <v>2462.29</v>
      </c>
    </row>
    <row r="294" spans="1:18">
      <c r="A294" t="s">
        <v>1397</v>
      </c>
      <c r="B294" s="55" t="s">
        <v>98</v>
      </c>
      <c r="C294" s="37" t="s">
        <v>99</v>
      </c>
      <c r="D294" s="28">
        <v>752</v>
      </c>
      <c r="E294" s="19">
        <f t="shared" si="16"/>
        <v>26.857142857142858</v>
      </c>
      <c r="F294" s="5">
        <v>2380.89</v>
      </c>
      <c r="I294" s="19">
        <f t="shared" si="17"/>
        <v>1504</v>
      </c>
      <c r="J294" t="b">
        <f t="shared" si="18"/>
        <v>0</v>
      </c>
      <c r="K294" s="4">
        <f t="shared" si="19"/>
        <v>0.58303856382978725</v>
      </c>
      <c r="N294"/>
      <c r="P294" t="s">
        <v>873</v>
      </c>
      <c r="Q294">
        <v>986</v>
      </c>
      <c r="R294">
        <v>1511.76</v>
      </c>
    </row>
    <row r="295" spans="1:18" hidden="1">
      <c r="A295" t="s">
        <v>1396</v>
      </c>
      <c r="B295" t="s">
        <v>670</v>
      </c>
      <c r="C295" t="s">
        <v>671</v>
      </c>
      <c r="D295" s="19">
        <v>8848</v>
      </c>
      <c r="E295" s="19">
        <f t="shared" si="16"/>
        <v>316</v>
      </c>
      <c r="F295" s="5">
        <v>4514.4399999999996</v>
      </c>
      <c r="I295" s="19">
        <f t="shared" si="17"/>
        <v>17696</v>
      </c>
      <c r="J295" t="b">
        <f t="shared" si="18"/>
        <v>1</v>
      </c>
      <c r="K295" s="4">
        <f t="shared" si="19"/>
        <v>-0.74488924050632921</v>
      </c>
      <c r="N295"/>
      <c r="P295" t="s">
        <v>913</v>
      </c>
      <c r="Q295">
        <v>1097</v>
      </c>
      <c r="R295">
        <v>2322.02</v>
      </c>
    </row>
    <row r="296" spans="1:18" hidden="1">
      <c r="A296" t="s">
        <v>1396</v>
      </c>
      <c r="B296" t="s">
        <v>779</v>
      </c>
      <c r="C296" t="s">
        <v>780</v>
      </c>
      <c r="D296" s="19">
        <v>5783</v>
      </c>
      <c r="E296" s="19">
        <f t="shared" si="16"/>
        <v>206.53571428571428</v>
      </c>
      <c r="F296" s="5">
        <v>7055.14</v>
      </c>
      <c r="I296" s="19">
        <f t="shared" si="17"/>
        <v>11566</v>
      </c>
      <c r="J296" t="b">
        <f t="shared" si="18"/>
        <v>1</v>
      </c>
      <c r="K296" s="4">
        <f t="shared" si="19"/>
        <v>-0.39001037523776583</v>
      </c>
      <c r="N296"/>
      <c r="P296" t="s">
        <v>669</v>
      </c>
      <c r="Q296">
        <v>4451</v>
      </c>
      <c r="R296">
        <v>6429.45</v>
      </c>
    </row>
    <row r="297" spans="1:18" hidden="1">
      <c r="A297" t="s">
        <v>1397</v>
      </c>
      <c r="B297" t="s">
        <v>1399</v>
      </c>
      <c r="C297" t="s">
        <v>1400</v>
      </c>
      <c r="D297" s="19" t="e">
        <v>#N/A</v>
      </c>
      <c r="E297" s="19" t="e">
        <f t="shared" ref="E297:E338" si="20">D297/28</f>
        <v>#N/A</v>
      </c>
      <c r="F297" s="5" t="e">
        <v>#N/A</v>
      </c>
      <c r="I297" s="19" t="e">
        <f t="shared" ref="I297:I338" si="21">IF((D297/28)&gt;100,D297*2,D297*2)</f>
        <v>#N/A</v>
      </c>
      <c r="J297" t="e">
        <f t="shared" ref="J297:J338" si="22">IF(F297&gt;1.2*I297,FALSE,TRUE)</f>
        <v>#N/A</v>
      </c>
      <c r="K297" s="4" t="e">
        <f t="shared" ref="K297:K338" si="23">F297/I297-1</f>
        <v>#N/A</v>
      </c>
      <c r="N297"/>
      <c r="P297" t="s">
        <v>825</v>
      </c>
      <c r="Q297">
        <v>1048</v>
      </c>
      <c r="R297">
        <v>1274.44</v>
      </c>
    </row>
    <row r="298" spans="1:18" hidden="1">
      <c r="A298" t="s">
        <v>1397</v>
      </c>
      <c r="B298" t="s">
        <v>918</v>
      </c>
      <c r="C298" t="s">
        <v>919</v>
      </c>
      <c r="D298" s="19">
        <v>2583</v>
      </c>
      <c r="E298" s="19">
        <f t="shared" si="20"/>
        <v>92.25</v>
      </c>
      <c r="F298" s="5">
        <v>1654.13</v>
      </c>
      <c r="I298" s="154">
        <f t="shared" si="21"/>
        <v>5166</v>
      </c>
      <c r="J298" t="b">
        <f t="shared" si="22"/>
        <v>1</v>
      </c>
      <c r="K298" s="4">
        <f t="shared" si="23"/>
        <v>-0.67980449090205186</v>
      </c>
      <c r="P298" t="s">
        <v>1297</v>
      </c>
      <c r="Q298">
        <v>140</v>
      </c>
      <c r="R298">
        <v>0</v>
      </c>
    </row>
    <row r="299" spans="1:18" hidden="1">
      <c r="A299" t="s">
        <v>1396</v>
      </c>
      <c r="B299" s="149" t="s">
        <v>676</v>
      </c>
      <c r="C299" s="37" t="s">
        <v>677</v>
      </c>
      <c r="D299">
        <v>952</v>
      </c>
      <c r="E299" s="19">
        <f t="shared" si="20"/>
        <v>34</v>
      </c>
      <c r="F299" s="151">
        <v>1245.75</v>
      </c>
      <c r="I299" s="19">
        <f t="shared" si="21"/>
        <v>1904</v>
      </c>
      <c r="J299" t="b">
        <f t="shared" si="22"/>
        <v>1</v>
      </c>
      <c r="K299" s="4">
        <f t="shared" si="23"/>
        <v>-0.3457195378151261</v>
      </c>
      <c r="N299"/>
      <c r="P299" t="s">
        <v>835</v>
      </c>
      <c r="Q299">
        <v>931</v>
      </c>
      <c r="R299">
        <v>1583.03</v>
      </c>
    </row>
    <row r="300" spans="1:18" hidden="1">
      <c r="A300" t="s">
        <v>1398</v>
      </c>
      <c r="B300" t="s">
        <v>955</v>
      </c>
      <c r="C300" t="s">
        <v>956</v>
      </c>
      <c r="D300" s="19">
        <v>7404</v>
      </c>
      <c r="E300" s="19">
        <f t="shared" si="20"/>
        <v>264.42857142857144</v>
      </c>
      <c r="F300" s="5">
        <v>2784.62</v>
      </c>
      <c r="I300" s="19">
        <f t="shared" si="21"/>
        <v>14808</v>
      </c>
      <c r="J300" t="b">
        <f t="shared" si="22"/>
        <v>1</v>
      </c>
      <c r="K300" s="4">
        <f t="shared" si="23"/>
        <v>-0.81195164775796869</v>
      </c>
      <c r="N300"/>
      <c r="P300" t="s">
        <v>809</v>
      </c>
      <c r="Q300">
        <v>348</v>
      </c>
      <c r="R300">
        <v>233.13</v>
      </c>
    </row>
    <row r="301" spans="1:18" hidden="1">
      <c r="A301" t="s">
        <v>1396</v>
      </c>
      <c r="B301" t="s">
        <v>733</v>
      </c>
      <c r="C301" t="s">
        <v>734</v>
      </c>
      <c r="D301" s="19">
        <v>856</v>
      </c>
      <c r="E301" s="19">
        <f t="shared" si="20"/>
        <v>30.571428571428573</v>
      </c>
      <c r="F301" s="5">
        <v>1247.3499999999999</v>
      </c>
      <c r="I301" s="19">
        <f t="shared" si="21"/>
        <v>1712</v>
      </c>
      <c r="J301" t="b">
        <f t="shared" si="22"/>
        <v>1</v>
      </c>
      <c r="K301" s="4">
        <f t="shared" si="23"/>
        <v>-0.27140771028037391</v>
      </c>
      <c r="N301"/>
      <c r="P301" t="s">
        <v>740</v>
      </c>
      <c r="Q301">
        <v>1493</v>
      </c>
      <c r="R301">
        <v>2515.94</v>
      </c>
    </row>
    <row r="302" spans="1:18" hidden="1">
      <c r="A302" t="s">
        <v>1396</v>
      </c>
      <c r="B302" s="24" t="s">
        <v>937</v>
      </c>
      <c r="C302" s="23" t="s">
        <v>938</v>
      </c>
      <c r="D302" s="19">
        <v>1893</v>
      </c>
      <c r="E302" s="19">
        <f t="shared" si="20"/>
        <v>67.607142857142861</v>
      </c>
      <c r="F302" s="5">
        <v>1220.03</v>
      </c>
      <c r="I302" s="19">
        <f t="shared" si="21"/>
        <v>3786</v>
      </c>
      <c r="J302" t="b">
        <f t="shared" si="22"/>
        <v>1</v>
      </c>
      <c r="K302" s="4">
        <f t="shared" si="23"/>
        <v>-0.67775224511357635</v>
      </c>
      <c r="N302"/>
      <c r="P302" t="s">
        <v>675</v>
      </c>
      <c r="Q302">
        <v>1954</v>
      </c>
      <c r="R302">
        <v>2412.92</v>
      </c>
    </row>
    <row r="303" spans="1:18" hidden="1">
      <c r="A303" t="s">
        <v>1397</v>
      </c>
      <c r="B303" s="56" t="s">
        <v>735</v>
      </c>
      <c r="C303" s="37" t="s">
        <v>736</v>
      </c>
      <c r="D303" s="19">
        <v>1321</v>
      </c>
      <c r="E303" s="19">
        <f t="shared" si="20"/>
        <v>47.178571428571431</v>
      </c>
      <c r="F303" s="5">
        <v>2080.81</v>
      </c>
      <c r="I303" s="19">
        <f t="shared" si="21"/>
        <v>2642</v>
      </c>
      <c r="J303" t="b">
        <f t="shared" si="22"/>
        <v>1</v>
      </c>
      <c r="K303" s="4">
        <f t="shared" si="23"/>
        <v>-0.21241105223315671</v>
      </c>
      <c r="N303"/>
      <c r="P303" t="s">
        <v>1400</v>
      </c>
      <c r="Q303">
        <v>595</v>
      </c>
      <c r="R303">
        <v>486.99</v>
      </c>
    </row>
    <row r="304" spans="1:18" hidden="1">
      <c r="A304" t="s">
        <v>1398</v>
      </c>
      <c r="B304" t="s">
        <v>862</v>
      </c>
      <c r="C304" t="s">
        <v>863</v>
      </c>
      <c r="D304" s="19">
        <v>1569</v>
      </c>
      <c r="E304" s="19">
        <f t="shared" si="20"/>
        <v>56.035714285714285</v>
      </c>
      <c r="F304" s="5">
        <v>2953.45</v>
      </c>
      <c r="I304" s="19">
        <f t="shared" si="21"/>
        <v>3138</v>
      </c>
      <c r="J304" t="b">
        <f t="shared" si="22"/>
        <v>1</v>
      </c>
      <c r="K304" s="4">
        <f t="shared" si="23"/>
        <v>-5.8811344805608678E-2</v>
      </c>
      <c r="N304"/>
      <c r="P304" t="s">
        <v>687</v>
      </c>
      <c r="Q304">
        <v>1003</v>
      </c>
      <c r="R304">
        <v>879.2</v>
      </c>
    </row>
    <row r="305" spans="1:18" hidden="1">
      <c r="A305" t="s">
        <v>1396</v>
      </c>
      <c r="B305" t="s">
        <v>878</v>
      </c>
      <c r="C305" t="s">
        <v>879</v>
      </c>
      <c r="D305" s="19">
        <v>1007</v>
      </c>
      <c r="E305" s="19">
        <f t="shared" si="20"/>
        <v>35.964285714285715</v>
      </c>
      <c r="F305" s="5">
        <v>1193.3699999999999</v>
      </c>
      <c r="I305" s="19">
        <f t="shared" si="21"/>
        <v>2014</v>
      </c>
      <c r="J305" t="b">
        <f t="shared" si="22"/>
        <v>1</v>
      </c>
      <c r="K305" s="4">
        <f t="shared" si="23"/>
        <v>-0.40746276067527309</v>
      </c>
      <c r="N305"/>
      <c r="P305" t="s">
        <v>841</v>
      </c>
      <c r="Q305">
        <v>721</v>
      </c>
      <c r="R305">
        <v>855.88</v>
      </c>
    </row>
    <row r="306" spans="1:18" hidden="1">
      <c r="A306" t="s">
        <v>1396</v>
      </c>
      <c r="B306" t="s">
        <v>826</v>
      </c>
      <c r="C306" t="s">
        <v>827</v>
      </c>
      <c r="D306" s="19">
        <v>859</v>
      </c>
      <c r="E306" s="19">
        <f t="shared" si="20"/>
        <v>30.678571428571427</v>
      </c>
      <c r="F306" s="5">
        <v>1258.72</v>
      </c>
      <c r="I306" s="19">
        <f t="shared" si="21"/>
        <v>1718</v>
      </c>
      <c r="J306" t="b">
        <f t="shared" si="22"/>
        <v>1</v>
      </c>
      <c r="K306" s="4">
        <f t="shared" si="23"/>
        <v>-0.26733410942956926</v>
      </c>
      <c r="N306"/>
      <c r="P306" t="s">
        <v>695</v>
      </c>
      <c r="Q306">
        <v>1221</v>
      </c>
      <c r="R306">
        <v>0</v>
      </c>
    </row>
    <row r="307" spans="1:18" hidden="1">
      <c r="A307" t="s">
        <v>1397</v>
      </c>
      <c r="B307" t="s">
        <v>771</v>
      </c>
      <c r="C307" t="s">
        <v>772</v>
      </c>
      <c r="D307" s="19">
        <v>3452</v>
      </c>
      <c r="E307" s="19">
        <f t="shared" si="20"/>
        <v>123.28571428571429</v>
      </c>
      <c r="F307" s="5">
        <v>1769.51</v>
      </c>
      <c r="I307" s="19">
        <f t="shared" si="21"/>
        <v>6904</v>
      </c>
      <c r="J307" t="b">
        <f t="shared" si="22"/>
        <v>1</v>
      </c>
      <c r="K307" s="4">
        <f t="shared" si="23"/>
        <v>-0.7436978563151796</v>
      </c>
      <c r="N307"/>
      <c r="P307" t="s">
        <v>802</v>
      </c>
      <c r="Q307">
        <v>722</v>
      </c>
      <c r="R307">
        <v>486.87</v>
      </c>
    </row>
    <row r="308" spans="1:18" hidden="1">
      <c r="A308" t="s">
        <v>1398</v>
      </c>
      <c r="B308" t="s">
        <v>668</v>
      </c>
      <c r="C308" t="s">
        <v>669</v>
      </c>
      <c r="D308" s="19">
        <v>1412</v>
      </c>
      <c r="E308" s="19">
        <f t="shared" si="20"/>
        <v>50.428571428571431</v>
      </c>
      <c r="F308" s="5">
        <v>2225.1999999999998</v>
      </c>
      <c r="I308" s="19">
        <f t="shared" si="21"/>
        <v>2824</v>
      </c>
      <c r="J308" t="b">
        <f t="shared" si="22"/>
        <v>1</v>
      </c>
      <c r="K308" s="4">
        <f t="shared" si="23"/>
        <v>-0.21203966005665731</v>
      </c>
      <c r="N308"/>
      <c r="P308" t="s">
        <v>897</v>
      </c>
      <c r="Q308">
        <v>1270</v>
      </c>
      <c r="R308">
        <v>2839.08</v>
      </c>
    </row>
    <row r="309" spans="1:18" hidden="1">
      <c r="A309" t="s">
        <v>1396</v>
      </c>
      <c r="B309" t="s">
        <v>953</v>
      </c>
      <c r="C309" t="s">
        <v>954</v>
      </c>
      <c r="D309" s="19">
        <v>4077</v>
      </c>
      <c r="E309" s="19">
        <f t="shared" si="20"/>
        <v>145.60714285714286</v>
      </c>
      <c r="F309" s="5">
        <v>3988.34</v>
      </c>
      <c r="I309" s="139">
        <f t="shared" si="21"/>
        <v>8154</v>
      </c>
      <c r="J309" t="b">
        <f t="shared" si="22"/>
        <v>1</v>
      </c>
      <c r="K309" s="4">
        <f t="shared" si="23"/>
        <v>-0.51087319107186657</v>
      </c>
      <c r="P309" t="s">
        <v>790</v>
      </c>
      <c r="Q309">
        <v>3590</v>
      </c>
      <c r="R309">
        <v>3329.15</v>
      </c>
    </row>
    <row r="310" spans="1:18" hidden="1">
      <c r="A310" t="s">
        <v>1397</v>
      </c>
      <c r="B310" t="s">
        <v>832</v>
      </c>
      <c r="C310" t="s">
        <v>833</v>
      </c>
      <c r="D310" s="19">
        <v>1177</v>
      </c>
      <c r="E310" s="19">
        <f t="shared" si="20"/>
        <v>42.035714285714285</v>
      </c>
      <c r="F310" s="5">
        <v>1575.2</v>
      </c>
      <c r="I310" s="19">
        <f t="shared" si="21"/>
        <v>2354</v>
      </c>
      <c r="J310" t="b">
        <f t="shared" si="22"/>
        <v>1</v>
      </c>
      <c r="K310" s="4">
        <f t="shared" si="23"/>
        <v>-0.33084112149532707</v>
      </c>
      <c r="N310"/>
      <c r="P310" t="s">
        <v>831</v>
      </c>
      <c r="Q310">
        <v>1071</v>
      </c>
      <c r="R310">
        <v>1111.29</v>
      </c>
    </row>
    <row r="311" spans="1:18" hidden="1">
      <c r="A311" t="s">
        <v>1398</v>
      </c>
      <c r="B311" s="27" t="s">
        <v>728</v>
      </c>
      <c r="C311" s="27" t="s">
        <v>729</v>
      </c>
      <c r="D311" s="19">
        <v>1386</v>
      </c>
      <c r="E311" s="19">
        <f t="shared" si="20"/>
        <v>49.5</v>
      </c>
      <c r="F311" s="5">
        <v>2821.59</v>
      </c>
      <c r="I311" s="19">
        <f t="shared" si="21"/>
        <v>2772</v>
      </c>
      <c r="J311" t="b">
        <f t="shared" si="22"/>
        <v>1</v>
      </c>
      <c r="K311" s="4">
        <f t="shared" si="23"/>
        <v>1.7889610389610455E-2</v>
      </c>
      <c r="N311"/>
      <c r="P311" t="s">
        <v>736</v>
      </c>
      <c r="Q311">
        <v>1019</v>
      </c>
      <c r="R311">
        <v>2154.46</v>
      </c>
    </row>
    <row r="312" spans="1:18" hidden="1">
      <c r="A312" t="s">
        <v>1397</v>
      </c>
      <c r="B312" s="5" t="s">
        <v>912</v>
      </c>
      <c r="C312" t="s">
        <v>913</v>
      </c>
      <c r="D312" s="19">
        <v>889</v>
      </c>
      <c r="E312" s="19">
        <f t="shared" si="20"/>
        <v>31.75</v>
      </c>
      <c r="F312" s="5">
        <v>1470.38</v>
      </c>
      <c r="I312" s="19">
        <f t="shared" si="21"/>
        <v>1778</v>
      </c>
      <c r="J312" t="b">
        <f t="shared" si="22"/>
        <v>1</v>
      </c>
      <c r="K312" s="4">
        <f t="shared" si="23"/>
        <v>-0.17301462317210348</v>
      </c>
      <c r="N312"/>
      <c r="P312" t="s">
        <v>837</v>
      </c>
      <c r="Q312">
        <v>2100</v>
      </c>
      <c r="R312">
        <v>2900.04</v>
      </c>
    </row>
    <row r="313" spans="1:18" hidden="1">
      <c r="A313" t="s">
        <v>1398</v>
      </c>
      <c r="B313" t="s">
        <v>762</v>
      </c>
      <c r="C313" t="s">
        <v>763</v>
      </c>
      <c r="D313" s="19">
        <v>1325</v>
      </c>
      <c r="E313" s="19">
        <f t="shared" si="20"/>
        <v>47.321428571428569</v>
      </c>
      <c r="F313" s="5">
        <v>1105.08</v>
      </c>
      <c r="I313" s="19">
        <f t="shared" si="21"/>
        <v>2650</v>
      </c>
      <c r="J313" t="b">
        <f t="shared" si="22"/>
        <v>1</v>
      </c>
      <c r="K313" s="4">
        <f t="shared" si="23"/>
        <v>-0.58298867924528297</v>
      </c>
      <c r="N313"/>
      <c r="P313" t="s">
        <v>867</v>
      </c>
      <c r="Q313">
        <v>2322</v>
      </c>
      <c r="R313">
        <v>2781.16</v>
      </c>
    </row>
    <row r="314" spans="1:18" hidden="1">
      <c r="A314" t="s">
        <v>1396</v>
      </c>
      <c r="B314" t="s">
        <v>777</v>
      </c>
      <c r="C314" t="s">
        <v>778</v>
      </c>
      <c r="D314" s="19">
        <v>902</v>
      </c>
      <c r="E314" s="19">
        <f t="shared" si="20"/>
        <v>32.214285714285715</v>
      </c>
      <c r="F314" s="5">
        <v>1682.37</v>
      </c>
      <c r="I314" s="151">
        <f t="shared" si="21"/>
        <v>1804</v>
      </c>
      <c r="J314" t="b">
        <f t="shared" si="22"/>
        <v>1</v>
      </c>
      <c r="K314" s="4">
        <f t="shared" si="23"/>
        <v>-6.7422394678492314E-2</v>
      </c>
      <c r="N314"/>
      <c r="P314" t="s">
        <v>721</v>
      </c>
      <c r="Q314">
        <v>485</v>
      </c>
      <c r="R314">
        <v>329.07</v>
      </c>
    </row>
    <row r="315" spans="1:18" hidden="1">
      <c r="A315" t="s">
        <v>1398</v>
      </c>
      <c r="B315" t="s">
        <v>718</v>
      </c>
      <c r="C315" t="s">
        <v>719</v>
      </c>
      <c r="D315" s="19">
        <v>3683</v>
      </c>
      <c r="E315" s="19">
        <f t="shared" si="20"/>
        <v>131.53571428571428</v>
      </c>
      <c r="F315" s="5">
        <v>2245.91</v>
      </c>
      <c r="I315" s="19">
        <f t="shared" si="21"/>
        <v>7366</v>
      </c>
      <c r="J315" t="b">
        <f t="shared" si="22"/>
        <v>1</v>
      </c>
      <c r="K315" s="4">
        <f t="shared" si="23"/>
        <v>-0.6950977464023893</v>
      </c>
      <c r="N315"/>
      <c r="P315" t="s">
        <v>713</v>
      </c>
      <c r="Q315">
        <v>1498</v>
      </c>
      <c r="R315">
        <v>723.63</v>
      </c>
    </row>
    <row r="316" spans="1:18" hidden="1">
      <c r="A316" t="s">
        <v>1396</v>
      </c>
      <c r="B316" s="5" t="s">
        <v>916</v>
      </c>
      <c r="C316" s="27" t="s">
        <v>917</v>
      </c>
      <c r="D316" s="19">
        <v>765</v>
      </c>
      <c r="E316" s="19">
        <f t="shared" si="20"/>
        <v>27.321428571428573</v>
      </c>
      <c r="F316" s="5">
        <v>906.31</v>
      </c>
      <c r="I316" s="19">
        <f t="shared" si="21"/>
        <v>1530</v>
      </c>
      <c r="J316" t="b">
        <f t="shared" si="22"/>
        <v>1</v>
      </c>
      <c r="K316" s="4">
        <f t="shared" si="23"/>
        <v>-0.40764052287581698</v>
      </c>
      <c r="N316"/>
      <c r="P316" t="s">
        <v>671</v>
      </c>
      <c r="Q316">
        <v>10278</v>
      </c>
      <c r="R316">
        <v>8437.92</v>
      </c>
    </row>
    <row r="317" spans="1:18" hidden="1">
      <c r="A317" t="s">
        <v>1396</v>
      </c>
      <c r="B317" t="s">
        <v>904</v>
      </c>
      <c r="C317" s="5" t="s">
        <v>905</v>
      </c>
      <c r="D317" s="19">
        <v>1181</v>
      </c>
      <c r="E317" s="19">
        <f t="shared" si="20"/>
        <v>42.178571428571431</v>
      </c>
      <c r="F317" s="5">
        <v>1506.2</v>
      </c>
      <c r="I317" s="19">
        <f t="shared" si="21"/>
        <v>2362</v>
      </c>
      <c r="J317" t="b">
        <f t="shared" si="22"/>
        <v>1</v>
      </c>
      <c r="K317" s="4">
        <f t="shared" si="23"/>
        <v>-0.362320067739204</v>
      </c>
      <c r="N317"/>
      <c r="P317" t="s">
        <v>891</v>
      </c>
      <c r="Q317">
        <v>1468</v>
      </c>
      <c r="R317">
        <v>459.8</v>
      </c>
    </row>
    <row r="318" spans="1:18" hidden="1">
      <c r="A318" t="s">
        <v>1396</v>
      </c>
      <c r="B318" s="27" t="s">
        <v>702</v>
      </c>
      <c r="C318" s="27" t="s">
        <v>703</v>
      </c>
      <c r="D318" s="19">
        <v>967</v>
      </c>
      <c r="E318" s="19">
        <f t="shared" si="20"/>
        <v>34.535714285714285</v>
      </c>
      <c r="F318" s="5">
        <v>1079.6600000000001</v>
      </c>
      <c r="I318" s="19">
        <f t="shared" si="21"/>
        <v>1934</v>
      </c>
      <c r="J318" t="b">
        <f t="shared" si="22"/>
        <v>1</v>
      </c>
      <c r="K318" s="4">
        <f t="shared" si="23"/>
        <v>-0.44174767321613229</v>
      </c>
      <c r="N318"/>
      <c r="P318" t="s">
        <v>833</v>
      </c>
      <c r="Q318">
        <v>1079</v>
      </c>
      <c r="R318">
        <v>2197.5700000000002</v>
      </c>
    </row>
    <row r="319" spans="1:18" hidden="1">
      <c r="A319" t="s">
        <v>1396</v>
      </c>
      <c r="B319" t="s">
        <v>775</v>
      </c>
      <c r="C319" t="s">
        <v>776</v>
      </c>
      <c r="D319" s="19">
        <v>1458</v>
      </c>
      <c r="E319" s="19">
        <f t="shared" si="20"/>
        <v>52.071428571428569</v>
      </c>
      <c r="F319" s="5">
        <v>1045.67</v>
      </c>
      <c r="I319" s="19">
        <f t="shared" si="21"/>
        <v>2916</v>
      </c>
      <c r="J319" t="b">
        <f t="shared" si="22"/>
        <v>1</v>
      </c>
      <c r="K319" s="4">
        <f t="shared" si="23"/>
        <v>-0.64140260631001367</v>
      </c>
      <c r="N319"/>
      <c r="P319" t="s">
        <v>853</v>
      </c>
      <c r="Q319">
        <v>1017</v>
      </c>
      <c r="R319">
        <v>1281.21</v>
      </c>
    </row>
    <row r="320" spans="1:18" hidden="1">
      <c r="A320" t="s">
        <v>1397</v>
      </c>
      <c r="B320" t="s">
        <v>704</v>
      </c>
      <c r="C320" t="s">
        <v>705</v>
      </c>
      <c r="D320" s="19">
        <v>1952</v>
      </c>
      <c r="E320" s="19">
        <f t="shared" si="20"/>
        <v>69.714285714285708</v>
      </c>
      <c r="F320" s="5">
        <v>2260.33</v>
      </c>
      <c r="I320" s="19">
        <f t="shared" si="21"/>
        <v>3904</v>
      </c>
      <c r="J320" t="b">
        <f t="shared" si="22"/>
        <v>1</v>
      </c>
      <c r="K320" s="4">
        <f t="shared" si="23"/>
        <v>-0.42102202868852456</v>
      </c>
      <c r="N320"/>
      <c r="P320" t="s">
        <v>774</v>
      </c>
      <c r="Q320">
        <v>1132</v>
      </c>
      <c r="R320">
        <v>960.15</v>
      </c>
    </row>
    <row r="321" spans="1:18" hidden="1">
      <c r="A321" t="s">
        <v>1398</v>
      </c>
      <c r="B321" t="s">
        <v>690</v>
      </c>
      <c r="C321" t="s">
        <v>691</v>
      </c>
      <c r="D321" s="19">
        <v>726</v>
      </c>
      <c r="E321" s="19">
        <f t="shared" si="20"/>
        <v>25.928571428571427</v>
      </c>
      <c r="F321" s="5">
        <v>200.68</v>
      </c>
      <c r="I321" s="19">
        <f t="shared" si="21"/>
        <v>1452</v>
      </c>
      <c r="J321" t="b">
        <f t="shared" si="22"/>
        <v>1</v>
      </c>
      <c r="K321" s="4">
        <f t="shared" si="23"/>
        <v>-0.86179063360881547</v>
      </c>
      <c r="N321"/>
      <c r="P321" t="s">
        <v>843</v>
      </c>
      <c r="Q321">
        <v>1142</v>
      </c>
      <c r="R321">
        <v>598.61</v>
      </c>
    </row>
    <row r="322" spans="1:18" hidden="1">
      <c r="A322" t="s">
        <v>1396</v>
      </c>
      <c r="B322" t="s">
        <v>664</v>
      </c>
      <c r="C322" t="s">
        <v>665</v>
      </c>
      <c r="D322" s="19">
        <v>1314</v>
      </c>
      <c r="E322" s="19">
        <f t="shared" si="20"/>
        <v>46.928571428571431</v>
      </c>
      <c r="F322" s="5">
        <v>1789.22</v>
      </c>
      <c r="I322" s="19">
        <f t="shared" si="21"/>
        <v>2628</v>
      </c>
      <c r="J322" t="b">
        <f t="shared" si="22"/>
        <v>1</v>
      </c>
      <c r="K322" s="4">
        <f t="shared" si="23"/>
        <v>-0.31917047184170466</v>
      </c>
      <c r="N322"/>
      <c r="P322" t="s">
        <v>749</v>
      </c>
      <c r="Q322">
        <v>1001</v>
      </c>
      <c r="R322">
        <v>1293.8800000000001</v>
      </c>
    </row>
    <row r="323" spans="1:18" hidden="1">
      <c r="A323" t="s">
        <v>1397</v>
      </c>
      <c r="B323" t="s">
        <v>706</v>
      </c>
      <c r="C323" t="s">
        <v>707</v>
      </c>
      <c r="D323" s="19">
        <v>977</v>
      </c>
      <c r="E323" s="19">
        <f t="shared" si="20"/>
        <v>34.892857142857146</v>
      </c>
      <c r="F323" s="5">
        <v>867.88</v>
      </c>
      <c r="I323" s="19">
        <f t="shared" si="21"/>
        <v>1954</v>
      </c>
      <c r="J323" t="b">
        <f t="shared" si="22"/>
        <v>1</v>
      </c>
      <c r="K323" s="4">
        <f t="shared" si="23"/>
        <v>-0.55584442169907877</v>
      </c>
      <c r="N323"/>
      <c r="P323" t="s">
        <v>711</v>
      </c>
      <c r="Q323">
        <v>442</v>
      </c>
      <c r="R323">
        <v>0</v>
      </c>
    </row>
    <row r="324" spans="1:18" hidden="1">
      <c r="A324" t="s">
        <v>1396</v>
      </c>
      <c r="B324" t="s">
        <v>784</v>
      </c>
      <c r="C324" t="s">
        <v>785</v>
      </c>
      <c r="D324" s="19">
        <v>1107</v>
      </c>
      <c r="E324" s="19">
        <f t="shared" si="20"/>
        <v>39.535714285714285</v>
      </c>
      <c r="F324" s="5">
        <v>1156.74</v>
      </c>
      <c r="I324" s="19">
        <f t="shared" si="21"/>
        <v>2214</v>
      </c>
      <c r="J324" t="b">
        <f t="shared" si="22"/>
        <v>1</v>
      </c>
      <c r="K324" s="4">
        <f t="shared" si="23"/>
        <v>-0.47753387533875336</v>
      </c>
      <c r="N324"/>
      <c r="P324" t="s">
        <v>811</v>
      </c>
      <c r="Q324">
        <v>352</v>
      </c>
      <c r="R324">
        <v>304.18</v>
      </c>
    </row>
    <row r="325" spans="1:18">
      <c r="A325" t="s">
        <v>1396</v>
      </c>
      <c r="B325" s="56" t="s">
        <v>716</v>
      </c>
      <c r="C325" s="37" t="s">
        <v>717</v>
      </c>
      <c r="D325" s="19">
        <v>1043</v>
      </c>
      <c r="E325" s="19">
        <f t="shared" si="20"/>
        <v>37.25</v>
      </c>
      <c r="F325" s="5">
        <v>2791.15</v>
      </c>
      <c r="I325" s="19">
        <f t="shared" si="21"/>
        <v>2086</v>
      </c>
      <c r="J325" t="b">
        <f t="shared" si="22"/>
        <v>0</v>
      </c>
      <c r="K325" s="4">
        <f>F325/I325-1</f>
        <v>0.33803930968360496</v>
      </c>
      <c r="N325"/>
      <c r="P325" t="s">
        <v>1401</v>
      </c>
      <c r="Q325">
        <v>433</v>
      </c>
      <c r="R325">
        <v>283.95999999999998</v>
      </c>
    </row>
    <row r="326" spans="1:18" hidden="1">
      <c r="A326" t="s">
        <v>1396</v>
      </c>
      <c r="B326" t="s">
        <v>730</v>
      </c>
      <c r="C326" t="s">
        <v>731</v>
      </c>
      <c r="D326" s="19">
        <v>1038</v>
      </c>
      <c r="E326" s="19">
        <f t="shared" si="20"/>
        <v>37.071428571428569</v>
      </c>
      <c r="F326" s="5">
        <v>521.24</v>
      </c>
      <c r="I326" s="19">
        <f t="shared" si="21"/>
        <v>2076</v>
      </c>
      <c r="J326" t="b">
        <f t="shared" si="22"/>
        <v>1</v>
      </c>
      <c r="K326" s="4">
        <f t="shared" si="23"/>
        <v>-0.74892100192678224</v>
      </c>
      <c r="N326"/>
      <c r="P326" t="s">
        <v>907</v>
      </c>
      <c r="Q326">
        <v>1773</v>
      </c>
      <c r="R326">
        <v>658.97</v>
      </c>
    </row>
    <row r="327" spans="1:18" hidden="1">
      <c r="A327" t="s">
        <v>1396</v>
      </c>
      <c r="B327" t="s">
        <v>748</v>
      </c>
      <c r="C327" t="s">
        <v>749</v>
      </c>
      <c r="D327" s="19">
        <v>728</v>
      </c>
      <c r="E327" s="19">
        <f t="shared" si="20"/>
        <v>26</v>
      </c>
      <c r="F327" s="5">
        <v>1123.22</v>
      </c>
      <c r="I327" s="19">
        <f t="shared" si="21"/>
        <v>1456</v>
      </c>
      <c r="J327" t="b">
        <f t="shared" si="22"/>
        <v>1</v>
      </c>
      <c r="K327" s="4">
        <f t="shared" si="23"/>
        <v>-0.2285576923076923</v>
      </c>
      <c r="N327"/>
      <c r="P327" t="s">
        <v>956</v>
      </c>
      <c r="Q327">
        <v>4088</v>
      </c>
      <c r="R327">
        <v>1357.7</v>
      </c>
    </row>
    <row r="328" spans="1:18" hidden="1">
      <c r="A328" t="s">
        <v>1396</v>
      </c>
      <c r="B328" t="s">
        <v>782</v>
      </c>
      <c r="C328" t="s">
        <v>783</v>
      </c>
      <c r="D328" s="19">
        <v>551</v>
      </c>
      <c r="E328" s="19">
        <f t="shared" si="20"/>
        <v>19.678571428571427</v>
      </c>
      <c r="F328" s="5">
        <v>414.74</v>
      </c>
      <c r="I328" s="19">
        <f t="shared" si="21"/>
        <v>1102</v>
      </c>
      <c r="J328" t="b">
        <f t="shared" si="22"/>
        <v>1</v>
      </c>
      <c r="K328" s="4">
        <f t="shared" si="23"/>
        <v>-0.62364791288566246</v>
      </c>
      <c r="N328"/>
      <c r="P328" t="s">
        <v>813</v>
      </c>
      <c r="Q328">
        <v>307</v>
      </c>
      <c r="R328">
        <v>316.98</v>
      </c>
    </row>
    <row r="329" spans="1:18" hidden="1">
      <c r="A329" t="s">
        <v>1396</v>
      </c>
      <c r="B329" t="s">
        <v>755</v>
      </c>
      <c r="C329" t="s">
        <v>756</v>
      </c>
      <c r="D329" s="19">
        <v>370</v>
      </c>
      <c r="E329" s="19">
        <f t="shared" si="20"/>
        <v>13.214285714285714</v>
      </c>
      <c r="F329" s="5">
        <v>292.25</v>
      </c>
      <c r="I329" s="19">
        <f t="shared" si="21"/>
        <v>740</v>
      </c>
      <c r="J329" t="b">
        <f t="shared" si="22"/>
        <v>1</v>
      </c>
      <c r="K329" s="4">
        <f t="shared" si="23"/>
        <v>-0.60506756756756763</v>
      </c>
      <c r="N329"/>
      <c r="P329" t="s">
        <v>903</v>
      </c>
      <c r="Q329">
        <v>1359</v>
      </c>
      <c r="R329">
        <v>2670.18</v>
      </c>
    </row>
    <row r="330" spans="1:18" hidden="1">
      <c r="A330" t="s">
        <v>1396</v>
      </c>
      <c r="B330" t="s">
        <v>852</v>
      </c>
      <c r="C330" t="s">
        <v>853</v>
      </c>
      <c r="D330" s="19">
        <v>907</v>
      </c>
      <c r="E330" s="19">
        <f t="shared" si="20"/>
        <v>32.392857142857146</v>
      </c>
      <c r="F330" s="5">
        <v>691.05</v>
      </c>
      <c r="I330" s="19">
        <f t="shared" si="21"/>
        <v>1814</v>
      </c>
      <c r="J330" t="b">
        <f t="shared" si="22"/>
        <v>1</v>
      </c>
      <c r="K330" s="4">
        <f t="shared" si="23"/>
        <v>-0.6190463065049614</v>
      </c>
      <c r="N330"/>
      <c r="P330" t="s">
        <v>719</v>
      </c>
      <c r="Q330">
        <v>4341</v>
      </c>
      <c r="R330">
        <v>5128.26</v>
      </c>
    </row>
    <row r="331" spans="1:18" hidden="1">
      <c r="A331" t="s">
        <v>1396</v>
      </c>
      <c r="B331" t="s">
        <v>700</v>
      </c>
      <c r="C331" t="s">
        <v>701</v>
      </c>
      <c r="D331" s="19">
        <v>1116</v>
      </c>
      <c r="E331" s="19">
        <f t="shared" si="20"/>
        <v>39.857142857142854</v>
      </c>
      <c r="F331" s="5">
        <v>1315.27</v>
      </c>
      <c r="I331" s="19">
        <f t="shared" si="21"/>
        <v>2232</v>
      </c>
      <c r="J331" t="b">
        <f t="shared" si="22"/>
        <v>1</v>
      </c>
      <c r="K331" s="4">
        <f t="shared" si="23"/>
        <v>-0.41072132616487456</v>
      </c>
      <c r="N331"/>
      <c r="P331" t="s">
        <v>942</v>
      </c>
      <c r="Q331">
        <v>2197</v>
      </c>
      <c r="R331">
        <v>3365.88</v>
      </c>
    </row>
    <row r="332" spans="1:18" hidden="1">
      <c r="A332" t="s">
        <v>1398</v>
      </c>
      <c r="B332" t="s">
        <v>752</v>
      </c>
      <c r="C332" t="s">
        <v>753</v>
      </c>
      <c r="D332" s="19">
        <v>921</v>
      </c>
      <c r="E332" s="19">
        <f t="shared" si="20"/>
        <v>32.892857142857146</v>
      </c>
      <c r="F332" s="5">
        <v>1794.01</v>
      </c>
      <c r="I332" s="19">
        <f t="shared" si="21"/>
        <v>1842</v>
      </c>
      <c r="J332" t="b">
        <f t="shared" si="22"/>
        <v>1</v>
      </c>
      <c r="K332" s="4">
        <f t="shared" si="23"/>
        <v>-2.6053203040173778E-2</v>
      </c>
      <c r="N332"/>
      <c r="P332" t="s">
        <v>815</v>
      </c>
      <c r="Q332">
        <v>680</v>
      </c>
      <c r="R332">
        <v>313.06</v>
      </c>
    </row>
    <row r="333" spans="1:18" hidden="1">
      <c r="A333" t="s">
        <v>1396</v>
      </c>
      <c r="B333" s="5" t="s">
        <v>764</v>
      </c>
      <c r="C333" s="5" t="s">
        <v>765</v>
      </c>
      <c r="D333" s="19">
        <v>1644</v>
      </c>
      <c r="E333" s="19">
        <f t="shared" si="20"/>
        <v>58.714285714285715</v>
      </c>
      <c r="F333" s="5">
        <v>1396.15</v>
      </c>
      <c r="I333" s="19">
        <f t="shared" si="21"/>
        <v>3288</v>
      </c>
      <c r="J333" t="b">
        <f t="shared" si="22"/>
        <v>1</v>
      </c>
      <c r="K333" s="4">
        <f t="shared" si="23"/>
        <v>-0.57538017031630173</v>
      </c>
      <c r="N333"/>
      <c r="P333" t="s">
        <v>944</v>
      </c>
      <c r="Q333">
        <v>556</v>
      </c>
      <c r="R333">
        <v>825.59</v>
      </c>
    </row>
    <row r="334" spans="1:18" hidden="1">
      <c r="A334" t="s">
        <v>1396</v>
      </c>
      <c r="B334" t="s">
        <v>842</v>
      </c>
      <c r="C334" s="27" t="s">
        <v>843</v>
      </c>
      <c r="D334" s="19">
        <v>951</v>
      </c>
      <c r="E334" s="19">
        <f t="shared" si="20"/>
        <v>33.964285714285715</v>
      </c>
      <c r="F334" s="19">
        <v>1093.54</v>
      </c>
      <c r="I334" s="19">
        <f t="shared" si="21"/>
        <v>1902</v>
      </c>
      <c r="J334" t="b">
        <f t="shared" si="22"/>
        <v>1</v>
      </c>
      <c r="K334" s="4">
        <f t="shared" si="23"/>
        <v>-0.42505783385909568</v>
      </c>
      <c r="N334"/>
      <c r="P334" t="s">
        <v>723</v>
      </c>
      <c r="Q334">
        <v>709</v>
      </c>
      <c r="R334">
        <v>343.68</v>
      </c>
    </row>
    <row r="335" spans="1:18" hidden="1">
      <c r="A335" t="s">
        <v>1398</v>
      </c>
      <c r="B335" t="s">
        <v>850</v>
      </c>
      <c r="C335" t="s">
        <v>851</v>
      </c>
      <c r="D335" s="19">
        <v>1365</v>
      </c>
      <c r="E335" s="19">
        <f t="shared" si="20"/>
        <v>48.75</v>
      </c>
      <c r="F335" s="5">
        <v>1353.3</v>
      </c>
      <c r="I335" s="151">
        <f t="shared" si="21"/>
        <v>2730</v>
      </c>
      <c r="J335" t="b">
        <f t="shared" si="22"/>
        <v>1</v>
      </c>
      <c r="K335" s="4">
        <f t="shared" si="23"/>
        <v>-0.50428571428571423</v>
      </c>
      <c r="N335"/>
      <c r="P335" t="s">
        <v>940</v>
      </c>
      <c r="Q335">
        <v>1391</v>
      </c>
      <c r="R335">
        <v>753.72</v>
      </c>
    </row>
    <row r="336" spans="1:18" hidden="1">
      <c r="A336" t="s">
        <v>1398</v>
      </c>
      <c r="B336" t="s">
        <v>906</v>
      </c>
      <c r="C336" t="s">
        <v>907</v>
      </c>
      <c r="D336" s="19">
        <v>1755</v>
      </c>
      <c r="E336" s="19">
        <f t="shared" si="20"/>
        <v>62.678571428571431</v>
      </c>
      <c r="F336" s="5">
        <v>603.26</v>
      </c>
      <c r="I336" s="19">
        <f t="shared" si="21"/>
        <v>3510</v>
      </c>
      <c r="J336" t="b">
        <f t="shared" si="22"/>
        <v>1</v>
      </c>
      <c r="K336" s="4">
        <f t="shared" si="23"/>
        <v>-0.82813105413105415</v>
      </c>
      <c r="N336"/>
      <c r="P336" t="s">
        <v>950</v>
      </c>
      <c r="Q336">
        <v>994</v>
      </c>
      <c r="R336">
        <v>2606.08</v>
      </c>
    </row>
    <row r="337" spans="1:18" hidden="1">
      <c r="A337" t="s">
        <v>1397</v>
      </c>
      <c r="B337" t="s">
        <v>686</v>
      </c>
      <c r="C337" t="s">
        <v>687</v>
      </c>
      <c r="D337" s="19">
        <v>1158</v>
      </c>
      <c r="E337" s="19">
        <f t="shared" si="20"/>
        <v>41.357142857142854</v>
      </c>
      <c r="F337" s="5">
        <v>886.11</v>
      </c>
      <c r="I337" s="19">
        <f t="shared" si="21"/>
        <v>2316</v>
      </c>
      <c r="J337" t="b">
        <f t="shared" si="22"/>
        <v>1</v>
      </c>
      <c r="K337" s="4">
        <f t="shared" si="23"/>
        <v>-0.6173963730569948</v>
      </c>
      <c r="N337"/>
      <c r="P337" t="s">
        <v>767</v>
      </c>
      <c r="Q337">
        <v>2392</v>
      </c>
      <c r="R337">
        <v>3804.61</v>
      </c>
    </row>
    <row r="338" spans="1:18" hidden="1">
      <c r="A338" t="s">
        <v>1398</v>
      </c>
      <c r="B338" t="s">
        <v>666</v>
      </c>
      <c r="C338" t="s">
        <v>667</v>
      </c>
      <c r="D338" s="19">
        <v>3838</v>
      </c>
      <c r="E338" s="19">
        <f t="shared" si="20"/>
        <v>137.07142857142858</v>
      </c>
      <c r="F338" s="5">
        <v>4747.54</v>
      </c>
      <c r="I338" s="19">
        <f t="shared" si="21"/>
        <v>7676</v>
      </c>
      <c r="J338" t="b">
        <f t="shared" si="22"/>
        <v>1</v>
      </c>
      <c r="K338" s="4">
        <f t="shared" si="23"/>
        <v>-0.3815085982282439</v>
      </c>
      <c r="N338"/>
      <c r="P338" t="s">
        <v>859</v>
      </c>
      <c r="Q338">
        <v>968</v>
      </c>
      <c r="R338">
        <v>2030.96</v>
      </c>
    </row>
    <row r="339" spans="1:18" hidden="1">
      <c r="A339" t="s">
        <v>1396</v>
      </c>
      <c r="B339" t="s">
        <v>793</v>
      </c>
      <c r="C339" t="s">
        <v>794</v>
      </c>
      <c r="D339" s="19">
        <v>0</v>
      </c>
      <c r="E339" s="19">
        <f t="shared" ref="E339:E361" si="24">D339/28</f>
        <v>0</v>
      </c>
      <c r="F339" s="5">
        <v>0</v>
      </c>
      <c r="I339" s="19">
        <f t="shared" ref="I339:I402" si="25">IF((D339/28)&gt;100,D339*2,D339*2)</f>
        <v>0</v>
      </c>
      <c r="J339" t="b">
        <f t="shared" ref="J339:J362" si="26">IF(F339&gt;1.2*I339,FALSE,TRUE)</f>
        <v>1</v>
      </c>
      <c r="K339" s="4" t="e">
        <f t="shared" ref="K339:K362" si="27">F339/I339-1</f>
        <v>#DIV/0!</v>
      </c>
      <c r="N339"/>
      <c r="P339" t="s">
        <v>691</v>
      </c>
      <c r="Q339">
        <v>1050</v>
      </c>
      <c r="R339">
        <v>214.39</v>
      </c>
    </row>
    <row r="340" spans="1:18" hidden="1">
      <c r="A340" t="s">
        <v>1397</v>
      </c>
      <c r="B340" t="s">
        <v>834</v>
      </c>
      <c r="C340" t="s">
        <v>835</v>
      </c>
      <c r="D340" s="19">
        <v>705</v>
      </c>
      <c r="E340" s="19">
        <f t="shared" si="24"/>
        <v>25.178571428571427</v>
      </c>
      <c r="F340" s="5">
        <v>1028.43</v>
      </c>
      <c r="I340" s="19">
        <f t="shared" si="25"/>
        <v>1410</v>
      </c>
      <c r="J340" t="b">
        <f t="shared" si="26"/>
        <v>1</v>
      </c>
      <c r="K340" s="4">
        <f t="shared" si="27"/>
        <v>-0.2706170212765957</v>
      </c>
      <c r="N340"/>
      <c r="P340" t="s">
        <v>681</v>
      </c>
      <c r="Q340">
        <v>932</v>
      </c>
      <c r="R340">
        <v>1821.75</v>
      </c>
    </row>
    <row r="341" spans="1:18" hidden="1">
      <c r="A341" t="s">
        <v>1396</v>
      </c>
      <c r="B341" t="s">
        <v>860</v>
      </c>
      <c r="C341" t="s">
        <v>861</v>
      </c>
      <c r="D341" s="19">
        <v>1174</v>
      </c>
      <c r="E341" s="19">
        <f t="shared" si="24"/>
        <v>41.928571428571431</v>
      </c>
      <c r="F341" s="5">
        <v>900.98</v>
      </c>
      <c r="I341" s="19">
        <f t="shared" si="25"/>
        <v>2348</v>
      </c>
      <c r="J341" t="b">
        <f t="shared" si="26"/>
        <v>1</v>
      </c>
      <c r="K341" s="4">
        <f t="shared" si="27"/>
        <v>-0.61627768313458264</v>
      </c>
      <c r="N341"/>
      <c r="P341" t="s">
        <v>717</v>
      </c>
      <c r="Q341">
        <v>2202</v>
      </c>
      <c r="R341">
        <v>4728.72</v>
      </c>
    </row>
    <row r="342" spans="1:18" hidden="1">
      <c r="A342" t="s">
        <v>1398</v>
      </c>
      <c r="B342" s="27" t="s">
        <v>957</v>
      </c>
      <c r="C342" t="s">
        <v>958</v>
      </c>
      <c r="D342" s="19">
        <v>1005</v>
      </c>
      <c r="E342" s="19">
        <f t="shared" si="24"/>
        <v>35.892857142857146</v>
      </c>
      <c r="F342" s="5">
        <v>2305.23</v>
      </c>
      <c r="I342" s="139">
        <f t="shared" si="25"/>
        <v>2010</v>
      </c>
      <c r="J342" t="b">
        <f t="shared" si="26"/>
        <v>1</v>
      </c>
      <c r="K342" s="4">
        <f t="shared" si="27"/>
        <v>0.1468805970149254</v>
      </c>
      <c r="P342" t="s">
        <v>861</v>
      </c>
      <c r="Q342">
        <v>1002</v>
      </c>
      <c r="R342">
        <v>1222.03</v>
      </c>
    </row>
    <row r="343" spans="1:18" hidden="1">
      <c r="A343" t="s">
        <v>1397</v>
      </c>
      <c r="B343" s="55" t="s">
        <v>898</v>
      </c>
      <c r="C343" s="37" t="s">
        <v>899</v>
      </c>
      <c r="D343">
        <v>139</v>
      </c>
      <c r="E343" s="19">
        <f t="shared" si="24"/>
        <v>4.9642857142857144</v>
      </c>
      <c r="F343" s="151">
        <v>284.32</v>
      </c>
      <c r="I343" s="19">
        <f t="shared" si="25"/>
        <v>278</v>
      </c>
      <c r="J343" t="b">
        <f t="shared" si="26"/>
        <v>1</v>
      </c>
      <c r="K343" s="4">
        <f t="shared" si="27"/>
        <v>2.2733812949640164E-2</v>
      </c>
      <c r="N343"/>
      <c r="P343" t="s">
        <v>729</v>
      </c>
      <c r="Q343">
        <v>871</v>
      </c>
      <c r="R343">
        <v>1788.28</v>
      </c>
    </row>
    <row r="344" spans="1:18" hidden="1">
      <c r="A344" t="s">
        <v>1397</v>
      </c>
      <c r="B344" t="s">
        <v>816</v>
      </c>
      <c r="C344" t="s">
        <v>817</v>
      </c>
      <c r="D344" s="19">
        <v>509</v>
      </c>
      <c r="E344" s="19">
        <f t="shared" si="24"/>
        <v>18.178571428571427</v>
      </c>
      <c r="F344" s="5">
        <v>315.72000000000003</v>
      </c>
      <c r="I344" s="19">
        <f t="shared" si="25"/>
        <v>1018</v>
      </c>
      <c r="J344" t="b">
        <f t="shared" si="26"/>
        <v>1</v>
      </c>
      <c r="K344" s="4">
        <f t="shared" si="27"/>
        <v>-0.68986247544204327</v>
      </c>
      <c r="N344"/>
      <c r="Q344">
        <v>0</v>
      </c>
      <c r="R344">
        <v>0</v>
      </c>
    </row>
    <row r="345" spans="1:18" hidden="1">
      <c r="A345" t="s">
        <v>1396</v>
      </c>
      <c r="B345" s="54" t="s">
        <v>741</v>
      </c>
      <c r="C345" s="37" t="s">
        <v>742</v>
      </c>
      <c r="D345" s="19">
        <v>1184</v>
      </c>
      <c r="E345" s="19">
        <f t="shared" si="24"/>
        <v>42.285714285714285</v>
      </c>
      <c r="F345" s="5">
        <v>1495.52</v>
      </c>
      <c r="I345" s="19">
        <f t="shared" si="25"/>
        <v>2368</v>
      </c>
      <c r="J345" t="b">
        <f t="shared" si="26"/>
        <v>1</v>
      </c>
      <c r="K345" s="4">
        <f t="shared" si="27"/>
        <v>-0.36844594594594593</v>
      </c>
      <c r="N345"/>
      <c r="Q345">
        <v>0</v>
      </c>
      <c r="R345">
        <v>0</v>
      </c>
    </row>
    <row r="346" spans="1:18" hidden="1">
      <c r="A346" t="s">
        <v>1398</v>
      </c>
      <c r="B346" t="s">
        <v>882</v>
      </c>
      <c r="C346" t="s">
        <v>883</v>
      </c>
      <c r="D346" s="19">
        <v>1006</v>
      </c>
      <c r="E346" s="19">
        <f t="shared" si="24"/>
        <v>35.928571428571431</v>
      </c>
      <c r="F346" s="5">
        <v>842.13</v>
      </c>
      <c r="I346" s="19">
        <f t="shared" si="25"/>
        <v>2012</v>
      </c>
      <c r="J346" t="b">
        <f t="shared" si="26"/>
        <v>1</v>
      </c>
      <c r="K346" s="4">
        <f t="shared" si="27"/>
        <v>-0.5814463220675945</v>
      </c>
      <c r="N346"/>
      <c r="Q346">
        <v>0</v>
      </c>
      <c r="R346">
        <v>0</v>
      </c>
    </row>
    <row r="347" spans="1:18" hidden="1">
      <c r="A347" t="s">
        <v>1397</v>
      </c>
      <c r="B347" t="s">
        <v>822</v>
      </c>
      <c r="C347" t="s">
        <v>823</v>
      </c>
      <c r="D347" s="19">
        <v>1802</v>
      </c>
      <c r="E347" s="19">
        <f t="shared" si="24"/>
        <v>64.357142857142861</v>
      </c>
      <c r="F347" s="5">
        <v>2773.72</v>
      </c>
      <c r="I347" s="19">
        <f t="shared" si="25"/>
        <v>3604</v>
      </c>
      <c r="J347" t="b">
        <f t="shared" si="26"/>
        <v>1</v>
      </c>
      <c r="K347" s="4">
        <f t="shared" si="27"/>
        <v>-0.23037735849056606</v>
      </c>
      <c r="N347"/>
      <c r="Q347">
        <v>0</v>
      </c>
      <c r="R347">
        <v>0</v>
      </c>
    </row>
    <row r="348" spans="1:18" hidden="1">
      <c r="A348" t="s">
        <v>1396</v>
      </c>
      <c r="B348" s="27" t="s">
        <v>910</v>
      </c>
      <c r="C348" s="27" t="s">
        <v>911</v>
      </c>
      <c r="D348" s="19">
        <v>438</v>
      </c>
      <c r="E348" s="19">
        <f t="shared" si="24"/>
        <v>15.642857142857142</v>
      </c>
      <c r="F348" s="5">
        <v>844.15</v>
      </c>
      <c r="I348" s="154">
        <f t="shared" si="25"/>
        <v>876</v>
      </c>
      <c r="J348" t="b">
        <f t="shared" si="26"/>
        <v>1</v>
      </c>
      <c r="K348" s="4">
        <f t="shared" si="27"/>
        <v>-3.6358447488584522E-2</v>
      </c>
      <c r="N348"/>
      <c r="Q348">
        <v>0</v>
      </c>
      <c r="R348">
        <v>0</v>
      </c>
    </row>
    <row r="349" spans="1:18" hidden="1">
      <c r="A349" t="s">
        <v>1397</v>
      </c>
      <c r="B349" t="s">
        <v>692</v>
      </c>
      <c r="C349" t="s">
        <v>693</v>
      </c>
      <c r="D349" s="19">
        <v>2429</v>
      </c>
      <c r="E349" s="19">
        <f t="shared" si="24"/>
        <v>86.75</v>
      </c>
      <c r="F349" s="5">
        <v>2854.78</v>
      </c>
      <c r="I349" s="151">
        <f t="shared" si="25"/>
        <v>4858</v>
      </c>
      <c r="J349" t="b">
        <f t="shared" si="26"/>
        <v>1</v>
      </c>
      <c r="K349" s="4">
        <f t="shared" si="27"/>
        <v>-0.41235487855084396</v>
      </c>
      <c r="N349"/>
      <c r="P349" t="s">
        <v>994</v>
      </c>
      <c r="Q349">
        <v>2357</v>
      </c>
      <c r="R349">
        <v>4551.13</v>
      </c>
    </row>
    <row r="350" spans="1:18" hidden="1">
      <c r="A350" t="s">
        <v>1396</v>
      </c>
      <c r="B350" t="s">
        <v>836</v>
      </c>
      <c r="C350" t="s">
        <v>837</v>
      </c>
      <c r="D350" s="19">
        <v>1811</v>
      </c>
      <c r="E350" s="19">
        <f t="shared" si="24"/>
        <v>64.678571428571431</v>
      </c>
      <c r="F350" s="5">
        <v>2150.2399999999998</v>
      </c>
      <c r="I350" s="19">
        <f t="shared" si="25"/>
        <v>3622</v>
      </c>
      <c r="J350" t="b">
        <f t="shared" si="26"/>
        <v>1</v>
      </c>
      <c r="K350" s="4">
        <f t="shared" si="27"/>
        <v>-0.40633903920485925</v>
      </c>
      <c r="N350"/>
      <c r="P350" t="s">
        <v>977</v>
      </c>
      <c r="Q350">
        <v>1605</v>
      </c>
      <c r="R350">
        <v>1997.57</v>
      </c>
    </row>
    <row r="351" spans="1:18" hidden="1">
      <c r="A351" t="s">
        <v>1396</v>
      </c>
      <c r="B351" t="s">
        <v>830</v>
      </c>
      <c r="C351" t="s">
        <v>831</v>
      </c>
      <c r="D351" s="19">
        <v>1080</v>
      </c>
      <c r="E351" s="19">
        <f t="shared" si="24"/>
        <v>38.571428571428569</v>
      </c>
      <c r="F351" s="5">
        <v>728.29</v>
      </c>
      <c r="I351" s="154">
        <f t="shared" si="25"/>
        <v>2160</v>
      </c>
      <c r="J351" t="b">
        <f t="shared" si="26"/>
        <v>1</v>
      </c>
      <c r="K351" s="4">
        <f t="shared" si="27"/>
        <v>-0.66282870370370373</v>
      </c>
      <c r="N351"/>
      <c r="P351" t="s">
        <v>1163</v>
      </c>
      <c r="Q351">
        <v>2820</v>
      </c>
      <c r="R351">
        <v>5352.41</v>
      </c>
    </row>
    <row r="352" spans="1:18" hidden="1">
      <c r="A352" t="s">
        <v>1398</v>
      </c>
      <c r="B352" t="s">
        <v>737</v>
      </c>
      <c r="C352" t="s">
        <v>738</v>
      </c>
      <c r="D352" s="19">
        <v>961</v>
      </c>
      <c r="E352" s="19">
        <f t="shared" si="24"/>
        <v>34.321428571428569</v>
      </c>
      <c r="F352" s="5">
        <v>1602.86</v>
      </c>
      <c r="I352" s="19">
        <f t="shared" si="25"/>
        <v>1922</v>
      </c>
      <c r="J352" t="b">
        <f t="shared" si="26"/>
        <v>1</v>
      </c>
      <c r="K352" s="4">
        <f t="shared" si="27"/>
        <v>-0.16604578563995842</v>
      </c>
      <c r="N352"/>
      <c r="P352" t="s">
        <v>1198</v>
      </c>
      <c r="Q352">
        <v>4202</v>
      </c>
      <c r="R352">
        <v>3829.56</v>
      </c>
    </row>
    <row r="353" spans="1:18" hidden="1">
      <c r="A353" t="s">
        <v>1397</v>
      </c>
      <c r="B353" t="s">
        <v>888</v>
      </c>
      <c r="C353" t="s">
        <v>889</v>
      </c>
      <c r="D353" s="19">
        <v>1461</v>
      </c>
      <c r="E353" s="19">
        <f t="shared" si="24"/>
        <v>52.178571428571431</v>
      </c>
      <c r="F353" s="5">
        <v>1345.92</v>
      </c>
      <c r="I353" s="19">
        <f t="shared" si="25"/>
        <v>2922</v>
      </c>
      <c r="J353" t="b">
        <f t="shared" si="26"/>
        <v>1</v>
      </c>
      <c r="K353" s="4">
        <f t="shared" si="27"/>
        <v>-0.5393839835728953</v>
      </c>
      <c r="N353"/>
      <c r="P353" t="s">
        <v>1060</v>
      </c>
      <c r="Q353">
        <v>1460</v>
      </c>
      <c r="R353">
        <v>3168.75</v>
      </c>
    </row>
    <row r="354" spans="1:18" hidden="1">
      <c r="A354" t="s">
        <v>1396</v>
      </c>
      <c r="B354" t="s">
        <v>846</v>
      </c>
      <c r="C354" t="s">
        <v>847</v>
      </c>
      <c r="D354" s="19">
        <v>393</v>
      </c>
      <c r="E354" s="19">
        <f t="shared" si="24"/>
        <v>14.035714285714286</v>
      </c>
      <c r="F354" s="5">
        <v>404.7</v>
      </c>
      <c r="I354" s="19">
        <f t="shared" si="25"/>
        <v>786</v>
      </c>
      <c r="J354" t="b">
        <f t="shared" si="26"/>
        <v>1</v>
      </c>
      <c r="K354" s="4">
        <f t="shared" si="27"/>
        <v>-0.48511450381679388</v>
      </c>
      <c r="N354"/>
      <c r="P354" t="s">
        <v>1156</v>
      </c>
      <c r="Q354">
        <v>871</v>
      </c>
      <c r="R354">
        <v>1459.05</v>
      </c>
    </row>
    <row r="355" spans="1:18" hidden="1">
      <c r="A355" t="s">
        <v>1396</v>
      </c>
      <c r="B355" t="s">
        <v>892</v>
      </c>
      <c r="C355" t="s">
        <v>893</v>
      </c>
      <c r="D355" s="19">
        <v>874</v>
      </c>
      <c r="E355" s="19">
        <f t="shared" si="24"/>
        <v>31.214285714285715</v>
      </c>
      <c r="F355" s="5">
        <v>1719.3400000000001</v>
      </c>
      <c r="I355" s="154">
        <f t="shared" si="25"/>
        <v>1748</v>
      </c>
      <c r="J355" t="b">
        <f t="shared" si="26"/>
        <v>1</v>
      </c>
      <c r="K355" s="4">
        <f t="shared" si="27"/>
        <v>-1.6395881006864954E-2</v>
      </c>
      <c r="P355" t="s">
        <v>1189</v>
      </c>
      <c r="Q355">
        <v>4871</v>
      </c>
      <c r="R355">
        <v>8603.15</v>
      </c>
    </row>
    <row r="356" spans="1:18" hidden="1">
      <c r="A356" t="s">
        <v>1397</v>
      </c>
      <c r="B356" t="s">
        <v>795</v>
      </c>
      <c r="C356" t="s">
        <v>796</v>
      </c>
      <c r="D356" s="19">
        <v>1189</v>
      </c>
      <c r="E356" s="19">
        <f t="shared" si="24"/>
        <v>42.464285714285715</v>
      </c>
      <c r="F356" s="5">
        <v>751.72</v>
      </c>
      <c r="I356" s="19">
        <f t="shared" si="25"/>
        <v>2378</v>
      </c>
      <c r="J356" t="b">
        <f t="shared" si="26"/>
        <v>1</v>
      </c>
      <c r="K356" s="4">
        <f t="shared" si="27"/>
        <v>-0.68388561816652649</v>
      </c>
      <c r="N356"/>
      <c r="P356" t="s">
        <v>1002</v>
      </c>
      <c r="Q356">
        <v>10863</v>
      </c>
      <c r="R356">
        <v>10572.08</v>
      </c>
    </row>
    <row r="357" spans="1:18" hidden="1">
      <c r="A357" t="s">
        <v>1397</v>
      </c>
      <c r="B357" t="s">
        <v>922</v>
      </c>
      <c r="C357" s="5" t="s">
        <v>923</v>
      </c>
      <c r="D357" s="19">
        <v>1212</v>
      </c>
      <c r="E357" s="19">
        <f t="shared" si="24"/>
        <v>43.285714285714285</v>
      </c>
      <c r="F357" s="5">
        <v>1271.25</v>
      </c>
      <c r="I357" s="19">
        <f t="shared" si="25"/>
        <v>2424</v>
      </c>
      <c r="J357" t="b">
        <f t="shared" si="26"/>
        <v>1</v>
      </c>
      <c r="K357" s="4">
        <f t="shared" si="27"/>
        <v>-0.47555693069306926</v>
      </c>
      <c r="N357"/>
      <c r="P357" t="s">
        <v>1019</v>
      </c>
      <c r="Q357">
        <v>2105</v>
      </c>
      <c r="R357">
        <v>5222.25</v>
      </c>
    </row>
    <row r="358" spans="1:18" hidden="1">
      <c r="A358" t="s">
        <v>1396</v>
      </c>
      <c r="B358" t="s">
        <v>720</v>
      </c>
      <c r="C358" t="s">
        <v>721</v>
      </c>
      <c r="D358" s="19">
        <v>410</v>
      </c>
      <c r="E358" s="19">
        <f t="shared" si="24"/>
        <v>14.642857142857142</v>
      </c>
      <c r="F358" s="5">
        <v>332.26</v>
      </c>
      <c r="I358" s="139">
        <f t="shared" si="25"/>
        <v>820</v>
      </c>
      <c r="J358" t="b">
        <f t="shared" si="26"/>
        <v>1</v>
      </c>
      <c r="K358" s="4">
        <f t="shared" si="27"/>
        <v>-0.59480487804878046</v>
      </c>
      <c r="P358" t="s">
        <v>1209</v>
      </c>
      <c r="Q358">
        <v>1161</v>
      </c>
      <c r="R358">
        <v>1374.2</v>
      </c>
    </row>
    <row r="359" spans="1:18" hidden="1">
      <c r="A359" t="s">
        <v>1398</v>
      </c>
      <c r="B359" t="s">
        <v>743</v>
      </c>
      <c r="C359" t="s">
        <v>744</v>
      </c>
      <c r="D359" s="19">
        <v>3200</v>
      </c>
      <c r="E359" s="19">
        <f t="shared" si="24"/>
        <v>114.28571428571429</v>
      </c>
      <c r="F359" s="5">
        <v>4135.46</v>
      </c>
      <c r="I359" s="19">
        <f t="shared" si="25"/>
        <v>6400</v>
      </c>
      <c r="J359" t="b">
        <f t="shared" si="26"/>
        <v>1</v>
      </c>
      <c r="K359" s="4">
        <f t="shared" si="27"/>
        <v>-0.35383437500000003</v>
      </c>
      <c r="N359"/>
      <c r="P359" t="s">
        <v>1047</v>
      </c>
      <c r="Q359">
        <v>2704</v>
      </c>
      <c r="R359">
        <v>3791.04</v>
      </c>
    </row>
    <row r="360" spans="1:18" hidden="1">
      <c r="A360" t="s">
        <v>1398</v>
      </c>
      <c r="B360" t="s">
        <v>848</v>
      </c>
      <c r="C360" s="27" t="s">
        <v>849</v>
      </c>
      <c r="D360" s="19">
        <v>950</v>
      </c>
      <c r="E360" s="19">
        <f t="shared" si="24"/>
        <v>33.928571428571431</v>
      </c>
      <c r="F360" s="5">
        <v>1053.5899999999999</v>
      </c>
      <c r="I360" s="19">
        <f t="shared" si="25"/>
        <v>1900</v>
      </c>
      <c r="J360" t="b">
        <f t="shared" si="26"/>
        <v>1</v>
      </c>
      <c r="K360" s="4">
        <f t="shared" si="27"/>
        <v>-0.44547894736842109</v>
      </c>
      <c r="N360"/>
      <c r="P360" t="s">
        <v>1035</v>
      </c>
      <c r="Q360">
        <v>1464</v>
      </c>
      <c r="R360">
        <v>1310.06</v>
      </c>
    </row>
    <row r="361" spans="1:18" ht="16.5" hidden="1" customHeight="1">
      <c r="A361" t="s">
        <v>1398</v>
      </c>
      <c r="B361" t="s">
        <v>757</v>
      </c>
      <c r="C361" t="s">
        <v>758</v>
      </c>
      <c r="D361" s="19">
        <v>521</v>
      </c>
      <c r="E361" s="19">
        <f t="shared" si="24"/>
        <v>18.607142857142858</v>
      </c>
      <c r="F361" s="5">
        <v>0</v>
      </c>
      <c r="I361" s="19">
        <f t="shared" si="25"/>
        <v>1042</v>
      </c>
      <c r="J361" t="b">
        <f t="shared" si="26"/>
        <v>1</v>
      </c>
      <c r="K361" s="4">
        <f t="shared" si="27"/>
        <v>-1</v>
      </c>
      <c r="N361"/>
      <c r="P361" t="s">
        <v>1030</v>
      </c>
      <c r="Q361">
        <v>432</v>
      </c>
      <c r="R361">
        <v>657.51</v>
      </c>
    </row>
    <row r="362" spans="1:18" hidden="1">
      <c r="A362" t="s">
        <v>1397</v>
      </c>
      <c r="B362" t="s">
        <v>696</v>
      </c>
      <c r="C362" s="5" t="s">
        <v>697</v>
      </c>
      <c r="D362" s="19">
        <v>1820</v>
      </c>
      <c r="E362" s="19">
        <f>D362/28</f>
        <v>65</v>
      </c>
      <c r="F362" s="5">
        <v>2433.23</v>
      </c>
      <c r="I362" s="140">
        <f t="shared" si="25"/>
        <v>3640</v>
      </c>
      <c r="J362" t="b">
        <f t="shared" si="26"/>
        <v>1</v>
      </c>
      <c r="K362" s="4">
        <f t="shared" si="27"/>
        <v>-0.33153021978021979</v>
      </c>
      <c r="P362" t="s">
        <v>1066</v>
      </c>
      <c r="Q362">
        <v>1424</v>
      </c>
      <c r="R362">
        <v>3264.21</v>
      </c>
    </row>
    <row r="363" spans="1:18" hidden="1">
      <c r="B363" t="s">
        <v>854</v>
      </c>
      <c r="C363" t="s">
        <v>855</v>
      </c>
      <c r="D363" s="19">
        <v>1525</v>
      </c>
      <c r="E363" s="19">
        <f t="shared" ref="E363:E426" si="28">D363/28</f>
        <v>54.464285714285715</v>
      </c>
      <c r="F363" s="5">
        <v>1943.88</v>
      </c>
      <c r="I363" s="140">
        <f t="shared" si="25"/>
        <v>3050</v>
      </c>
      <c r="J363" t="b">
        <f t="shared" ref="J363:J426" si="29">IF(F363&gt;1.2*I363,FALSE,TRUE)</f>
        <v>1</v>
      </c>
      <c r="K363" s="4">
        <f t="shared" ref="K363:K426" si="30">F363/I363-1</f>
        <v>-0.36266229508196712</v>
      </c>
      <c r="P363" t="s">
        <v>1135</v>
      </c>
      <c r="Q363">
        <v>1014</v>
      </c>
      <c r="R363">
        <v>1354.39</v>
      </c>
    </row>
    <row r="364" spans="1:18" hidden="1">
      <c r="B364" t="s">
        <v>864</v>
      </c>
      <c r="C364" t="s">
        <v>865</v>
      </c>
      <c r="D364" s="19">
        <v>669</v>
      </c>
      <c r="E364" s="19">
        <f t="shared" si="28"/>
        <v>23.892857142857142</v>
      </c>
      <c r="F364" s="5">
        <v>292.87</v>
      </c>
      <c r="I364" s="140">
        <f t="shared" si="25"/>
        <v>1338</v>
      </c>
      <c r="J364" t="b">
        <f t="shared" si="29"/>
        <v>1</v>
      </c>
      <c r="K364" s="4">
        <f t="shared" si="30"/>
        <v>-0.7811136023916293</v>
      </c>
      <c r="P364" t="s">
        <v>1058</v>
      </c>
      <c r="Q364">
        <v>1525</v>
      </c>
      <c r="R364">
        <v>2359.86</v>
      </c>
    </row>
    <row r="365" spans="1:18" hidden="1">
      <c r="B365" t="s">
        <v>872</v>
      </c>
      <c r="C365" t="s">
        <v>873</v>
      </c>
      <c r="D365" s="19">
        <v>856</v>
      </c>
      <c r="E365" s="19">
        <f t="shared" si="28"/>
        <v>30.571428571428573</v>
      </c>
      <c r="F365" s="5">
        <v>731.95</v>
      </c>
      <c r="I365" s="140">
        <f t="shared" si="25"/>
        <v>1712</v>
      </c>
      <c r="J365" t="b">
        <f t="shared" si="29"/>
        <v>1</v>
      </c>
      <c r="K365" s="4">
        <f t="shared" si="30"/>
        <v>-0.5724591121495326</v>
      </c>
      <c r="P365" t="s">
        <v>1174</v>
      </c>
      <c r="Q365">
        <v>816</v>
      </c>
      <c r="R365">
        <v>2073.8200000000002</v>
      </c>
    </row>
    <row r="366" spans="1:18" hidden="1">
      <c r="B366" t="s">
        <v>838</v>
      </c>
      <c r="C366" t="s">
        <v>839</v>
      </c>
      <c r="D366" s="19">
        <v>484</v>
      </c>
      <c r="E366" s="19">
        <f t="shared" si="28"/>
        <v>17.285714285714285</v>
      </c>
      <c r="F366" s="5">
        <v>750.26</v>
      </c>
      <c r="I366" s="151">
        <f t="shared" si="25"/>
        <v>968</v>
      </c>
      <c r="J366" t="b">
        <f t="shared" si="29"/>
        <v>1</v>
      </c>
      <c r="K366" s="4">
        <f t="shared" si="30"/>
        <v>-0.22493801652892564</v>
      </c>
      <c r="P366" t="s">
        <v>1095</v>
      </c>
      <c r="Q366">
        <v>1682</v>
      </c>
      <c r="R366">
        <v>580.09</v>
      </c>
    </row>
    <row r="367" spans="1:18" hidden="1">
      <c r="B367" t="s">
        <v>801</v>
      </c>
      <c r="C367" t="s">
        <v>802</v>
      </c>
      <c r="D367" s="19">
        <v>697</v>
      </c>
      <c r="E367" s="19">
        <f t="shared" si="28"/>
        <v>24.892857142857142</v>
      </c>
      <c r="F367" s="5">
        <v>522.65</v>
      </c>
      <c r="I367" s="140">
        <f t="shared" si="25"/>
        <v>1394</v>
      </c>
      <c r="J367" t="b">
        <f t="shared" si="29"/>
        <v>1</v>
      </c>
      <c r="K367" s="4">
        <f t="shared" si="30"/>
        <v>-0.6250717360114777</v>
      </c>
      <c r="P367" t="s">
        <v>1176</v>
      </c>
      <c r="Q367">
        <v>261</v>
      </c>
      <c r="R367">
        <v>1405.71</v>
      </c>
    </row>
    <row r="368" spans="1:18" hidden="1">
      <c r="B368" s="54" t="s">
        <v>688</v>
      </c>
      <c r="C368" s="37" t="s">
        <v>689</v>
      </c>
      <c r="D368" s="19">
        <v>1089</v>
      </c>
      <c r="E368" s="19">
        <f t="shared" si="28"/>
        <v>38.892857142857146</v>
      </c>
      <c r="F368" s="5">
        <v>2326.63</v>
      </c>
      <c r="I368" s="140">
        <f t="shared" si="25"/>
        <v>2178</v>
      </c>
      <c r="J368" t="b">
        <f t="shared" si="29"/>
        <v>1</v>
      </c>
      <c r="K368" s="4">
        <f t="shared" si="30"/>
        <v>6.8241505968778648E-2</v>
      </c>
      <c r="P368" t="s">
        <v>1074</v>
      </c>
      <c r="Q368">
        <v>1366</v>
      </c>
      <c r="R368">
        <v>3088.32</v>
      </c>
    </row>
    <row r="369" spans="2:18" hidden="1">
      <c r="B369" s="27" t="s">
        <v>746</v>
      </c>
      <c r="C369" s="27" t="s">
        <v>747</v>
      </c>
      <c r="D369" s="19">
        <v>1277</v>
      </c>
      <c r="E369" s="19">
        <f t="shared" si="28"/>
        <v>45.607142857142854</v>
      </c>
      <c r="F369" s="5">
        <v>2482.1999999999998</v>
      </c>
      <c r="I369" s="140">
        <f t="shared" si="25"/>
        <v>2554</v>
      </c>
      <c r="J369" t="b">
        <f t="shared" si="29"/>
        <v>1</v>
      </c>
      <c r="K369" s="4">
        <f t="shared" si="30"/>
        <v>-2.8112764291307824E-2</v>
      </c>
      <c r="P369" t="s">
        <v>1203</v>
      </c>
      <c r="Q369">
        <v>1601</v>
      </c>
      <c r="R369">
        <v>3000.95</v>
      </c>
    </row>
    <row r="370" spans="2:18" hidden="1">
      <c r="B370" t="s">
        <v>808</v>
      </c>
      <c r="C370" t="s">
        <v>809</v>
      </c>
      <c r="D370" s="19">
        <v>282</v>
      </c>
      <c r="E370" s="19">
        <f t="shared" si="28"/>
        <v>10.071428571428571</v>
      </c>
      <c r="F370" s="5">
        <v>227.88</v>
      </c>
      <c r="I370" s="140">
        <f t="shared" si="25"/>
        <v>564</v>
      </c>
      <c r="J370" t="b">
        <f t="shared" si="29"/>
        <v>1</v>
      </c>
      <c r="K370" s="4">
        <f t="shared" si="30"/>
        <v>-0.5959574468085107</v>
      </c>
      <c r="P370" t="s">
        <v>1025</v>
      </c>
      <c r="Q370">
        <v>7185</v>
      </c>
      <c r="R370">
        <v>9078.4500000000007</v>
      </c>
    </row>
    <row r="371" spans="2:18" hidden="1">
      <c r="B371" t="s">
        <v>806</v>
      </c>
      <c r="C371" t="s">
        <v>807</v>
      </c>
      <c r="D371" s="19">
        <v>583</v>
      </c>
      <c r="E371" s="19">
        <f t="shared" si="28"/>
        <v>20.821428571428573</v>
      </c>
      <c r="F371" s="5">
        <v>328.84</v>
      </c>
      <c r="I371" s="140">
        <f t="shared" si="25"/>
        <v>1166</v>
      </c>
      <c r="J371" t="b">
        <f t="shared" si="29"/>
        <v>1</v>
      </c>
      <c r="K371" s="4">
        <f t="shared" si="30"/>
        <v>-0.71797598627787307</v>
      </c>
      <c r="P371" t="s">
        <v>1154</v>
      </c>
      <c r="Q371">
        <v>1016</v>
      </c>
      <c r="R371">
        <v>2364.4699999999998</v>
      </c>
    </row>
    <row r="372" spans="2:18" hidden="1">
      <c r="B372" t="s">
        <v>708</v>
      </c>
      <c r="C372" t="s">
        <v>709</v>
      </c>
      <c r="D372" s="19">
        <v>3729</v>
      </c>
      <c r="E372" s="19">
        <f t="shared" si="28"/>
        <v>133.17857142857142</v>
      </c>
      <c r="F372" s="5">
        <v>3836.13</v>
      </c>
      <c r="I372" s="140">
        <f t="shared" si="25"/>
        <v>7458</v>
      </c>
      <c r="J372" t="b">
        <f t="shared" si="29"/>
        <v>1</v>
      </c>
      <c r="K372" s="4">
        <f t="shared" si="30"/>
        <v>-0.48563555913113432</v>
      </c>
      <c r="P372" t="s">
        <v>1127</v>
      </c>
      <c r="Q372">
        <v>1074</v>
      </c>
      <c r="R372">
        <v>1191.3399999999999</v>
      </c>
    </row>
    <row r="373" spans="2:18" hidden="1">
      <c r="B373" t="s">
        <v>844</v>
      </c>
      <c r="C373" t="s">
        <v>845</v>
      </c>
      <c r="D373" s="19">
        <v>580</v>
      </c>
      <c r="E373" s="19">
        <f t="shared" si="28"/>
        <v>20.714285714285715</v>
      </c>
      <c r="F373" s="5">
        <v>504.15</v>
      </c>
      <c r="I373" s="140">
        <f t="shared" si="25"/>
        <v>1160</v>
      </c>
      <c r="J373" t="b">
        <f t="shared" si="29"/>
        <v>1</v>
      </c>
      <c r="K373" s="4">
        <f t="shared" si="30"/>
        <v>-0.5653879310344827</v>
      </c>
      <c r="Q373">
        <v>0</v>
      </c>
      <c r="R373">
        <v>0</v>
      </c>
    </row>
    <row r="374" spans="2:18" hidden="1">
      <c r="B374" t="s">
        <v>1402</v>
      </c>
      <c r="C374" t="s">
        <v>1297</v>
      </c>
      <c r="D374" s="19" t="e">
        <v>#N/A</v>
      </c>
      <c r="E374" s="19" t="e">
        <f t="shared" si="28"/>
        <v>#N/A</v>
      </c>
      <c r="F374" s="5" t="e">
        <v>#N/A</v>
      </c>
      <c r="I374" s="140" t="e">
        <f t="shared" si="25"/>
        <v>#N/A</v>
      </c>
      <c r="J374" t="e">
        <f t="shared" si="29"/>
        <v>#N/A</v>
      </c>
      <c r="K374" s="4" t="e">
        <f t="shared" si="30"/>
        <v>#N/A</v>
      </c>
      <c r="P374" t="s">
        <v>1011</v>
      </c>
      <c r="Q374">
        <v>539</v>
      </c>
      <c r="R374">
        <v>1057.49</v>
      </c>
    </row>
    <row r="375" spans="2:18" hidden="1">
      <c r="B375" s="150" t="s">
        <v>900</v>
      </c>
      <c r="C375" s="37" t="s">
        <v>901</v>
      </c>
      <c r="D375">
        <v>302</v>
      </c>
      <c r="E375" s="19">
        <f t="shared" si="28"/>
        <v>10.785714285714286</v>
      </c>
      <c r="F375" s="151">
        <v>499.72</v>
      </c>
      <c r="I375" s="140">
        <f t="shared" si="25"/>
        <v>604</v>
      </c>
      <c r="J375" t="b">
        <f t="shared" si="29"/>
        <v>1</v>
      </c>
      <c r="K375" s="4">
        <f t="shared" si="30"/>
        <v>-0.17264900662251648</v>
      </c>
      <c r="P375" t="s">
        <v>1150</v>
      </c>
      <c r="Q375">
        <v>1075</v>
      </c>
      <c r="R375">
        <v>1761.57</v>
      </c>
    </row>
    <row r="376" spans="2:18" hidden="1">
      <c r="B376" t="s">
        <v>840</v>
      </c>
      <c r="C376" t="s">
        <v>841</v>
      </c>
      <c r="D376" s="19">
        <v>627</v>
      </c>
      <c r="E376" s="19">
        <f t="shared" si="28"/>
        <v>22.392857142857142</v>
      </c>
      <c r="F376" s="5">
        <v>732.44</v>
      </c>
      <c r="I376" s="140">
        <f t="shared" si="25"/>
        <v>1254</v>
      </c>
      <c r="J376" t="b">
        <f t="shared" si="29"/>
        <v>1</v>
      </c>
      <c r="K376" s="4">
        <f t="shared" si="30"/>
        <v>-0.41591706539074957</v>
      </c>
      <c r="P376" t="s">
        <v>1033</v>
      </c>
      <c r="Q376">
        <v>1470</v>
      </c>
      <c r="R376">
        <v>2032.1</v>
      </c>
    </row>
    <row r="377" spans="2:18" hidden="1">
      <c r="B377" t="s">
        <v>884</v>
      </c>
      <c r="C377" t="s">
        <v>885</v>
      </c>
      <c r="D377" s="19">
        <v>1911</v>
      </c>
      <c r="E377" s="19">
        <f t="shared" si="28"/>
        <v>68.25</v>
      </c>
      <c r="F377" s="5">
        <v>2342.0700000000002</v>
      </c>
      <c r="I377" s="151">
        <f t="shared" si="25"/>
        <v>3822</v>
      </c>
      <c r="J377" t="b">
        <f t="shared" si="29"/>
        <v>1</v>
      </c>
      <c r="K377" s="4">
        <f t="shared" si="30"/>
        <v>-0.38721350078492933</v>
      </c>
      <c r="P377" t="s">
        <v>1107</v>
      </c>
      <c r="Q377">
        <v>1676</v>
      </c>
      <c r="R377">
        <v>2748.23</v>
      </c>
    </row>
    <row r="378" spans="2:18" hidden="1">
      <c r="B378" t="s">
        <v>694</v>
      </c>
      <c r="C378" t="s">
        <v>695</v>
      </c>
      <c r="D378" s="19">
        <v>1505</v>
      </c>
      <c r="E378" s="19">
        <f t="shared" si="28"/>
        <v>53.75</v>
      </c>
      <c r="F378" s="5">
        <v>0</v>
      </c>
      <c r="I378" s="140">
        <f t="shared" si="25"/>
        <v>3010</v>
      </c>
      <c r="J378" t="b">
        <f t="shared" si="29"/>
        <v>1</v>
      </c>
      <c r="K378" s="4">
        <f t="shared" si="30"/>
        <v>-1</v>
      </c>
      <c r="P378" t="s">
        <v>1080</v>
      </c>
      <c r="Q378">
        <v>556</v>
      </c>
      <c r="R378">
        <v>399.59</v>
      </c>
    </row>
    <row r="379" spans="2:18" hidden="1">
      <c r="B379" t="s">
        <v>1403</v>
      </c>
      <c r="C379" t="s">
        <v>1292</v>
      </c>
      <c r="D379" s="19" t="e">
        <v>#N/A</v>
      </c>
      <c r="E379" s="19" t="e">
        <f t="shared" si="28"/>
        <v>#N/A</v>
      </c>
      <c r="F379" s="5" t="e">
        <v>#N/A</v>
      </c>
      <c r="I379" s="140" t="e">
        <f t="shared" si="25"/>
        <v>#N/A</v>
      </c>
      <c r="J379" t="e">
        <f t="shared" si="29"/>
        <v>#N/A</v>
      </c>
      <c r="K379" s="4" t="e">
        <f t="shared" si="30"/>
        <v>#N/A</v>
      </c>
      <c r="P379" t="s">
        <v>1180</v>
      </c>
      <c r="Q379">
        <v>1179</v>
      </c>
      <c r="R379">
        <v>2708.58</v>
      </c>
    </row>
    <row r="380" spans="2:18" hidden="1">
      <c r="B380" t="s">
        <v>914</v>
      </c>
      <c r="C380" t="s">
        <v>915</v>
      </c>
      <c r="D380" s="19">
        <v>1634</v>
      </c>
      <c r="E380" s="19">
        <f t="shared" si="28"/>
        <v>58.357142857142854</v>
      </c>
      <c r="F380" s="5">
        <v>1222.8</v>
      </c>
      <c r="I380" s="140">
        <f t="shared" si="25"/>
        <v>3268</v>
      </c>
      <c r="J380" t="b">
        <f t="shared" si="29"/>
        <v>1</v>
      </c>
      <c r="K380" s="4">
        <f t="shared" si="30"/>
        <v>-0.62582619339045287</v>
      </c>
      <c r="P380" t="s">
        <v>1045</v>
      </c>
      <c r="Q380">
        <v>1553</v>
      </c>
      <c r="R380">
        <v>1075</v>
      </c>
    </row>
    <row r="381" spans="2:18" hidden="1">
      <c r="B381" t="s">
        <v>810</v>
      </c>
      <c r="C381" t="s">
        <v>811</v>
      </c>
      <c r="D381" s="19">
        <v>291</v>
      </c>
      <c r="E381" s="19">
        <f t="shared" si="28"/>
        <v>10.392857142857142</v>
      </c>
      <c r="F381" s="5">
        <v>168.71</v>
      </c>
      <c r="I381" s="140">
        <f t="shared" si="25"/>
        <v>582</v>
      </c>
      <c r="J381" t="b">
        <f t="shared" si="29"/>
        <v>1</v>
      </c>
      <c r="K381" s="4">
        <f t="shared" si="30"/>
        <v>-0.71012027491408936</v>
      </c>
      <c r="P381" t="s">
        <v>1152</v>
      </c>
      <c r="Q381">
        <v>1400</v>
      </c>
      <c r="R381">
        <v>1440.96</v>
      </c>
    </row>
    <row r="382" spans="2:18" hidden="1">
      <c r="B382" t="s">
        <v>804</v>
      </c>
      <c r="C382" t="s">
        <v>805</v>
      </c>
      <c r="D382" s="19">
        <v>120</v>
      </c>
      <c r="E382" s="19">
        <f t="shared" si="28"/>
        <v>4.2857142857142856</v>
      </c>
      <c r="F382" s="5">
        <v>85.13</v>
      </c>
      <c r="I382" s="140">
        <f t="shared" si="25"/>
        <v>240</v>
      </c>
      <c r="J382" t="b">
        <f t="shared" si="29"/>
        <v>1</v>
      </c>
      <c r="K382" s="4">
        <f t="shared" si="30"/>
        <v>-0.64529166666666671</v>
      </c>
      <c r="P382" t="s">
        <v>1111</v>
      </c>
      <c r="Q382">
        <v>1462</v>
      </c>
      <c r="R382">
        <v>1070.9000000000001</v>
      </c>
    </row>
    <row r="383" spans="2:18" hidden="1">
      <c r="B383" t="s">
        <v>890</v>
      </c>
      <c r="C383" t="s">
        <v>891</v>
      </c>
      <c r="D383" s="19">
        <v>1206</v>
      </c>
      <c r="E383" s="19">
        <f t="shared" si="28"/>
        <v>43.071428571428569</v>
      </c>
      <c r="F383" s="5">
        <v>181.94</v>
      </c>
      <c r="I383" s="140">
        <f t="shared" si="25"/>
        <v>2412</v>
      </c>
      <c r="J383" t="b">
        <f t="shared" si="29"/>
        <v>1</v>
      </c>
      <c r="K383" s="4">
        <f t="shared" si="30"/>
        <v>-0.92456882255389716</v>
      </c>
      <c r="P383" t="s">
        <v>1211</v>
      </c>
      <c r="Q383">
        <v>7031</v>
      </c>
      <c r="R383">
        <v>6062.04</v>
      </c>
    </row>
    <row r="384" spans="2:18" hidden="1">
      <c r="B384" s="27" t="s">
        <v>680</v>
      </c>
      <c r="C384" s="27" t="s">
        <v>681</v>
      </c>
      <c r="D384" s="19">
        <v>925</v>
      </c>
      <c r="E384" s="19">
        <f t="shared" si="28"/>
        <v>33.035714285714285</v>
      </c>
      <c r="F384" s="5">
        <v>949.03</v>
      </c>
      <c r="I384" s="140">
        <f t="shared" si="25"/>
        <v>1850</v>
      </c>
      <c r="J384" t="b">
        <f t="shared" si="29"/>
        <v>1</v>
      </c>
      <c r="K384" s="4">
        <f t="shared" si="30"/>
        <v>-0.48701081081081088</v>
      </c>
      <c r="P384" t="s">
        <v>1178</v>
      </c>
      <c r="Q384">
        <v>1743</v>
      </c>
      <c r="R384">
        <v>2986.39</v>
      </c>
    </row>
    <row r="385" spans="2:18" hidden="1">
      <c r="B385" t="s">
        <v>812</v>
      </c>
      <c r="C385" t="s">
        <v>813</v>
      </c>
      <c r="D385" s="19">
        <v>289</v>
      </c>
      <c r="E385" s="19">
        <f t="shared" si="28"/>
        <v>10.321428571428571</v>
      </c>
      <c r="F385" s="5">
        <v>168.04</v>
      </c>
      <c r="I385" s="140">
        <f t="shared" si="25"/>
        <v>578</v>
      </c>
      <c r="J385" t="b">
        <f t="shared" si="29"/>
        <v>1</v>
      </c>
      <c r="K385" s="4">
        <f t="shared" si="30"/>
        <v>-0.70927335640138411</v>
      </c>
      <c r="P385" t="s">
        <v>1076</v>
      </c>
      <c r="Q385">
        <v>1235</v>
      </c>
      <c r="R385">
        <v>2031.46</v>
      </c>
    </row>
    <row r="386" spans="2:18" hidden="1">
      <c r="B386" s="55" t="s">
        <v>739</v>
      </c>
      <c r="C386" s="37" t="s">
        <v>740</v>
      </c>
      <c r="D386" s="19">
        <v>687</v>
      </c>
      <c r="E386" s="19">
        <f t="shared" si="28"/>
        <v>24.535714285714285</v>
      </c>
      <c r="F386" s="5">
        <v>1342.13</v>
      </c>
      <c r="I386" s="140">
        <f t="shared" si="25"/>
        <v>1374</v>
      </c>
      <c r="J386" t="b">
        <f t="shared" si="29"/>
        <v>1</v>
      </c>
      <c r="K386" s="4">
        <f t="shared" si="30"/>
        <v>-2.3195050946142604E-2</v>
      </c>
      <c r="P386" t="s">
        <v>1324</v>
      </c>
      <c r="Q386">
        <v>1</v>
      </c>
      <c r="R386">
        <v>0</v>
      </c>
    </row>
    <row r="387" spans="2:18" hidden="1">
      <c r="B387" t="s">
        <v>1404</v>
      </c>
      <c r="C387" t="s">
        <v>1401</v>
      </c>
      <c r="D387" s="19" t="e">
        <v>#N/A</v>
      </c>
      <c r="E387" s="19" t="e">
        <f t="shared" si="28"/>
        <v>#N/A</v>
      </c>
      <c r="F387" s="5" t="e">
        <v>#N/A</v>
      </c>
      <c r="I387" s="140" t="e">
        <f t="shared" si="25"/>
        <v>#N/A</v>
      </c>
      <c r="J387" t="e">
        <f t="shared" si="29"/>
        <v>#N/A</v>
      </c>
      <c r="K387" s="4" t="e">
        <f t="shared" si="30"/>
        <v>#N/A</v>
      </c>
      <c r="P387" t="s">
        <v>1142</v>
      </c>
      <c r="Q387">
        <v>1060</v>
      </c>
      <c r="R387">
        <v>1987.32</v>
      </c>
    </row>
    <row r="388" spans="2:18" hidden="1">
      <c r="B388" s="27" t="s">
        <v>929</v>
      </c>
      <c r="C388" s="37" t="s">
        <v>930</v>
      </c>
      <c r="D388" s="19">
        <v>915</v>
      </c>
      <c r="E388" s="19">
        <f t="shared" si="28"/>
        <v>32.678571428571431</v>
      </c>
      <c r="F388" s="5">
        <v>1591.92</v>
      </c>
      <c r="I388" s="140">
        <f t="shared" si="25"/>
        <v>1830</v>
      </c>
      <c r="J388" t="b">
        <f t="shared" si="29"/>
        <v>1</v>
      </c>
      <c r="K388" s="4">
        <f t="shared" si="30"/>
        <v>-0.13009836065573765</v>
      </c>
      <c r="P388" t="s">
        <v>1070</v>
      </c>
      <c r="Q388">
        <v>810</v>
      </c>
      <c r="R388">
        <v>987.64</v>
      </c>
    </row>
    <row r="389" spans="2:18" hidden="1">
      <c r="B389" t="s">
        <v>1405</v>
      </c>
      <c r="C389" t="s">
        <v>1314</v>
      </c>
      <c r="D389" s="19" t="e">
        <v>#N/A</v>
      </c>
      <c r="E389" s="19" t="e">
        <f t="shared" si="28"/>
        <v>#N/A</v>
      </c>
      <c r="F389" s="5" t="e">
        <v>#N/A</v>
      </c>
      <c r="I389" s="140" t="e">
        <f t="shared" si="25"/>
        <v>#N/A</v>
      </c>
      <c r="J389" t="e">
        <f t="shared" si="29"/>
        <v>#N/A</v>
      </c>
      <c r="K389" s="4" t="e">
        <f t="shared" si="30"/>
        <v>#N/A</v>
      </c>
      <c r="P389" t="s">
        <v>983</v>
      </c>
      <c r="Q389">
        <v>1161</v>
      </c>
      <c r="R389">
        <v>2264.92</v>
      </c>
    </row>
    <row r="390" spans="2:18" hidden="1">
      <c r="B390" s="150" t="s">
        <v>684</v>
      </c>
      <c r="C390" s="37" t="s">
        <v>685</v>
      </c>
      <c r="D390">
        <v>825</v>
      </c>
      <c r="E390" s="19">
        <f t="shared" si="28"/>
        <v>29.464285714285715</v>
      </c>
      <c r="F390" s="151">
        <v>1468.79</v>
      </c>
      <c r="I390" s="140">
        <f t="shared" si="25"/>
        <v>1650</v>
      </c>
      <c r="J390" t="b">
        <f t="shared" si="29"/>
        <v>1</v>
      </c>
      <c r="K390" s="4">
        <f t="shared" si="30"/>
        <v>-0.10982424242424249</v>
      </c>
      <c r="P390" t="s">
        <v>1205</v>
      </c>
      <c r="Q390">
        <v>1609</v>
      </c>
      <c r="R390">
        <v>1661.07</v>
      </c>
    </row>
    <row r="391" spans="2:18" hidden="1">
      <c r="B391" t="s">
        <v>797</v>
      </c>
      <c r="C391" t="s">
        <v>798</v>
      </c>
      <c r="D391" s="19">
        <v>0</v>
      </c>
      <c r="E391" s="19">
        <f t="shared" si="28"/>
        <v>0</v>
      </c>
      <c r="F391" s="5">
        <v>0</v>
      </c>
      <c r="I391" s="140">
        <f t="shared" si="25"/>
        <v>0</v>
      </c>
      <c r="J391" t="b">
        <f t="shared" si="29"/>
        <v>1</v>
      </c>
      <c r="K391" s="4" t="e">
        <f t="shared" si="30"/>
        <v>#DIV/0!</v>
      </c>
      <c r="P391" t="s">
        <v>1144</v>
      </c>
      <c r="Q391">
        <v>1107</v>
      </c>
      <c r="R391">
        <v>1110.52</v>
      </c>
    </row>
    <row r="392" spans="2:18" hidden="1">
      <c r="B392" t="s">
        <v>710</v>
      </c>
      <c r="C392" t="s">
        <v>711</v>
      </c>
      <c r="D392" s="19">
        <v>423</v>
      </c>
      <c r="E392" s="19">
        <f t="shared" si="28"/>
        <v>15.107142857142858</v>
      </c>
      <c r="F392" s="5">
        <v>0</v>
      </c>
      <c r="I392" s="140">
        <f t="shared" si="25"/>
        <v>846</v>
      </c>
      <c r="J392" t="b">
        <f t="shared" si="29"/>
        <v>1</v>
      </c>
      <c r="K392" s="4">
        <f t="shared" si="30"/>
        <v>-1</v>
      </c>
      <c r="P392" t="s">
        <v>1105</v>
      </c>
      <c r="Q392">
        <v>550</v>
      </c>
      <c r="R392">
        <v>515.15</v>
      </c>
    </row>
    <row r="393" spans="2:18" hidden="1">
      <c r="B393" t="s">
        <v>682</v>
      </c>
      <c r="C393" t="s">
        <v>683</v>
      </c>
      <c r="D393" s="19">
        <v>917</v>
      </c>
      <c r="E393" s="19">
        <f t="shared" si="28"/>
        <v>32.75</v>
      </c>
      <c r="F393" s="5">
        <v>1150.79</v>
      </c>
      <c r="I393" s="140">
        <f t="shared" si="25"/>
        <v>1834</v>
      </c>
      <c r="J393" t="b">
        <f t="shared" si="29"/>
        <v>1</v>
      </c>
      <c r="K393" s="4">
        <f t="shared" si="30"/>
        <v>-0.3725245365321701</v>
      </c>
      <c r="P393" t="s">
        <v>1009</v>
      </c>
      <c r="Q393">
        <v>925</v>
      </c>
      <c r="R393">
        <v>1261.25</v>
      </c>
    </row>
    <row r="394" spans="2:18" hidden="1">
      <c r="B394" t="s">
        <v>814</v>
      </c>
      <c r="C394" t="s">
        <v>815</v>
      </c>
      <c r="D394" s="19">
        <v>820</v>
      </c>
      <c r="E394" s="19">
        <f t="shared" si="28"/>
        <v>29.285714285714285</v>
      </c>
      <c r="F394" s="5">
        <v>397.57</v>
      </c>
      <c r="I394" s="140">
        <f t="shared" si="25"/>
        <v>1640</v>
      </c>
      <c r="J394" t="b">
        <f t="shared" si="29"/>
        <v>1</v>
      </c>
      <c r="K394" s="4">
        <f t="shared" si="30"/>
        <v>-0.75757926829268296</v>
      </c>
      <c r="P394" t="s">
        <v>1013</v>
      </c>
      <c r="Q394">
        <v>1375</v>
      </c>
      <c r="R394">
        <v>2480.4</v>
      </c>
    </row>
    <row r="395" spans="2:18" hidden="1">
      <c r="B395" t="s">
        <v>818</v>
      </c>
      <c r="C395" t="s">
        <v>819</v>
      </c>
      <c r="D395" s="19">
        <v>533</v>
      </c>
      <c r="E395" s="19">
        <f t="shared" si="28"/>
        <v>19.035714285714285</v>
      </c>
      <c r="F395" s="5">
        <v>691.22</v>
      </c>
      <c r="I395" s="140">
        <f t="shared" si="25"/>
        <v>1066</v>
      </c>
      <c r="J395" t="b">
        <f t="shared" si="29"/>
        <v>1</v>
      </c>
      <c r="K395" s="4">
        <f t="shared" si="30"/>
        <v>-0.35157598499061915</v>
      </c>
      <c r="P395" t="s">
        <v>1165</v>
      </c>
      <c r="Q395">
        <v>770</v>
      </c>
      <c r="R395">
        <v>85.89</v>
      </c>
    </row>
    <row r="396" spans="2:18" hidden="1">
      <c r="B396" t="s">
        <v>886</v>
      </c>
      <c r="C396" t="s">
        <v>887</v>
      </c>
      <c r="D396" s="19">
        <v>325</v>
      </c>
      <c r="E396" s="19">
        <f t="shared" si="28"/>
        <v>11.607142857142858</v>
      </c>
      <c r="F396" s="5">
        <v>499.37</v>
      </c>
      <c r="I396" s="151">
        <f t="shared" si="25"/>
        <v>650</v>
      </c>
      <c r="J396" t="b">
        <f t="shared" si="29"/>
        <v>1</v>
      </c>
      <c r="K396" s="4">
        <f t="shared" si="30"/>
        <v>-0.23173846153846156</v>
      </c>
      <c r="P396" t="s">
        <v>1196</v>
      </c>
      <c r="Q396">
        <v>1104</v>
      </c>
      <c r="R396">
        <v>2117</v>
      </c>
    </row>
    <row r="397" spans="2:18" hidden="1">
      <c r="B397" t="s">
        <v>722</v>
      </c>
      <c r="C397" t="s">
        <v>723</v>
      </c>
      <c r="D397" s="19">
        <v>1135</v>
      </c>
      <c r="E397" s="19">
        <f t="shared" si="28"/>
        <v>40.535714285714285</v>
      </c>
      <c r="F397" s="5">
        <v>825.41</v>
      </c>
      <c r="I397" s="140">
        <f t="shared" si="25"/>
        <v>2270</v>
      </c>
      <c r="J397" t="b">
        <f t="shared" si="29"/>
        <v>1</v>
      </c>
      <c r="K397" s="4">
        <f t="shared" si="30"/>
        <v>-0.63638325991189426</v>
      </c>
      <c r="P397" t="s">
        <v>1037</v>
      </c>
      <c r="Q397">
        <v>1299</v>
      </c>
      <c r="R397">
        <v>2181.89</v>
      </c>
    </row>
    <row r="398" spans="2:18" hidden="1">
      <c r="B398" t="s">
        <v>870</v>
      </c>
      <c r="C398" t="s">
        <v>871</v>
      </c>
      <c r="D398" s="19">
        <v>754</v>
      </c>
      <c r="E398" s="19">
        <f t="shared" si="28"/>
        <v>26.928571428571427</v>
      </c>
      <c r="F398" s="5">
        <v>621.89</v>
      </c>
      <c r="I398" s="140">
        <f t="shared" si="25"/>
        <v>1508</v>
      </c>
      <c r="J398" t="b">
        <f t="shared" si="29"/>
        <v>1</v>
      </c>
      <c r="K398" s="4">
        <f t="shared" si="30"/>
        <v>-0.58760610079575604</v>
      </c>
      <c r="P398" t="s">
        <v>1185</v>
      </c>
      <c r="Q398">
        <v>930</v>
      </c>
      <c r="R398">
        <v>2178.85</v>
      </c>
    </row>
    <row r="399" spans="2:18" hidden="1">
      <c r="B399" t="s">
        <v>894</v>
      </c>
      <c r="C399" t="s">
        <v>895</v>
      </c>
      <c r="D399" s="19">
        <v>761</v>
      </c>
      <c r="E399" s="19">
        <f t="shared" si="28"/>
        <v>27.178571428571427</v>
      </c>
      <c r="F399" s="5">
        <v>629.29999999999995</v>
      </c>
      <c r="I399" s="140">
        <f t="shared" si="25"/>
        <v>1522</v>
      </c>
      <c r="J399" t="b">
        <f t="shared" si="29"/>
        <v>1</v>
      </c>
      <c r="K399" s="4">
        <f t="shared" si="30"/>
        <v>-0.58653088042049939</v>
      </c>
      <c r="P399" t="s">
        <v>1064</v>
      </c>
      <c r="Q399">
        <v>531</v>
      </c>
      <c r="R399">
        <v>251.56</v>
      </c>
    </row>
    <row r="400" spans="2:18" hidden="1">
      <c r="B400" t="s">
        <v>1406</v>
      </c>
      <c r="C400" t="s">
        <v>1296</v>
      </c>
      <c r="D400" s="19" t="e">
        <v>#N/A</v>
      </c>
      <c r="E400" s="19" t="e">
        <f t="shared" si="28"/>
        <v>#N/A</v>
      </c>
      <c r="F400" s="5" t="e">
        <v>#N/A</v>
      </c>
      <c r="I400" s="140" t="e">
        <f t="shared" si="25"/>
        <v>#N/A</v>
      </c>
      <c r="J400" t="e">
        <f t="shared" si="29"/>
        <v>#N/A</v>
      </c>
      <c r="K400" s="4" t="e">
        <f t="shared" si="30"/>
        <v>#N/A</v>
      </c>
      <c r="P400" t="s">
        <v>1122</v>
      </c>
      <c r="Q400">
        <v>1122</v>
      </c>
      <c r="R400">
        <v>2440.81</v>
      </c>
    </row>
    <row r="401" spans="2:18" hidden="1">
      <c r="B401" t="s">
        <v>941</v>
      </c>
      <c r="C401" t="s">
        <v>942</v>
      </c>
      <c r="D401" s="19">
        <v>1531</v>
      </c>
      <c r="E401" s="19">
        <f t="shared" si="28"/>
        <v>54.678571428571431</v>
      </c>
      <c r="F401" s="5">
        <v>1335.46</v>
      </c>
      <c r="I401" s="140">
        <f t="shared" si="25"/>
        <v>3062</v>
      </c>
      <c r="J401" t="b">
        <f t="shared" si="29"/>
        <v>1</v>
      </c>
      <c r="K401" s="4">
        <f t="shared" si="30"/>
        <v>-0.56386022207707387</v>
      </c>
      <c r="P401" t="s">
        <v>1015</v>
      </c>
      <c r="Q401">
        <v>325</v>
      </c>
      <c r="R401">
        <v>978.93</v>
      </c>
    </row>
    <row r="402" spans="2:18" hidden="1">
      <c r="B402" t="s">
        <v>824</v>
      </c>
      <c r="C402" t="s">
        <v>825</v>
      </c>
      <c r="D402" s="19">
        <v>968</v>
      </c>
      <c r="E402" s="19">
        <f t="shared" si="28"/>
        <v>34.571428571428569</v>
      </c>
      <c r="F402" s="5">
        <v>951.34</v>
      </c>
      <c r="I402" s="140">
        <f t="shared" si="25"/>
        <v>1936</v>
      </c>
      <c r="J402" t="b">
        <f t="shared" si="29"/>
        <v>1</v>
      </c>
      <c r="K402" s="4">
        <f t="shared" si="30"/>
        <v>-0.50860537190082644</v>
      </c>
      <c r="P402" t="s">
        <v>1021</v>
      </c>
      <c r="Q402">
        <v>1173</v>
      </c>
      <c r="R402">
        <v>2045.63</v>
      </c>
    </row>
    <row r="403" spans="2:18" hidden="1">
      <c r="B403" t="s">
        <v>874</v>
      </c>
      <c r="C403" t="s">
        <v>875</v>
      </c>
      <c r="D403" s="19">
        <v>729</v>
      </c>
      <c r="E403" s="19">
        <f t="shared" si="28"/>
        <v>26.035714285714285</v>
      </c>
      <c r="F403" s="5">
        <v>497.03</v>
      </c>
      <c r="I403" s="140">
        <f t="shared" ref="I403:I466" si="31">IF((D403/28)&gt;100,D403*2,D403*2)</f>
        <v>1458</v>
      </c>
      <c r="J403" t="b">
        <f t="shared" si="29"/>
        <v>1</v>
      </c>
      <c r="K403" s="4">
        <f t="shared" si="30"/>
        <v>-0.65910150891632369</v>
      </c>
      <c r="P403" t="s">
        <v>1385</v>
      </c>
      <c r="Q403">
        <v>0</v>
      </c>
      <c r="R403">
        <v>0</v>
      </c>
    </row>
    <row r="404" spans="2:18" hidden="1">
      <c r="B404" t="s">
        <v>924</v>
      </c>
      <c r="C404" t="s">
        <v>925</v>
      </c>
      <c r="D404" s="19">
        <v>933</v>
      </c>
      <c r="E404" s="19">
        <f t="shared" si="28"/>
        <v>33.321428571428569</v>
      </c>
      <c r="F404" s="5">
        <v>638.74</v>
      </c>
      <c r="I404" s="140">
        <f t="shared" si="31"/>
        <v>1866</v>
      </c>
      <c r="J404" t="b">
        <f t="shared" si="29"/>
        <v>1</v>
      </c>
      <c r="K404" s="4">
        <f t="shared" si="30"/>
        <v>-0.65769560557341911</v>
      </c>
      <c r="Q404">
        <v>0</v>
      </c>
      <c r="R404">
        <v>0</v>
      </c>
    </row>
    <row r="405" spans="2:18" hidden="1">
      <c r="B405" t="s">
        <v>868</v>
      </c>
      <c r="C405" t="s">
        <v>869</v>
      </c>
      <c r="D405" s="19">
        <v>495</v>
      </c>
      <c r="E405" s="19">
        <f t="shared" si="28"/>
        <v>17.678571428571427</v>
      </c>
      <c r="F405" s="5">
        <v>133.63999999999999</v>
      </c>
      <c r="I405" s="140">
        <f t="shared" si="31"/>
        <v>990</v>
      </c>
      <c r="J405" t="b">
        <f t="shared" si="29"/>
        <v>1</v>
      </c>
      <c r="K405" s="4">
        <f t="shared" si="30"/>
        <v>-0.86501010101010101</v>
      </c>
      <c r="Q405">
        <v>0</v>
      </c>
      <c r="R405">
        <v>0</v>
      </c>
    </row>
    <row r="406" spans="2:18" hidden="1">
      <c r="B406" s="24" t="s">
        <v>933</v>
      </c>
      <c r="C406" s="23" t="s">
        <v>934</v>
      </c>
      <c r="D406" s="19">
        <v>2686</v>
      </c>
      <c r="E406" s="19">
        <f t="shared" si="28"/>
        <v>95.928571428571431</v>
      </c>
      <c r="F406" s="5">
        <v>3675.46</v>
      </c>
      <c r="I406" s="140">
        <f t="shared" si="31"/>
        <v>5372</v>
      </c>
      <c r="J406" t="b">
        <f t="shared" si="29"/>
        <v>1</v>
      </c>
      <c r="K406" s="4">
        <f t="shared" si="30"/>
        <v>-0.31581161578555472</v>
      </c>
      <c r="P406" t="s">
        <v>1028</v>
      </c>
      <c r="Q406">
        <v>1253</v>
      </c>
      <c r="R406">
        <v>1938.81</v>
      </c>
    </row>
    <row r="407" spans="2:18" hidden="1">
      <c r="B407" s="149" t="s">
        <v>662</v>
      </c>
      <c r="C407" s="37" t="s">
        <v>663</v>
      </c>
      <c r="D407">
        <v>377</v>
      </c>
      <c r="E407" s="19">
        <f t="shared" si="28"/>
        <v>13.464285714285714</v>
      </c>
      <c r="F407" s="151">
        <v>424.15</v>
      </c>
      <c r="I407" s="140">
        <f t="shared" si="31"/>
        <v>754</v>
      </c>
      <c r="J407" t="b">
        <f t="shared" si="29"/>
        <v>1</v>
      </c>
      <c r="K407" s="4">
        <f t="shared" si="30"/>
        <v>-0.43746684350132625</v>
      </c>
      <c r="Q407">
        <v>0</v>
      </c>
      <c r="R407">
        <v>0</v>
      </c>
    </row>
    <row r="408" spans="2:18" hidden="1">
      <c r="B408" t="s">
        <v>961</v>
      </c>
      <c r="C408" t="s">
        <v>962</v>
      </c>
      <c r="D408" s="19">
        <v>266</v>
      </c>
      <c r="E408" s="19">
        <f t="shared" si="28"/>
        <v>9.5</v>
      </c>
      <c r="F408" s="5">
        <v>104.78</v>
      </c>
      <c r="I408" s="140">
        <f t="shared" si="31"/>
        <v>532</v>
      </c>
      <c r="J408" t="b">
        <f t="shared" si="29"/>
        <v>1</v>
      </c>
      <c r="K408" s="4">
        <f t="shared" si="30"/>
        <v>-0.8030451127819549</v>
      </c>
      <c r="P408" t="s">
        <v>1131</v>
      </c>
      <c r="Q408">
        <v>566</v>
      </c>
      <c r="R408">
        <v>1224.96</v>
      </c>
    </row>
    <row r="409" spans="2:18" hidden="1">
      <c r="B409" t="s">
        <v>724</v>
      </c>
      <c r="C409" t="s">
        <v>725</v>
      </c>
      <c r="D409" s="19">
        <v>813</v>
      </c>
      <c r="E409" s="19">
        <f t="shared" si="28"/>
        <v>29.035714285714285</v>
      </c>
      <c r="F409" s="5">
        <v>1680.46</v>
      </c>
      <c r="I409" s="140">
        <f t="shared" si="31"/>
        <v>1626</v>
      </c>
      <c r="J409" t="b">
        <f t="shared" si="29"/>
        <v>1</v>
      </c>
      <c r="K409" s="4">
        <f t="shared" si="30"/>
        <v>3.3493234932349347E-2</v>
      </c>
      <c r="P409" t="s">
        <v>1146</v>
      </c>
      <c r="Q409">
        <v>601</v>
      </c>
      <c r="R409">
        <v>1605.96</v>
      </c>
    </row>
    <row r="410" spans="2:18">
      <c r="B410" s="149" t="s">
        <v>820</v>
      </c>
      <c r="C410" s="27" t="s">
        <v>821</v>
      </c>
      <c r="D410">
        <v>598</v>
      </c>
      <c r="E410" s="19">
        <f t="shared" si="28"/>
        <v>21.357142857142858</v>
      </c>
      <c r="F410" s="151">
        <v>1682.6</v>
      </c>
      <c r="I410" s="140">
        <f t="shared" si="31"/>
        <v>1196</v>
      </c>
      <c r="J410" t="b">
        <f t="shared" si="29"/>
        <v>0</v>
      </c>
      <c r="K410" s="4">
        <f t="shared" si="30"/>
        <v>0.40685618729096973</v>
      </c>
      <c r="P410" t="s">
        <v>1091</v>
      </c>
      <c r="Q410">
        <v>375</v>
      </c>
      <c r="R410">
        <v>652.58000000000004</v>
      </c>
    </row>
    <row r="411" spans="2:18" hidden="1">
      <c r="B411" t="s">
        <v>773</v>
      </c>
      <c r="C411" t="s">
        <v>774</v>
      </c>
      <c r="D411" s="19">
        <v>951</v>
      </c>
      <c r="E411" s="19">
        <f t="shared" si="28"/>
        <v>33.964285714285715</v>
      </c>
      <c r="F411" s="5">
        <v>540.77</v>
      </c>
      <c r="I411" s="140">
        <f t="shared" si="31"/>
        <v>1902</v>
      </c>
      <c r="J411" t="b">
        <f t="shared" si="29"/>
        <v>1</v>
      </c>
      <c r="K411" s="4">
        <f t="shared" si="30"/>
        <v>-0.71568349106203999</v>
      </c>
      <c r="P411" t="s">
        <v>1072</v>
      </c>
      <c r="Q411">
        <v>17</v>
      </c>
      <c r="R411">
        <v>31</v>
      </c>
    </row>
    <row r="412" spans="2:18" hidden="1">
      <c r="B412" t="s">
        <v>920</v>
      </c>
      <c r="C412" t="s">
        <v>921</v>
      </c>
      <c r="D412" s="19">
        <v>1726</v>
      </c>
      <c r="E412" s="19">
        <f t="shared" si="28"/>
        <v>61.642857142857146</v>
      </c>
      <c r="F412" s="5">
        <v>1858.83</v>
      </c>
      <c r="I412" s="140">
        <f t="shared" si="31"/>
        <v>3452</v>
      </c>
      <c r="J412" t="b">
        <f t="shared" si="29"/>
        <v>1</v>
      </c>
      <c r="K412" s="4">
        <f t="shared" si="30"/>
        <v>-0.46152085747392813</v>
      </c>
      <c r="P412" t="s">
        <v>1129</v>
      </c>
      <c r="Q412">
        <v>0</v>
      </c>
      <c r="R412">
        <v>0</v>
      </c>
    </row>
    <row r="413" spans="2:18" hidden="1">
      <c r="B413" t="s">
        <v>896</v>
      </c>
      <c r="C413" t="s">
        <v>897</v>
      </c>
      <c r="D413" s="19">
        <v>976</v>
      </c>
      <c r="E413" s="19">
        <f t="shared" si="28"/>
        <v>34.857142857142854</v>
      </c>
      <c r="F413" s="5">
        <v>1878.46</v>
      </c>
      <c r="I413" s="140">
        <f t="shared" si="31"/>
        <v>1952</v>
      </c>
      <c r="J413" t="b">
        <f t="shared" si="29"/>
        <v>1</v>
      </c>
      <c r="K413" s="4">
        <f t="shared" si="30"/>
        <v>-3.7674180327868845E-2</v>
      </c>
      <c r="P413" t="s">
        <v>1207</v>
      </c>
      <c r="Q413">
        <v>966</v>
      </c>
      <c r="R413">
        <v>591.04999999999995</v>
      </c>
    </row>
    <row r="414" spans="2:18" hidden="1">
      <c r="B414" t="s">
        <v>712</v>
      </c>
      <c r="C414" t="s">
        <v>713</v>
      </c>
      <c r="D414" s="19">
        <v>1582</v>
      </c>
      <c r="E414" s="19">
        <f t="shared" si="28"/>
        <v>56.5</v>
      </c>
      <c r="F414" s="5">
        <v>430.32</v>
      </c>
      <c r="I414" s="140">
        <f t="shared" si="31"/>
        <v>3164</v>
      </c>
      <c r="J414" t="b">
        <f t="shared" si="29"/>
        <v>1</v>
      </c>
      <c r="K414" s="4">
        <f t="shared" si="30"/>
        <v>-0.86399494310998737</v>
      </c>
      <c r="P414" t="s">
        <v>1097</v>
      </c>
      <c r="Q414">
        <v>22</v>
      </c>
      <c r="R414">
        <v>26.05</v>
      </c>
    </row>
    <row r="415" spans="2:18" hidden="1">
      <c r="B415" s="24" t="s">
        <v>858</v>
      </c>
      <c r="C415" s="23" t="s">
        <v>859</v>
      </c>
      <c r="D415" s="19">
        <v>1062</v>
      </c>
      <c r="E415" s="19">
        <f t="shared" si="28"/>
        <v>37.928571428571431</v>
      </c>
      <c r="F415" s="5">
        <v>1864.76</v>
      </c>
      <c r="I415" s="140">
        <f t="shared" si="31"/>
        <v>2124</v>
      </c>
      <c r="J415" t="b">
        <f t="shared" si="29"/>
        <v>1</v>
      </c>
      <c r="K415" s="4">
        <f t="shared" si="30"/>
        <v>-0.12205273069679845</v>
      </c>
      <c r="P415" t="s">
        <v>1148</v>
      </c>
      <c r="Q415">
        <v>1292</v>
      </c>
      <c r="R415">
        <v>1954.98</v>
      </c>
    </row>
    <row r="416" spans="2:18" hidden="1">
      <c r="B416" t="s">
        <v>926</v>
      </c>
      <c r="C416" t="s">
        <v>927</v>
      </c>
      <c r="D416" s="19">
        <v>3011</v>
      </c>
      <c r="E416" s="19">
        <f t="shared" si="28"/>
        <v>107.53571428571429</v>
      </c>
      <c r="F416" s="5">
        <v>2616.86</v>
      </c>
      <c r="I416" s="140">
        <f t="shared" si="31"/>
        <v>6022</v>
      </c>
      <c r="J416" t="b">
        <f t="shared" si="29"/>
        <v>1</v>
      </c>
      <c r="K416" s="4">
        <f t="shared" si="30"/>
        <v>-0.56545001660577876</v>
      </c>
      <c r="P416" t="s">
        <v>1114</v>
      </c>
      <c r="Q416">
        <v>840</v>
      </c>
      <c r="R416">
        <v>462.91</v>
      </c>
    </row>
    <row r="417" spans="2:18" hidden="1">
      <c r="B417" t="s">
        <v>766</v>
      </c>
      <c r="C417" t="s">
        <v>767</v>
      </c>
      <c r="D417" s="19">
        <v>3336</v>
      </c>
      <c r="E417" s="19">
        <f t="shared" si="28"/>
        <v>119.14285714285714</v>
      </c>
      <c r="F417" s="5">
        <v>5123.04</v>
      </c>
      <c r="I417" s="140">
        <f t="shared" si="31"/>
        <v>6672</v>
      </c>
      <c r="J417" t="b">
        <f t="shared" si="29"/>
        <v>1</v>
      </c>
      <c r="K417" s="4">
        <f t="shared" si="30"/>
        <v>-0.23215827338129502</v>
      </c>
      <c r="P417" t="s">
        <v>1093</v>
      </c>
      <c r="Q417">
        <v>142</v>
      </c>
      <c r="R417">
        <v>0</v>
      </c>
    </row>
    <row r="418" spans="2:18" hidden="1">
      <c r="B418" t="s">
        <v>678</v>
      </c>
      <c r="C418" t="s">
        <v>679</v>
      </c>
      <c r="D418" s="19">
        <v>769</v>
      </c>
      <c r="E418" s="19">
        <f t="shared" si="28"/>
        <v>27.464285714285715</v>
      </c>
      <c r="F418" s="5">
        <v>1478.22</v>
      </c>
      <c r="I418" s="151">
        <f t="shared" si="31"/>
        <v>1538</v>
      </c>
      <c r="J418" t="b">
        <f t="shared" si="29"/>
        <v>1</v>
      </c>
      <c r="K418" s="4">
        <f t="shared" si="30"/>
        <v>-3.8868660598179394E-2</v>
      </c>
      <c r="P418" t="s">
        <v>1133</v>
      </c>
      <c r="Q418">
        <v>131</v>
      </c>
      <c r="R418">
        <v>513.11</v>
      </c>
    </row>
    <row r="419" spans="2:18" hidden="1">
      <c r="B419" t="s">
        <v>674</v>
      </c>
      <c r="C419" t="s">
        <v>675</v>
      </c>
      <c r="D419" s="19">
        <v>2167</v>
      </c>
      <c r="E419" s="19">
        <f t="shared" si="28"/>
        <v>77.392857142857139</v>
      </c>
      <c r="F419" s="5">
        <v>2260.54</v>
      </c>
      <c r="I419" s="140">
        <f t="shared" si="31"/>
        <v>4334</v>
      </c>
      <c r="J419" t="b">
        <f t="shared" si="29"/>
        <v>1</v>
      </c>
      <c r="K419" s="4">
        <f t="shared" si="30"/>
        <v>-0.47841716658975542</v>
      </c>
      <c r="P419" t="s">
        <v>1109</v>
      </c>
      <c r="Q419">
        <v>0</v>
      </c>
      <c r="R419">
        <v>0</v>
      </c>
    </row>
    <row r="420" spans="2:18" hidden="1">
      <c r="B420" t="s">
        <v>714</v>
      </c>
      <c r="C420" t="s">
        <v>715</v>
      </c>
      <c r="D420" s="19">
        <v>1545</v>
      </c>
      <c r="E420" s="19">
        <f t="shared" si="28"/>
        <v>55.178571428571431</v>
      </c>
      <c r="F420" s="5">
        <v>2271.46</v>
      </c>
      <c r="I420" s="140">
        <f t="shared" si="31"/>
        <v>3090</v>
      </c>
      <c r="J420" t="b">
        <f t="shared" si="29"/>
        <v>1</v>
      </c>
      <c r="K420" s="4">
        <f t="shared" si="30"/>
        <v>-0.26489967637540457</v>
      </c>
      <c r="P420" t="s">
        <v>1041</v>
      </c>
      <c r="Q420">
        <v>683</v>
      </c>
      <c r="R420">
        <v>642.48</v>
      </c>
    </row>
    <row r="421" spans="2:18" hidden="1">
      <c r="B421" s="150" t="s">
        <v>931</v>
      </c>
      <c r="C421" s="37" t="s">
        <v>932</v>
      </c>
      <c r="D421">
        <v>1352</v>
      </c>
      <c r="E421" s="19">
        <f t="shared" si="28"/>
        <v>48.285714285714285</v>
      </c>
      <c r="F421" s="151">
        <v>2171.92</v>
      </c>
      <c r="I421" s="151">
        <f t="shared" si="31"/>
        <v>2704</v>
      </c>
      <c r="J421" t="b">
        <f t="shared" si="29"/>
        <v>1</v>
      </c>
      <c r="K421" s="4">
        <f t="shared" si="30"/>
        <v>-0.19677514792899409</v>
      </c>
      <c r="P421" t="s">
        <v>1140</v>
      </c>
      <c r="Q421">
        <v>276</v>
      </c>
      <c r="R421">
        <v>0</v>
      </c>
    </row>
    <row r="422" spans="2:18">
      <c r="B422" t="s">
        <v>951</v>
      </c>
      <c r="C422" t="s">
        <v>952</v>
      </c>
      <c r="D422" s="19">
        <v>922</v>
      </c>
      <c r="E422" s="19">
        <f t="shared" si="28"/>
        <v>32.928571428571431</v>
      </c>
      <c r="F422" s="5">
        <v>2261.39</v>
      </c>
      <c r="I422" s="140">
        <f t="shared" si="31"/>
        <v>1844</v>
      </c>
      <c r="J422" t="b">
        <f t="shared" si="29"/>
        <v>0</v>
      </c>
      <c r="K422" s="4">
        <f t="shared" si="30"/>
        <v>0.22635032537960953</v>
      </c>
      <c r="P422" t="s">
        <v>1116</v>
      </c>
      <c r="Q422">
        <v>295</v>
      </c>
      <c r="R422">
        <v>114.7</v>
      </c>
    </row>
    <row r="423" spans="2:18" hidden="1">
      <c r="B423" s="27" t="s">
        <v>935</v>
      </c>
      <c r="C423" s="27" t="s">
        <v>936</v>
      </c>
      <c r="D423" s="19">
        <v>3585</v>
      </c>
      <c r="E423" s="19">
        <f t="shared" si="28"/>
        <v>128.03571428571428</v>
      </c>
      <c r="F423" s="5">
        <v>3899.79</v>
      </c>
      <c r="I423" s="140">
        <f t="shared" si="31"/>
        <v>7170</v>
      </c>
      <c r="J423" t="b">
        <f t="shared" si="29"/>
        <v>1</v>
      </c>
      <c r="K423" s="4">
        <f t="shared" si="30"/>
        <v>-0.45609623430962343</v>
      </c>
      <c r="P423" t="s">
        <v>1294</v>
      </c>
      <c r="Q423">
        <v>279</v>
      </c>
      <c r="R423">
        <v>0</v>
      </c>
    </row>
    <row r="424" spans="2:18" hidden="1">
      <c r="B424" t="s">
        <v>789</v>
      </c>
      <c r="C424" t="s">
        <v>790</v>
      </c>
      <c r="D424" s="19">
        <v>3695</v>
      </c>
      <c r="E424" s="19">
        <f t="shared" si="28"/>
        <v>131.96428571428572</v>
      </c>
      <c r="F424" s="5">
        <v>3664.55</v>
      </c>
      <c r="I424" s="140">
        <f t="shared" si="31"/>
        <v>7390</v>
      </c>
      <c r="J424" t="b">
        <f t="shared" si="29"/>
        <v>1</v>
      </c>
      <c r="K424" s="4">
        <f t="shared" si="30"/>
        <v>-0.50412043301759124</v>
      </c>
      <c r="P424" t="s">
        <v>1187</v>
      </c>
      <c r="Q424">
        <v>1946</v>
      </c>
      <c r="R424">
        <v>2591</v>
      </c>
    </row>
    <row r="425" spans="2:18" hidden="1">
      <c r="B425" s="150" t="s">
        <v>947</v>
      </c>
      <c r="C425" s="37" t="s">
        <v>948</v>
      </c>
      <c r="D425">
        <v>2223</v>
      </c>
      <c r="E425" s="19">
        <f t="shared" si="28"/>
        <v>79.392857142857139</v>
      </c>
      <c r="F425" s="151">
        <v>4286.42</v>
      </c>
      <c r="I425" s="140">
        <f t="shared" si="31"/>
        <v>4446</v>
      </c>
      <c r="J425" t="b">
        <f t="shared" si="29"/>
        <v>1</v>
      </c>
      <c r="K425" s="4">
        <f t="shared" si="30"/>
        <v>-3.5892937471884823E-2</v>
      </c>
      <c r="P425" t="s">
        <v>1183</v>
      </c>
      <c r="Q425">
        <v>1462</v>
      </c>
      <c r="R425">
        <v>2207.94</v>
      </c>
    </row>
    <row r="426" spans="2:18" hidden="1">
      <c r="B426" t="s">
        <v>698</v>
      </c>
      <c r="C426" t="s">
        <v>699</v>
      </c>
      <c r="D426" s="19">
        <v>1951</v>
      </c>
      <c r="E426" s="19">
        <f t="shared" si="28"/>
        <v>69.678571428571431</v>
      </c>
      <c r="F426" s="5">
        <v>3140.91</v>
      </c>
      <c r="I426" s="140">
        <f t="shared" si="31"/>
        <v>3902</v>
      </c>
      <c r="J426" t="b">
        <f t="shared" si="29"/>
        <v>1</v>
      </c>
      <c r="K426" s="4">
        <f t="shared" si="30"/>
        <v>-0.19505125576627369</v>
      </c>
      <c r="P426" t="s">
        <v>992</v>
      </c>
      <c r="Q426">
        <v>2083</v>
      </c>
      <c r="R426">
        <v>2456.46</v>
      </c>
    </row>
    <row r="427" spans="2:18" hidden="1">
      <c r="B427" t="s">
        <v>959</v>
      </c>
      <c r="C427" t="s">
        <v>960</v>
      </c>
      <c r="D427" s="19">
        <v>4940</v>
      </c>
      <c r="E427" s="19">
        <f t="shared" ref="E427:E490" si="32">D427/28</f>
        <v>176.42857142857142</v>
      </c>
      <c r="F427" s="5">
        <v>4703.9799999999996</v>
      </c>
      <c r="I427" s="140">
        <f t="shared" si="31"/>
        <v>9880</v>
      </c>
      <c r="J427" t="b">
        <f t="shared" ref="J427:J490" si="33">IF(F427&gt;1.2*I427,FALSE,TRUE)</f>
        <v>1</v>
      </c>
      <c r="K427" s="4">
        <f t="shared" ref="K427:K490" si="34">F427/I427-1</f>
        <v>-0.52388866396761136</v>
      </c>
      <c r="P427" t="s">
        <v>998</v>
      </c>
      <c r="Q427">
        <v>336</v>
      </c>
      <c r="R427">
        <v>1014.8</v>
      </c>
    </row>
    <row r="428" spans="2:18" hidden="1">
      <c r="B428" s="57" t="s">
        <v>949</v>
      </c>
      <c r="C428" s="37" t="s">
        <v>950</v>
      </c>
      <c r="D428" s="19">
        <v>680</v>
      </c>
      <c r="E428" s="19">
        <f t="shared" si="32"/>
        <v>24.285714285714285</v>
      </c>
      <c r="F428" s="5">
        <v>735</v>
      </c>
      <c r="I428" s="140">
        <f t="shared" si="31"/>
        <v>1360</v>
      </c>
      <c r="J428" t="b">
        <f t="shared" si="33"/>
        <v>1</v>
      </c>
      <c r="K428" s="4">
        <f t="shared" si="34"/>
        <v>-0.4595588235294118</v>
      </c>
      <c r="P428" t="s">
        <v>1056</v>
      </c>
      <c r="Q428">
        <v>1332</v>
      </c>
      <c r="R428">
        <v>1485.85</v>
      </c>
    </row>
    <row r="429" spans="2:18" hidden="1">
      <c r="B429" t="s">
        <v>902</v>
      </c>
      <c r="C429" t="s">
        <v>903</v>
      </c>
      <c r="D429" s="19">
        <v>1767</v>
      </c>
      <c r="E429" s="19">
        <f t="shared" si="32"/>
        <v>63.107142857142854</v>
      </c>
      <c r="F429" s="5">
        <v>2332.7399999999998</v>
      </c>
      <c r="I429" s="140">
        <f t="shared" si="31"/>
        <v>3534</v>
      </c>
      <c r="J429" t="b">
        <f t="shared" si="33"/>
        <v>1</v>
      </c>
      <c r="K429" s="4">
        <f t="shared" si="34"/>
        <v>-0.33991511035653654</v>
      </c>
      <c r="P429" t="s">
        <v>1118</v>
      </c>
      <c r="Q429">
        <v>796</v>
      </c>
      <c r="R429">
        <v>1368.16</v>
      </c>
    </row>
    <row r="430" spans="2:18" hidden="1">
      <c r="B430" t="s">
        <v>939</v>
      </c>
      <c r="C430" t="s">
        <v>940</v>
      </c>
      <c r="D430" s="19">
        <v>1713</v>
      </c>
      <c r="E430" s="19">
        <f t="shared" si="32"/>
        <v>61.178571428571431</v>
      </c>
      <c r="F430" s="5">
        <v>597.97</v>
      </c>
      <c r="I430" s="140">
        <f t="shared" si="31"/>
        <v>3426</v>
      </c>
      <c r="J430" t="b">
        <f t="shared" si="33"/>
        <v>1</v>
      </c>
      <c r="K430" s="4">
        <f t="shared" si="34"/>
        <v>-0.82546117921774664</v>
      </c>
      <c r="P430" t="s">
        <v>990</v>
      </c>
      <c r="Q430">
        <v>3891</v>
      </c>
      <c r="R430">
        <v>3675.14</v>
      </c>
    </row>
    <row r="431" spans="2:18" hidden="1">
      <c r="B431" t="s">
        <v>943</v>
      </c>
      <c r="C431" t="s">
        <v>944</v>
      </c>
      <c r="D431" s="19">
        <v>437</v>
      </c>
      <c r="E431" s="19">
        <f t="shared" si="32"/>
        <v>15.607142857142858</v>
      </c>
      <c r="F431" s="5">
        <v>538.73</v>
      </c>
      <c r="I431" s="140">
        <f t="shared" si="31"/>
        <v>874</v>
      </c>
      <c r="J431" t="b">
        <f t="shared" si="33"/>
        <v>1</v>
      </c>
      <c r="K431" s="4">
        <f t="shared" si="34"/>
        <v>-0.38360411899313496</v>
      </c>
      <c r="P431" t="s">
        <v>1138</v>
      </c>
      <c r="Q431">
        <v>1452</v>
      </c>
      <c r="R431">
        <v>3178.29</v>
      </c>
    </row>
    <row r="432" spans="2:18" hidden="1">
      <c r="B432" t="s">
        <v>945</v>
      </c>
      <c r="C432" s="27" t="s">
        <v>946</v>
      </c>
      <c r="D432" s="19">
        <v>414</v>
      </c>
      <c r="E432" s="19">
        <f t="shared" si="32"/>
        <v>14.785714285714286</v>
      </c>
      <c r="F432" s="5">
        <v>958.89</v>
      </c>
      <c r="I432" s="140">
        <f t="shared" si="31"/>
        <v>828</v>
      </c>
      <c r="J432" t="b">
        <f t="shared" si="33"/>
        <v>1</v>
      </c>
      <c r="K432" s="4">
        <f t="shared" si="34"/>
        <v>0.15807971014492761</v>
      </c>
      <c r="P432" t="s">
        <v>1005</v>
      </c>
      <c r="Q432">
        <v>1547</v>
      </c>
      <c r="R432">
        <v>2379.5700000000002</v>
      </c>
    </row>
    <row r="433" spans="2:18" hidden="1">
      <c r="B433" t="s">
        <v>866</v>
      </c>
      <c r="C433" t="s">
        <v>867</v>
      </c>
      <c r="D433" s="19">
        <v>2791</v>
      </c>
      <c r="E433" s="19">
        <f t="shared" si="32"/>
        <v>99.678571428571431</v>
      </c>
      <c r="F433" s="5">
        <v>2061.1799999999998</v>
      </c>
      <c r="I433" s="140">
        <f t="shared" si="31"/>
        <v>5582</v>
      </c>
      <c r="J433" t="b">
        <f t="shared" si="33"/>
        <v>1</v>
      </c>
      <c r="K433" s="4">
        <f t="shared" si="34"/>
        <v>-0.63074525259763536</v>
      </c>
      <c r="P433" t="s">
        <v>1017</v>
      </c>
      <c r="Q433">
        <v>303</v>
      </c>
      <c r="R433">
        <v>0</v>
      </c>
    </row>
    <row r="434" spans="2:18" hidden="1">
      <c r="B434" t="s">
        <v>657</v>
      </c>
      <c r="C434" t="s">
        <v>658</v>
      </c>
      <c r="D434" s="19">
        <v>7893</v>
      </c>
      <c r="E434" s="19">
        <f t="shared" si="32"/>
        <v>281.89285714285717</v>
      </c>
      <c r="F434" s="5">
        <v>9410.9599999999991</v>
      </c>
      <c r="I434" s="140">
        <f t="shared" si="31"/>
        <v>15786</v>
      </c>
      <c r="J434" t="b">
        <f t="shared" si="33"/>
        <v>1</v>
      </c>
      <c r="K434" s="4">
        <f t="shared" si="34"/>
        <v>-0.4038413784365894</v>
      </c>
      <c r="P434" t="s">
        <v>1192</v>
      </c>
      <c r="Q434">
        <v>1797</v>
      </c>
      <c r="R434">
        <v>1445.79</v>
      </c>
    </row>
    <row r="435" spans="2:18" hidden="1">
      <c r="B435" t="s">
        <v>659</v>
      </c>
      <c r="C435" t="s">
        <v>660</v>
      </c>
      <c r="D435">
        <v>56071</v>
      </c>
      <c r="E435" s="19">
        <f t="shared" si="32"/>
        <v>2002.5357142857142</v>
      </c>
      <c r="F435" s="5">
        <v>35185.050000000003</v>
      </c>
      <c r="I435" s="140">
        <f t="shared" si="31"/>
        <v>112142</v>
      </c>
      <c r="J435" t="b">
        <f t="shared" si="33"/>
        <v>1</v>
      </c>
      <c r="K435" s="4">
        <f t="shared" si="34"/>
        <v>-0.68624556366035916</v>
      </c>
      <c r="P435" t="s">
        <v>1089</v>
      </c>
      <c r="Q435">
        <v>313</v>
      </c>
      <c r="R435">
        <v>201.38</v>
      </c>
    </row>
    <row r="436" spans="2:18" hidden="1">
      <c r="B436" s="55" t="s">
        <v>750</v>
      </c>
      <c r="C436" s="37" t="s">
        <v>751</v>
      </c>
      <c r="D436">
        <v>746</v>
      </c>
      <c r="E436" s="19">
        <f t="shared" si="32"/>
        <v>26.642857142857142</v>
      </c>
      <c r="F436" s="5">
        <v>1411.87</v>
      </c>
      <c r="I436" s="140">
        <f t="shared" si="31"/>
        <v>1492</v>
      </c>
      <c r="J436" t="b">
        <f t="shared" si="33"/>
        <v>1</v>
      </c>
      <c r="K436" s="4">
        <f t="shared" si="34"/>
        <v>-5.3706434316353913E-2</v>
      </c>
      <c r="P436" t="s">
        <v>1161</v>
      </c>
      <c r="Q436">
        <v>742</v>
      </c>
      <c r="R436">
        <v>704.89</v>
      </c>
    </row>
    <row r="437" spans="2:18">
      <c r="B437" s="55" t="s">
        <v>799</v>
      </c>
      <c r="C437" s="37" t="s">
        <v>800</v>
      </c>
      <c r="D437">
        <v>281</v>
      </c>
      <c r="E437" s="19">
        <f t="shared" si="32"/>
        <v>10.035714285714286</v>
      </c>
      <c r="F437" s="5">
        <v>964.73</v>
      </c>
      <c r="I437" s="151">
        <f t="shared" si="31"/>
        <v>562</v>
      </c>
      <c r="J437" t="b">
        <f t="shared" si="33"/>
        <v>0</v>
      </c>
      <c r="K437" s="4">
        <f t="shared" si="34"/>
        <v>0.71660142348754441</v>
      </c>
      <c r="P437" t="s">
        <v>1103</v>
      </c>
      <c r="Q437">
        <v>356</v>
      </c>
      <c r="R437">
        <v>199.27</v>
      </c>
    </row>
    <row r="438" spans="2:18" hidden="1">
      <c r="B438" s="156" t="s">
        <v>791</v>
      </c>
      <c r="C438" s="37" t="s">
        <v>792</v>
      </c>
      <c r="D438" s="19">
        <v>550</v>
      </c>
      <c r="E438" s="19">
        <f t="shared" si="32"/>
        <v>19.642857142857142</v>
      </c>
      <c r="F438" s="151">
        <v>973.34</v>
      </c>
      <c r="I438" s="140">
        <f t="shared" si="31"/>
        <v>1100</v>
      </c>
      <c r="J438" t="b">
        <f t="shared" si="33"/>
        <v>1</v>
      </c>
      <c r="K438" s="4">
        <f t="shared" si="34"/>
        <v>-0.11514545454545455</v>
      </c>
      <c r="P438" t="s">
        <v>1172</v>
      </c>
      <c r="Q438">
        <v>1874</v>
      </c>
      <c r="R438">
        <v>3772.22</v>
      </c>
    </row>
    <row r="439" spans="2:18" hidden="1">
      <c r="B439" t="s">
        <v>964</v>
      </c>
      <c r="C439" t="s">
        <v>965</v>
      </c>
      <c r="D439">
        <v>8847</v>
      </c>
      <c r="E439" s="19">
        <f t="shared" si="32"/>
        <v>315.96428571428572</v>
      </c>
      <c r="F439" s="5">
        <v>4454.97</v>
      </c>
      <c r="I439" s="140">
        <f t="shared" si="31"/>
        <v>17694</v>
      </c>
      <c r="J439" t="b">
        <f t="shared" si="33"/>
        <v>1</v>
      </c>
      <c r="K439" s="4">
        <f t="shared" si="34"/>
        <v>-0.74822143099355709</v>
      </c>
      <c r="P439" t="s">
        <v>1087</v>
      </c>
      <c r="Q439">
        <v>434</v>
      </c>
      <c r="R439">
        <v>676.99</v>
      </c>
    </row>
    <row r="440" spans="2:18" hidden="1">
      <c r="B440" t="s">
        <v>1006</v>
      </c>
      <c r="C440" t="s">
        <v>1007</v>
      </c>
      <c r="D440">
        <v>4004</v>
      </c>
      <c r="E440" s="19">
        <f t="shared" si="32"/>
        <v>143</v>
      </c>
      <c r="F440" s="5">
        <v>4502.9799999999996</v>
      </c>
      <c r="I440" s="140">
        <f t="shared" si="31"/>
        <v>8008</v>
      </c>
      <c r="J440" t="b">
        <f t="shared" si="33"/>
        <v>1</v>
      </c>
      <c r="K440" s="4">
        <f t="shared" si="34"/>
        <v>-0.43768981018981024</v>
      </c>
      <c r="P440" t="s">
        <v>1062</v>
      </c>
      <c r="Q440">
        <v>922</v>
      </c>
      <c r="R440">
        <v>615.99</v>
      </c>
    </row>
    <row r="441" spans="2:18" hidden="1">
      <c r="B441" t="s">
        <v>1001</v>
      </c>
      <c r="C441" t="s">
        <v>1002</v>
      </c>
      <c r="D441">
        <v>10774</v>
      </c>
      <c r="E441" s="19">
        <f t="shared" si="32"/>
        <v>384.78571428571428</v>
      </c>
      <c r="F441" s="5">
        <v>6691.85</v>
      </c>
      <c r="I441" s="140">
        <f t="shared" si="31"/>
        <v>21548</v>
      </c>
      <c r="J441" t="b">
        <f t="shared" si="33"/>
        <v>1</v>
      </c>
      <c r="K441" s="4">
        <f t="shared" si="34"/>
        <v>-0.68944449600891033</v>
      </c>
      <c r="P441" t="s">
        <v>996</v>
      </c>
      <c r="Q441">
        <v>1303</v>
      </c>
      <c r="R441">
        <v>976.48</v>
      </c>
    </row>
    <row r="442" spans="2:18" hidden="1">
      <c r="B442" t="s">
        <v>974</v>
      </c>
      <c r="C442" t="s">
        <v>975</v>
      </c>
      <c r="D442">
        <v>4144</v>
      </c>
      <c r="E442" s="19">
        <f t="shared" si="32"/>
        <v>148</v>
      </c>
      <c r="F442" s="5">
        <v>5302.43</v>
      </c>
      <c r="I442" s="140">
        <f t="shared" si="31"/>
        <v>8288</v>
      </c>
      <c r="J442" t="b">
        <f t="shared" si="33"/>
        <v>1</v>
      </c>
      <c r="K442" s="4">
        <f t="shared" si="34"/>
        <v>-0.36022804054054047</v>
      </c>
      <c r="P442" t="s">
        <v>1051</v>
      </c>
      <c r="Q442">
        <v>1967</v>
      </c>
      <c r="R442">
        <v>2669.32</v>
      </c>
    </row>
    <row r="443" spans="2:18" hidden="1">
      <c r="B443" s="56" t="s">
        <v>1048</v>
      </c>
      <c r="C443" s="37" t="s">
        <v>1049</v>
      </c>
      <c r="D443">
        <v>1461</v>
      </c>
      <c r="E443" s="19">
        <f t="shared" si="32"/>
        <v>52.178571428571431</v>
      </c>
      <c r="F443" s="5">
        <v>3501.26</v>
      </c>
      <c r="I443" s="140">
        <f t="shared" si="31"/>
        <v>2922</v>
      </c>
      <c r="J443" t="b">
        <f t="shared" si="33"/>
        <v>1</v>
      </c>
      <c r="K443" s="4">
        <f t="shared" si="34"/>
        <v>0.19824093086926764</v>
      </c>
      <c r="P443" t="s">
        <v>1054</v>
      </c>
      <c r="Q443">
        <v>2648</v>
      </c>
      <c r="R443">
        <v>1533.95</v>
      </c>
    </row>
    <row r="444" spans="2:18" hidden="1">
      <c r="B444" s="55" t="s">
        <v>1119</v>
      </c>
      <c r="C444" s="37" t="s">
        <v>1120</v>
      </c>
      <c r="D444">
        <v>924</v>
      </c>
      <c r="E444" s="19">
        <f t="shared" si="32"/>
        <v>33</v>
      </c>
      <c r="F444" s="5">
        <v>783.96</v>
      </c>
      <c r="I444" s="140">
        <f t="shared" si="31"/>
        <v>1848</v>
      </c>
      <c r="J444" t="b">
        <f t="shared" si="33"/>
        <v>1</v>
      </c>
      <c r="K444" s="4">
        <f t="shared" si="34"/>
        <v>-0.57577922077922072</v>
      </c>
      <c r="P444" t="s">
        <v>1168</v>
      </c>
      <c r="Q444">
        <v>1099</v>
      </c>
      <c r="R444">
        <v>1681.39</v>
      </c>
    </row>
    <row r="445" spans="2:18" hidden="1">
      <c r="B445" t="s">
        <v>1075</v>
      </c>
      <c r="C445" t="s">
        <v>1076</v>
      </c>
      <c r="D445">
        <v>364</v>
      </c>
      <c r="E445" s="19">
        <f t="shared" si="32"/>
        <v>13</v>
      </c>
      <c r="F445" s="5">
        <v>340.93</v>
      </c>
      <c r="I445" s="140">
        <f t="shared" si="31"/>
        <v>728</v>
      </c>
      <c r="J445" t="b">
        <f t="shared" si="33"/>
        <v>1</v>
      </c>
      <c r="K445" s="4">
        <f t="shared" si="34"/>
        <v>-0.53168956043956039</v>
      </c>
      <c r="P445" t="s">
        <v>1213</v>
      </c>
      <c r="Q445">
        <v>3298</v>
      </c>
      <c r="R445">
        <v>6920.57</v>
      </c>
    </row>
    <row r="446" spans="2:18" hidden="1">
      <c r="B446" s="56" t="s">
        <v>1193</v>
      </c>
      <c r="C446" s="37" t="s">
        <v>1194</v>
      </c>
      <c r="D446">
        <v>1798</v>
      </c>
      <c r="E446" s="19">
        <f t="shared" si="32"/>
        <v>64.214285714285708</v>
      </c>
      <c r="F446" s="5">
        <v>3894.13</v>
      </c>
      <c r="I446" s="151">
        <f t="shared" si="31"/>
        <v>3596</v>
      </c>
      <c r="J446" t="b">
        <f t="shared" si="33"/>
        <v>1</v>
      </c>
      <c r="K446" s="4">
        <f t="shared" si="34"/>
        <v>8.2906006674082322E-2</v>
      </c>
      <c r="P446" t="s">
        <v>1043</v>
      </c>
      <c r="Q446">
        <v>355</v>
      </c>
      <c r="R446">
        <v>1017.38</v>
      </c>
    </row>
    <row r="447" spans="2:18" hidden="1">
      <c r="B447" t="s">
        <v>1188</v>
      </c>
      <c r="C447" t="s">
        <v>1189</v>
      </c>
      <c r="D447">
        <v>4103</v>
      </c>
      <c r="E447" s="19">
        <f t="shared" si="32"/>
        <v>146.53571428571428</v>
      </c>
      <c r="F447" s="5">
        <v>4157.49</v>
      </c>
      <c r="I447" s="140">
        <f t="shared" si="31"/>
        <v>8206</v>
      </c>
      <c r="J447" t="b">
        <f t="shared" si="33"/>
        <v>1</v>
      </c>
      <c r="K447" s="4">
        <f t="shared" si="34"/>
        <v>-0.49335973677796741</v>
      </c>
      <c r="P447" t="s">
        <v>1158</v>
      </c>
      <c r="Q447">
        <v>4192</v>
      </c>
      <c r="R447">
        <v>3703.72</v>
      </c>
    </row>
    <row r="448" spans="2:18" hidden="1">
      <c r="B448" s="57" t="s">
        <v>1202</v>
      </c>
      <c r="C448" s="37" t="s">
        <v>1203</v>
      </c>
      <c r="D448">
        <v>902</v>
      </c>
      <c r="E448" s="19">
        <f t="shared" si="32"/>
        <v>32.214285714285715</v>
      </c>
      <c r="F448" s="5">
        <v>1484.33</v>
      </c>
      <c r="I448" s="140">
        <f t="shared" si="31"/>
        <v>1804</v>
      </c>
      <c r="J448" t="b">
        <f t="shared" si="33"/>
        <v>1</v>
      </c>
      <c r="K448" s="4">
        <f t="shared" si="34"/>
        <v>-0.17720066518847011</v>
      </c>
      <c r="P448" t="s">
        <v>965</v>
      </c>
      <c r="Q448">
        <v>5893</v>
      </c>
      <c r="R448">
        <v>4482.1899999999996</v>
      </c>
    </row>
    <row r="449" spans="2:18" hidden="1">
      <c r="B449" t="s">
        <v>1104</v>
      </c>
      <c r="C449" t="s">
        <v>1105</v>
      </c>
      <c r="D449">
        <v>65</v>
      </c>
      <c r="E449" s="19">
        <f t="shared" si="32"/>
        <v>2.3214285714285716</v>
      </c>
      <c r="F449" s="5">
        <v>0</v>
      </c>
      <c r="I449" s="140">
        <f t="shared" si="31"/>
        <v>130</v>
      </c>
      <c r="J449" t="b">
        <f t="shared" si="33"/>
        <v>1</v>
      </c>
      <c r="K449" s="4">
        <f t="shared" si="34"/>
        <v>-1</v>
      </c>
      <c r="P449" t="s">
        <v>1068</v>
      </c>
      <c r="Q449">
        <v>1168</v>
      </c>
      <c r="R449">
        <v>1022.36</v>
      </c>
    </row>
    <row r="450" spans="2:18" hidden="1">
      <c r="B450" t="s">
        <v>1171</v>
      </c>
      <c r="C450" t="s">
        <v>1172</v>
      </c>
      <c r="D450">
        <v>1009</v>
      </c>
      <c r="E450" s="19">
        <f t="shared" si="32"/>
        <v>36.035714285714285</v>
      </c>
      <c r="F450" s="5">
        <v>748.6</v>
      </c>
      <c r="I450" s="140">
        <f t="shared" si="31"/>
        <v>2018</v>
      </c>
      <c r="J450" t="b">
        <f t="shared" si="33"/>
        <v>1</v>
      </c>
      <c r="K450" s="4">
        <f t="shared" si="34"/>
        <v>-0.62903865213082266</v>
      </c>
      <c r="P450" t="s">
        <v>1101</v>
      </c>
      <c r="Q450">
        <v>660</v>
      </c>
      <c r="R450">
        <v>1099.67</v>
      </c>
    </row>
    <row r="451" spans="2:18" hidden="1">
      <c r="B451" t="s">
        <v>1098</v>
      </c>
      <c r="C451" t="s">
        <v>1099</v>
      </c>
      <c r="D451">
        <v>3510</v>
      </c>
      <c r="E451" s="19">
        <f t="shared" si="32"/>
        <v>125.35714285714286</v>
      </c>
      <c r="F451" s="5">
        <v>5557.94</v>
      </c>
      <c r="I451" s="140">
        <f t="shared" si="31"/>
        <v>7020</v>
      </c>
      <c r="J451" t="b">
        <f t="shared" si="33"/>
        <v>1</v>
      </c>
      <c r="K451" s="4">
        <f t="shared" si="34"/>
        <v>-0.20827065527065536</v>
      </c>
      <c r="P451" t="s">
        <v>988</v>
      </c>
      <c r="Q451">
        <v>1341</v>
      </c>
      <c r="R451">
        <v>2691.33</v>
      </c>
    </row>
    <row r="452" spans="2:18" hidden="1">
      <c r="B452" t="s">
        <v>1200</v>
      </c>
      <c r="C452" t="s">
        <v>1201</v>
      </c>
      <c r="D452">
        <v>2903</v>
      </c>
      <c r="E452" s="19">
        <f t="shared" si="32"/>
        <v>103.67857142857143</v>
      </c>
      <c r="F452" s="5">
        <v>1981.91</v>
      </c>
      <c r="I452" s="140">
        <f t="shared" si="31"/>
        <v>5806</v>
      </c>
      <c r="J452" t="b">
        <f t="shared" si="33"/>
        <v>1</v>
      </c>
      <c r="K452" s="4">
        <f t="shared" si="34"/>
        <v>-0.65864450568377542</v>
      </c>
      <c r="P452" t="s">
        <v>1201</v>
      </c>
      <c r="Q452">
        <v>3129</v>
      </c>
      <c r="R452">
        <v>2951.94</v>
      </c>
    </row>
    <row r="453" spans="2:18" hidden="1">
      <c r="B453" t="s">
        <v>1024</v>
      </c>
      <c r="C453" t="s">
        <v>1025</v>
      </c>
      <c r="D453">
        <v>6200</v>
      </c>
      <c r="E453" s="19">
        <f t="shared" si="32"/>
        <v>221.42857142857142</v>
      </c>
      <c r="F453" s="5">
        <v>5167.8599999999997</v>
      </c>
      <c r="I453" s="140">
        <f t="shared" si="31"/>
        <v>12400</v>
      </c>
      <c r="J453" t="b">
        <f t="shared" si="33"/>
        <v>1</v>
      </c>
      <c r="K453" s="4">
        <f t="shared" si="34"/>
        <v>-0.58323709677419355</v>
      </c>
      <c r="P453" t="s">
        <v>1099</v>
      </c>
      <c r="Q453">
        <v>3780</v>
      </c>
      <c r="R453">
        <v>6358.12</v>
      </c>
    </row>
    <row r="454" spans="2:18" hidden="1">
      <c r="B454" t="s">
        <v>1162</v>
      </c>
      <c r="C454" t="s">
        <v>1163</v>
      </c>
      <c r="D454">
        <v>2453</v>
      </c>
      <c r="E454" s="19">
        <f t="shared" si="32"/>
        <v>87.607142857142861</v>
      </c>
      <c r="F454" s="5">
        <v>961.39</v>
      </c>
      <c r="I454" s="140">
        <f t="shared" si="31"/>
        <v>4906</v>
      </c>
      <c r="J454" t="b">
        <f t="shared" si="33"/>
        <v>1</v>
      </c>
      <c r="K454" s="4">
        <f t="shared" si="34"/>
        <v>-0.8040379127598859</v>
      </c>
      <c r="P454" t="s">
        <v>967</v>
      </c>
      <c r="Q454">
        <v>4424</v>
      </c>
      <c r="R454">
        <v>4518.8</v>
      </c>
    </row>
    <row r="455" spans="2:18" hidden="1">
      <c r="B455" t="s">
        <v>991</v>
      </c>
      <c r="C455" t="s">
        <v>992</v>
      </c>
      <c r="D455">
        <v>2864</v>
      </c>
      <c r="E455" s="19">
        <f t="shared" si="32"/>
        <v>102.28571428571429</v>
      </c>
      <c r="F455" s="5">
        <v>2169.4699999999998</v>
      </c>
      <c r="I455" s="140">
        <f t="shared" si="31"/>
        <v>5728</v>
      </c>
      <c r="J455" t="b">
        <f t="shared" si="33"/>
        <v>1</v>
      </c>
      <c r="K455" s="4">
        <f t="shared" si="34"/>
        <v>-0.62125174581005593</v>
      </c>
      <c r="P455" t="s">
        <v>1039</v>
      </c>
      <c r="Q455">
        <v>910</v>
      </c>
      <c r="R455">
        <v>2003.82</v>
      </c>
    </row>
    <row r="456" spans="2:18" hidden="1">
      <c r="B456" t="s">
        <v>1210</v>
      </c>
      <c r="C456" t="s">
        <v>1211</v>
      </c>
      <c r="D456">
        <v>4929</v>
      </c>
      <c r="E456" s="19">
        <f t="shared" si="32"/>
        <v>176.03571428571428</v>
      </c>
      <c r="F456" s="5">
        <v>4886.53</v>
      </c>
      <c r="I456" s="140">
        <f t="shared" si="31"/>
        <v>9858</v>
      </c>
      <c r="J456" t="b">
        <f t="shared" si="33"/>
        <v>1</v>
      </c>
      <c r="K456" s="4">
        <f t="shared" si="34"/>
        <v>-0.50430817610062895</v>
      </c>
    </row>
    <row r="457" spans="2:18" hidden="1">
      <c r="B457" t="s">
        <v>1050</v>
      </c>
      <c r="C457" t="s">
        <v>1051</v>
      </c>
      <c r="D457">
        <v>1148</v>
      </c>
      <c r="E457" s="19">
        <f t="shared" si="32"/>
        <v>41</v>
      </c>
      <c r="F457" s="5">
        <v>1176.0999999999999</v>
      </c>
      <c r="I457" s="140">
        <f t="shared" si="31"/>
        <v>2296</v>
      </c>
      <c r="J457" t="b">
        <f t="shared" si="33"/>
        <v>1</v>
      </c>
      <c r="K457" s="4">
        <f t="shared" si="34"/>
        <v>-0.48776132404181194</v>
      </c>
    </row>
    <row r="458" spans="2:18" hidden="1">
      <c r="B458" t="s">
        <v>1012</v>
      </c>
      <c r="C458" t="s">
        <v>1013</v>
      </c>
      <c r="D458">
        <v>1701</v>
      </c>
      <c r="E458" s="19">
        <f t="shared" si="32"/>
        <v>60.75</v>
      </c>
      <c r="F458" s="5">
        <v>2487.12</v>
      </c>
      <c r="I458" s="140">
        <f t="shared" si="31"/>
        <v>3402</v>
      </c>
      <c r="J458" t="b">
        <f t="shared" si="33"/>
        <v>1</v>
      </c>
      <c r="K458" s="4">
        <f t="shared" si="34"/>
        <v>-0.2689241622574956</v>
      </c>
    </row>
    <row r="459" spans="2:18" hidden="1">
      <c r="B459" t="s">
        <v>1018</v>
      </c>
      <c r="C459" t="s">
        <v>1019</v>
      </c>
      <c r="D459">
        <v>1047</v>
      </c>
      <c r="E459" s="19">
        <f t="shared" si="32"/>
        <v>37.392857142857146</v>
      </c>
      <c r="F459" s="5">
        <v>2236.48</v>
      </c>
      <c r="I459" s="140">
        <f t="shared" si="31"/>
        <v>2094</v>
      </c>
      <c r="J459" t="b">
        <f t="shared" si="33"/>
        <v>1</v>
      </c>
      <c r="K459" s="4">
        <f t="shared" si="34"/>
        <v>6.8042024832855708E-2</v>
      </c>
    </row>
    <row r="460" spans="2:18" hidden="1">
      <c r="B460" t="s">
        <v>1182</v>
      </c>
      <c r="C460" t="s">
        <v>1183</v>
      </c>
      <c r="D460">
        <v>1005</v>
      </c>
      <c r="E460" s="19">
        <f t="shared" si="32"/>
        <v>35.892857142857146</v>
      </c>
      <c r="F460" s="5">
        <v>1897.38</v>
      </c>
      <c r="I460" s="140">
        <f t="shared" si="31"/>
        <v>2010</v>
      </c>
      <c r="J460" t="b">
        <f t="shared" si="33"/>
        <v>1</v>
      </c>
      <c r="K460" s="4">
        <f t="shared" si="34"/>
        <v>-5.602985074626865E-2</v>
      </c>
    </row>
    <row r="461" spans="2:18" hidden="1">
      <c r="B461" t="s">
        <v>1004</v>
      </c>
      <c r="C461" t="s">
        <v>1005</v>
      </c>
      <c r="D461">
        <v>1082</v>
      </c>
      <c r="E461" s="19">
        <f t="shared" si="32"/>
        <v>38.642857142857146</v>
      </c>
      <c r="F461" s="5">
        <v>1177.4100000000001</v>
      </c>
      <c r="I461" s="140">
        <f t="shared" si="31"/>
        <v>2164</v>
      </c>
      <c r="J461" t="b">
        <f t="shared" si="33"/>
        <v>1</v>
      </c>
      <c r="K461" s="4">
        <f t="shared" si="34"/>
        <v>-0.45591035120147871</v>
      </c>
    </row>
    <row r="462" spans="2:18" hidden="1">
      <c r="B462" t="s">
        <v>1094</v>
      </c>
      <c r="C462" t="s">
        <v>1095</v>
      </c>
      <c r="D462">
        <v>1360</v>
      </c>
      <c r="E462" s="19">
        <f t="shared" si="32"/>
        <v>48.571428571428569</v>
      </c>
      <c r="F462" s="5">
        <v>933.02</v>
      </c>
      <c r="I462" s="140">
        <f t="shared" si="31"/>
        <v>2720</v>
      </c>
      <c r="J462" t="b">
        <f t="shared" si="33"/>
        <v>1</v>
      </c>
      <c r="K462" s="4">
        <f t="shared" si="34"/>
        <v>-0.65697794117647057</v>
      </c>
    </row>
    <row r="463" spans="2:18" hidden="1">
      <c r="B463" t="s">
        <v>1057</v>
      </c>
      <c r="C463" t="s">
        <v>1058</v>
      </c>
      <c r="D463">
        <v>1454</v>
      </c>
      <c r="E463" s="19">
        <f t="shared" si="32"/>
        <v>51.928571428571431</v>
      </c>
      <c r="F463" s="5">
        <v>1664.43</v>
      </c>
      <c r="I463" s="140">
        <f t="shared" si="31"/>
        <v>2908</v>
      </c>
      <c r="J463" t="b">
        <f t="shared" si="33"/>
        <v>1</v>
      </c>
      <c r="K463" s="4">
        <f t="shared" si="34"/>
        <v>-0.42763755158184313</v>
      </c>
    </row>
    <row r="464" spans="2:18" hidden="1">
      <c r="B464" t="s">
        <v>1055</v>
      </c>
      <c r="C464" t="s">
        <v>1056</v>
      </c>
      <c r="D464">
        <v>870</v>
      </c>
      <c r="E464" s="19">
        <f t="shared" si="32"/>
        <v>31.071428571428573</v>
      </c>
      <c r="F464" s="5">
        <v>729</v>
      </c>
      <c r="I464" s="140">
        <f t="shared" si="31"/>
        <v>1740</v>
      </c>
      <c r="J464" t="b">
        <f t="shared" si="33"/>
        <v>1</v>
      </c>
      <c r="K464" s="4">
        <f t="shared" si="34"/>
        <v>-0.58103448275862069</v>
      </c>
    </row>
    <row r="465" spans="2:11" hidden="1">
      <c r="B465" t="s">
        <v>1157</v>
      </c>
      <c r="C465" t="s">
        <v>1158</v>
      </c>
      <c r="D465">
        <v>3848</v>
      </c>
      <c r="E465" s="19">
        <f t="shared" si="32"/>
        <v>137.42857142857142</v>
      </c>
      <c r="F465" s="5">
        <v>1416.38</v>
      </c>
      <c r="I465" s="140">
        <f t="shared" si="31"/>
        <v>7696</v>
      </c>
      <c r="J465" t="b">
        <f t="shared" si="33"/>
        <v>1</v>
      </c>
      <c r="K465" s="4">
        <f t="shared" si="34"/>
        <v>-0.81595893970893973</v>
      </c>
    </row>
    <row r="466" spans="2:11" hidden="1">
      <c r="B466" t="s">
        <v>1069</v>
      </c>
      <c r="C466" t="s">
        <v>1070</v>
      </c>
      <c r="D466">
        <v>771</v>
      </c>
      <c r="E466" s="19">
        <f t="shared" si="32"/>
        <v>27.535714285714285</v>
      </c>
      <c r="F466" s="5">
        <v>711.67</v>
      </c>
      <c r="I466" s="140">
        <f t="shared" si="31"/>
        <v>1542</v>
      </c>
      <c r="J466" t="b">
        <f t="shared" si="33"/>
        <v>1</v>
      </c>
      <c r="K466" s="4">
        <f t="shared" si="34"/>
        <v>-0.53847600518806749</v>
      </c>
    </row>
    <row r="467" spans="2:11" hidden="1">
      <c r="B467" t="s">
        <v>1059</v>
      </c>
      <c r="C467" t="s">
        <v>1060</v>
      </c>
      <c r="D467">
        <v>1488</v>
      </c>
      <c r="E467" s="19">
        <f t="shared" si="32"/>
        <v>53.142857142857146</v>
      </c>
      <c r="F467" s="5">
        <v>1714.16</v>
      </c>
      <c r="I467" s="140">
        <f t="shared" ref="I467:I530" si="35">IF((D467/28)&gt;100,D467*2,D467*2)</f>
        <v>2976</v>
      </c>
      <c r="J467" t="b">
        <f t="shared" si="33"/>
        <v>1</v>
      </c>
      <c r="K467" s="4">
        <f t="shared" si="34"/>
        <v>-0.42400537634408597</v>
      </c>
    </row>
    <row r="468" spans="2:11" hidden="1">
      <c r="B468" t="s">
        <v>1032</v>
      </c>
      <c r="C468" t="s">
        <v>1033</v>
      </c>
      <c r="D468">
        <v>1342</v>
      </c>
      <c r="E468" s="19">
        <f t="shared" si="32"/>
        <v>47.928571428571431</v>
      </c>
      <c r="F468" s="5">
        <v>1317.44</v>
      </c>
      <c r="I468" s="140">
        <f t="shared" si="35"/>
        <v>2684</v>
      </c>
      <c r="J468" t="b">
        <f t="shared" si="33"/>
        <v>1</v>
      </c>
      <c r="K468" s="4">
        <f t="shared" si="34"/>
        <v>-0.509150521609538</v>
      </c>
    </row>
    <row r="469" spans="2:11" hidden="1">
      <c r="B469" t="s">
        <v>1197</v>
      </c>
      <c r="C469" t="s">
        <v>1198</v>
      </c>
      <c r="D469">
        <v>3098</v>
      </c>
      <c r="E469" s="19">
        <f t="shared" si="32"/>
        <v>110.64285714285714</v>
      </c>
      <c r="F469" s="5">
        <v>1795.52</v>
      </c>
      <c r="I469" s="140">
        <f t="shared" si="35"/>
        <v>6196</v>
      </c>
      <c r="J469" t="b">
        <f t="shared" si="33"/>
        <v>1</v>
      </c>
      <c r="K469" s="4">
        <f t="shared" si="34"/>
        <v>-0.7102130406714009</v>
      </c>
    </row>
    <row r="470" spans="2:11" hidden="1">
      <c r="B470" t="s">
        <v>1065</v>
      </c>
      <c r="C470" t="s">
        <v>1066</v>
      </c>
      <c r="D470">
        <v>1378</v>
      </c>
      <c r="E470" s="19">
        <f t="shared" si="32"/>
        <v>49.214285714285715</v>
      </c>
      <c r="F470" s="5">
        <v>2448.73</v>
      </c>
      <c r="I470" s="140">
        <f t="shared" si="35"/>
        <v>2756</v>
      </c>
      <c r="J470" t="b">
        <f t="shared" si="33"/>
        <v>1</v>
      </c>
      <c r="K470" s="4">
        <f t="shared" si="34"/>
        <v>-0.11149129172714078</v>
      </c>
    </row>
    <row r="471" spans="2:11" hidden="1">
      <c r="B471" t="s">
        <v>1126</v>
      </c>
      <c r="C471" t="s">
        <v>1127</v>
      </c>
      <c r="D471">
        <v>855</v>
      </c>
      <c r="E471" s="19">
        <f t="shared" si="32"/>
        <v>30.535714285714285</v>
      </c>
      <c r="F471" s="5">
        <v>908.68</v>
      </c>
      <c r="I471" s="140">
        <f t="shared" si="35"/>
        <v>1710</v>
      </c>
      <c r="J471" t="b">
        <f t="shared" si="33"/>
        <v>1</v>
      </c>
      <c r="K471" s="4">
        <f t="shared" si="34"/>
        <v>-0.46860818713450292</v>
      </c>
    </row>
    <row r="472" spans="2:11" hidden="1">
      <c r="B472" t="s">
        <v>1053</v>
      </c>
      <c r="C472" t="s">
        <v>1054</v>
      </c>
      <c r="D472">
        <v>2920</v>
      </c>
      <c r="E472" s="19">
        <f t="shared" si="32"/>
        <v>104.28571428571429</v>
      </c>
      <c r="F472" s="5">
        <v>952.87</v>
      </c>
      <c r="I472" s="140">
        <f t="shared" si="35"/>
        <v>5840</v>
      </c>
      <c r="J472" t="b">
        <f t="shared" si="33"/>
        <v>1</v>
      </c>
      <c r="K472" s="4">
        <f t="shared" si="34"/>
        <v>-0.83683732876712336</v>
      </c>
    </row>
    <row r="473" spans="2:11" hidden="1">
      <c r="B473" t="s">
        <v>1134</v>
      </c>
      <c r="C473" t="s">
        <v>1135</v>
      </c>
      <c r="D473">
        <v>1152</v>
      </c>
      <c r="E473" s="19">
        <f t="shared" si="32"/>
        <v>41.142857142857146</v>
      </c>
      <c r="F473" s="5">
        <v>648.21</v>
      </c>
      <c r="I473" s="140">
        <f t="shared" si="35"/>
        <v>2304</v>
      </c>
      <c r="J473" t="b">
        <f t="shared" si="33"/>
        <v>1</v>
      </c>
      <c r="K473" s="4">
        <f t="shared" si="34"/>
        <v>-0.71865885416666664</v>
      </c>
    </row>
    <row r="474" spans="2:11" hidden="1">
      <c r="B474" t="s">
        <v>1212</v>
      </c>
      <c r="C474" t="s">
        <v>1213</v>
      </c>
      <c r="D474">
        <v>2299</v>
      </c>
      <c r="E474" s="19">
        <f t="shared" si="32"/>
        <v>82.107142857142861</v>
      </c>
      <c r="F474" s="5">
        <v>3493.6</v>
      </c>
      <c r="I474" s="140">
        <f t="shared" si="35"/>
        <v>4598</v>
      </c>
      <c r="J474" t="b">
        <f t="shared" si="33"/>
        <v>1</v>
      </c>
      <c r="K474" s="4">
        <f t="shared" si="34"/>
        <v>-0.24019138755980862</v>
      </c>
    </row>
    <row r="475" spans="2:11" hidden="1">
      <c r="B475" t="s">
        <v>989</v>
      </c>
      <c r="C475" t="s">
        <v>990</v>
      </c>
      <c r="D475">
        <v>5349</v>
      </c>
      <c r="E475" s="19">
        <f t="shared" si="32"/>
        <v>191.03571428571428</v>
      </c>
      <c r="F475" s="5">
        <v>6874.22</v>
      </c>
      <c r="I475" s="140">
        <f t="shared" si="35"/>
        <v>10698</v>
      </c>
      <c r="J475" t="b">
        <f t="shared" si="33"/>
        <v>1</v>
      </c>
      <c r="K475" s="4">
        <f t="shared" si="34"/>
        <v>-0.35742942606094597</v>
      </c>
    </row>
    <row r="476" spans="2:11" hidden="1">
      <c r="B476" t="s">
        <v>1143</v>
      </c>
      <c r="C476" t="s">
        <v>1144</v>
      </c>
      <c r="D476">
        <v>753</v>
      </c>
      <c r="E476" s="19">
        <f t="shared" si="32"/>
        <v>26.892857142857142</v>
      </c>
      <c r="F476" s="5">
        <v>505.87</v>
      </c>
      <c r="I476" s="140">
        <f t="shared" si="35"/>
        <v>1506</v>
      </c>
      <c r="J476" t="b">
        <f t="shared" si="33"/>
        <v>1</v>
      </c>
      <c r="K476" s="4">
        <f t="shared" si="34"/>
        <v>-0.66409694555112875</v>
      </c>
    </row>
    <row r="477" spans="2:11" hidden="1">
      <c r="B477" t="s">
        <v>1164</v>
      </c>
      <c r="C477" t="s">
        <v>1165</v>
      </c>
      <c r="D477">
        <v>315</v>
      </c>
      <c r="E477" s="19">
        <f t="shared" si="32"/>
        <v>11.25</v>
      </c>
      <c r="F477" s="5">
        <v>179.15</v>
      </c>
      <c r="I477" s="140">
        <f t="shared" si="35"/>
        <v>630</v>
      </c>
      <c r="J477" t="b">
        <f t="shared" si="33"/>
        <v>1</v>
      </c>
      <c r="K477" s="4">
        <f t="shared" si="34"/>
        <v>-0.71563492063492062</v>
      </c>
    </row>
    <row r="478" spans="2:11" hidden="1">
      <c r="B478" t="s">
        <v>1090</v>
      </c>
      <c r="C478" t="s">
        <v>1091</v>
      </c>
      <c r="D478">
        <v>276</v>
      </c>
      <c r="E478" s="19">
        <f t="shared" si="32"/>
        <v>9.8571428571428577</v>
      </c>
      <c r="F478" s="5">
        <v>0</v>
      </c>
      <c r="I478" s="140">
        <f t="shared" si="35"/>
        <v>552</v>
      </c>
      <c r="J478" t="b">
        <f t="shared" si="33"/>
        <v>1</v>
      </c>
      <c r="K478" s="4">
        <f t="shared" si="34"/>
        <v>-1</v>
      </c>
    </row>
    <row r="479" spans="2:11" hidden="1">
      <c r="B479" t="s">
        <v>995</v>
      </c>
      <c r="C479" t="s">
        <v>996</v>
      </c>
      <c r="D479">
        <v>1191</v>
      </c>
      <c r="E479" s="19">
        <f t="shared" si="32"/>
        <v>42.535714285714285</v>
      </c>
      <c r="F479" s="5">
        <v>471.59</v>
      </c>
      <c r="I479" s="140">
        <f t="shared" si="35"/>
        <v>2382</v>
      </c>
      <c r="J479" t="b">
        <f t="shared" si="33"/>
        <v>1</v>
      </c>
      <c r="K479" s="4">
        <f t="shared" si="34"/>
        <v>-0.8020193115029387</v>
      </c>
    </row>
    <row r="480" spans="2:11" hidden="1">
      <c r="B480" t="s">
        <v>1038</v>
      </c>
      <c r="C480" t="s">
        <v>1039</v>
      </c>
      <c r="D480">
        <v>370</v>
      </c>
      <c r="E480" s="19">
        <f t="shared" si="32"/>
        <v>13.214285714285714</v>
      </c>
      <c r="F480" s="5">
        <v>373.86</v>
      </c>
      <c r="I480" s="140">
        <f t="shared" si="35"/>
        <v>740</v>
      </c>
      <c r="J480" t="b">
        <f t="shared" si="33"/>
        <v>1</v>
      </c>
      <c r="K480" s="4">
        <f t="shared" si="34"/>
        <v>-0.49478378378378374</v>
      </c>
    </row>
    <row r="481" spans="2:11" hidden="1">
      <c r="B481" t="s">
        <v>1029</v>
      </c>
      <c r="C481" t="s">
        <v>1030</v>
      </c>
      <c r="D481">
        <v>352</v>
      </c>
      <c r="E481" s="19">
        <f t="shared" si="32"/>
        <v>12.571428571428571</v>
      </c>
      <c r="F481" s="5">
        <v>391.08</v>
      </c>
      <c r="I481" s="140">
        <f t="shared" si="35"/>
        <v>704</v>
      </c>
      <c r="J481" t="b">
        <f t="shared" si="33"/>
        <v>1</v>
      </c>
      <c r="K481" s="4">
        <f t="shared" si="34"/>
        <v>-0.44448863636363634</v>
      </c>
    </row>
    <row r="482" spans="2:11" hidden="1">
      <c r="B482" t="s">
        <v>1040</v>
      </c>
      <c r="C482" t="s">
        <v>1041</v>
      </c>
      <c r="D482">
        <v>686</v>
      </c>
      <c r="E482" s="19">
        <f t="shared" si="32"/>
        <v>24.5</v>
      </c>
      <c r="F482" s="5">
        <v>402.86</v>
      </c>
      <c r="I482" s="140">
        <f t="shared" si="35"/>
        <v>1372</v>
      </c>
      <c r="J482" t="b">
        <f t="shared" si="33"/>
        <v>1</v>
      </c>
      <c r="K482" s="4">
        <f t="shared" si="34"/>
        <v>-0.70637026239067047</v>
      </c>
    </row>
    <row r="483" spans="2:11" hidden="1">
      <c r="B483" t="s">
        <v>976</v>
      </c>
      <c r="C483" t="s">
        <v>977</v>
      </c>
      <c r="D483">
        <v>1465</v>
      </c>
      <c r="E483" s="19">
        <f t="shared" si="32"/>
        <v>52.321428571428569</v>
      </c>
      <c r="F483" s="5">
        <v>1235.6400000000001</v>
      </c>
      <c r="I483" s="140">
        <f t="shared" si="35"/>
        <v>2930</v>
      </c>
      <c r="J483" t="b">
        <f t="shared" si="33"/>
        <v>1</v>
      </c>
      <c r="K483" s="4">
        <f t="shared" si="34"/>
        <v>-0.57827986348122862</v>
      </c>
    </row>
    <row r="484" spans="2:11" hidden="1">
      <c r="B484" t="s">
        <v>1113</v>
      </c>
      <c r="C484" t="s">
        <v>1114</v>
      </c>
      <c r="D484">
        <v>1139</v>
      </c>
      <c r="E484" s="19">
        <f t="shared" si="32"/>
        <v>40.678571428571431</v>
      </c>
      <c r="F484" s="5">
        <v>1111.2</v>
      </c>
      <c r="I484" s="140">
        <f t="shared" si="35"/>
        <v>2278</v>
      </c>
      <c r="J484" t="b">
        <f t="shared" si="33"/>
        <v>1</v>
      </c>
      <c r="K484" s="4">
        <f t="shared" si="34"/>
        <v>-0.51220368744512723</v>
      </c>
    </row>
    <row r="485" spans="2:11" hidden="1">
      <c r="B485" t="s">
        <v>1046</v>
      </c>
      <c r="C485" t="s">
        <v>1047</v>
      </c>
      <c r="D485">
        <v>3035</v>
      </c>
      <c r="E485" s="19">
        <f t="shared" si="32"/>
        <v>108.39285714285714</v>
      </c>
      <c r="F485" s="5">
        <v>2737.42</v>
      </c>
      <c r="I485" s="140">
        <f t="shared" si="35"/>
        <v>6070</v>
      </c>
      <c r="J485" t="b">
        <f t="shared" si="33"/>
        <v>1</v>
      </c>
      <c r="K485" s="4">
        <f t="shared" si="34"/>
        <v>-0.54902471169686984</v>
      </c>
    </row>
    <row r="486" spans="2:11" hidden="1">
      <c r="B486" t="s">
        <v>1151</v>
      </c>
      <c r="C486" t="s">
        <v>1152</v>
      </c>
      <c r="D486">
        <v>1190</v>
      </c>
      <c r="E486" s="19">
        <f t="shared" si="32"/>
        <v>42.5</v>
      </c>
      <c r="F486" s="5">
        <v>863.45</v>
      </c>
      <c r="I486" s="140">
        <f t="shared" si="35"/>
        <v>2380</v>
      </c>
      <c r="J486" t="b">
        <f t="shared" si="33"/>
        <v>1</v>
      </c>
      <c r="K486" s="4">
        <f t="shared" si="34"/>
        <v>-0.63720588235294118</v>
      </c>
    </row>
    <row r="487" spans="2:11">
      <c r="B487" s="55" t="s">
        <v>978</v>
      </c>
      <c r="C487" s="27" t="s">
        <v>979</v>
      </c>
      <c r="D487">
        <v>1130</v>
      </c>
      <c r="E487" s="19">
        <f t="shared" si="32"/>
        <v>40.357142857142854</v>
      </c>
      <c r="F487" s="5">
        <v>2804.32</v>
      </c>
      <c r="I487" s="151">
        <f t="shared" si="35"/>
        <v>2260</v>
      </c>
      <c r="J487" t="b">
        <f t="shared" si="33"/>
        <v>0</v>
      </c>
      <c r="K487" s="4">
        <f t="shared" si="34"/>
        <v>0.24084955752212389</v>
      </c>
    </row>
    <row r="488" spans="2:11" hidden="1">
      <c r="B488" t="s">
        <v>1167</v>
      </c>
      <c r="C488" t="s">
        <v>1168</v>
      </c>
      <c r="D488">
        <v>923</v>
      </c>
      <c r="E488" s="19">
        <f t="shared" si="32"/>
        <v>32.964285714285715</v>
      </c>
      <c r="F488" s="5">
        <v>1494.03</v>
      </c>
      <c r="I488" s="140">
        <f t="shared" si="35"/>
        <v>1846</v>
      </c>
      <c r="J488" t="b">
        <f t="shared" si="33"/>
        <v>1</v>
      </c>
      <c r="K488" s="4">
        <f t="shared" si="34"/>
        <v>-0.19066630552546049</v>
      </c>
    </row>
    <row r="489" spans="2:11" hidden="1">
      <c r="B489" t="s">
        <v>1204</v>
      </c>
      <c r="C489" t="s">
        <v>1205</v>
      </c>
      <c r="D489">
        <v>1377</v>
      </c>
      <c r="E489" s="19">
        <f t="shared" si="32"/>
        <v>49.178571428571431</v>
      </c>
      <c r="F489" s="5">
        <v>973.34</v>
      </c>
      <c r="I489" s="140">
        <f t="shared" si="35"/>
        <v>2754</v>
      </c>
      <c r="J489" t="b">
        <f t="shared" si="33"/>
        <v>1</v>
      </c>
      <c r="K489" s="4">
        <f t="shared" si="34"/>
        <v>-0.6465722585330429</v>
      </c>
    </row>
    <row r="490" spans="2:11" hidden="1">
      <c r="B490" s="55" t="s">
        <v>999</v>
      </c>
      <c r="C490" s="37" t="s">
        <v>1000</v>
      </c>
      <c r="D490">
        <v>749</v>
      </c>
      <c r="E490" s="19">
        <f t="shared" si="32"/>
        <v>26.75</v>
      </c>
      <c r="F490" s="5">
        <v>1304.75</v>
      </c>
      <c r="I490" s="140">
        <f t="shared" si="35"/>
        <v>1498</v>
      </c>
      <c r="J490" t="b">
        <f t="shared" si="33"/>
        <v>1</v>
      </c>
      <c r="K490" s="4">
        <f t="shared" si="34"/>
        <v>-0.12900534045393863</v>
      </c>
    </row>
    <row r="491" spans="2:11" hidden="1">
      <c r="B491" t="s">
        <v>1208</v>
      </c>
      <c r="C491" t="s">
        <v>1209</v>
      </c>
      <c r="D491">
        <v>958</v>
      </c>
      <c r="E491" s="19">
        <f t="shared" ref="E491:E554" si="36">D491/28</f>
        <v>34.214285714285715</v>
      </c>
      <c r="F491" s="5">
        <v>1301.94</v>
      </c>
      <c r="I491" s="140">
        <f t="shared" si="35"/>
        <v>1916</v>
      </c>
      <c r="J491" t="b">
        <f t="shared" ref="J491:J554" si="37">IF(F491&gt;1.2*I491,FALSE,TRUE)</f>
        <v>1</v>
      </c>
      <c r="K491" s="4">
        <f t="shared" ref="K491:K554" si="38">F491/I491-1</f>
        <v>-0.32049060542797492</v>
      </c>
    </row>
    <row r="492" spans="2:11" hidden="1">
      <c r="B492" t="s">
        <v>1063</v>
      </c>
      <c r="C492" t="s">
        <v>1064</v>
      </c>
      <c r="D492">
        <v>402</v>
      </c>
      <c r="E492" s="19">
        <f t="shared" si="36"/>
        <v>14.357142857142858</v>
      </c>
      <c r="F492" s="5">
        <v>417.19</v>
      </c>
      <c r="I492" s="140">
        <f t="shared" si="35"/>
        <v>804</v>
      </c>
      <c r="J492" t="b">
        <f t="shared" si="37"/>
        <v>1</v>
      </c>
      <c r="K492" s="4">
        <f t="shared" si="38"/>
        <v>-0.48110696517412932</v>
      </c>
    </row>
    <row r="493" spans="2:11">
      <c r="B493" t="s">
        <v>1042</v>
      </c>
      <c r="C493" t="s">
        <v>1043</v>
      </c>
      <c r="D493">
        <v>261</v>
      </c>
      <c r="E493" s="19">
        <f t="shared" si="36"/>
        <v>9.3214285714285712</v>
      </c>
      <c r="F493" s="5">
        <v>655.14</v>
      </c>
      <c r="I493" s="140">
        <f t="shared" si="35"/>
        <v>522</v>
      </c>
      <c r="J493" t="b">
        <f t="shared" si="37"/>
        <v>0</v>
      </c>
      <c r="K493" s="4">
        <f t="shared" si="38"/>
        <v>0.25505747126436784</v>
      </c>
    </row>
    <row r="494" spans="2:11" hidden="1">
      <c r="B494" t="s">
        <v>1034</v>
      </c>
      <c r="C494" t="s">
        <v>1035</v>
      </c>
      <c r="D494">
        <v>1180</v>
      </c>
      <c r="E494" s="19">
        <f t="shared" si="36"/>
        <v>42.142857142857146</v>
      </c>
      <c r="F494" s="5">
        <v>837.31</v>
      </c>
      <c r="I494" s="140">
        <f t="shared" si="35"/>
        <v>2360</v>
      </c>
      <c r="J494" t="b">
        <f t="shared" si="37"/>
        <v>1</v>
      </c>
      <c r="K494" s="4">
        <f t="shared" si="38"/>
        <v>-0.6452076271186441</v>
      </c>
    </row>
    <row r="495" spans="2:11" hidden="1">
      <c r="B495" t="s">
        <v>1191</v>
      </c>
      <c r="C495" t="s">
        <v>1192</v>
      </c>
      <c r="D495">
        <v>2342</v>
      </c>
      <c r="E495" s="19">
        <f t="shared" si="36"/>
        <v>83.642857142857139</v>
      </c>
      <c r="F495" s="5">
        <v>1381.42</v>
      </c>
      <c r="I495" s="140">
        <f t="shared" si="35"/>
        <v>4684</v>
      </c>
      <c r="J495" t="b">
        <f t="shared" si="37"/>
        <v>1</v>
      </c>
      <c r="K495" s="4">
        <f t="shared" si="38"/>
        <v>-0.70507685738684889</v>
      </c>
    </row>
    <row r="496" spans="2:11" hidden="1">
      <c r="B496" t="s">
        <v>1022</v>
      </c>
      <c r="C496" t="s">
        <v>1023</v>
      </c>
      <c r="D496">
        <v>1816</v>
      </c>
      <c r="E496" s="19">
        <f t="shared" si="36"/>
        <v>64.857142857142861</v>
      </c>
      <c r="F496" s="5">
        <v>3067.42</v>
      </c>
      <c r="I496" s="140">
        <f t="shared" si="35"/>
        <v>3632</v>
      </c>
      <c r="J496" t="b">
        <f t="shared" si="37"/>
        <v>1</v>
      </c>
      <c r="K496" s="4">
        <f t="shared" si="38"/>
        <v>-0.15544603524229073</v>
      </c>
    </row>
    <row r="497" spans="2:11" hidden="1">
      <c r="B497" t="s">
        <v>1186</v>
      </c>
      <c r="C497" t="s">
        <v>1187</v>
      </c>
      <c r="D497">
        <v>1790</v>
      </c>
      <c r="E497" s="19">
        <f t="shared" si="36"/>
        <v>63.928571428571431</v>
      </c>
      <c r="F497" s="5">
        <v>1000.13</v>
      </c>
      <c r="I497" s="140">
        <f t="shared" si="35"/>
        <v>3580</v>
      </c>
      <c r="J497" t="b">
        <f t="shared" si="37"/>
        <v>1</v>
      </c>
      <c r="K497" s="4">
        <f t="shared" si="38"/>
        <v>-0.72063407821229053</v>
      </c>
    </row>
    <row r="498" spans="2:11" hidden="1">
      <c r="B498" t="s">
        <v>1177</v>
      </c>
      <c r="C498" t="s">
        <v>1178</v>
      </c>
      <c r="D498">
        <v>996</v>
      </c>
      <c r="E498" s="19">
        <f t="shared" si="36"/>
        <v>35.571428571428569</v>
      </c>
      <c r="F498" s="5">
        <v>2220.34</v>
      </c>
      <c r="I498" s="140">
        <f t="shared" si="35"/>
        <v>1992</v>
      </c>
      <c r="J498" t="b">
        <f t="shared" si="37"/>
        <v>1</v>
      </c>
      <c r="K498" s="4">
        <f t="shared" si="38"/>
        <v>0.11462851405622487</v>
      </c>
    </row>
    <row r="499" spans="2:11" hidden="1">
      <c r="B499" t="s">
        <v>1160</v>
      </c>
      <c r="C499" t="s">
        <v>1161</v>
      </c>
      <c r="D499">
        <v>741</v>
      </c>
      <c r="E499" s="19">
        <f t="shared" si="36"/>
        <v>26.464285714285715</v>
      </c>
      <c r="F499" s="5">
        <v>487.05</v>
      </c>
      <c r="I499" s="140">
        <f t="shared" si="35"/>
        <v>1482</v>
      </c>
      <c r="J499" t="b">
        <f t="shared" si="37"/>
        <v>1</v>
      </c>
      <c r="K499" s="4">
        <f t="shared" si="38"/>
        <v>-0.67135627530364372</v>
      </c>
    </row>
    <row r="500" spans="2:11" hidden="1">
      <c r="B500" t="s">
        <v>1061</v>
      </c>
      <c r="C500" t="s">
        <v>1062</v>
      </c>
      <c r="D500">
        <v>887</v>
      </c>
      <c r="E500" s="19">
        <f t="shared" si="36"/>
        <v>31.678571428571427</v>
      </c>
      <c r="F500" s="5">
        <v>555.32000000000005</v>
      </c>
      <c r="I500" s="140">
        <f t="shared" si="35"/>
        <v>1774</v>
      </c>
      <c r="J500" t="b">
        <f t="shared" si="37"/>
        <v>1</v>
      </c>
      <c r="K500" s="4">
        <f t="shared" si="38"/>
        <v>-0.6869673055242389</v>
      </c>
    </row>
    <row r="501" spans="2:11" hidden="1">
      <c r="B501" t="s">
        <v>987</v>
      </c>
      <c r="C501" t="s">
        <v>988</v>
      </c>
      <c r="D501">
        <v>719</v>
      </c>
      <c r="E501" s="19">
        <f t="shared" si="36"/>
        <v>25.678571428571427</v>
      </c>
      <c r="F501" s="5">
        <v>864.23</v>
      </c>
      <c r="I501" s="140">
        <f t="shared" si="35"/>
        <v>1438</v>
      </c>
      <c r="J501" t="b">
        <f t="shared" si="37"/>
        <v>1</v>
      </c>
      <c r="K501" s="4">
        <f t="shared" si="38"/>
        <v>-0.39900556328233661</v>
      </c>
    </row>
    <row r="502" spans="2:11" hidden="1">
      <c r="B502" t="s">
        <v>1123</v>
      </c>
      <c r="C502" t="s">
        <v>1124</v>
      </c>
      <c r="D502">
        <v>797</v>
      </c>
      <c r="E502" s="19">
        <f t="shared" si="36"/>
        <v>28.464285714285715</v>
      </c>
      <c r="F502" s="5">
        <v>1180.24</v>
      </c>
      <c r="I502" s="140">
        <f t="shared" si="35"/>
        <v>1594</v>
      </c>
      <c r="J502" t="b">
        <f t="shared" si="37"/>
        <v>1</v>
      </c>
      <c r="K502" s="4">
        <f t="shared" si="38"/>
        <v>-0.259573400250941</v>
      </c>
    </row>
    <row r="503" spans="2:11" hidden="1">
      <c r="B503" t="s">
        <v>1149</v>
      </c>
      <c r="C503" t="s">
        <v>1150</v>
      </c>
      <c r="D503">
        <v>942</v>
      </c>
      <c r="E503" s="19">
        <f t="shared" si="36"/>
        <v>33.642857142857146</v>
      </c>
      <c r="F503" s="5">
        <v>1030.55</v>
      </c>
      <c r="I503" s="140">
        <f t="shared" si="35"/>
        <v>1884</v>
      </c>
      <c r="J503" t="b">
        <f t="shared" si="37"/>
        <v>1</v>
      </c>
      <c r="K503" s="4">
        <f t="shared" si="38"/>
        <v>-0.45299893842887473</v>
      </c>
    </row>
    <row r="504" spans="2:11" hidden="1">
      <c r="B504" t="s">
        <v>1155</v>
      </c>
      <c r="C504" t="s">
        <v>1156</v>
      </c>
      <c r="D504">
        <v>801</v>
      </c>
      <c r="E504" s="19">
        <f t="shared" si="36"/>
        <v>28.607142857142858</v>
      </c>
      <c r="F504" s="5">
        <v>905.79</v>
      </c>
      <c r="I504" s="140">
        <f t="shared" si="35"/>
        <v>1602</v>
      </c>
      <c r="J504" t="b">
        <f t="shared" si="37"/>
        <v>1</v>
      </c>
      <c r="K504" s="4">
        <f t="shared" si="38"/>
        <v>-0.43458801498127342</v>
      </c>
    </row>
    <row r="505" spans="2:11" hidden="1">
      <c r="B505" t="s">
        <v>1153</v>
      </c>
      <c r="C505" t="s">
        <v>1154</v>
      </c>
      <c r="D505">
        <v>1230</v>
      </c>
      <c r="E505" s="19">
        <f t="shared" si="36"/>
        <v>43.928571428571431</v>
      </c>
      <c r="F505" s="5">
        <v>1382.99</v>
      </c>
      <c r="I505" s="140">
        <f t="shared" si="35"/>
        <v>2460</v>
      </c>
      <c r="J505" t="b">
        <f t="shared" si="37"/>
        <v>1</v>
      </c>
      <c r="K505" s="4">
        <f t="shared" si="38"/>
        <v>-0.43780894308943086</v>
      </c>
    </row>
    <row r="506" spans="2:11" hidden="1">
      <c r="B506" t="s">
        <v>1128</v>
      </c>
      <c r="C506" t="s">
        <v>1129</v>
      </c>
      <c r="D506">
        <v>199</v>
      </c>
      <c r="E506" s="19">
        <f t="shared" si="36"/>
        <v>7.1071428571428568</v>
      </c>
      <c r="F506" s="5">
        <v>317.93</v>
      </c>
      <c r="I506" s="140">
        <f t="shared" si="35"/>
        <v>398</v>
      </c>
      <c r="J506" t="b">
        <f t="shared" si="37"/>
        <v>1</v>
      </c>
      <c r="K506" s="4">
        <f t="shared" si="38"/>
        <v>-0.20118090452261306</v>
      </c>
    </row>
    <row r="507" spans="2:11" hidden="1">
      <c r="B507" t="s">
        <v>1115</v>
      </c>
      <c r="C507" t="s">
        <v>1116</v>
      </c>
      <c r="D507">
        <v>259</v>
      </c>
      <c r="E507" s="19">
        <f t="shared" si="36"/>
        <v>9.25</v>
      </c>
      <c r="F507" s="5">
        <v>355.8</v>
      </c>
      <c r="I507" s="140">
        <f t="shared" si="35"/>
        <v>518</v>
      </c>
      <c r="J507" t="b">
        <f t="shared" si="37"/>
        <v>1</v>
      </c>
      <c r="K507" s="4">
        <f t="shared" si="38"/>
        <v>-0.3131274131274131</v>
      </c>
    </row>
    <row r="508" spans="2:11" hidden="1">
      <c r="B508" t="s">
        <v>1092</v>
      </c>
      <c r="C508" t="s">
        <v>1093</v>
      </c>
      <c r="D508">
        <v>0</v>
      </c>
      <c r="E508" s="19">
        <f t="shared" si="36"/>
        <v>0</v>
      </c>
      <c r="F508" s="5">
        <v>0</v>
      </c>
      <c r="I508" s="140">
        <f t="shared" si="35"/>
        <v>0</v>
      </c>
      <c r="J508" t="b">
        <f t="shared" si="37"/>
        <v>1</v>
      </c>
      <c r="K508" s="4" t="e">
        <f t="shared" si="38"/>
        <v>#DIV/0!</v>
      </c>
    </row>
    <row r="509" spans="2:11" hidden="1">
      <c r="B509" t="s">
        <v>1173</v>
      </c>
      <c r="C509" t="s">
        <v>1174</v>
      </c>
      <c r="D509">
        <v>1112</v>
      </c>
      <c r="E509" s="19">
        <f t="shared" si="36"/>
        <v>39.714285714285715</v>
      </c>
      <c r="F509" s="5">
        <v>1585.44</v>
      </c>
      <c r="I509" s="140">
        <f t="shared" si="35"/>
        <v>2224</v>
      </c>
      <c r="J509" t="b">
        <f t="shared" si="37"/>
        <v>1</v>
      </c>
      <c r="K509" s="4">
        <f t="shared" si="38"/>
        <v>-0.28712230215827339</v>
      </c>
    </row>
    <row r="510" spans="2:11" hidden="1">
      <c r="B510" t="s">
        <v>1102</v>
      </c>
      <c r="C510" t="s">
        <v>1103</v>
      </c>
      <c r="D510">
        <v>296</v>
      </c>
      <c r="E510" s="19">
        <f t="shared" si="36"/>
        <v>10.571428571428571</v>
      </c>
      <c r="F510" s="5">
        <v>256.83999999999997</v>
      </c>
      <c r="I510" s="140">
        <f t="shared" si="35"/>
        <v>592</v>
      </c>
      <c r="J510" t="b">
        <f t="shared" si="37"/>
        <v>1</v>
      </c>
      <c r="K510" s="4">
        <f t="shared" si="38"/>
        <v>-0.56614864864864867</v>
      </c>
    </row>
    <row r="511" spans="2:11" hidden="1">
      <c r="B511" t="s">
        <v>1096</v>
      </c>
      <c r="C511" t="s">
        <v>1097</v>
      </c>
      <c r="D511">
        <v>18</v>
      </c>
      <c r="E511" s="19">
        <f t="shared" si="36"/>
        <v>0.6428571428571429</v>
      </c>
      <c r="F511" s="5">
        <v>10.16</v>
      </c>
      <c r="I511" s="140">
        <f t="shared" si="35"/>
        <v>36</v>
      </c>
      <c r="J511" t="b">
        <f t="shared" si="37"/>
        <v>1</v>
      </c>
      <c r="K511" s="4">
        <f t="shared" si="38"/>
        <v>-0.71777777777777785</v>
      </c>
    </row>
    <row r="512" spans="2:11" hidden="1">
      <c r="B512" t="s">
        <v>1086</v>
      </c>
      <c r="C512" t="s">
        <v>1087</v>
      </c>
      <c r="D512">
        <v>1</v>
      </c>
      <c r="E512" s="19">
        <f t="shared" si="36"/>
        <v>3.5714285714285712E-2</v>
      </c>
      <c r="F512" s="5">
        <v>0</v>
      </c>
      <c r="I512" s="140">
        <f t="shared" si="35"/>
        <v>2</v>
      </c>
      <c r="J512" t="b">
        <f t="shared" si="37"/>
        <v>1</v>
      </c>
      <c r="K512" s="4">
        <f t="shared" si="38"/>
        <v>-1</v>
      </c>
    </row>
    <row r="513" spans="2:11" hidden="1">
      <c r="B513" t="s">
        <v>1079</v>
      </c>
      <c r="C513" t="s">
        <v>1080</v>
      </c>
      <c r="D513">
        <v>0</v>
      </c>
      <c r="E513" s="19">
        <f t="shared" si="36"/>
        <v>0</v>
      </c>
      <c r="F513" s="5">
        <v>0</v>
      </c>
      <c r="I513" s="140">
        <f t="shared" si="35"/>
        <v>0</v>
      </c>
      <c r="J513" t="b">
        <f t="shared" si="37"/>
        <v>1</v>
      </c>
      <c r="K513" s="4" t="e">
        <f t="shared" si="38"/>
        <v>#DIV/0!</v>
      </c>
    </row>
    <row r="514" spans="2:11">
      <c r="B514" t="s">
        <v>1071</v>
      </c>
      <c r="C514" t="s">
        <v>1072</v>
      </c>
      <c r="D514">
        <v>10</v>
      </c>
      <c r="E514" s="19">
        <f t="shared" si="36"/>
        <v>0.35714285714285715</v>
      </c>
      <c r="F514" s="5">
        <v>26.05</v>
      </c>
      <c r="I514" s="140">
        <f t="shared" si="35"/>
        <v>20</v>
      </c>
      <c r="J514" t="b">
        <f t="shared" si="37"/>
        <v>0</v>
      </c>
      <c r="K514" s="4">
        <f t="shared" si="38"/>
        <v>0.30249999999999999</v>
      </c>
    </row>
    <row r="515" spans="2:11" hidden="1">
      <c r="B515" t="s">
        <v>1088</v>
      </c>
      <c r="C515" t="s">
        <v>1089</v>
      </c>
      <c r="D515">
        <v>0</v>
      </c>
      <c r="E515" s="19">
        <f t="shared" si="36"/>
        <v>0</v>
      </c>
      <c r="F515" s="5">
        <v>0</v>
      </c>
      <c r="I515" s="140">
        <f t="shared" si="35"/>
        <v>0</v>
      </c>
      <c r="J515" t="b">
        <f t="shared" si="37"/>
        <v>1</v>
      </c>
      <c r="K515" s="4" t="e">
        <f t="shared" si="38"/>
        <v>#DIV/0!</v>
      </c>
    </row>
    <row r="516" spans="2:11" hidden="1">
      <c r="B516" s="27" t="s">
        <v>1014</v>
      </c>
      <c r="C516" s="27" t="s">
        <v>1015</v>
      </c>
      <c r="D516">
        <v>432</v>
      </c>
      <c r="E516" s="19">
        <f t="shared" si="36"/>
        <v>15.428571428571429</v>
      </c>
      <c r="F516" s="5">
        <v>594.27</v>
      </c>
      <c r="I516" s="140">
        <f t="shared" si="35"/>
        <v>864</v>
      </c>
      <c r="J516" t="b">
        <f t="shared" si="37"/>
        <v>1</v>
      </c>
      <c r="K516" s="4">
        <f t="shared" si="38"/>
        <v>-0.31218750000000006</v>
      </c>
    </row>
    <row r="517" spans="2:11" hidden="1">
      <c r="B517" t="s">
        <v>1139</v>
      </c>
      <c r="C517" t="s">
        <v>1140</v>
      </c>
      <c r="D517">
        <v>295</v>
      </c>
      <c r="E517" s="19">
        <f t="shared" si="36"/>
        <v>10.535714285714286</v>
      </c>
      <c r="F517" s="5">
        <v>0</v>
      </c>
      <c r="I517" s="140">
        <f t="shared" si="35"/>
        <v>590</v>
      </c>
      <c r="J517" t="b">
        <f t="shared" si="37"/>
        <v>1</v>
      </c>
      <c r="K517" s="4">
        <f t="shared" si="38"/>
        <v>-1</v>
      </c>
    </row>
    <row r="518" spans="2:11" hidden="1">
      <c r="B518" t="s">
        <v>1141</v>
      </c>
      <c r="C518" t="s">
        <v>1142</v>
      </c>
      <c r="D518">
        <v>1087</v>
      </c>
      <c r="E518" s="19">
        <f t="shared" si="36"/>
        <v>38.821428571428569</v>
      </c>
      <c r="F518" s="5">
        <v>2213.17</v>
      </c>
      <c r="I518" s="140">
        <f t="shared" si="35"/>
        <v>2174</v>
      </c>
      <c r="J518" t="b">
        <f t="shared" si="37"/>
        <v>1</v>
      </c>
      <c r="K518" s="4">
        <f t="shared" si="38"/>
        <v>1.8017479300828088E-2</v>
      </c>
    </row>
    <row r="519" spans="2:11" hidden="1">
      <c r="B519" t="s">
        <v>982</v>
      </c>
      <c r="C519" t="s">
        <v>983</v>
      </c>
      <c r="D519">
        <v>1190</v>
      </c>
      <c r="E519" s="19">
        <f t="shared" si="36"/>
        <v>42.5</v>
      </c>
      <c r="F519" s="5">
        <v>1364.76</v>
      </c>
      <c r="I519" s="140">
        <f t="shared" si="35"/>
        <v>2380</v>
      </c>
      <c r="J519" t="b">
        <f t="shared" si="37"/>
        <v>1</v>
      </c>
      <c r="K519" s="4">
        <f t="shared" si="38"/>
        <v>-0.4265714285714286</v>
      </c>
    </row>
    <row r="520" spans="2:11" hidden="1">
      <c r="B520" t="s">
        <v>1110</v>
      </c>
      <c r="C520" t="s">
        <v>1111</v>
      </c>
      <c r="D520">
        <v>1754</v>
      </c>
      <c r="E520" s="19">
        <f t="shared" si="36"/>
        <v>62.642857142857146</v>
      </c>
      <c r="F520" s="5">
        <v>1612.16</v>
      </c>
      <c r="I520" s="140">
        <f t="shared" si="35"/>
        <v>3508</v>
      </c>
      <c r="J520" t="b">
        <f t="shared" si="37"/>
        <v>1</v>
      </c>
      <c r="K520" s="4">
        <f t="shared" si="38"/>
        <v>-0.54043329532497153</v>
      </c>
    </row>
    <row r="521" spans="2:11" hidden="1">
      <c r="B521" t="s">
        <v>1016</v>
      </c>
      <c r="C521" t="s">
        <v>1017</v>
      </c>
      <c r="D521">
        <v>339</v>
      </c>
      <c r="E521" s="19">
        <f t="shared" si="36"/>
        <v>12.107142857142858</v>
      </c>
      <c r="F521" s="5">
        <v>0</v>
      </c>
      <c r="I521" s="140">
        <f t="shared" si="35"/>
        <v>678</v>
      </c>
      <c r="J521" t="b">
        <f t="shared" si="37"/>
        <v>1</v>
      </c>
      <c r="K521" s="4">
        <f t="shared" si="38"/>
        <v>-1</v>
      </c>
    </row>
    <row r="522" spans="2:11" hidden="1">
      <c r="B522" t="s">
        <v>1130</v>
      </c>
      <c r="C522" t="s">
        <v>1131</v>
      </c>
      <c r="D522">
        <v>425</v>
      </c>
      <c r="E522" s="19">
        <f t="shared" si="36"/>
        <v>15.178571428571429</v>
      </c>
      <c r="F522" s="5">
        <v>490.62</v>
      </c>
      <c r="I522" s="140">
        <f t="shared" si="35"/>
        <v>850</v>
      </c>
      <c r="J522" t="b">
        <f t="shared" si="37"/>
        <v>1</v>
      </c>
      <c r="K522" s="4">
        <f t="shared" si="38"/>
        <v>-0.42279999999999995</v>
      </c>
    </row>
    <row r="523" spans="2:11" hidden="1">
      <c r="B523" t="s">
        <v>1137</v>
      </c>
      <c r="C523" t="s">
        <v>1138</v>
      </c>
      <c r="D523">
        <v>1261</v>
      </c>
      <c r="E523" s="19">
        <f t="shared" si="36"/>
        <v>45.035714285714285</v>
      </c>
      <c r="F523" s="5">
        <v>1967.36</v>
      </c>
      <c r="I523" s="140">
        <f t="shared" si="35"/>
        <v>2522</v>
      </c>
      <c r="J523" t="b">
        <f t="shared" si="37"/>
        <v>1</v>
      </c>
      <c r="K523" s="4">
        <f t="shared" si="38"/>
        <v>-0.21992069785884227</v>
      </c>
    </row>
    <row r="524" spans="2:11" hidden="1">
      <c r="B524" t="s">
        <v>1184</v>
      </c>
      <c r="C524" t="s">
        <v>1185</v>
      </c>
      <c r="D524">
        <v>808</v>
      </c>
      <c r="E524" s="19">
        <f t="shared" si="36"/>
        <v>28.857142857142858</v>
      </c>
      <c r="F524" s="5">
        <v>1557.42</v>
      </c>
      <c r="I524" s="140">
        <f t="shared" si="35"/>
        <v>1616</v>
      </c>
      <c r="J524" t="b">
        <f t="shared" si="37"/>
        <v>1</v>
      </c>
      <c r="K524" s="4">
        <f t="shared" si="38"/>
        <v>-3.6250000000000004E-2</v>
      </c>
    </row>
    <row r="525" spans="2:11">
      <c r="B525" s="55" t="s">
        <v>1175</v>
      </c>
      <c r="C525" s="37" t="s">
        <v>1176</v>
      </c>
      <c r="D525">
        <v>165</v>
      </c>
      <c r="E525" s="19">
        <f t="shared" si="36"/>
        <v>5.8928571428571432</v>
      </c>
      <c r="F525" s="5">
        <v>614.11</v>
      </c>
      <c r="I525" s="151">
        <f t="shared" si="35"/>
        <v>330</v>
      </c>
      <c r="J525" t="b">
        <f t="shared" si="37"/>
        <v>0</v>
      </c>
      <c r="K525" s="4">
        <f t="shared" si="38"/>
        <v>0.86093939393939389</v>
      </c>
    </row>
    <row r="526" spans="2:11" hidden="1">
      <c r="B526" s="55" t="s">
        <v>972</v>
      </c>
      <c r="C526" t="s">
        <v>973</v>
      </c>
      <c r="D526">
        <v>674</v>
      </c>
      <c r="E526" s="19">
        <f t="shared" si="36"/>
        <v>24.071428571428573</v>
      </c>
      <c r="F526" s="5">
        <v>1423.39</v>
      </c>
      <c r="I526" s="140">
        <f t="shared" si="35"/>
        <v>1348</v>
      </c>
      <c r="J526" t="b">
        <f t="shared" si="37"/>
        <v>1</v>
      </c>
      <c r="K526" s="4">
        <f t="shared" si="38"/>
        <v>5.5927299703264266E-2</v>
      </c>
    </row>
    <row r="527" spans="2:11">
      <c r="B527" s="56" t="s">
        <v>1121</v>
      </c>
      <c r="C527" s="37" t="s">
        <v>1122</v>
      </c>
      <c r="D527">
        <v>604</v>
      </c>
      <c r="E527" s="19">
        <f t="shared" si="36"/>
        <v>21.571428571428573</v>
      </c>
      <c r="F527" s="5">
        <v>1803.9</v>
      </c>
      <c r="I527" s="151">
        <f t="shared" si="35"/>
        <v>1208</v>
      </c>
      <c r="J527" t="b">
        <f t="shared" si="37"/>
        <v>0</v>
      </c>
      <c r="K527" s="4">
        <f t="shared" si="38"/>
        <v>0.49329470198675507</v>
      </c>
    </row>
    <row r="528" spans="2:11" hidden="1">
      <c r="B528" t="s">
        <v>1147</v>
      </c>
      <c r="C528" t="s">
        <v>1148</v>
      </c>
      <c r="D528">
        <v>1124</v>
      </c>
      <c r="E528" s="19">
        <f t="shared" si="36"/>
        <v>40.142857142857146</v>
      </c>
      <c r="F528" s="5">
        <v>1176.3499999999999</v>
      </c>
      <c r="I528" s="140">
        <f t="shared" si="35"/>
        <v>2248</v>
      </c>
      <c r="J528" t="b">
        <f t="shared" si="37"/>
        <v>1</v>
      </c>
      <c r="K528" s="4">
        <f t="shared" si="38"/>
        <v>-0.47671263345195736</v>
      </c>
    </row>
    <row r="529" spans="2:11" hidden="1">
      <c r="B529" t="s">
        <v>993</v>
      </c>
      <c r="C529" t="s">
        <v>994</v>
      </c>
      <c r="D529">
        <v>2626</v>
      </c>
      <c r="E529" s="19">
        <f t="shared" si="36"/>
        <v>93.785714285714292</v>
      </c>
      <c r="F529" s="5">
        <v>3914.56</v>
      </c>
      <c r="I529" s="140">
        <f t="shared" si="35"/>
        <v>5252</v>
      </c>
      <c r="J529" t="b">
        <f t="shared" si="37"/>
        <v>1</v>
      </c>
      <c r="K529" s="4">
        <f t="shared" si="38"/>
        <v>-0.25465346534653466</v>
      </c>
    </row>
    <row r="530" spans="2:11" hidden="1">
      <c r="B530" s="27" t="s">
        <v>1020</v>
      </c>
      <c r="C530" s="27" t="s">
        <v>1021</v>
      </c>
      <c r="D530">
        <v>1139</v>
      </c>
      <c r="E530" s="19">
        <f t="shared" si="36"/>
        <v>40.678571428571431</v>
      </c>
      <c r="F530" s="5">
        <v>1927.05</v>
      </c>
      <c r="I530" s="140">
        <f t="shared" si="35"/>
        <v>2278</v>
      </c>
      <c r="J530" t="b">
        <f t="shared" si="37"/>
        <v>1</v>
      </c>
      <c r="K530" s="4">
        <f t="shared" si="38"/>
        <v>-0.15406057945566287</v>
      </c>
    </row>
    <row r="531" spans="2:11" hidden="1">
      <c r="B531" t="s">
        <v>966</v>
      </c>
      <c r="C531" t="s">
        <v>967</v>
      </c>
      <c r="D531">
        <v>2885</v>
      </c>
      <c r="E531" s="19">
        <f t="shared" si="36"/>
        <v>103.03571428571429</v>
      </c>
      <c r="F531" s="5">
        <v>2683.04</v>
      </c>
      <c r="I531" s="140">
        <f t="shared" ref="I531:I557" si="39">IF((D531/28)&gt;100,D531*2,D531*2)</f>
        <v>5770</v>
      </c>
      <c r="J531" t="b">
        <f t="shared" si="37"/>
        <v>1</v>
      </c>
      <c r="K531" s="4">
        <f t="shared" si="38"/>
        <v>-0.53500173310225296</v>
      </c>
    </row>
    <row r="532" spans="2:11" hidden="1">
      <c r="B532" t="s">
        <v>1008</v>
      </c>
      <c r="C532" t="s">
        <v>1009</v>
      </c>
      <c r="D532">
        <v>891</v>
      </c>
      <c r="E532" s="19">
        <f t="shared" si="36"/>
        <v>31.821428571428573</v>
      </c>
      <c r="F532" s="5">
        <v>1383.24</v>
      </c>
      <c r="I532" s="140">
        <f t="shared" si="39"/>
        <v>1782</v>
      </c>
      <c r="J532" t="b">
        <f t="shared" si="37"/>
        <v>1</v>
      </c>
      <c r="K532" s="4">
        <f t="shared" si="38"/>
        <v>-0.22377104377104373</v>
      </c>
    </row>
    <row r="533" spans="2:11" hidden="1">
      <c r="B533" t="s">
        <v>1100</v>
      </c>
      <c r="C533" t="s">
        <v>1101</v>
      </c>
      <c r="D533">
        <v>791</v>
      </c>
      <c r="E533" s="19">
        <f t="shared" si="36"/>
        <v>28.25</v>
      </c>
      <c r="F533" s="5">
        <v>959.72</v>
      </c>
      <c r="I533" s="140">
        <f t="shared" si="39"/>
        <v>1582</v>
      </c>
      <c r="J533" t="b">
        <f t="shared" si="37"/>
        <v>1</v>
      </c>
      <c r="K533" s="4">
        <f t="shared" si="38"/>
        <v>-0.39335018963337542</v>
      </c>
    </row>
    <row r="534" spans="2:11">
      <c r="B534" s="27" t="s">
        <v>1145</v>
      </c>
      <c r="C534" t="s">
        <v>1146</v>
      </c>
      <c r="D534">
        <v>291</v>
      </c>
      <c r="E534" s="19">
        <f t="shared" si="36"/>
        <v>10.392857142857142</v>
      </c>
      <c r="F534" s="5">
        <v>851.86</v>
      </c>
      <c r="I534" s="151">
        <f t="shared" si="39"/>
        <v>582</v>
      </c>
      <c r="J534" t="b">
        <f t="shared" si="37"/>
        <v>0</v>
      </c>
      <c r="K534" s="4">
        <f t="shared" si="38"/>
        <v>0.46367697594501722</v>
      </c>
    </row>
    <row r="535" spans="2:11">
      <c r="B535" s="56" t="s">
        <v>1132</v>
      </c>
      <c r="C535" s="37" t="s">
        <v>1133</v>
      </c>
      <c r="D535">
        <v>236</v>
      </c>
      <c r="E535" s="19">
        <f t="shared" si="36"/>
        <v>8.4285714285714288</v>
      </c>
      <c r="F535" s="5">
        <v>1081.21</v>
      </c>
      <c r="I535" s="151">
        <f t="shared" si="39"/>
        <v>472</v>
      </c>
      <c r="J535" t="b">
        <f t="shared" si="37"/>
        <v>0</v>
      </c>
      <c r="K535" s="4">
        <f t="shared" si="38"/>
        <v>1.290699152542373</v>
      </c>
    </row>
    <row r="536" spans="2:11">
      <c r="B536" s="27" t="s">
        <v>997</v>
      </c>
      <c r="C536" s="27" t="s">
        <v>998</v>
      </c>
      <c r="D536">
        <v>490</v>
      </c>
      <c r="E536" s="19">
        <f t="shared" si="36"/>
        <v>17.5</v>
      </c>
      <c r="F536" s="5">
        <v>1475.5</v>
      </c>
      <c r="I536" s="140">
        <f t="shared" si="39"/>
        <v>980</v>
      </c>
      <c r="J536" t="b">
        <f t="shared" si="37"/>
        <v>0</v>
      </c>
      <c r="K536" s="4">
        <f t="shared" si="38"/>
        <v>0.5056122448979592</v>
      </c>
    </row>
    <row r="537" spans="2:11" hidden="1">
      <c r="B537" t="s">
        <v>1195</v>
      </c>
      <c r="C537" t="s">
        <v>1196</v>
      </c>
      <c r="D537">
        <v>1024</v>
      </c>
      <c r="E537" s="19">
        <f t="shared" si="36"/>
        <v>36.571428571428569</v>
      </c>
      <c r="F537" s="5">
        <v>1746.8</v>
      </c>
      <c r="I537" s="140">
        <f t="shared" si="39"/>
        <v>2048</v>
      </c>
      <c r="J537" t="b">
        <f t="shared" si="37"/>
        <v>1</v>
      </c>
      <c r="K537" s="4">
        <f t="shared" si="38"/>
        <v>-0.14707031250000002</v>
      </c>
    </row>
    <row r="538" spans="2:11" hidden="1">
      <c r="B538" t="s">
        <v>1044</v>
      </c>
      <c r="C538" t="s">
        <v>1045</v>
      </c>
      <c r="D538">
        <v>1133</v>
      </c>
      <c r="E538" s="19">
        <f t="shared" si="36"/>
        <v>40.464285714285715</v>
      </c>
      <c r="F538" s="5">
        <v>989.71</v>
      </c>
      <c r="I538" s="140">
        <f t="shared" si="39"/>
        <v>2266</v>
      </c>
      <c r="J538" t="b">
        <f t="shared" si="37"/>
        <v>1</v>
      </c>
      <c r="K538" s="4">
        <f t="shared" si="38"/>
        <v>-0.56323477493380403</v>
      </c>
    </row>
    <row r="539" spans="2:11" hidden="1">
      <c r="B539" t="s">
        <v>1027</v>
      </c>
      <c r="C539" t="s">
        <v>1028</v>
      </c>
      <c r="D539">
        <v>1437</v>
      </c>
      <c r="E539" s="19">
        <f t="shared" si="36"/>
        <v>51.321428571428569</v>
      </c>
      <c r="F539" s="5">
        <v>1968.36</v>
      </c>
      <c r="I539" s="140">
        <f t="shared" si="39"/>
        <v>2874</v>
      </c>
      <c r="J539" t="b">
        <f t="shared" si="37"/>
        <v>1</v>
      </c>
      <c r="K539" s="4">
        <f t="shared" si="38"/>
        <v>-0.31511482254697287</v>
      </c>
    </row>
    <row r="540" spans="2:11" hidden="1">
      <c r="B540" t="s">
        <v>1073</v>
      </c>
      <c r="C540" t="s">
        <v>1074</v>
      </c>
      <c r="D540">
        <v>1508</v>
      </c>
      <c r="E540" s="19">
        <f t="shared" si="36"/>
        <v>53.857142857142854</v>
      </c>
      <c r="F540" s="5">
        <v>2863.33</v>
      </c>
      <c r="I540" s="140">
        <f t="shared" si="39"/>
        <v>3016</v>
      </c>
      <c r="J540" t="b">
        <f t="shared" si="37"/>
        <v>1</v>
      </c>
      <c r="K540" s="4">
        <f t="shared" si="38"/>
        <v>-5.0620026525198925E-2</v>
      </c>
    </row>
    <row r="541" spans="2:11" hidden="1">
      <c r="B541" t="s">
        <v>1179</v>
      </c>
      <c r="C541" t="s">
        <v>1180</v>
      </c>
      <c r="D541">
        <v>924</v>
      </c>
      <c r="E541" s="19">
        <f t="shared" si="36"/>
        <v>33</v>
      </c>
      <c r="F541" s="5">
        <v>2112.19</v>
      </c>
      <c r="I541" s="140">
        <f t="shared" si="39"/>
        <v>1848</v>
      </c>
      <c r="J541" t="b">
        <f t="shared" si="37"/>
        <v>1</v>
      </c>
      <c r="K541" s="4">
        <f t="shared" si="38"/>
        <v>0.14295995670995665</v>
      </c>
    </row>
    <row r="542" spans="2:11" hidden="1">
      <c r="B542" t="s">
        <v>1036</v>
      </c>
      <c r="C542" t="s">
        <v>1037</v>
      </c>
      <c r="D542">
        <v>1930</v>
      </c>
      <c r="E542" s="19">
        <f t="shared" si="36"/>
        <v>68.928571428571431</v>
      </c>
      <c r="F542" s="5">
        <v>2756.2</v>
      </c>
      <c r="I542" s="140">
        <f>IF((D542/28)&gt;100,D542*2,D542*2)</f>
        <v>3860</v>
      </c>
      <c r="J542" t="b">
        <f t="shared" si="37"/>
        <v>1</v>
      </c>
      <c r="K542" s="4">
        <f t="shared" si="38"/>
        <v>-0.28595854922279795</v>
      </c>
    </row>
    <row r="543" spans="2:11" hidden="1">
      <c r="B543" t="s">
        <v>1106</v>
      </c>
      <c r="C543" s="5" t="s">
        <v>1107</v>
      </c>
      <c r="D543">
        <v>1970</v>
      </c>
      <c r="E543" s="19">
        <f t="shared" si="36"/>
        <v>70.357142857142861</v>
      </c>
      <c r="F543" s="5">
        <v>2299.87</v>
      </c>
      <c r="I543" s="140">
        <f t="shared" si="39"/>
        <v>3940</v>
      </c>
      <c r="J543" t="b">
        <f t="shared" si="37"/>
        <v>1</v>
      </c>
      <c r="K543" s="4">
        <f t="shared" si="38"/>
        <v>-0.41627664974619294</v>
      </c>
    </row>
    <row r="544" spans="2:11" hidden="1">
      <c r="B544" s="55" t="s">
        <v>985</v>
      </c>
      <c r="C544" s="37" t="s">
        <v>986</v>
      </c>
      <c r="D544">
        <v>1612</v>
      </c>
      <c r="E544" s="19">
        <f t="shared" si="36"/>
        <v>57.571428571428569</v>
      </c>
      <c r="F544" s="5">
        <v>2138.73</v>
      </c>
      <c r="I544" s="140">
        <f t="shared" si="39"/>
        <v>3224</v>
      </c>
      <c r="J544" t="b">
        <f t="shared" si="37"/>
        <v>1</v>
      </c>
      <c r="K544" s="4">
        <f t="shared" si="38"/>
        <v>-0.33662220843672452</v>
      </c>
    </row>
    <row r="545" spans="2:11" hidden="1">
      <c r="B545" t="s">
        <v>1206</v>
      </c>
      <c r="C545" t="s">
        <v>1207</v>
      </c>
      <c r="D545">
        <v>1066</v>
      </c>
      <c r="E545" s="19">
        <f t="shared" si="36"/>
        <v>38.071428571428569</v>
      </c>
      <c r="F545" s="5">
        <v>492.06</v>
      </c>
      <c r="I545" s="140">
        <f t="shared" si="39"/>
        <v>2132</v>
      </c>
      <c r="J545" t="b">
        <f t="shared" si="37"/>
        <v>1</v>
      </c>
      <c r="K545" s="4">
        <f t="shared" si="38"/>
        <v>-0.76920262664165107</v>
      </c>
    </row>
    <row r="546" spans="2:11" hidden="1">
      <c r="B546" t="s">
        <v>1108</v>
      </c>
      <c r="C546" t="s">
        <v>1109</v>
      </c>
      <c r="D546">
        <v>432</v>
      </c>
      <c r="E546" s="19">
        <f t="shared" si="36"/>
        <v>15.428571428571429</v>
      </c>
      <c r="F546" s="5">
        <v>155.66999999999999</v>
      </c>
      <c r="I546" s="140">
        <f t="shared" si="39"/>
        <v>864</v>
      </c>
      <c r="J546" t="b">
        <f t="shared" si="37"/>
        <v>1</v>
      </c>
      <c r="K546" s="4">
        <f t="shared" si="38"/>
        <v>-0.81982638888888892</v>
      </c>
    </row>
    <row r="547" spans="2:11" hidden="1">
      <c r="B547" t="s">
        <v>1067</v>
      </c>
      <c r="C547" t="s">
        <v>1068</v>
      </c>
      <c r="D547">
        <v>1444</v>
      </c>
      <c r="E547" s="19">
        <f t="shared" si="36"/>
        <v>51.571428571428569</v>
      </c>
      <c r="F547" s="5">
        <v>2596.63</v>
      </c>
      <c r="I547" s="151">
        <f t="shared" si="39"/>
        <v>2888</v>
      </c>
      <c r="J547" t="b">
        <f t="shared" si="37"/>
        <v>1</v>
      </c>
      <c r="K547" s="4">
        <f t="shared" si="38"/>
        <v>-0.10088988919667585</v>
      </c>
    </row>
    <row r="548" spans="2:11" hidden="1">
      <c r="B548" s="55" t="s">
        <v>970</v>
      </c>
      <c r="C548" t="s">
        <v>971</v>
      </c>
      <c r="D548">
        <v>2098</v>
      </c>
      <c r="E548" s="19">
        <f t="shared" si="36"/>
        <v>74.928571428571431</v>
      </c>
      <c r="F548" s="5">
        <v>4064.58</v>
      </c>
      <c r="I548" s="140">
        <f t="shared" si="39"/>
        <v>4196</v>
      </c>
      <c r="J548" t="b">
        <f t="shared" si="37"/>
        <v>1</v>
      </c>
      <c r="K548" s="4">
        <f t="shared" si="38"/>
        <v>-3.1320305052430886E-2</v>
      </c>
    </row>
    <row r="549" spans="2:11" hidden="1">
      <c r="B549" t="s">
        <v>1010</v>
      </c>
      <c r="C549" t="s">
        <v>1011</v>
      </c>
      <c r="D549">
        <v>860</v>
      </c>
      <c r="E549" s="19">
        <f t="shared" si="36"/>
        <v>30.714285714285715</v>
      </c>
      <c r="F549" s="5">
        <v>1357.56</v>
      </c>
      <c r="I549" s="140">
        <f t="shared" si="39"/>
        <v>1720</v>
      </c>
      <c r="J549" t="b">
        <f t="shared" si="37"/>
        <v>1</v>
      </c>
      <c r="K549" s="4">
        <f t="shared" si="38"/>
        <v>-0.21072093023255822</v>
      </c>
    </row>
    <row r="550" spans="2:11" hidden="1">
      <c r="B550" t="s">
        <v>1117</v>
      </c>
      <c r="C550" t="s">
        <v>1118</v>
      </c>
      <c r="D550">
        <v>535</v>
      </c>
      <c r="E550" s="19">
        <f t="shared" si="36"/>
        <v>19.107142857142858</v>
      </c>
      <c r="F550" s="5">
        <v>750.32</v>
      </c>
      <c r="I550" s="140">
        <f t="shared" si="39"/>
        <v>1070</v>
      </c>
      <c r="J550" t="b">
        <f t="shared" si="37"/>
        <v>1</v>
      </c>
      <c r="K550" s="4">
        <f t="shared" si="38"/>
        <v>-0.2987663551401869</v>
      </c>
    </row>
    <row r="551" spans="2:11">
      <c r="B551" s="37" t="s">
        <v>1169</v>
      </c>
      <c r="C551" s="37" t="s">
        <v>1170</v>
      </c>
      <c r="D551">
        <v>215</v>
      </c>
      <c r="E551" s="19">
        <f t="shared" si="36"/>
        <v>7.6785714285714288</v>
      </c>
      <c r="F551" s="5">
        <v>813.53</v>
      </c>
      <c r="I551" s="140">
        <f t="shared" si="39"/>
        <v>430</v>
      </c>
      <c r="J551" t="b">
        <f t="shared" si="37"/>
        <v>0</v>
      </c>
      <c r="K551" s="4">
        <f t="shared" si="38"/>
        <v>0.89193023255813952</v>
      </c>
    </row>
    <row r="552" spans="2:11">
      <c r="B552" s="55" t="s">
        <v>980</v>
      </c>
      <c r="C552" s="37" t="s">
        <v>981</v>
      </c>
      <c r="D552">
        <v>777</v>
      </c>
      <c r="E552" s="19">
        <f t="shared" si="36"/>
        <v>27.75</v>
      </c>
      <c r="F552" s="5">
        <v>2027.65</v>
      </c>
      <c r="I552" s="151">
        <f t="shared" si="39"/>
        <v>1554</v>
      </c>
      <c r="J552" t="b">
        <f t="shared" si="37"/>
        <v>0</v>
      </c>
      <c r="K552" s="4">
        <f t="shared" si="38"/>
        <v>0.3047940797940798</v>
      </c>
    </row>
    <row r="553" spans="2:11" hidden="1">
      <c r="B553" s="55" t="s">
        <v>968</v>
      </c>
      <c r="C553" s="37" t="s">
        <v>969</v>
      </c>
      <c r="D553">
        <v>1444</v>
      </c>
      <c r="E553" s="19">
        <f t="shared" si="36"/>
        <v>51.571428571428569</v>
      </c>
      <c r="F553" s="5">
        <v>3018.27</v>
      </c>
      <c r="I553" s="140">
        <f t="shared" si="39"/>
        <v>2888</v>
      </c>
      <c r="J553" t="b">
        <f t="shared" si="37"/>
        <v>1</v>
      </c>
      <c r="K553" s="4">
        <f t="shared" si="38"/>
        <v>4.51073407202216E-2</v>
      </c>
    </row>
    <row r="554" spans="2:11" hidden="1">
      <c r="B554" s="55" t="s">
        <v>716</v>
      </c>
      <c r="C554" s="37" t="s">
        <v>1052</v>
      </c>
      <c r="D554">
        <v>843</v>
      </c>
      <c r="E554" s="19">
        <f t="shared" si="36"/>
        <v>30.107142857142858</v>
      </c>
      <c r="F554" s="5">
        <v>1286.3499999999999</v>
      </c>
      <c r="I554" s="140">
        <f t="shared" si="39"/>
        <v>1686</v>
      </c>
      <c r="J554" t="b">
        <f t="shared" si="37"/>
        <v>1</v>
      </c>
      <c r="K554" s="4">
        <f t="shared" si="38"/>
        <v>-0.23704033214709375</v>
      </c>
    </row>
    <row r="555" spans="2:11" hidden="1">
      <c r="B555" s="55" t="s">
        <v>1082</v>
      </c>
      <c r="C555" s="37" t="s">
        <v>1083</v>
      </c>
      <c r="D555">
        <v>51</v>
      </c>
      <c r="E555" s="19">
        <f t="shared" ref="E555:E557" si="40">D555/28</f>
        <v>1.8214285714285714</v>
      </c>
      <c r="F555" s="5">
        <v>87.8</v>
      </c>
      <c r="I555" s="151">
        <f t="shared" si="39"/>
        <v>102</v>
      </c>
      <c r="J555" t="b">
        <f t="shared" ref="J555:J557" si="41">IF(F555&gt;1.2*I555,FALSE,TRUE)</f>
        <v>1</v>
      </c>
      <c r="K555" s="4">
        <f t="shared" ref="K555:K557" si="42">F555/I555-1</f>
        <v>-0.13921568627450986</v>
      </c>
    </row>
    <row r="556" spans="2:11" hidden="1">
      <c r="B556" s="55" t="s">
        <v>1077</v>
      </c>
      <c r="C556" s="161" t="s">
        <v>1078</v>
      </c>
      <c r="D556">
        <v>209</v>
      </c>
      <c r="E556" s="19">
        <f t="shared" si="40"/>
        <v>7.4642857142857144</v>
      </c>
      <c r="F556" s="5">
        <v>54.76</v>
      </c>
      <c r="I556" s="151">
        <f t="shared" si="39"/>
        <v>418</v>
      </c>
      <c r="J556" t="b">
        <f t="shared" si="41"/>
        <v>1</v>
      </c>
      <c r="K556" s="4">
        <f t="shared" si="42"/>
        <v>-0.86899521531100477</v>
      </c>
    </row>
    <row r="557" spans="2:11" hidden="1">
      <c r="B557" s="55" t="s">
        <v>1084</v>
      </c>
      <c r="C557" s="37" t="s">
        <v>1085</v>
      </c>
      <c r="D557">
        <v>1085</v>
      </c>
      <c r="E557" s="19">
        <f t="shared" si="40"/>
        <v>38.75</v>
      </c>
      <c r="F557" s="5">
        <v>1945.43</v>
      </c>
      <c r="I557" s="151">
        <f t="shared" si="39"/>
        <v>2170</v>
      </c>
      <c r="J557" t="b">
        <f t="shared" si="41"/>
        <v>1</v>
      </c>
      <c r="K557" s="4">
        <f t="shared" si="42"/>
        <v>-0.10348847926267279</v>
      </c>
    </row>
  </sheetData>
  <autoFilter ref="A1:N557" xr:uid="{EAD0D377-3820-4DB4-B8D5-8AE187021F68}">
    <filterColumn colId="9">
      <filters>
        <filter val="FALSE"/>
      </filters>
    </filterColumn>
  </autoFilter>
  <sortState xmlns:xlrd2="http://schemas.microsoft.com/office/spreadsheetml/2017/richdata2" ref="A2:F361">
    <sortCondition descending="1" ref="E1:E36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1282</v>
      </c>
      <c r="B1" t="s">
        <v>1386</v>
      </c>
    </row>
    <row r="2" spans="1:2">
      <c r="A2" t="s">
        <v>19</v>
      </c>
      <c r="B2" t="s">
        <v>1248</v>
      </c>
    </row>
    <row r="3" spans="1:2">
      <c r="A3" t="s">
        <v>95</v>
      </c>
      <c r="B3" t="s">
        <v>1248</v>
      </c>
    </row>
    <row r="4" spans="1:2">
      <c r="A4" t="s">
        <v>1407</v>
      </c>
      <c r="B4" t="s">
        <v>1248</v>
      </c>
    </row>
    <row r="5" spans="1:2">
      <c r="A5" t="s">
        <v>165</v>
      </c>
      <c r="B5" t="s">
        <v>1248</v>
      </c>
    </row>
    <row r="6" spans="1:2">
      <c r="A6" t="s">
        <v>1408</v>
      </c>
      <c r="B6" t="s">
        <v>1248</v>
      </c>
    </row>
    <row r="7" spans="1:2">
      <c r="A7" t="s">
        <v>61</v>
      </c>
      <c r="B7" t="s">
        <v>1248</v>
      </c>
    </row>
    <row r="8" spans="1:2">
      <c r="A8" t="s">
        <v>89</v>
      </c>
      <c r="B8" t="s">
        <v>1248</v>
      </c>
    </row>
    <row r="9" spans="1:2">
      <c r="A9" t="s">
        <v>101</v>
      </c>
      <c r="B9" t="s">
        <v>1248</v>
      </c>
    </row>
    <row r="10" spans="1:2">
      <c r="A10" t="s">
        <v>1305</v>
      </c>
      <c r="B10" t="s">
        <v>1248</v>
      </c>
    </row>
    <row r="11" spans="1:2">
      <c r="A11" t="s">
        <v>37</v>
      </c>
      <c r="B11" t="s">
        <v>1248</v>
      </c>
    </row>
    <row r="12" spans="1:2">
      <c r="A12" t="s">
        <v>27</v>
      </c>
      <c r="B12" t="s">
        <v>1248</v>
      </c>
    </row>
    <row r="13" spans="1:2">
      <c r="A13" t="s">
        <v>527</v>
      </c>
      <c r="B13" t="s">
        <v>1248</v>
      </c>
    </row>
    <row r="14" spans="1:2">
      <c r="A14" t="s">
        <v>85</v>
      </c>
      <c r="B14" t="s">
        <v>1248</v>
      </c>
    </row>
    <row r="15" spans="1:2">
      <c r="A15" t="s">
        <v>225</v>
      </c>
      <c r="B15" t="s">
        <v>1248</v>
      </c>
    </row>
    <row r="16" spans="1:2">
      <c r="A16" t="s">
        <v>1409</v>
      </c>
      <c r="B16" t="s">
        <v>1248</v>
      </c>
    </row>
    <row r="17" spans="1:2">
      <c r="A17" t="s">
        <v>211</v>
      </c>
      <c r="B17" t="s">
        <v>1248</v>
      </c>
    </row>
    <row r="18" spans="1:2">
      <c r="A18" t="s">
        <v>73</v>
      </c>
      <c r="B18" t="s">
        <v>1248</v>
      </c>
    </row>
    <row r="19" spans="1:2">
      <c r="A19" t="s">
        <v>141</v>
      </c>
      <c r="B19" t="s">
        <v>1248</v>
      </c>
    </row>
    <row r="20" spans="1:2">
      <c r="A20" t="s">
        <v>1410</v>
      </c>
      <c r="B20" t="s">
        <v>1248</v>
      </c>
    </row>
    <row r="21" spans="1:2">
      <c r="A21" t="s">
        <v>279</v>
      </c>
      <c r="B21" t="s">
        <v>1248</v>
      </c>
    </row>
    <row r="22" spans="1:2">
      <c r="A22" t="s">
        <v>587</v>
      </c>
      <c r="B22" t="s">
        <v>1248</v>
      </c>
    </row>
    <row r="23" spans="1:2">
      <c r="A23" t="s">
        <v>1411</v>
      </c>
      <c r="B23" t="s">
        <v>1248</v>
      </c>
    </row>
    <row r="24" spans="1:2">
      <c r="A24" t="s">
        <v>219</v>
      </c>
      <c r="B24" t="s">
        <v>1248</v>
      </c>
    </row>
    <row r="25" spans="1:2">
      <c r="A25" t="s">
        <v>549</v>
      </c>
      <c r="B25" t="s">
        <v>1248</v>
      </c>
    </row>
    <row r="26" spans="1:2">
      <c r="A26" t="s">
        <v>349</v>
      </c>
      <c r="B26" t="s">
        <v>1248</v>
      </c>
    </row>
    <row r="27" spans="1:2">
      <c r="A27" t="s">
        <v>261</v>
      </c>
      <c r="B27" t="s">
        <v>1248</v>
      </c>
    </row>
    <row r="28" spans="1:2">
      <c r="A28" t="s">
        <v>83</v>
      </c>
      <c r="B28" t="s">
        <v>1248</v>
      </c>
    </row>
    <row r="29" spans="1:2">
      <c r="A29" t="s">
        <v>599</v>
      </c>
      <c r="B29" t="s">
        <v>1248</v>
      </c>
    </row>
    <row r="30" spans="1:2">
      <c r="A30" t="s">
        <v>127</v>
      </c>
      <c r="B30" t="s">
        <v>1248</v>
      </c>
    </row>
    <row r="31" spans="1:2">
      <c r="A31" t="s">
        <v>1412</v>
      </c>
      <c r="B31" t="s">
        <v>1248</v>
      </c>
    </row>
    <row r="32" spans="1:2">
      <c r="A32" t="s">
        <v>213</v>
      </c>
      <c r="B32" t="s">
        <v>1248</v>
      </c>
    </row>
    <row r="33" spans="1:2">
      <c r="A33" t="s">
        <v>433</v>
      </c>
      <c r="B33" t="s">
        <v>1248</v>
      </c>
    </row>
    <row r="34" spans="1:2">
      <c r="A34" t="s">
        <v>223</v>
      </c>
      <c r="B34" t="s">
        <v>1248</v>
      </c>
    </row>
    <row r="35" spans="1:2">
      <c r="A35" t="s">
        <v>201</v>
      </c>
      <c r="B35" t="s">
        <v>1248</v>
      </c>
    </row>
    <row r="36" spans="1:2">
      <c r="A36" t="s">
        <v>281</v>
      </c>
      <c r="B36" t="s">
        <v>1248</v>
      </c>
    </row>
    <row r="37" spans="1:2">
      <c r="A37" t="s">
        <v>485</v>
      </c>
      <c r="B37" t="s">
        <v>1248</v>
      </c>
    </row>
    <row r="38" spans="1:2">
      <c r="A38" t="s">
        <v>119</v>
      </c>
      <c r="B38" t="s">
        <v>1248</v>
      </c>
    </row>
    <row r="39" spans="1:2">
      <c r="A39" t="s">
        <v>291</v>
      </c>
      <c r="B39" t="s">
        <v>1248</v>
      </c>
    </row>
    <row r="40" spans="1:2">
      <c r="A40" t="s">
        <v>145</v>
      </c>
      <c r="B40" t="s">
        <v>1248</v>
      </c>
    </row>
    <row r="41" spans="1:2">
      <c r="A41" t="s">
        <v>221</v>
      </c>
      <c r="B41" t="s">
        <v>1248</v>
      </c>
    </row>
    <row r="42" spans="1:2">
      <c r="A42" t="s">
        <v>543</v>
      </c>
      <c r="B42" t="s">
        <v>1248</v>
      </c>
    </row>
    <row r="43" spans="1:2">
      <c r="A43" t="s">
        <v>167</v>
      </c>
      <c r="B43" t="s">
        <v>1248</v>
      </c>
    </row>
    <row r="44" spans="1:2">
      <c r="A44" t="s">
        <v>295</v>
      </c>
      <c r="B44" t="s">
        <v>1248</v>
      </c>
    </row>
    <row r="45" spans="1:2">
      <c r="A45" t="s">
        <v>439</v>
      </c>
      <c r="B45" t="s">
        <v>1248</v>
      </c>
    </row>
    <row r="46" spans="1:2">
      <c r="A46" t="s">
        <v>169</v>
      </c>
      <c r="B46" t="s">
        <v>1248</v>
      </c>
    </row>
    <row r="47" spans="1:2">
      <c r="A47" t="s">
        <v>1413</v>
      </c>
      <c r="B47" t="s">
        <v>1248</v>
      </c>
    </row>
    <row r="48" spans="1:2">
      <c r="A48" t="s">
        <v>237</v>
      </c>
      <c r="B48" t="s">
        <v>1248</v>
      </c>
    </row>
    <row r="49" spans="1:2">
      <c r="A49" t="s">
        <v>1290</v>
      </c>
      <c r="B49" t="s">
        <v>1248</v>
      </c>
    </row>
    <row r="50" spans="1:2">
      <c r="A50" t="s">
        <v>351</v>
      </c>
      <c r="B50" t="s">
        <v>1248</v>
      </c>
    </row>
    <row r="51" spans="1:2">
      <c r="A51" t="s">
        <v>481</v>
      </c>
      <c r="B51" t="s">
        <v>1248</v>
      </c>
    </row>
    <row r="52" spans="1:2">
      <c r="A52" t="s">
        <v>123</v>
      </c>
      <c r="B52" t="s">
        <v>1248</v>
      </c>
    </row>
    <row r="53" spans="1:2">
      <c r="A53" t="s">
        <v>631</v>
      </c>
      <c r="B53" t="s">
        <v>1248</v>
      </c>
    </row>
    <row r="54" spans="1:2">
      <c r="A54" t="s">
        <v>567</v>
      </c>
      <c r="B54" t="s">
        <v>1248</v>
      </c>
    </row>
    <row r="55" spans="1:2">
      <c r="A55" t="s">
        <v>333</v>
      </c>
      <c r="B55" t="s">
        <v>1248</v>
      </c>
    </row>
    <row r="56" spans="1:2">
      <c r="A56" t="s">
        <v>487</v>
      </c>
      <c r="B56" t="s">
        <v>1248</v>
      </c>
    </row>
    <row r="57" spans="1:2">
      <c r="A57" t="s">
        <v>347</v>
      </c>
      <c r="B57" t="s">
        <v>1248</v>
      </c>
    </row>
    <row r="58" spans="1:2">
      <c r="A58" t="s">
        <v>475</v>
      </c>
      <c r="B58" t="s">
        <v>1248</v>
      </c>
    </row>
    <row r="59" spans="1:2">
      <c r="A59" t="s">
        <v>1304</v>
      </c>
      <c r="B59" t="s">
        <v>1248</v>
      </c>
    </row>
    <row r="60" spans="1:2">
      <c r="A60" t="s">
        <v>515</v>
      </c>
      <c r="B60" t="s">
        <v>1248</v>
      </c>
    </row>
    <row r="61" spans="1:2">
      <c r="A61" t="s">
        <v>1414</v>
      </c>
      <c r="B61" t="s">
        <v>1248</v>
      </c>
    </row>
    <row r="62" spans="1:2">
      <c r="A62" t="s">
        <v>29</v>
      </c>
      <c r="B62" t="s">
        <v>1248</v>
      </c>
    </row>
    <row r="63" spans="1:2">
      <c r="A63" t="s">
        <v>1415</v>
      </c>
      <c r="B63" t="s">
        <v>1248</v>
      </c>
    </row>
    <row r="64" spans="1:2">
      <c r="A64" t="s">
        <v>1416</v>
      </c>
      <c r="B64" t="s">
        <v>1248</v>
      </c>
    </row>
    <row r="65" spans="1:2">
      <c r="A65" t="s">
        <v>535</v>
      </c>
      <c r="B65" t="s">
        <v>1248</v>
      </c>
    </row>
    <row r="66" spans="1:2">
      <c r="A66" t="s">
        <v>69</v>
      </c>
      <c r="B66" t="s">
        <v>1248</v>
      </c>
    </row>
    <row r="67" spans="1:2">
      <c r="A67" t="s">
        <v>521</v>
      </c>
      <c r="B67" t="s">
        <v>1248</v>
      </c>
    </row>
    <row r="68" spans="1:2">
      <c r="A68" t="s">
        <v>1417</v>
      </c>
      <c r="B68" t="s">
        <v>1248</v>
      </c>
    </row>
    <row r="69" spans="1:2">
      <c r="A69" t="s">
        <v>463</v>
      </c>
      <c r="B69" t="s">
        <v>1248</v>
      </c>
    </row>
    <row r="70" spans="1:2">
      <c r="A70" t="s">
        <v>353</v>
      </c>
      <c r="B70" t="s">
        <v>1248</v>
      </c>
    </row>
    <row r="71" spans="1:2">
      <c r="A71" t="s">
        <v>537</v>
      </c>
      <c r="B71" t="s">
        <v>1248</v>
      </c>
    </row>
    <row r="72" spans="1:2">
      <c r="A72" t="s">
        <v>65</v>
      </c>
      <c r="B72" t="s">
        <v>1248</v>
      </c>
    </row>
    <row r="73" spans="1:2">
      <c r="A73" t="s">
        <v>415</v>
      </c>
      <c r="B73" t="s">
        <v>1248</v>
      </c>
    </row>
    <row r="74" spans="1:2">
      <c r="A74" t="s">
        <v>143</v>
      </c>
      <c r="B74" t="s">
        <v>1248</v>
      </c>
    </row>
    <row r="75" spans="1:2">
      <c r="A75" t="s">
        <v>317</v>
      </c>
      <c r="B75" t="s">
        <v>1248</v>
      </c>
    </row>
    <row r="76" spans="1:2">
      <c r="A76" t="s">
        <v>1418</v>
      </c>
      <c r="B76" t="s">
        <v>1248</v>
      </c>
    </row>
    <row r="77" spans="1:2">
      <c r="A77" t="s">
        <v>509</v>
      </c>
      <c r="B77" t="s">
        <v>1248</v>
      </c>
    </row>
    <row r="78" spans="1:2">
      <c r="A78" t="s">
        <v>1307</v>
      </c>
      <c r="B78" t="s">
        <v>1248</v>
      </c>
    </row>
    <row r="79" spans="1:2">
      <c r="A79" t="s">
        <v>585</v>
      </c>
      <c r="B79" t="s">
        <v>1248</v>
      </c>
    </row>
    <row r="80" spans="1:2">
      <c r="A80" t="s">
        <v>1306</v>
      </c>
      <c r="B80" t="s">
        <v>1248</v>
      </c>
    </row>
    <row r="81" spans="1:2">
      <c r="A81" t="s">
        <v>287</v>
      </c>
      <c r="B81" t="s">
        <v>1248</v>
      </c>
    </row>
    <row r="82" spans="1:2">
      <c r="A82" t="s">
        <v>1419</v>
      </c>
      <c r="B82" t="s">
        <v>1248</v>
      </c>
    </row>
    <row r="83" spans="1:2">
      <c r="A83" t="s">
        <v>503</v>
      </c>
      <c r="B83" t="s">
        <v>1248</v>
      </c>
    </row>
    <row r="84" spans="1:2">
      <c r="A84" t="s">
        <v>271</v>
      </c>
      <c r="B84" t="s">
        <v>1248</v>
      </c>
    </row>
    <row r="85" spans="1:2">
      <c r="A85" t="s">
        <v>1420</v>
      </c>
      <c r="B85" t="s">
        <v>1248</v>
      </c>
    </row>
    <row r="86" spans="1:2">
      <c r="A86" t="s">
        <v>493</v>
      </c>
      <c r="B86" t="s">
        <v>1248</v>
      </c>
    </row>
    <row r="87" spans="1:2">
      <c r="A87" t="s">
        <v>629</v>
      </c>
      <c r="B87" t="s">
        <v>1248</v>
      </c>
    </row>
    <row r="88" spans="1:2">
      <c r="A88" t="s">
        <v>1308</v>
      </c>
      <c r="B88" t="s">
        <v>1248</v>
      </c>
    </row>
    <row r="89" spans="1:2">
      <c r="A89" t="s">
        <v>519</v>
      </c>
      <c r="B89" t="s">
        <v>1248</v>
      </c>
    </row>
    <row r="90" spans="1:2">
      <c r="A90" t="s">
        <v>341</v>
      </c>
      <c r="B90" t="s">
        <v>1248</v>
      </c>
    </row>
    <row r="91" spans="1:2">
      <c r="A91" t="s">
        <v>447</v>
      </c>
      <c r="B91" t="s">
        <v>1248</v>
      </c>
    </row>
    <row r="92" spans="1:2">
      <c r="A92" t="s">
        <v>551</v>
      </c>
      <c r="B92" t="s">
        <v>1248</v>
      </c>
    </row>
    <row r="93" spans="1:2">
      <c r="A93" t="s">
        <v>459</v>
      </c>
      <c r="B93" t="s">
        <v>1248</v>
      </c>
    </row>
    <row r="94" spans="1:2">
      <c r="A94" t="s">
        <v>1302</v>
      </c>
      <c r="B94" t="s">
        <v>1248</v>
      </c>
    </row>
    <row r="95" spans="1:2">
      <c r="A95" t="s">
        <v>403</v>
      </c>
      <c r="B95" t="s">
        <v>1248</v>
      </c>
    </row>
    <row r="96" spans="1:2">
      <c r="A96" t="s">
        <v>43</v>
      </c>
      <c r="B96" t="s">
        <v>1248</v>
      </c>
    </row>
    <row r="97" spans="1:2">
      <c r="A97" t="s">
        <v>449</v>
      </c>
      <c r="B97" t="s">
        <v>1248</v>
      </c>
    </row>
    <row r="98" spans="1:2">
      <c r="A98" t="s">
        <v>437</v>
      </c>
      <c r="B98" t="s">
        <v>1248</v>
      </c>
    </row>
    <row r="99" spans="1:2">
      <c r="A99" t="s">
        <v>407</v>
      </c>
      <c r="B99" t="s">
        <v>1248</v>
      </c>
    </row>
    <row r="100" spans="1:2">
      <c r="A100" t="s">
        <v>329</v>
      </c>
      <c r="B100" t="s">
        <v>1248</v>
      </c>
    </row>
    <row r="101" spans="1:2">
      <c r="A101" t="s">
        <v>409</v>
      </c>
      <c r="B101" t="s">
        <v>1248</v>
      </c>
    </row>
    <row r="102" spans="1:2">
      <c r="A102" t="s">
        <v>163</v>
      </c>
      <c r="B102" t="s">
        <v>1248</v>
      </c>
    </row>
    <row r="103" spans="1:2">
      <c r="A103" t="s">
        <v>443</v>
      </c>
      <c r="B103" t="s">
        <v>1248</v>
      </c>
    </row>
    <row r="104" spans="1:2">
      <c r="A104" t="s">
        <v>501</v>
      </c>
      <c r="B104" t="s">
        <v>1248</v>
      </c>
    </row>
    <row r="105" spans="1:2">
      <c r="A105" t="s">
        <v>579</v>
      </c>
      <c r="B105" t="s">
        <v>1248</v>
      </c>
    </row>
    <row r="106" spans="1:2">
      <c r="A106" t="s">
        <v>1301</v>
      </c>
      <c r="B106" t="s">
        <v>1248</v>
      </c>
    </row>
    <row r="107" spans="1:2">
      <c r="A107" t="s">
        <v>337</v>
      </c>
      <c r="B107" t="s">
        <v>1248</v>
      </c>
    </row>
    <row r="108" spans="1:2">
      <c r="A108" t="s">
        <v>425</v>
      </c>
      <c r="B108" t="s">
        <v>1248</v>
      </c>
    </row>
    <row r="109" spans="1:2">
      <c r="A109" t="s">
        <v>455</v>
      </c>
      <c r="B109" t="s">
        <v>1248</v>
      </c>
    </row>
    <row r="110" spans="1:2">
      <c r="A110" t="s">
        <v>1421</v>
      </c>
      <c r="B110" t="s">
        <v>1248</v>
      </c>
    </row>
    <row r="111" spans="1:2">
      <c r="A111" t="s">
        <v>497</v>
      </c>
      <c r="B111" t="s">
        <v>1248</v>
      </c>
    </row>
    <row r="112" spans="1:2">
      <c r="A112" t="s">
        <v>383</v>
      </c>
      <c r="B112" t="s">
        <v>1248</v>
      </c>
    </row>
    <row r="113" spans="1:2">
      <c r="A113" t="s">
        <v>529</v>
      </c>
      <c r="B113" t="s">
        <v>1248</v>
      </c>
    </row>
    <row r="114" spans="1:2">
      <c r="A114" t="s">
        <v>137</v>
      </c>
      <c r="B114" t="s">
        <v>1248</v>
      </c>
    </row>
    <row r="115" spans="1:2">
      <c r="A115" t="s">
        <v>179</v>
      </c>
      <c r="B115" t="s">
        <v>1248</v>
      </c>
    </row>
    <row r="116" spans="1:2">
      <c r="A116" t="s">
        <v>429</v>
      </c>
      <c r="B116" t="s">
        <v>1248</v>
      </c>
    </row>
    <row r="117" spans="1:2">
      <c r="A117" t="s">
        <v>293</v>
      </c>
      <c r="B117" t="s">
        <v>1248</v>
      </c>
    </row>
    <row r="118" spans="1:2">
      <c r="A118" t="s">
        <v>539</v>
      </c>
      <c r="B118" t="s">
        <v>1248</v>
      </c>
    </row>
    <row r="119" spans="1:2">
      <c r="A119" t="s">
        <v>1422</v>
      </c>
      <c r="B119" t="s">
        <v>1248</v>
      </c>
    </row>
    <row r="120" spans="1:2">
      <c r="A120" t="s">
        <v>177</v>
      </c>
      <c r="B120" t="s">
        <v>1248</v>
      </c>
    </row>
    <row r="121" spans="1:2">
      <c r="A121" t="s">
        <v>441</v>
      </c>
      <c r="B121" t="s">
        <v>1248</v>
      </c>
    </row>
    <row r="122" spans="1:2">
      <c r="A122" t="s">
        <v>373</v>
      </c>
      <c r="B122" t="s">
        <v>1248</v>
      </c>
    </row>
    <row r="123" spans="1:2">
      <c r="A123" t="s">
        <v>1423</v>
      </c>
      <c r="B123" t="s">
        <v>1248</v>
      </c>
    </row>
    <row r="124" spans="1:2">
      <c r="A124" t="s">
        <v>363</v>
      </c>
      <c r="B124" t="s">
        <v>1248</v>
      </c>
    </row>
    <row r="125" spans="1:2">
      <c r="A125" t="s">
        <v>335</v>
      </c>
      <c r="B125" t="s">
        <v>1248</v>
      </c>
    </row>
    <row r="126" spans="1:2">
      <c r="A126" t="s">
        <v>423</v>
      </c>
      <c r="B126" t="s">
        <v>1248</v>
      </c>
    </row>
    <row r="127" spans="1:2">
      <c r="A127" t="s">
        <v>401</v>
      </c>
      <c r="B127" t="s">
        <v>1248</v>
      </c>
    </row>
    <row r="128" spans="1:2">
      <c r="A128" t="s">
        <v>479</v>
      </c>
      <c r="B128" t="s">
        <v>1248</v>
      </c>
    </row>
    <row r="129" spans="1:2">
      <c r="A129" t="s">
        <v>413</v>
      </c>
      <c r="B129" t="s">
        <v>1248</v>
      </c>
    </row>
    <row r="130" spans="1:2">
      <c r="A130" t="s">
        <v>1424</v>
      </c>
      <c r="B130" t="s">
        <v>1248</v>
      </c>
    </row>
    <row r="131" spans="1:2">
      <c r="A131" t="s">
        <v>1309</v>
      </c>
      <c r="B131" t="s">
        <v>1248</v>
      </c>
    </row>
    <row r="132" spans="1:2">
      <c r="A132" t="s">
        <v>417</v>
      </c>
      <c r="B132" t="s">
        <v>1248</v>
      </c>
    </row>
    <row r="133" spans="1:2">
      <c r="A133" t="s">
        <v>269</v>
      </c>
      <c r="B133" t="s">
        <v>1248</v>
      </c>
    </row>
    <row r="134" spans="1:2">
      <c r="A134" t="s">
        <v>465</v>
      </c>
      <c r="B134" t="s">
        <v>1248</v>
      </c>
    </row>
    <row r="135" spans="1:2">
      <c r="A135" t="s">
        <v>157</v>
      </c>
      <c r="B135" t="s">
        <v>1248</v>
      </c>
    </row>
    <row r="136" spans="1:2">
      <c r="A136" t="s">
        <v>185</v>
      </c>
      <c r="B136" t="s">
        <v>1248</v>
      </c>
    </row>
    <row r="137" spans="1:2">
      <c r="A137" t="s">
        <v>199</v>
      </c>
      <c r="B137" t="s">
        <v>1248</v>
      </c>
    </row>
    <row r="138" spans="1:2">
      <c r="A138" t="s">
        <v>375</v>
      </c>
      <c r="B138" t="s">
        <v>1248</v>
      </c>
    </row>
    <row r="139" spans="1:2">
      <c r="A139" t="s">
        <v>495</v>
      </c>
      <c r="B139" t="s">
        <v>1248</v>
      </c>
    </row>
    <row r="140" spans="1:2">
      <c r="A140" t="s">
        <v>35</v>
      </c>
      <c r="B140" t="s">
        <v>1248</v>
      </c>
    </row>
    <row r="141" spans="1:2">
      <c r="A141" t="s">
        <v>489</v>
      </c>
      <c r="B141" t="s">
        <v>1248</v>
      </c>
    </row>
    <row r="142" spans="1:2">
      <c r="A142" t="s">
        <v>181</v>
      </c>
      <c r="B142" t="s">
        <v>1248</v>
      </c>
    </row>
    <row r="143" spans="1:2">
      <c r="A143" t="s">
        <v>1425</v>
      </c>
      <c r="B143" t="s">
        <v>1248</v>
      </c>
    </row>
    <row r="144" spans="1:2">
      <c r="A144" t="s">
        <v>453</v>
      </c>
      <c r="B144" t="s">
        <v>1248</v>
      </c>
    </row>
    <row r="145" spans="1:2">
      <c r="A145" t="s">
        <v>435</v>
      </c>
      <c r="B145" t="s">
        <v>1248</v>
      </c>
    </row>
    <row r="146" spans="1:2">
      <c r="A146" t="s">
        <v>547</v>
      </c>
      <c r="B146" t="s">
        <v>1248</v>
      </c>
    </row>
    <row r="147" spans="1:2">
      <c r="A147" t="s">
        <v>227</v>
      </c>
      <c r="B147" t="s">
        <v>1248</v>
      </c>
    </row>
    <row r="148" spans="1:2">
      <c r="A148" t="s">
        <v>557</v>
      </c>
      <c r="B148" t="s">
        <v>1248</v>
      </c>
    </row>
    <row r="149" spans="1:2">
      <c r="A149" t="s">
        <v>175</v>
      </c>
      <c r="B149" t="s">
        <v>1248</v>
      </c>
    </row>
    <row r="150" spans="1:2">
      <c r="A150" t="s">
        <v>125</v>
      </c>
      <c r="B150" t="s">
        <v>1248</v>
      </c>
    </row>
    <row r="151" spans="1:2">
      <c r="A151" t="s">
        <v>207</v>
      </c>
      <c r="B151" t="s">
        <v>1248</v>
      </c>
    </row>
    <row r="152" spans="1:2">
      <c r="A152" t="s">
        <v>359</v>
      </c>
      <c r="B152" t="s">
        <v>1248</v>
      </c>
    </row>
    <row r="153" spans="1:2">
      <c r="A153" t="s">
        <v>191</v>
      </c>
      <c r="B153" t="s">
        <v>1248</v>
      </c>
    </row>
    <row r="154" spans="1:2">
      <c r="A154" t="s">
        <v>209</v>
      </c>
      <c r="B154" t="s">
        <v>1248</v>
      </c>
    </row>
    <row r="155" spans="1:2">
      <c r="A155" t="s">
        <v>577</v>
      </c>
      <c r="B155" t="s">
        <v>1248</v>
      </c>
    </row>
    <row r="156" spans="1:2">
      <c r="A156" t="s">
        <v>251</v>
      </c>
      <c r="B156" t="s">
        <v>1248</v>
      </c>
    </row>
    <row r="157" spans="1:2">
      <c r="A157" t="s">
        <v>1426</v>
      </c>
      <c r="B157" t="s">
        <v>1248</v>
      </c>
    </row>
    <row r="158" spans="1:2">
      <c r="A158" t="s">
        <v>469</v>
      </c>
      <c r="B158" t="s">
        <v>1248</v>
      </c>
    </row>
    <row r="159" spans="1:2">
      <c r="A159" t="s">
        <v>627</v>
      </c>
      <c r="B159" t="s">
        <v>1248</v>
      </c>
    </row>
    <row r="160" spans="1:2">
      <c r="A160" t="s">
        <v>149</v>
      </c>
      <c r="B160" t="s">
        <v>1248</v>
      </c>
    </row>
    <row r="161" spans="1:2">
      <c r="A161" t="s">
        <v>553</v>
      </c>
      <c r="B161" t="s">
        <v>1248</v>
      </c>
    </row>
    <row r="162" spans="1:2">
      <c r="A162" t="s">
        <v>571</v>
      </c>
      <c r="B162" t="s">
        <v>1248</v>
      </c>
    </row>
    <row r="163" spans="1:2">
      <c r="A163" t="s">
        <v>131</v>
      </c>
      <c r="B163" t="s">
        <v>1248</v>
      </c>
    </row>
    <row r="164" spans="1:2">
      <c r="A164" t="s">
        <v>619</v>
      </c>
      <c r="B164" t="s">
        <v>1248</v>
      </c>
    </row>
    <row r="165" spans="1:2">
      <c r="A165" t="s">
        <v>525</v>
      </c>
      <c r="B165" t="s">
        <v>1248</v>
      </c>
    </row>
    <row r="166" spans="1:2">
      <c r="A166" t="s">
        <v>369</v>
      </c>
      <c r="B166" t="s">
        <v>1248</v>
      </c>
    </row>
    <row r="167" spans="1:2">
      <c r="A167" t="s">
        <v>311</v>
      </c>
      <c r="B167" t="s">
        <v>1248</v>
      </c>
    </row>
    <row r="168" spans="1:2">
      <c r="A168" t="s">
        <v>239</v>
      </c>
      <c r="B168" t="s">
        <v>1248</v>
      </c>
    </row>
    <row r="169" spans="1:2">
      <c r="A169" t="s">
        <v>189</v>
      </c>
      <c r="B169" t="s">
        <v>1248</v>
      </c>
    </row>
    <row r="170" spans="1:2">
      <c r="A170" t="s">
        <v>625</v>
      </c>
      <c r="B170" t="s">
        <v>1248</v>
      </c>
    </row>
    <row r="171" spans="1:2">
      <c r="A171" t="s">
        <v>215</v>
      </c>
      <c r="B171" t="s">
        <v>1248</v>
      </c>
    </row>
    <row r="172" spans="1:2">
      <c r="A172" t="s">
        <v>597</v>
      </c>
      <c r="B172" t="s">
        <v>1248</v>
      </c>
    </row>
    <row r="173" spans="1:2">
      <c r="A173" t="s">
        <v>91</v>
      </c>
      <c r="B173" t="s">
        <v>1248</v>
      </c>
    </row>
    <row r="174" spans="1:2">
      <c r="A174" t="s">
        <v>57</v>
      </c>
      <c r="B174" t="s">
        <v>1248</v>
      </c>
    </row>
    <row r="175" spans="1:2">
      <c r="A175" t="s">
        <v>339</v>
      </c>
      <c r="B175" t="s">
        <v>1248</v>
      </c>
    </row>
    <row r="176" spans="1:2">
      <c r="A176" t="s">
        <v>461</v>
      </c>
      <c r="B176" t="s">
        <v>1248</v>
      </c>
    </row>
    <row r="177" spans="1:2">
      <c r="A177" t="s">
        <v>51</v>
      </c>
      <c r="B177" t="s">
        <v>1248</v>
      </c>
    </row>
    <row r="178" spans="1:2">
      <c r="A178" t="s">
        <v>607</v>
      </c>
      <c r="B178" t="s">
        <v>1248</v>
      </c>
    </row>
    <row r="179" spans="1:2">
      <c r="A179" t="s">
        <v>445</v>
      </c>
      <c r="B179" t="s">
        <v>1248</v>
      </c>
    </row>
    <row r="180" spans="1:2">
      <c r="A180" t="s">
        <v>187</v>
      </c>
      <c r="B180" t="s">
        <v>1248</v>
      </c>
    </row>
    <row r="181" spans="1:2">
      <c r="A181" t="s">
        <v>511</v>
      </c>
      <c r="B181" t="s">
        <v>1248</v>
      </c>
    </row>
    <row r="182" spans="1:2">
      <c r="A182" t="s">
        <v>257</v>
      </c>
      <c r="B182" t="s">
        <v>1248</v>
      </c>
    </row>
    <row r="183" spans="1:2">
      <c r="A183" t="s">
        <v>421</v>
      </c>
      <c r="B183" t="s">
        <v>1248</v>
      </c>
    </row>
    <row r="184" spans="1:2">
      <c r="A184" t="s">
        <v>603</v>
      </c>
      <c r="B184" t="s">
        <v>1248</v>
      </c>
    </row>
    <row r="185" spans="1:2">
      <c r="A185" t="s">
        <v>217</v>
      </c>
      <c r="B185" t="s">
        <v>1248</v>
      </c>
    </row>
    <row r="186" spans="1:2">
      <c r="A186" t="s">
        <v>265</v>
      </c>
      <c r="B186" t="s">
        <v>1248</v>
      </c>
    </row>
    <row r="187" spans="1:2">
      <c r="A187" t="s">
        <v>545</v>
      </c>
      <c r="B187" t="s">
        <v>1248</v>
      </c>
    </row>
    <row r="188" spans="1:2">
      <c r="A188" t="s">
        <v>617</v>
      </c>
      <c r="B188" t="s">
        <v>1248</v>
      </c>
    </row>
    <row r="189" spans="1:2">
      <c r="A189" t="s">
        <v>277</v>
      </c>
      <c r="B189" t="s">
        <v>1248</v>
      </c>
    </row>
    <row r="190" spans="1:2">
      <c r="A190" t="s">
        <v>203</v>
      </c>
      <c r="B190" t="s">
        <v>1248</v>
      </c>
    </row>
    <row r="191" spans="1:2">
      <c r="A191" t="s">
        <v>1291</v>
      </c>
      <c r="B191" t="s">
        <v>1248</v>
      </c>
    </row>
    <row r="192" spans="1:2">
      <c r="A192" t="s">
        <v>611</v>
      </c>
      <c r="B192" t="s">
        <v>1248</v>
      </c>
    </row>
    <row r="193" spans="1:2">
      <c r="A193" t="s">
        <v>161</v>
      </c>
      <c r="B193" t="s">
        <v>1248</v>
      </c>
    </row>
    <row r="194" spans="1:2">
      <c r="A194" t="s">
        <v>87</v>
      </c>
      <c r="B194" t="s">
        <v>1248</v>
      </c>
    </row>
    <row r="195" spans="1:2">
      <c r="A195" t="s">
        <v>593</v>
      </c>
      <c r="B195" t="s">
        <v>1248</v>
      </c>
    </row>
    <row r="196" spans="1:2">
      <c r="A196" t="s">
        <v>79</v>
      </c>
      <c r="B196" t="s">
        <v>1248</v>
      </c>
    </row>
    <row r="197" spans="1:2">
      <c r="A197" t="s">
        <v>355</v>
      </c>
      <c r="B197" t="s">
        <v>1248</v>
      </c>
    </row>
    <row r="198" spans="1:2">
      <c r="A198" t="s">
        <v>565</v>
      </c>
      <c r="B198" t="s">
        <v>1248</v>
      </c>
    </row>
    <row r="199" spans="1:2">
      <c r="A199" t="s">
        <v>601</v>
      </c>
      <c r="B199" t="s">
        <v>1248</v>
      </c>
    </row>
    <row r="200" spans="1:2">
      <c r="A200" t="s">
        <v>113</v>
      </c>
      <c r="B200" t="s">
        <v>1248</v>
      </c>
    </row>
    <row r="201" spans="1:2">
      <c r="A201" t="s">
        <v>15</v>
      </c>
      <c r="B201" t="s">
        <v>1248</v>
      </c>
    </row>
    <row r="202" spans="1:2">
      <c r="A202" t="s">
        <v>17</v>
      </c>
      <c r="B202" t="s">
        <v>1248</v>
      </c>
    </row>
    <row r="203" spans="1:2">
      <c r="A203" t="s">
        <v>467</v>
      </c>
      <c r="B203" t="s">
        <v>1248</v>
      </c>
    </row>
    <row r="204" spans="1:2">
      <c r="A204" t="s">
        <v>1427</v>
      </c>
      <c r="B204" t="s">
        <v>1248</v>
      </c>
    </row>
    <row r="205" spans="1:2">
      <c r="A205" t="s">
        <v>605</v>
      </c>
      <c r="B205" t="s">
        <v>1248</v>
      </c>
    </row>
    <row r="206" spans="1:2">
      <c r="A206" t="s">
        <v>1313</v>
      </c>
      <c r="B206" t="s">
        <v>1248</v>
      </c>
    </row>
    <row r="207" spans="1:2">
      <c r="A207" t="s">
        <v>660</v>
      </c>
      <c r="B207" t="s">
        <v>1249</v>
      </c>
    </row>
    <row r="208" spans="1:2">
      <c r="A208" t="s">
        <v>837</v>
      </c>
      <c r="B208" t="s">
        <v>1249</v>
      </c>
    </row>
    <row r="209" spans="1:2">
      <c r="A209" t="s">
        <v>731</v>
      </c>
      <c r="B209" t="s">
        <v>1249</v>
      </c>
    </row>
    <row r="210" spans="1:2">
      <c r="A210" t="s">
        <v>713</v>
      </c>
      <c r="B210" t="s">
        <v>1249</v>
      </c>
    </row>
    <row r="211" spans="1:2">
      <c r="A211" s="5" t="s">
        <v>905</v>
      </c>
      <c r="B211" t="s">
        <v>1249</v>
      </c>
    </row>
    <row r="212" spans="1:2">
      <c r="A212" t="s">
        <v>744</v>
      </c>
      <c r="B212" t="s">
        <v>1249</v>
      </c>
    </row>
    <row r="213" spans="1:2">
      <c r="A213" t="s">
        <v>658</v>
      </c>
      <c r="B213" t="s">
        <v>1249</v>
      </c>
    </row>
    <row r="214" spans="1:2">
      <c r="A214" t="s">
        <v>927</v>
      </c>
      <c r="B214" t="s">
        <v>1249</v>
      </c>
    </row>
    <row r="215" spans="1:2">
      <c r="A215" t="s">
        <v>921</v>
      </c>
      <c r="B215" t="s">
        <v>1249</v>
      </c>
    </row>
    <row r="216" spans="1:2">
      <c r="A216" t="s">
        <v>772</v>
      </c>
      <c r="B216" t="s">
        <v>1249</v>
      </c>
    </row>
    <row r="217" spans="1:2">
      <c r="A217" t="s">
        <v>891</v>
      </c>
      <c r="B217" t="s">
        <v>1249</v>
      </c>
    </row>
    <row r="218" spans="1:2">
      <c r="A218" t="s">
        <v>960</v>
      </c>
      <c r="B218" t="s">
        <v>1249</v>
      </c>
    </row>
    <row r="219" spans="1:2">
      <c r="A219" t="s">
        <v>835</v>
      </c>
      <c r="B219" t="s">
        <v>1249</v>
      </c>
    </row>
    <row r="220" spans="1:2">
      <c r="A220" t="s">
        <v>719</v>
      </c>
      <c r="B220" t="s">
        <v>1249</v>
      </c>
    </row>
    <row r="221" spans="1:2">
      <c r="A221" t="s">
        <v>962</v>
      </c>
      <c r="B221" t="s">
        <v>1249</v>
      </c>
    </row>
    <row r="222" spans="1:2">
      <c r="A222" t="s">
        <v>879</v>
      </c>
      <c r="B222" t="s">
        <v>1249</v>
      </c>
    </row>
    <row r="223" spans="1:2">
      <c r="A223" t="s">
        <v>705</v>
      </c>
      <c r="B223" t="s">
        <v>1249</v>
      </c>
    </row>
    <row r="224" spans="1:2">
      <c r="A224" t="s">
        <v>1428</v>
      </c>
      <c r="B224" t="s">
        <v>1249</v>
      </c>
    </row>
    <row r="225" spans="1:2">
      <c r="A225" t="s">
        <v>1429</v>
      </c>
      <c r="B225" t="s">
        <v>1249</v>
      </c>
    </row>
    <row r="226" spans="1:2">
      <c r="A226" t="s">
        <v>915</v>
      </c>
      <c r="B226" t="s">
        <v>1249</v>
      </c>
    </row>
    <row r="227" spans="1:2">
      <c r="A227" t="s">
        <v>756</v>
      </c>
      <c r="B227" t="s">
        <v>1249</v>
      </c>
    </row>
    <row r="228" spans="1:2">
      <c r="A228" t="s">
        <v>671</v>
      </c>
      <c r="B228" t="s">
        <v>1249</v>
      </c>
    </row>
    <row r="229" spans="1:2">
      <c r="A229" t="s">
        <v>675</v>
      </c>
      <c r="B229" t="s">
        <v>1249</v>
      </c>
    </row>
    <row r="230" spans="1:2">
      <c r="A230" t="s">
        <v>669</v>
      </c>
      <c r="B230" t="s">
        <v>1249</v>
      </c>
    </row>
    <row r="231" spans="1:2">
      <c r="A231" t="s">
        <v>796</v>
      </c>
      <c r="B231" t="s">
        <v>1249</v>
      </c>
    </row>
    <row r="232" spans="1:2">
      <c r="A232" t="s">
        <v>1400</v>
      </c>
      <c r="B232" t="s">
        <v>1249</v>
      </c>
    </row>
    <row r="233" spans="1:2">
      <c r="A233" t="s">
        <v>774</v>
      </c>
      <c r="B233" t="s">
        <v>1249</v>
      </c>
    </row>
    <row r="234" spans="1:2">
      <c r="A234" t="s">
        <v>709</v>
      </c>
      <c r="B234" t="s">
        <v>1249</v>
      </c>
    </row>
    <row r="235" spans="1:2">
      <c r="A235" t="s">
        <v>875</v>
      </c>
      <c r="B235" t="s">
        <v>1249</v>
      </c>
    </row>
    <row r="236" spans="1:2">
      <c r="A236" t="s">
        <v>667</v>
      </c>
      <c r="B236" t="s">
        <v>1249</v>
      </c>
    </row>
    <row r="237" spans="1:2">
      <c r="A237" t="s">
        <v>940</v>
      </c>
      <c r="B237" t="s">
        <v>1249</v>
      </c>
    </row>
    <row r="238" spans="1:2">
      <c r="A238" t="s">
        <v>693</v>
      </c>
      <c r="B238" t="s">
        <v>1249</v>
      </c>
    </row>
    <row r="239" spans="1:2">
      <c r="A239" t="s">
        <v>1430</v>
      </c>
      <c r="B239" t="s">
        <v>1249</v>
      </c>
    </row>
    <row r="240" spans="1:2">
      <c r="A240" t="s">
        <v>845</v>
      </c>
      <c r="B240" t="s">
        <v>1249</v>
      </c>
    </row>
    <row r="241" spans="1:2">
      <c r="A241" t="s">
        <v>805</v>
      </c>
      <c r="B241" t="s">
        <v>1249</v>
      </c>
    </row>
    <row r="242" spans="1:2">
      <c r="A242" t="s">
        <v>687</v>
      </c>
      <c r="B242" t="s">
        <v>1249</v>
      </c>
    </row>
    <row r="243" spans="1:2">
      <c r="A243" t="s">
        <v>895</v>
      </c>
      <c r="B243" t="s">
        <v>1249</v>
      </c>
    </row>
    <row r="244" spans="1:2">
      <c r="A244" t="s">
        <v>813</v>
      </c>
      <c r="B244" t="s">
        <v>1249</v>
      </c>
    </row>
    <row r="245" spans="1:2">
      <c r="A245" t="s">
        <v>1431</v>
      </c>
      <c r="B245" t="s">
        <v>1249</v>
      </c>
    </row>
    <row r="246" spans="1:2">
      <c r="A246" t="s">
        <v>825</v>
      </c>
      <c r="B246" t="s">
        <v>1249</v>
      </c>
    </row>
    <row r="247" spans="1:2">
      <c r="A247" t="s">
        <v>776</v>
      </c>
      <c r="B247" t="s">
        <v>1249</v>
      </c>
    </row>
    <row r="248" spans="1:2">
      <c r="A248" t="s">
        <v>1321</v>
      </c>
      <c r="B248" t="s">
        <v>1249</v>
      </c>
    </row>
    <row r="249" spans="1:2">
      <c r="A249" t="s">
        <v>783</v>
      </c>
      <c r="B249" t="s">
        <v>1249</v>
      </c>
    </row>
    <row r="250" spans="1:2">
      <c r="A250" t="s">
        <v>871</v>
      </c>
      <c r="B250" t="s">
        <v>1249</v>
      </c>
    </row>
    <row r="251" spans="1:2">
      <c r="A251" t="s">
        <v>827</v>
      </c>
      <c r="B251" t="s">
        <v>1249</v>
      </c>
    </row>
    <row r="252" spans="1:2">
      <c r="A252" t="s">
        <v>847</v>
      </c>
      <c r="B252" t="s">
        <v>1249</v>
      </c>
    </row>
    <row r="253" spans="1:2">
      <c r="A253" t="s">
        <v>1432</v>
      </c>
      <c r="B253" t="s">
        <v>1249</v>
      </c>
    </row>
    <row r="254" spans="1:2">
      <c r="A254" t="s">
        <v>1433</v>
      </c>
      <c r="B254" t="s">
        <v>1249</v>
      </c>
    </row>
    <row r="255" spans="1:2">
      <c r="A255" t="s">
        <v>893</v>
      </c>
      <c r="B255" t="s">
        <v>1249</v>
      </c>
    </row>
    <row r="256" spans="1:2">
      <c r="A256" t="s">
        <v>919</v>
      </c>
      <c r="B256" t="s">
        <v>1249</v>
      </c>
    </row>
    <row r="257" spans="1:2">
      <c r="A257" t="s">
        <v>763</v>
      </c>
      <c r="B257" t="s">
        <v>1249</v>
      </c>
    </row>
    <row r="258" spans="1:2">
      <c r="A258" t="s">
        <v>1434</v>
      </c>
      <c r="B258" t="s">
        <v>1249</v>
      </c>
    </row>
    <row r="259" spans="1:2">
      <c r="A259" t="s">
        <v>811</v>
      </c>
      <c r="B259" t="s">
        <v>1249</v>
      </c>
    </row>
    <row r="260" spans="1:2">
      <c r="A260" t="s">
        <v>721</v>
      </c>
      <c r="B260" t="s">
        <v>1249</v>
      </c>
    </row>
    <row r="261" spans="1:2">
      <c r="A261" t="s">
        <v>1435</v>
      </c>
      <c r="B261" t="s">
        <v>1249</v>
      </c>
    </row>
    <row r="262" spans="1:2">
      <c r="A262" t="s">
        <v>1436</v>
      </c>
      <c r="B262" t="s">
        <v>1249</v>
      </c>
    </row>
    <row r="263" spans="1:2">
      <c r="A263" t="s">
        <v>767</v>
      </c>
      <c r="B263" t="s">
        <v>1249</v>
      </c>
    </row>
    <row r="264" spans="1:2">
      <c r="A264" t="s">
        <v>1296</v>
      </c>
      <c r="B264" t="s">
        <v>1249</v>
      </c>
    </row>
    <row r="265" spans="1:2">
      <c r="A265" t="s">
        <v>785</v>
      </c>
      <c r="B265" t="s">
        <v>1249</v>
      </c>
    </row>
    <row r="266" spans="1:2">
      <c r="A266" t="s">
        <v>1437</v>
      </c>
      <c r="B266" t="s">
        <v>1249</v>
      </c>
    </row>
    <row r="267" spans="1:2">
      <c r="A267" t="s">
        <v>711</v>
      </c>
      <c r="B267" t="s">
        <v>1249</v>
      </c>
    </row>
    <row r="268" spans="1:2">
      <c r="A268" t="s">
        <v>1314</v>
      </c>
      <c r="B268" t="s">
        <v>1249</v>
      </c>
    </row>
    <row r="269" spans="1:2">
      <c r="A269" t="s">
        <v>809</v>
      </c>
      <c r="B269" t="s">
        <v>1249</v>
      </c>
    </row>
    <row r="270" spans="1:2">
      <c r="A270" t="s">
        <v>839</v>
      </c>
      <c r="B270" t="s">
        <v>1249</v>
      </c>
    </row>
    <row r="271" spans="1:2">
      <c r="A271" t="s">
        <v>1292</v>
      </c>
      <c r="B271" t="s">
        <v>1249</v>
      </c>
    </row>
    <row r="272" spans="1:2">
      <c r="A272" t="s">
        <v>1303</v>
      </c>
      <c r="B272" t="s">
        <v>1249</v>
      </c>
    </row>
    <row r="273" spans="1:2">
      <c r="A273" t="s">
        <v>1297</v>
      </c>
      <c r="B273" t="s">
        <v>1249</v>
      </c>
    </row>
    <row r="274" spans="1:2">
      <c r="A274" t="s">
        <v>701</v>
      </c>
      <c r="B274" t="s">
        <v>1249</v>
      </c>
    </row>
    <row r="275" spans="1:2">
      <c r="A275" t="s">
        <v>831</v>
      </c>
      <c r="B275" t="s">
        <v>1249</v>
      </c>
    </row>
    <row r="276" spans="1:2">
      <c r="A276" s="5" t="s">
        <v>697</v>
      </c>
      <c r="B276" t="s">
        <v>1249</v>
      </c>
    </row>
    <row r="277" spans="1:2">
      <c r="A277" t="s">
        <v>1438</v>
      </c>
      <c r="B277" t="s">
        <v>1249</v>
      </c>
    </row>
    <row r="278" spans="1:2">
      <c r="A278" t="s">
        <v>665</v>
      </c>
      <c r="B278" t="s">
        <v>1249</v>
      </c>
    </row>
    <row r="279" spans="1:2">
      <c r="A279" t="s">
        <v>798</v>
      </c>
      <c r="B279" t="s">
        <v>1249</v>
      </c>
    </row>
    <row r="280" spans="1:2">
      <c r="A280" t="s">
        <v>887</v>
      </c>
      <c r="B280" t="s">
        <v>1249</v>
      </c>
    </row>
    <row r="281" spans="1:2">
      <c r="A281" t="s">
        <v>1439</v>
      </c>
      <c r="B281" t="s">
        <v>1249</v>
      </c>
    </row>
    <row r="282" spans="1:2">
      <c r="A282" t="s">
        <v>1440</v>
      </c>
      <c r="B282" t="s">
        <v>1249</v>
      </c>
    </row>
    <row r="283" spans="1:2">
      <c r="A283" t="s">
        <v>1441</v>
      </c>
      <c r="B283" t="s">
        <v>1249</v>
      </c>
    </row>
    <row r="284" spans="1:2">
      <c r="A284" t="s">
        <v>778</v>
      </c>
      <c r="B284" t="s">
        <v>1249</v>
      </c>
    </row>
    <row r="285" spans="1:2">
      <c r="A285" t="s">
        <v>1442</v>
      </c>
      <c r="B285" t="s">
        <v>1249</v>
      </c>
    </row>
    <row r="286" spans="1:2">
      <c r="A286" t="s">
        <v>1401</v>
      </c>
      <c r="B286" t="s">
        <v>1249</v>
      </c>
    </row>
    <row r="287" spans="1:2">
      <c r="A287" t="s">
        <v>861</v>
      </c>
      <c r="B287" t="s">
        <v>1249</v>
      </c>
    </row>
    <row r="288" spans="1:2">
      <c r="A288" t="s">
        <v>707</v>
      </c>
      <c r="B288" t="s">
        <v>1249</v>
      </c>
    </row>
    <row r="289" spans="1:2">
      <c r="A289" t="s">
        <v>802</v>
      </c>
      <c r="B289" t="s">
        <v>1249</v>
      </c>
    </row>
    <row r="290" spans="1:2">
      <c r="A290" t="s">
        <v>819</v>
      </c>
      <c r="B290" t="s">
        <v>1249</v>
      </c>
    </row>
    <row r="291" spans="1:2">
      <c r="A291" t="s">
        <v>885</v>
      </c>
      <c r="B291" t="s">
        <v>1249</v>
      </c>
    </row>
    <row r="292" spans="1:2">
      <c r="A292" t="s">
        <v>833</v>
      </c>
      <c r="B292" t="s">
        <v>1249</v>
      </c>
    </row>
    <row r="293" spans="1:2">
      <c r="A293" t="s">
        <v>1320</v>
      </c>
      <c r="B293" t="s">
        <v>1249</v>
      </c>
    </row>
    <row r="294" spans="1:2">
      <c r="A294" t="s">
        <v>1443</v>
      </c>
      <c r="B294" t="s">
        <v>1249</v>
      </c>
    </row>
    <row r="295" spans="1:2">
      <c r="A295" t="s">
        <v>807</v>
      </c>
      <c r="B295" t="s">
        <v>1249</v>
      </c>
    </row>
    <row r="296" spans="1:2">
      <c r="A296" t="s">
        <v>1444</v>
      </c>
      <c r="B296" t="s">
        <v>1249</v>
      </c>
    </row>
    <row r="297" spans="1:2">
      <c r="A297" t="s">
        <v>758</v>
      </c>
      <c r="B297" t="s">
        <v>1249</v>
      </c>
    </row>
    <row r="298" spans="1:2">
      <c r="A298" t="s">
        <v>883</v>
      </c>
      <c r="B298" t="s">
        <v>1249</v>
      </c>
    </row>
    <row r="299" spans="1:2">
      <c r="A299" t="s">
        <v>873</v>
      </c>
      <c r="B299" t="s">
        <v>1249</v>
      </c>
    </row>
    <row r="300" spans="1:2">
      <c r="A300" t="s">
        <v>749</v>
      </c>
      <c r="B300" t="s">
        <v>1249</v>
      </c>
    </row>
    <row r="301" spans="1:2">
      <c r="A301" t="s">
        <v>841</v>
      </c>
      <c r="B301" t="s">
        <v>1249</v>
      </c>
    </row>
    <row r="302" spans="1:2">
      <c r="A302" t="s">
        <v>815</v>
      </c>
      <c r="B302" t="s">
        <v>1249</v>
      </c>
    </row>
    <row r="303" spans="1:2">
      <c r="A303" t="s">
        <v>738</v>
      </c>
      <c r="B303" t="s">
        <v>1249</v>
      </c>
    </row>
    <row r="304" spans="1:2">
      <c r="A304" t="s">
        <v>723</v>
      </c>
      <c r="B304" t="s">
        <v>1249</v>
      </c>
    </row>
    <row r="305" spans="1:2">
      <c r="A305" t="s">
        <v>1445</v>
      </c>
      <c r="B305" t="s">
        <v>1249</v>
      </c>
    </row>
    <row r="306" spans="1:2">
      <c r="A306" t="s">
        <v>753</v>
      </c>
      <c r="B306" t="s">
        <v>1249</v>
      </c>
    </row>
    <row r="307" spans="1:2">
      <c r="A307" s="5" t="s">
        <v>923</v>
      </c>
      <c r="B307" t="s">
        <v>1249</v>
      </c>
    </row>
    <row r="308" spans="1:2">
      <c r="A308" t="s">
        <v>853</v>
      </c>
      <c r="B308" t="s">
        <v>1249</v>
      </c>
    </row>
    <row r="309" spans="1:2">
      <c r="A309" t="s">
        <v>725</v>
      </c>
      <c r="B309" t="s">
        <v>1249</v>
      </c>
    </row>
    <row r="310" spans="1:2">
      <c r="A310" t="s">
        <v>956</v>
      </c>
      <c r="B310" t="s">
        <v>1249</v>
      </c>
    </row>
    <row r="311" spans="1:2">
      <c r="A311" t="s">
        <v>1446</v>
      </c>
      <c r="B311" t="s">
        <v>1249</v>
      </c>
    </row>
    <row r="312" spans="1:2">
      <c r="A312" t="s">
        <v>715</v>
      </c>
      <c r="B312" t="s">
        <v>1249</v>
      </c>
    </row>
    <row r="313" spans="1:2">
      <c r="A313" t="s">
        <v>954</v>
      </c>
      <c r="B313" t="s">
        <v>1249</v>
      </c>
    </row>
    <row r="314" spans="1:2">
      <c r="A314" t="s">
        <v>683</v>
      </c>
      <c r="B314" t="s">
        <v>1249</v>
      </c>
    </row>
    <row r="315" spans="1:2">
      <c r="A315" t="s">
        <v>695</v>
      </c>
      <c r="B315" t="s">
        <v>1249</v>
      </c>
    </row>
    <row r="316" spans="1:2">
      <c r="A316" t="s">
        <v>907</v>
      </c>
      <c r="B316" t="s">
        <v>1249</v>
      </c>
    </row>
    <row r="317" spans="1:2">
      <c r="A317" t="s">
        <v>855</v>
      </c>
      <c r="B317" t="s">
        <v>1249</v>
      </c>
    </row>
    <row r="318" spans="1:2">
      <c r="A318" t="s">
        <v>691</v>
      </c>
      <c r="B318" t="s">
        <v>1249</v>
      </c>
    </row>
    <row r="319" spans="1:2">
      <c r="A319" t="s">
        <v>817</v>
      </c>
      <c r="B319" t="s">
        <v>1249</v>
      </c>
    </row>
    <row r="320" spans="1:2">
      <c r="A320" t="s">
        <v>780</v>
      </c>
      <c r="B320" t="s">
        <v>1249</v>
      </c>
    </row>
    <row r="321" spans="1:2">
      <c r="A321" t="s">
        <v>869</v>
      </c>
      <c r="B321" t="s">
        <v>1249</v>
      </c>
    </row>
    <row r="322" spans="1:2">
      <c r="A322" t="s">
        <v>867</v>
      </c>
      <c r="B322" t="s">
        <v>1249</v>
      </c>
    </row>
    <row r="323" spans="1:2">
      <c r="A323" t="s">
        <v>863</v>
      </c>
      <c r="B323" t="s">
        <v>1249</v>
      </c>
    </row>
    <row r="324" spans="1:2">
      <c r="A324" t="s">
        <v>865</v>
      </c>
      <c r="B324" t="s">
        <v>1249</v>
      </c>
    </row>
    <row r="325" spans="1:2">
      <c r="A325" t="s">
        <v>851</v>
      </c>
      <c r="B325" t="s">
        <v>1249</v>
      </c>
    </row>
    <row r="326" spans="1:2">
      <c r="A326" t="s">
        <v>925</v>
      </c>
      <c r="B326" t="s">
        <v>1249</v>
      </c>
    </row>
    <row r="327" spans="1:2">
      <c r="A327" t="s">
        <v>823</v>
      </c>
      <c r="B327" t="s">
        <v>1249</v>
      </c>
    </row>
    <row r="328" spans="1:2">
      <c r="A328" t="s">
        <v>790</v>
      </c>
      <c r="B328" t="s">
        <v>1249</v>
      </c>
    </row>
    <row r="329" spans="1:2">
      <c r="A329" t="s">
        <v>1447</v>
      </c>
      <c r="B329" t="s">
        <v>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Jackson C -MI</cp:lastModifiedBy>
  <cp:revision/>
  <dcterms:created xsi:type="dcterms:W3CDTF">2015-06-05T18:17:20Z</dcterms:created>
  <dcterms:modified xsi:type="dcterms:W3CDTF">2025-08-05T00:23:09Z</dcterms:modified>
  <cp:category/>
  <cp:contentStatus/>
</cp:coreProperties>
</file>