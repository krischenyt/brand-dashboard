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3049" documentId="8_{7942D867-988D-47D7-8253-686F28FB186F}" xr6:coauthVersionLast="47" xr6:coauthVersionMax="47" xr10:uidLastSave="{B125592F-2E81-4DFB-999E-917E5E30C67D}"/>
  <bookViews>
    <workbookView xWindow="-120" yWindow="-120" windowWidth="29040" windowHeight="15720" firstSheet="1" activeTab="2" xr2:uid="{00000000-000D-0000-FFFF-FFFF00000000}"/>
  </bookViews>
  <sheets>
    <sheet name="Micro Difference" sheetId="1" r:id="rId1"/>
    <sheet name="NB Difference" sheetId="2" r:id="rId2"/>
    <sheet name="DS Difference" sheetId="3" r:id="rId3"/>
    <sheet name="ACOS &amp; TCOS" sheetId="7" r:id="rId4"/>
    <sheet name="CVR" sheetId="9" r:id="rId5"/>
    <sheet name="All Products" sheetId="4" state="hidden" r:id="rId6"/>
    <sheet name="Sales &amp; Budget OOB" sheetId="5" r:id="rId7"/>
  </sheets>
  <definedNames>
    <definedName name="_xlnm._FilterDatabase" localSheetId="6" hidden="1">'Sales &amp; Budget OOB'!$A$1:$O$391</definedName>
    <definedName name="_xlnm._FilterDatabase" localSheetId="2" hidden="1">'DS Difference'!$A$2:$AJ$2</definedName>
    <definedName name="_xlnm._FilterDatabase" localSheetId="0" hidden="1">'Micro Difference'!$A$2:$AS$2</definedName>
    <definedName name="_xlnm._FilterDatabase" localSheetId="1" hidden="1">'NB Difference'!$A$2:$AK$2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40" i="1" l="1"/>
  <c r="Z41" i="7"/>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 i="3"/>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 i="2"/>
  <c r="AJ28" i="1"/>
  <c r="AJ29" i="1"/>
  <c r="AJ30" i="1"/>
  <c r="AJ31" i="1"/>
  <c r="AJ32" i="1"/>
  <c r="AJ33" i="1"/>
  <c r="AJ34" i="1"/>
  <c r="AJ35" i="1"/>
  <c r="AJ36" i="1"/>
  <c r="AJ37" i="1"/>
  <c r="AJ38" i="1"/>
  <c r="AJ39" i="1"/>
  <c r="AJ40" i="1"/>
  <c r="AJ41" i="1"/>
  <c r="AJ42" i="1"/>
  <c r="AJ43" i="1"/>
  <c r="AJ44" i="1"/>
  <c r="AJ45" i="1"/>
  <c r="AJ4" i="1"/>
  <c r="AJ5" i="1"/>
  <c r="AJ6" i="1"/>
  <c r="AJ7" i="1"/>
  <c r="AJ8" i="1"/>
  <c r="AJ9" i="1"/>
  <c r="AJ10" i="1"/>
  <c r="AJ11" i="1"/>
  <c r="AJ12" i="1"/>
  <c r="AJ13" i="1"/>
  <c r="AJ14" i="1"/>
  <c r="AJ15" i="1"/>
  <c r="AJ16" i="1"/>
  <c r="AJ17" i="1"/>
  <c r="AJ18" i="1"/>
  <c r="AJ19" i="1"/>
  <c r="AJ20" i="1"/>
  <c r="AJ21" i="1"/>
  <c r="AJ22" i="1"/>
  <c r="AJ23" i="1"/>
  <c r="AJ24" i="1"/>
  <c r="AJ25" i="1"/>
  <c r="AJ26" i="1"/>
  <c r="AJ27" i="1"/>
  <c r="AJ3" i="1"/>
  <c r="AE146" i="2"/>
  <c r="AD146" i="2"/>
  <c r="P146" i="2"/>
  <c r="Q146" i="2"/>
  <c r="H146" i="2"/>
  <c r="D146" i="2"/>
  <c r="Y5" i="7"/>
  <c r="Y40" i="7"/>
  <c r="L3" i="3"/>
  <c r="L146"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6" i="2"/>
  <c r="L134" i="2"/>
  <c r="L135" i="2"/>
  <c r="M3" i="2"/>
  <c r="M25" i="2"/>
  <c r="M62" i="2"/>
  <c r="M44" i="2"/>
  <c r="M4" i="2"/>
  <c r="M39" i="2"/>
  <c r="M88" i="2"/>
  <c r="M98" i="2"/>
  <c r="M99" i="2"/>
  <c r="M46" i="2"/>
  <c r="M5" i="2"/>
  <c r="M66" i="2"/>
  <c r="M36" i="2"/>
  <c r="M82" i="2"/>
  <c r="M6" i="2"/>
  <c r="M85" i="2"/>
  <c r="M51" i="2"/>
  <c r="M80" i="2"/>
  <c r="M7" i="2"/>
  <c r="M8" i="2"/>
  <c r="M55" i="2"/>
  <c r="M9" i="2"/>
  <c r="M10" i="2"/>
  <c r="M12" i="2"/>
  <c r="M77" i="2"/>
  <c r="M13" i="2"/>
  <c r="M11" i="2"/>
  <c r="M105" i="2"/>
  <c r="M14" i="2"/>
  <c r="M15" i="2"/>
  <c r="M16" i="2"/>
  <c r="M19" i="2"/>
  <c r="M17" i="2"/>
  <c r="M18" i="2"/>
  <c r="M24" i="2"/>
  <c r="M20" i="2"/>
  <c r="M21" i="2"/>
  <c r="M22" i="2"/>
  <c r="M23" i="2"/>
  <c r="M59" i="2"/>
  <c r="M26" i="2"/>
  <c r="M30" i="2"/>
  <c r="M27" i="2"/>
  <c r="M28" i="2"/>
  <c r="M29" i="2"/>
  <c r="M31" i="2"/>
  <c r="M33" i="2"/>
  <c r="M32" i="2"/>
  <c r="M35" i="2"/>
  <c r="M34" i="2"/>
  <c r="M37" i="2"/>
  <c r="M38" i="2"/>
  <c r="M40" i="2"/>
  <c r="M41" i="2"/>
  <c r="M42" i="2"/>
  <c r="M47" i="2"/>
  <c r="M43" i="2"/>
  <c r="M49" i="2"/>
  <c r="M45" i="2"/>
  <c r="M50" i="2"/>
  <c r="M48" i="2"/>
  <c r="M53" i="2"/>
  <c r="M52" i="2"/>
  <c r="M54" i="2"/>
  <c r="M57" i="2"/>
  <c r="M56" i="2"/>
  <c r="M63" i="2"/>
  <c r="M61" i="2"/>
  <c r="M58" i="2"/>
  <c r="M60" i="2"/>
  <c r="M136" i="2"/>
  <c r="M64" i="2"/>
  <c r="M134" i="2"/>
  <c r="M135" i="2"/>
  <c r="M137" i="2"/>
  <c r="M138" i="2"/>
  <c r="M141" i="2"/>
  <c r="M142" i="2"/>
  <c r="M140" i="2"/>
  <c r="M65" i="2"/>
  <c r="M67" i="2"/>
  <c r="M68" i="2"/>
  <c r="M69" i="2"/>
  <c r="M70" i="2"/>
  <c r="M73" i="2"/>
  <c r="M71" i="2"/>
  <c r="M72" i="2"/>
  <c r="M75" i="2"/>
  <c r="M74" i="2"/>
  <c r="M76" i="2"/>
  <c r="M79" i="2"/>
  <c r="M78" i="2"/>
  <c r="M84" i="2"/>
  <c r="M81" i="2"/>
  <c r="M83" i="2"/>
  <c r="M95" i="2"/>
  <c r="M91" i="2"/>
  <c r="M92" i="2"/>
  <c r="M86" i="2"/>
  <c r="M89" i="2"/>
  <c r="M90" i="2"/>
  <c r="M87" i="2"/>
  <c r="M94" i="2"/>
  <c r="M93" i="2"/>
  <c r="M139" i="2"/>
  <c r="M97" i="2"/>
  <c r="M96" i="2"/>
  <c r="M108" i="2"/>
  <c r="M101" i="2"/>
  <c r="M100" i="2"/>
  <c r="M102" i="2"/>
  <c r="M103" i="2"/>
  <c r="M107" i="2"/>
  <c r="M104" i="2"/>
  <c r="M106" i="2"/>
  <c r="M111" i="2"/>
  <c r="M109" i="2"/>
  <c r="M110" i="2"/>
  <c r="M112" i="2"/>
  <c r="M114" i="2"/>
  <c r="M113" i="2"/>
  <c r="M116" i="2"/>
  <c r="M118" i="2"/>
  <c r="M119" i="2"/>
  <c r="M115" i="2"/>
  <c r="M117" i="2"/>
  <c r="M122" i="2"/>
  <c r="M120" i="2"/>
  <c r="M121" i="2"/>
  <c r="M123" i="2"/>
  <c r="M124" i="2"/>
  <c r="M125" i="2"/>
  <c r="M126" i="2"/>
  <c r="M127" i="2"/>
  <c r="M128" i="2"/>
  <c r="M129" i="2"/>
  <c r="M130" i="2"/>
  <c r="M131" i="2"/>
  <c r="M132" i="2"/>
  <c r="M133" i="2"/>
  <c r="M388" i="5"/>
  <c r="M385" i="5"/>
  <c r="M364" i="5"/>
  <c r="M352" i="5"/>
  <c r="M344" i="5"/>
  <c r="M319" i="5"/>
  <c r="M307" i="5"/>
  <c r="M298" i="5"/>
  <c r="M267" i="5"/>
  <c r="M262" i="5"/>
  <c r="M226" i="5"/>
  <c r="M221" i="5"/>
  <c r="M200" i="5"/>
  <c r="M186" i="5"/>
  <c r="M170" i="5"/>
  <c r="M165" i="5"/>
  <c r="M166" i="5"/>
  <c r="M163" i="5"/>
  <c r="M159" i="5"/>
  <c r="M109" i="5"/>
  <c r="M80" i="5"/>
  <c r="M53" i="5"/>
  <c r="AA3" i="1"/>
  <c r="AB3" i="1" s="1"/>
  <c r="AA236" i="1"/>
  <c r="AB236" i="1" s="1"/>
  <c r="AA27" i="1"/>
  <c r="AB27" i="1" s="1"/>
  <c r="AA4" i="1"/>
  <c r="AB4" i="1" s="1"/>
  <c r="AA18" i="1"/>
  <c r="AB18" i="1" s="1"/>
  <c r="AA22" i="1"/>
  <c r="AB22" i="1" s="1"/>
  <c r="AA10" i="1"/>
  <c r="AB10" i="1" s="1"/>
  <c r="AA12" i="1"/>
  <c r="AB12" i="1" s="1"/>
  <c r="AA55" i="1"/>
  <c r="AB55" i="1" s="1"/>
  <c r="AA228" i="1"/>
  <c r="AB228" i="1" s="1"/>
  <c r="AA19" i="1"/>
  <c r="AB19" i="1" s="1"/>
  <c r="AA20" i="1"/>
  <c r="AB20" i="1" s="1"/>
  <c r="AA23" i="1"/>
  <c r="AB23" i="1" s="1"/>
  <c r="AA37" i="1"/>
  <c r="AB37" i="1" s="1"/>
  <c r="AA24" i="1"/>
  <c r="AB24" i="1" s="1"/>
  <c r="AA31" i="1"/>
  <c r="AB31" i="1" s="1"/>
  <c r="AA169" i="1"/>
  <c r="AB169" i="1" s="1"/>
  <c r="AA7" i="1"/>
  <c r="AB7" i="1" s="1"/>
  <c r="AA5" i="1"/>
  <c r="AB5" i="1" s="1"/>
  <c r="AA219" i="1"/>
  <c r="AB219" i="1" s="1"/>
  <c r="AA66" i="1"/>
  <c r="AB66" i="1" s="1"/>
  <c r="AA11" i="1"/>
  <c r="AB11" i="1" s="1"/>
  <c r="AA212" i="1"/>
  <c r="AB212" i="1" s="1"/>
  <c r="AA25" i="1"/>
  <c r="AB25" i="1" s="1"/>
  <c r="AA56" i="1"/>
  <c r="AB56" i="1" s="1"/>
  <c r="AA17" i="1"/>
  <c r="AB17" i="1" s="1"/>
  <c r="AA15" i="1"/>
  <c r="AB15" i="1" s="1"/>
  <c r="AA227" i="1"/>
  <c r="AB227" i="1" s="1"/>
  <c r="AA21" i="1"/>
  <c r="AB21" i="1" s="1"/>
  <c r="AA28" i="1"/>
  <c r="AB28" i="1" s="1"/>
  <c r="AA131" i="1"/>
  <c r="AB131" i="1" s="1"/>
  <c r="AA65" i="1"/>
  <c r="AB65" i="1" s="1"/>
  <c r="AA74" i="1"/>
  <c r="AB74" i="1" s="1"/>
  <c r="AA29" i="1"/>
  <c r="AB29" i="1" s="1"/>
  <c r="AA211" i="1"/>
  <c r="AB211" i="1" s="1"/>
  <c r="AA14" i="1"/>
  <c r="AB14" i="1" s="1"/>
  <c r="AA88" i="1"/>
  <c r="AB88" i="1" s="1"/>
  <c r="AA38" i="1"/>
  <c r="AB38" i="1" s="1"/>
  <c r="AA26" i="1"/>
  <c r="AB26" i="1" s="1"/>
  <c r="AA53" i="1"/>
  <c r="AB53" i="1" s="1"/>
  <c r="AA229" i="1"/>
  <c r="AB229" i="1" s="1"/>
  <c r="AA58" i="1"/>
  <c r="AB58" i="1" s="1"/>
  <c r="AA140" i="1"/>
  <c r="AB140" i="1" s="1"/>
  <c r="AA97" i="1"/>
  <c r="AB97" i="1" s="1"/>
  <c r="AA35" i="1"/>
  <c r="AB35" i="1" s="1"/>
  <c r="AA68" i="1"/>
  <c r="AB68" i="1" s="1"/>
  <c r="AA60" i="1"/>
  <c r="AB60" i="1" s="1"/>
  <c r="AA221" i="1"/>
  <c r="AB221" i="1" s="1"/>
  <c r="AA39" i="1"/>
  <c r="AB39" i="1" s="1"/>
  <c r="AA6" i="1"/>
  <c r="AB6" i="1" s="1"/>
  <c r="AA49" i="1"/>
  <c r="AB49" i="1" s="1"/>
  <c r="AA210" i="1"/>
  <c r="AB210" i="1" s="1"/>
  <c r="AA85" i="1"/>
  <c r="AB85" i="1" s="1"/>
  <c r="AA176" i="1"/>
  <c r="AB176" i="1" s="1"/>
  <c r="AA33" i="1"/>
  <c r="AB33" i="1" s="1"/>
  <c r="AA103" i="1"/>
  <c r="AB103" i="1" s="1"/>
  <c r="AA36" i="1"/>
  <c r="AB36" i="1" s="1"/>
  <c r="AA194" i="1"/>
  <c r="AB194" i="1" s="1"/>
  <c r="AA205" i="1"/>
  <c r="AB205" i="1" s="1"/>
  <c r="AA32" i="1"/>
  <c r="AB32" i="1" s="1"/>
  <c r="AA67" i="1"/>
  <c r="AB67" i="1" s="1"/>
  <c r="AA9" i="1"/>
  <c r="AB9" i="1" s="1"/>
  <c r="AA50" i="1"/>
  <c r="AB50" i="1" s="1"/>
  <c r="AA155" i="1"/>
  <c r="AB155" i="1" s="1"/>
  <c r="AA172" i="1"/>
  <c r="AB172" i="1" s="1"/>
  <c r="AA203" i="1"/>
  <c r="AB203" i="1" s="1"/>
  <c r="AA92" i="1"/>
  <c r="AB92" i="1" s="1"/>
  <c r="AA81" i="1"/>
  <c r="AB81" i="1" s="1"/>
  <c r="AA182" i="1"/>
  <c r="AB182" i="1" s="1"/>
  <c r="AA147" i="1"/>
  <c r="AB147" i="1" s="1"/>
  <c r="AA16" i="1"/>
  <c r="AB16" i="1" s="1"/>
  <c r="AA89" i="1"/>
  <c r="AB89" i="1" s="1"/>
  <c r="AA198" i="1"/>
  <c r="AB198" i="1" s="1"/>
  <c r="AA44" i="1"/>
  <c r="AB44" i="1" s="1"/>
  <c r="AA78" i="1"/>
  <c r="AB78" i="1" s="1"/>
  <c r="AA45" i="1"/>
  <c r="AB45" i="1" s="1"/>
  <c r="AA106" i="1"/>
  <c r="AB106" i="1" s="1"/>
  <c r="AA213" i="1"/>
  <c r="AB213" i="1" s="1"/>
  <c r="AA30" i="1"/>
  <c r="AB30" i="1" s="1"/>
  <c r="AA47" i="1"/>
  <c r="AB47" i="1" s="1"/>
  <c r="AA196" i="1"/>
  <c r="AB196" i="1" s="1"/>
  <c r="AA82" i="1"/>
  <c r="AB82" i="1" s="1"/>
  <c r="AA61" i="1"/>
  <c r="AB61" i="1" s="1"/>
  <c r="AA76" i="1"/>
  <c r="AB76" i="1" s="1"/>
  <c r="AA73" i="1"/>
  <c r="AB73" i="1" s="1"/>
  <c r="AA84" i="1"/>
  <c r="AB84" i="1" s="1"/>
  <c r="AA161" i="1"/>
  <c r="AB161" i="1" s="1"/>
  <c r="AA8" i="1"/>
  <c r="AB8" i="1" s="1"/>
  <c r="AA127" i="1"/>
  <c r="AB127" i="1" s="1"/>
  <c r="AA42" i="1"/>
  <c r="AB42" i="1" s="1"/>
  <c r="AA105" i="1"/>
  <c r="AB105" i="1" s="1"/>
  <c r="AA70" i="1"/>
  <c r="AB70" i="1" s="1"/>
  <c r="AA62" i="1"/>
  <c r="AB62" i="1" s="1"/>
  <c r="AA217" i="1"/>
  <c r="AB217" i="1" s="1"/>
  <c r="AA64" i="1"/>
  <c r="AB64" i="1" s="1"/>
  <c r="AA146" i="1"/>
  <c r="AB146" i="1" s="1"/>
  <c r="AA185" i="1"/>
  <c r="AB185" i="1" s="1"/>
  <c r="AA63" i="1"/>
  <c r="AB63" i="1" s="1"/>
  <c r="AA122" i="1"/>
  <c r="AB122" i="1" s="1"/>
  <c r="AA46" i="1"/>
  <c r="AB46" i="1" s="1"/>
  <c r="AA99" i="1"/>
  <c r="AB99" i="1" s="1"/>
  <c r="AA119" i="1"/>
  <c r="AB119" i="1" s="1"/>
  <c r="AA117" i="1"/>
  <c r="AB117" i="1" s="1"/>
  <c r="AA48" i="1"/>
  <c r="AB48" i="1" s="1"/>
  <c r="AA57" i="1"/>
  <c r="AB57" i="1" s="1"/>
  <c r="AA83" i="1"/>
  <c r="AB83" i="1" s="1"/>
  <c r="AA159" i="1"/>
  <c r="AB159" i="1" s="1"/>
  <c r="AA91" i="1"/>
  <c r="AB91" i="1" s="1"/>
  <c r="AA187" i="1"/>
  <c r="AB187" i="1" s="1"/>
  <c r="AA75" i="1"/>
  <c r="AB75" i="1" s="1"/>
  <c r="AA101" i="1"/>
  <c r="AB101" i="1" s="1"/>
  <c r="AA123" i="1"/>
  <c r="AB123" i="1" s="1"/>
  <c r="AA71" i="1"/>
  <c r="AB71" i="1" s="1"/>
  <c r="AA79" i="1"/>
  <c r="AB79" i="1" s="1"/>
  <c r="AA90" i="1"/>
  <c r="AB90" i="1" s="1"/>
  <c r="AA87" i="1"/>
  <c r="AB87" i="1" s="1"/>
  <c r="AA80" i="1"/>
  <c r="AB80" i="1" s="1"/>
  <c r="AA54" i="1"/>
  <c r="AB54" i="1" s="1"/>
  <c r="AA93" i="1"/>
  <c r="AB93" i="1" s="1"/>
  <c r="AA175" i="1"/>
  <c r="AB175" i="1" s="1"/>
  <c r="AA86" i="1"/>
  <c r="AB86" i="1" s="1"/>
  <c r="AA96" i="1"/>
  <c r="AB96" i="1" s="1"/>
  <c r="AA43" i="1"/>
  <c r="AB43" i="1" s="1"/>
  <c r="AA94" i="1"/>
  <c r="AB94" i="1" s="1"/>
  <c r="AA181" i="1"/>
  <c r="AB181" i="1" s="1"/>
  <c r="AA120" i="1"/>
  <c r="AB120" i="1" s="1"/>
  <c r="AA208" i="1"/>
  <c r="AB208" i="1" s="1"/>
  <c r="AA184" i="1"/>
  <c r="AB184" i="1" s="1"/>
  <c r="AA195" i="1"/>
  <c r="AB195" i="1" s="1"/>
  <c r="AA138" i="1"/>
  <c r="AB138" i="1" s="1"/>
  <c r="AA139" i="1"/>
  <c r="AB139" i="1" s="1"/>
  <c r="AA133" i="1"/>
  <c r="AB133" i="1" s="1"/>
  <c r="AA52" i="1"/>
  <c r="AB52" i="1" s="1"/>
  <c r="AA206" i="1"/>
  <c r="AB206" i="1" s="1"/>
  <c r="AA124" i="1"/>
  <c r="AB124" i="1" s="1"/>
  <c r="AA77" i="1"/>
  <c r="AB77" i="1" s="1"/>
  <c r="AA145" i="1"/>
  <c r="AB145" i="1" s="1"/>
  <c r="AA165" i="1"/>
  <c r="AB165" i="1" s="1"/>
  <c r="AA142" i="1"/>
  <c r="AB142" i="1" s="1"/>
  <c r="AA128" i="1"/>
  <c r="AB128" i="1" s="1"/>
  <c r="AA132" i="1"/>
  <c r="AB132" i="1" s="1"/>
  <c r="AA136" i="1"/>
  <c r="AB136" i="1" s="1"/>
  <c r="AA113" i="1"/>
  <c r="AB113" i="1" s="1"/>
  <c r="AA186" i="1"/>
  <c r="AB186" i="1" s="1"/>
  <c r="AA149" i="1"/>
  <c r="AB149" i="1" s="1"/>
  <c r="AA51" i="1"/>
  <c r="AB51" i="1" s="1"/>
  <c r="AA59" i="1"/>
  <c r="AB59" i="1" s="1"/>
  <c r="AA69" i="1"/>
  <c r="AB69" i="1" s="1"/>
  <c r="AA95" i="1"/>
  <c r="AB95" i="1" s="1"/>
  <c r="AA98" i="1"/>
  <c r="AB98" i="1" s="1"/>
  <c r="AA102" i="1"/>
  <c r="AB102" i="1" s="1"/>
  <c r="AA104" i="1"/>
  <c r="AB104" i="1" s="1"/>
  <c r="AA107" i="1"/>
  <c r="AB107" i="1" s="1"/>
  <c r="AA108" i="1"/>
  <c r="AB108" i="1" s="1"/>
  <c r="AA109" i="1"/>
  <c r="AB109" i="1" s="1"/>
  <c r="AA110" i="1"/>
  <c r="AB110" i="1" s="1"/>
  <c r="AA111" i="1"/>
  <c r="AB111" i="1" s="1"/>
  <c r="AA112" i="1"/>
  <c r="AB112" i="1" s="1"/>
  <c r="AA114" i="1"/>
  <c r="AB114" i="1" s="1"/>
  <c r="AA115" i="1"/>
  <c r="AB115" i="1" s="1"/>
  <c r="AA116" i="1"/>
  <c r="AB116" i="1" s="1"/>
  <c r="AA118" i="1"/>
  <c r="AB118" i="1" s="1"/>
  <c r="AA121" i="1"/>
  <c r="AB121" i="1" s="1"/>
  <c r="AA125" i="1"/>
  <c r="AB125" i="1" s="1"/>
  <c r="AA130" i="1"/>
  <c r="AB130" i="1" s="1"/>
  <c r="AA129" i="1"/>
  <c r="AB129" i="1" s="1"/>
  <c r="AA135" i="1"/>
  <c r="AB135" i="1" s="1"/>
  <c r="AA137" i="1"/>
  <c r="AB137" i="1" s="1"/>
  <c r="AA141" i="1"/>
  <c r="AB141" i="1" s="1"/>
  <c r="AA143" i="1"/>
  <c r="AB143" i="1" s="1"/>
  <c r="AA144" i="1"/>
  <c r="AB144" i="1" s="1"/>
  <c r="AA148" i="1"/>
  <c r="AB148" i="1" s="1"/>
  <c r="AA151" i="1"/>
  <c r="AB151" i="1" s="1"/>
  <c r="AA152" i="1"/>
  <c r="AB152" i="1" s="1"/>
  <c r="AA153" i="1"/>
  <c r="AB153" i="1" s="1"/>
  <c r="AA154" i="1"/>
  <c r="AB154" i="1" s="1"/>
  <c r="AA157" i="1"/>
  <c r="AB157" i="1" s="1"/>
  <c r="AA158" i="1"/>
  <c r="AB158" i="1" s="1"/>
  <c r="AA160" i="1"/>
  <c r="AB160" i="1" s="1"/>
  <c r="AA166" i="1"/>
  <c r="AB166" i="1" s="1"/>
  <c r="AA171" i="1"/>
  <c r="AB171" i="1" s="1"/>
  <c r="AA173" i="1"/>
  <c r="AB173" i="1" s="1"/>
  <c r="AA174" i="1"/>
  <c r="AB174" i="1" s="1"/>
  <c r="AA177" i="1"/>
  <c r="AB177" i="1" s="1"/>
  <c r="AA180" i="1"/>
  <c r="AB180" i="1" s="1"/>
  <c r="AA179" i="1"/>
  <c r="AB179" i="1" s="1"/>
  <c r="AA183" i="1"/>
  <c r="AB183" i="1" s="1"/>
  <c r="AA189" i="1"/>
  <c r="AB189" i="1" s="1"/>
  <c r="AA190" i="1"/>
  <c r="AB190" i="1" s="1"/>
  <c r="AA192" i="1"/>
  <c r="AB192" i="1" s="1"/>
  <c r="AA193" i="1"/>
  <c r="AB193" i="1" s="1"/>
  <c r="AA199" i="1"/>
  <c r="AB199" i="1" s="1"/>
  <c r="AA202" i="1"/>
  <c r="AB202" i="1" s="1"/>
  <c r="AA204" i="1"/>
  <c r="AB204" i="1" s="1"/>
  <c r="AA207" i="1"/>
  <c r="AB207" i="1" s="1"/>
  <c r="AA209" i="1"/>
  <c r="AB209" i="1" s="1"/>
  <c r="AA215" i="1"/>
  <c r="AB215" i="1" s="1"/>
  <c r="AA216" i="1"/>
  <c r="AB216" i="1" s="1"/>
  <c r="AA230" i="1"/>
  <c r="AB230" i="1" s="1"/>
  <c r="AA225" i="1"/>
  <c r="AB225" i="1" s="1"/>
  <c r="AA191" i="1"/>
  <c r="AB191" i="1" s="1"/>
  <c r="AA226" i="1"/>
  <c r="AB226" i="1" s="1"/>
  <c r="AA167" i="1"/>
  <c r="AB167" i="1" s="1"/>
  <c r="AA201" i="1"/>
  <c r="AB201" i="1" s="1"/>
  <c r="AA162" i="1"/>
  <c r="AB162" i="1" s="1"/>
  <c r="AA214" i="1"/>
  <c r="AB214" i="1" s="1"/>
  <c r="AA232" i="1"/>
  <c r="AB232" i="1" s="1"/>
  <c r="AA188" i="1"/>
  <c r="AB188" i="1" s="1"/>
  <c r="AA41" i="1"/>
  <c r="AB41" i="1" s="1"/>
  <c r="AA156" i="1"/>
  <c r="AB156" i="1" s="1"/>
  <c r="AA168" i="1"/>
  <c r="AB168" i="1" s="1"/>
  <c r="AA220" i="1"/>
  <c r="AB220" i="1" s="1"/>
  <c r="AA126" i="1"/>
  <c r="AB126" i="1" s="1"/>
  <c r="AA100" i="1"/>
  <c r="AB100" i="1" s="1"/>
  <c r="AA163" i="1"/>
  <c r="AB163" i="1" s="1"/>
  <c r="AA170" i="1"/>
  <c r="AB170" i="1" s="1"/>
  <c r="AA34" i="1"/>
  <c r="AB34" i="1" s="1"/>
  <c r="AA134" i="1"/>
  <c r="AB134" i="1" s="1"/>
  <c r="AA164" i="1"/>
  <c r="AB164" i="1" s="1"/>
  <c r="AA200" i="1"/>
  <c r="AB200" i="1" s="1"/>
  <c r="AA197" i="1"/>
  <c r="AB197" i="1" s="1"/>
  <c r="AA13" i="1"/>
  <c r="AB13" i="1" s="1"/>
  <c r="AA178" i="1"/>
  <c r="AB178" i="1" s="1"/>
  <c r="AA150" i="1"/>
  <c r="AB150" i="1" s="1"/>
  <c r="AA233" i="1"/>
  <c r="AB233" i="1" s="1"/>
  <c r="AA222" i="1"/>
  <c r="AB222" i="1" s="1"/>
  <c r="AA223" i="1"/>
  <c r="AB223" i="1" s="1"/>
  <c r="AA72" i="1"/>
  <c r="AB72" i="1" s="1"/>
  <c r="AA218" i="1"/>
  <c r="AB218" i="1" s="1"/>
  <c r="AA40" i="1"/>
  <c r="AB40" i="1" s="1"/>
  <c r="AA234" i="1"/>
  <c r="AB234" i="1" s="1"/>
  <c r="AA235" i="1"/>
  <c r="AB235" i="1" s="1"/>
  <c r="AA231" i="1"/>
  <c r="AB231" i="1" s="1"/>
  <c r="AA224" i="1"/>
  <c r="AB224" i="1" s="1"/>
  <c r="D117" i="3"/>
  <c r="H117" i="3"/>
  <c r="H240" i="1"/>
  <c r="D240" i="1"/>
  <c r="N4" i="2"/>
  <c r="N6" i="2"/>
  <c r="N32" i="2"/>
  <c r="N8" i="2"/>
  <c r="N26" i="2"/>
  <c r="N73" i="2"/>
  <c r="N7" i="2"/>
  <c r="N13" i="2"/>
  <c r="N16" i="2"/>
  <c r="N54" i="2"/>
  <c r="N5" i="2"/>
  <c r="N78" i="2"/>
  <c r="N111" i="2"/>
  <c r="N12" i="2"/>
  <c r="N18" i="2"/>
  <c r="N21" i="2"/>
  <c r="N9" i="2"/>
  <c r="N23" i="2"/>
  <c r="N90" i="2"/>
  <c r="N121" i="2"/>
  <c r="N45" i="2"/>
  <c r="N95" i="2"/>
  <c r="N14" i="2"/>
  <c r="N131" i="2"/>
  <c r="N87" i="2"/>
  <c r="N30" i="2"/>
  <c r="N25" i="2"/>
  <c r="N62" i="2"/>
  <c r="N22" i="2"/>
  <c r="N126" i="2"/>
  <c r="N27" i="2"/>
  <c r="N34" i="2"/>
  <c r="N56" i="2"/>
  <c r="N24" i="2"/>
  <c r="N42" i="2"/>
  <c r="N10" i="2"/>
  <c r="N36" i="2"/>
  <c r="N70" i="2"/>
  <c r="N63" i="2"/>
  <c r="N38" i="2"/>
  <c r="N28" i="2"/>
  <c r="N40" i="2"/>
  <c r="N53" i="2"/>
  <c r="N31" i="2"/>
  <c r="N44" i="2"/>
  <c r="N122" i="2"/>
  <c r="N79" i="2"/>
  <c r="N128" i="2"/>
  <c r="N130" i="2"/>
  <c r="N39" i="2"/>
  <c r="N58" i="2"/>
  <c r="N92" i="2"/>
  <c r="N29" i="2"/>
  <c r="N15" i="2"/>
  <c r="N108" i="2"/>
  <c r="N102" i="2"/>
  <c r="N68" i="2"/>
  <c r="N80" i="2"/>
  <c r="N41" i="2"/>
  <c r="N129" i="2"/>
  <c r="N69" i="2"/>
  <c r="N99" i="2"/>
  <c r="N47" i="2"/>
  <c r="N66" i="2"/>
  <c r="N65" i="2"/>
  <c r="N43" i="2"/>
  <c r="N82" i="2"/>
  <c r="N49" i="2"/>
  <c r="N71" i="2"/>
  <c r="N85" i="2"/>
  <c r="N88" i="2"/>
  <c r="N91" i="2"/>
  <c r="N107" i="2"/>
  <c r="N20" i="2"/>
  <c r="N50" i="2"/>
  <c r="N105" i="2"/>
  <c r="N67" i="2"/>
  <c r="N113" i="2"/>
  <c r="N81" i="2"/>
  <c r="N117" i="2"/>
  <c r="N100" i="2"/>
  <c r="N74" i="2"/>
  <c r="N51" i="2"/>
  <c r="N48" i="2"/>
  <c r="N96" i="2"/>
  <c r="N94" i="2"/>
  <c r="N77" i="2"/>
  <c r="N55" i="2"/>
  <c r="N98" i="2"/>
  <c r="N46" i="2"/>
  <c r="N59" i="2"/>
  <c r="N72" i="2"/>
  <c r="N119" i="2"/>
  <c r="N106" i="2"/>
  <c r="N103" i="2"/>
  <c r="N84" i="2"/>
  <c r="AG84" i="2" s="1"/>
  <c r="N75" i="2"/>
  <c r="AG75" i="2" s="1"/>
  <c r="N140" i="2"/>
  <c r="N141" i="2"/>
  <c r="N142" i="2"/>
  <c r="N137" i="2"/>
  <c r="N138" i="2"/>
  <c r="N134" i="2"/>
  <c r="AG134" i="2" s="1"/>
  <c r="N64" i="2"/>
  <c r="N136" i="2"/>
  <c r="N61" i="2"/>
  <c r="AG61" i="2" s="1"/>
  <c r="N11" i="2"/>
  <c r="N135" i="2"/>
  <c r="N83" i="2"/>
  <c r="N93" i="2"/>
  <c r="N115" i="2"/>
  <c r="N89" i="2"/>
  <c r="N33" i="2"/>
  <c r="N60" i="2"/>
  <c r="N76" i="2"/>
  <c r="N17" i="2"/>
  <c r="N104" i="2"/>
  <c r="N35" i="2"/>
  <c r="N118" i="2"/>
  <c r="N120" i="2"/>
  <c r="N109" i="2"/>
  <c r="N57" i="2"/>
  <c r="N97" i="2"/>
  <c r="N114" i="2"/>
  <c r="N101" i="2"/>
  <c r="N124" i="2"/>
  <c r="N37" i="2"/>
  <c r="N125" i="2"/>
  <c r="N86" i="2"/>
  <c r="N110" i="2"/>
  <c r="N123" i="2"/>
  <c r="N112" i="2"/>
  <c r="N116" i="2"/>
  <c r="N52" i="2"/>
  <c r="N132" i="2"/>
  <c r="N127" i="2"/>
  <c r="N3" i="2"/>
  <c r="N133" i="2"/>
  <c r="N139" i="2"/>
  <c r="N19" i="2"/>
  <c r="N3" i="1"/>
  <c r="N236" i="1"/>
  <c r="N27" i="1"/>
  <c r="N4" i="1"/>
  <c r="N18" i="1"/>
  <c r="N22" i="1"/>
  <c r="N10" i="1"/>
  <c r="N12" i="1"/>
  <c r="N55" i="1"/>
  <c r="N228" i="1"/>
  <c r="N19" i="1"/>
  <c r="N20" i="1"/>
  <c r="N23" i="1"/>
  <c r="N37" i="1"/>
  <c r="N24" i="1"/>
  <c r="N31" i="1"/>
  <c r="N169" i="1"/>
  <c r="N7" i="1"/>
  <c r="N5" i="1"/>
  <c r="N219" i="1"/>
  <c r="N66" i="1"/>
  <c r="N11" i="1"/>
  <c r="N212" i="1"/>
  <c r="N25" i="1"/>
  <c r="N56" i="1"/>
  <c r="N17" i="1"/>
  <c r="N15" i="1"/>
  <c r="N227" i="1"/>
  <c r="N21" i="1"/>
  <c r="N28" i="1"/>
  <c r="N131" i="1"/>
  <c r="N65" i="1"/>
  <c r="N74" i="1"/>
  <c r="N29" i="1"/>
  <c r="N211" i="1"/>
  <c r="N14" i="1"/>
  <c r="N88" i="1"/>
  <c r="N38" i="1"/>
  <c r="N26" i="1"/>
  <c r="N53" i="1"/>
  <c r="N229" i="1"/>
  <c r="N58" i="1"/>
  <c r="N140" i="1"/>
  <c r="N97" i="1"/>
  <c r="N35" i="1"/>
  <c r="N68" i="1"/>
  <c r="N60" i="1"/>
  <c r="N221" i="1"/>
  <c r="N39" i="1"/>
  <c r="N6" i="1"/>
  <c r="N49" i="1"/>
  <c r="N210" i="1"/>
  <c r="N85" i="1"/>
  <c r="N176" i="1"/>
  <c r="N33" i="1"/>
  <c r="N103" i="1"/>
  <c r="N36" i="1"/>
  <c r="N194" i="1"/>
  <c r="N205" i="1"/>
  <c r="N32" i="1"/>
  <c r="N67" i="1"/>
  <c r="N9" i="1"/>
  <c r="N50" i="1"/>
  <c r="N155" i="1"/>
  <c r="N172" i="1"/>
  <c r="N203" i="1"/>
  <c r="N92" i="1"/>
  <c r="N81" i="1"/>
  <c r="N182" i="1"/>
  <c r="N147" i="1"/>
  <c r="N16" i="1"/>
  <c r="N89" i="1"/>
  <c r="N198" i="1"/>
  <c r="N44" i="1"/>
  <c r="N78" i="1"/>
  <c r="N45" i="1"/>
  <c r="N106" i="1"/>
  <c r="N213" i="1"/>
  <c r="N30" i="1"/>
  <c r="N47" i="1"/>
  <c r="N196" i="1"/>
  <c r="N82" i="1"/>
  <c r="N61" i="1"/>
  <c r="N76" i="1"/>
  <c r="N73" i="1"/>
  <c r="N84" i="1"/>
  <c r="N161" i="1"/>
  <c r="N8" i="1"/>
  <c r="N127" i="1"/>
  <c r="N42" i="1"/>
  <c r="N105" i="1"/>
  <c r="N70" i="1"/>
  <c r="N62" i="1"/>
  <c r="N217" i="1"/>
  <c r="N64" i="1"/>
  <c r="N146" i="1"/>
  <c r="N185" i="1"/>
  <c r="N63" i="1"/>
  <c r="N122" i="1"/>
  <c r="N46" i="1"/>
  <c r="N99" i="1"/>
  <c r="N119" i="1"/>
  <c r="N117" i="1"/>
  <c r="N48" i="1"/>
  <c r="N57" i="1"/>
  <c r="N83" i="1"/>
  <c r="N159" i="1"/>
  <c r="N91" i="1"/>
  <c r="N187" i="1"/>
  <c r="N75" i="1"/>
  <c r="N101" i="1"/>
  <c r="N123" i="1"/>
  <c r="N71" i="1"/>
  <c r="N79" i="1"/>
  <c r="N90" i="1"/>
  <c r="N87" i="1"/>
  <c r="N80" i="1"/>
  <c r="N54" i="1"/>
  <c r="N93" i="1"/>
  <c r="N175" i="1"/>
  <c r="N86" i="1"/>
  <c r="N96" i="1"/>
  <c r="N43" i="1"/>
  <c r="N94" i="1"/>
  <c r="N181" i="1"/>
  <c r="N120" i="1"/>
  <c r="N208" i="1"/>
  <c r="N184" i="1"/>
  <c r="N195" i="1"/>
  <c r="N138" i="1"/>
  <c r="N139" i="1"/>
  <c r="N133" i="1"/>
  <c r="N52" i="1"/>
  <c r="N206" i="1"/>
  <c r="N124" i="1"/>
  <c r="N77" i="1"/>
  <c r="N145" i="1"/>
  <c r="N165" i="1"/>
  <c r="N142" i="1"/>
  <c r="N128" i="1"/>
  <c r="N132" i="1"/>
  <c r="N136" i="1"/>
  <c r="N113" i="1"/>
  <c r="N186" i="1"/>
  <c r="N149" i="1"/>
  <c r="N51" i="1"/>
  <c r="N59" i="1"/>
  <c r="N69" i="1"/>
  <c r="N95" i="1"/>
  <c r="N98" i="1"/>
  <c r="N102" i="1"/>
  <c r="N104" i="1"/>
  <c r="N107" i="1"/>
  <c r="N108" i="1"/>
  <c r="N109" i="1"/>
  <c r="N110" i="1"/>
  <c r="N111" i="1"/>
  <c r="N112" i="1"/>
  <c r="N114" i="1"/>
  <c r="N115" i="1"/>
  <c r="N116" i="1"/>
  <c r="N118" i="1"/>
  <c r="N121" i="1"/>
  <c r="N125" i="1"/>
  <c r="N130" i="1"/>
  <c r="N129" i="1"/>
  <c r="N135" i="1"/>
  <c r="N137" i="1"/>
  <c r="N141" i="1"/>
  <c r="N143" i="1"/>
  <c r="N144" i="1"/>
  <c r="N148" i="1"/>
  <c r="N151" i="1"/>
  <c r="N152" i="1"/>
  <c r="N153" i="1"/>
  <c r="N154" i="1"/>
  <c r="N157" i="1"/>
  <c r="N158" i="1"/>
  <c r="N160" i="1"/>
  <c r="N166" i="1"/>
  <c r="N171" i="1"/>
  <c r="N173" i="1"/>
  <c r="N174" i="1"/>
  <c r="N177" i="1"/>
  <c r="N180" i="1"/>
  <c r="N179" i="1"/>
  <c r="N183" i="1"/>
  <c r="N189" i="1"/>
  <c r="N190" i="1"/>
  <c r="N192" i="1"/>
  <c r="N193" i="1"/>
  <c r="N199" i="1"/>
  <c r="N202" i="1"/>
  <c r="N204" i="1"/>
  <c r="N207" i="1"/>
  <c r="N209" i="1"/>
  <c r="N215" i="1"/>
  <c r="N216" i="1"/>
  <c r="N230" i="1"/>
  <c r="N225" i="1"/>
  <c r="N191" i="1"/>
  <c r="N226" i="1"/>
  <c r="N167" i="1"/>
  <c r="N201" i="1"/>
  <c r="N162" i="1"/>
  <c r="N214" i="1"/>
  <c r="N232" i="1"/>
  <c r="N188" i="1"/>
  <c r="N41" i="1"/>
  <c r="N156" i="1"/>
  <c r="N168" i="1"/>
  <c r="N220" i="1"/>
  <c r="N126" i="1"/>
  <c r="N100" i="1"/>
  <c r="N163" i="1"/>
  <c r="N170" i="1"/>
  <c r="N34" i="1"/>
  <c r="N134" i="1"/>
  <c r="N164" i="1"/>
  <c r="N200" i="1"/>
  <c r="N197" i="1"/>
  <c r="N13" i="1"/>
  <c r="N178" i="1"/>
  <c r="N150" i="1"/>
  <c r="N233" i="1"/>
  <c r="N222" i="1"/>
  <c r="N223" i="1"/>
  <c r="N72" i="1"/>
  <c r="N218" i="1"/>
  <c r="N40" i="1"/>
  <c r="N234" i="1"/>
  <c r="N235" i="1"/>
  <c r="N231" i="1"/>
  <c r="N224" i="1"/>
  <c r="I224" i="1"/>
  <c r="I3" i="1"/>
  <c r="AH131" i="2"/>
  <c r="AI131" i="2"/>
  <c r="AH87" i="2"/>
  <c r="AI87" i="2"/>
  <c r="AH30" i="2"/>
  <c r="AI30" i="2"/>
  <c r="AH25" i="2"/>
  <c r="AI25" i="2"/>
  <c r="AH62" i="2"/>
  <c r="AI62" i="2"/>
  <c r="AH22" i="2"/>
  <c r="AI22" i="2"/>
  <c r="AH126" i="2"/>
  <c r="AI126" i="2"/>
  <c r="AH27" i="2"/>
  <c r="AI27" i="2"/>
  <c r="AH34" i="2"/>
  <c r="AI34" i="2"/>
  <c r="AH56" i="2"/>
  <c r="AI56" i="2"/>
  <c r="AH24" i="2"/>
  <c r="AI24" i="2"/>
  <c r="AH42" i="2"/>
  <c r="AI42" i="2"/>
  <c r="AH10" i="2"/>
  <c r="AI10" i="2"/>
  <c r="AH36" i="2"/>
  <c r="AI36" i="2"/>
  <c r="AH70" i="2"/>
  <c r="AI70" i="2"/>
  <c r="AH63" i="2"/>
  <c r="AI63" i="2"/>
  <c r="AH38" i="2"/>
  <c r="AI38" i="2"/>
  <c r="AH28" i="2"/>
  <c r="AI28" i="2"/>
  <c r="AH40" i="2"/>
  <c r="AI40" i="2"/>
  <c r="AH53" i="2"/>
  <c r="AI53" i="2"/>
  <c r="AH31" i="2"/>
  <c r="AI31" i="2"/>
  <c r="AH44" i="2"/>
  <c r="AI44" i="2"/>
  <c r="AH122" i="2"/>
  <c r="AI122" i="2"/>
  <c r="AH79" i="2"/>
  <c r="AI79" i="2"/>
  <c r="AH128" i="2"/>
  <c r="AI128" i="2"/>
  <c r="AH130" i="2"/>
  <c r="AI130" i="2"/>
  <c r="AH39" i="2"/>
  <c r="AI39" i="2"/>
  <c r="AH58" i="2"/>
  <c r="AI58" i="2"/>
  <c r="AH92" i="2"/>
  <c r="AI92" i="2"/>
  <c r="AH29" i="2"/>
  <c r="AI29" i="2"/>
  <c r="AH15" i="2"/>
  <c r="AI15" i="2"/>
  <c r="AH108" i="2"/>
  <c r="AI108" i="2"/>
  <c r="AH102" i="2"/>
  <c r="AI102" i="2"/>
  <c r="AH68" i="2"/>
  <c r="AI68" i="2"/>
  <c r="AH80" i="2"/>
  <c r="AI80" i="2"/>
  <c r="AH41" i="2"/>
  <c r="AI41" i="2"/>
  <c r="AH129" i="2"/>
  <c r="AI129" i="2"/>
  <c r="AH69" i="2"/>
  <c r="AI69" i="2"/>
  <c r="AH99" i="2"/>
  <c r="AI99" i="2"/>
  <c r="AH47" i="2"/>
  <c r="AI47" i="2"/>
  <c r="AH66" i="2"/>
  <c r="AI66" i="2"/>
  <c r="AH65" i="2"/>
  <c r="AI65" i="2"/>
  <c r="AH43" i="2"/>
  <c r="AI43" i="2"/>
  <c r="AH82" i="2"/>
  <c r="AI82" i="2"/>
  <c r="AH49" i="2"/>
  <c r="AI49" i="2"/>
  <c r="AH71" i="2"/>
  <c r="AI71" i="2"/>
  <c r="AH85" i="2"/>
  <c r="AI85" i="2"/>
  <c r="AH88" i="2"/>
  <c r="AI88" i="2"/>
  <c r="AH91" i="2"/>
  <c r="AI91" i="2"/>
  <c r="AH107" i="2"/>
  <c r="AI107" i="2"/>
  <c r="AH20" i="2"/>
  <c r="AI20" i="2"/>
  <c r="AH50" i="2"/>
  <c r="AI50" i="2"/>
  <c r="AH105" i="2"/>
  <c r="AI105" i="2"/>
  <c r="AH67" i="2"/>
  <c r="AI67" i="2"/>
  <c r="AH113" i="2"/>
  <c r="AI113" i="2"/>
  <c r="AH81" i="2"/>
  <c r="AI81" i="2"/>
  <c r="AH117" i="2"/>
  <c r="AI117" i="2"/>
  <c r="AH100" i="2"/>
  <c r="AI100" i="2"/>
  <c r="AH74" i="2"/>
  <c r="AI74" i="2"/>
  <c r="AH51" i="2"/>
  <c r="AI51" i="2"/>
  <c r="AH48" i="2"/>
  <c r="AI48" i="2"/>
  <c r="AH96" i="2"/>
  <c r="AI96" i="2"/>
  <c r="AH94" i="2"/>
  <c r="AI94" i="2"/>
  <c r="AH77" i="2"/>
  <c r="AI77" i="2"/>
  <c r="AH55" i="2"/>
  <c r="AI55" i="2"/>
  <c r="AH98" i="2"/>
  <c r="AI98" i="2"/>
  <c r="AH46" i="2"/>
  <c r="AI46" i="2"/>
  <c r="AH59" i="2"/>
  <c r="AI59" i="2"/>
  <c r="AH72" i="2"/>
  <c r="AI72" i="2"/>
  <c r="AH119" i="2"/>
  <c r="AI119" i="2"/>
  <c r="AH106" i="2"/>
  <c r="AI106" i="2"/>
  <c r="AH103" i="2"/>
  <c r="AI103" i="2"/>
  <c r="AH84" i="2"/>
  <c r="AI84" i="2"/>
  <c r="AH75" i="2"/>
  <c r="AI75" i="2"/>
  <c r="AH140" i="2"/>
  <c r="AI140" i="2"/>
  <c r="AH141" i="2"/>
  <c r="AI141" i="2"/>
  <c r="AH142" i="2"/>
  <c r="AI142" i="2"/>
  <c r="AH137" i="2"/>
  <c r="AI137" i="2"/>
  <c r="AH138" i="2"/>
  <c r="AI138" i="2"/>
  <c r="AH134" i="2"/>
  <c r="AI134" i="2"/>
  <c r="AH64" i="2"/>
  <c r="AI64" i="2"/>
  <c r="AH136" i="2"/>
  <c r="AI136" i="2"/>
  <c r="AH61" i="2"/>
  <c r="AI61" i="2"/>
  <c r="AH11" i="2"/>
  <c r="AI11" i="2"/>
  <c r="AH135" i="2"/>
  <c r="AI135" i="2"/>
  <c r="AH83" i="2"/>
  <c r="AI83" i="2"/>
  <c r="AH93" i="2"/>
  <c r="AI93" i="2"/>
  <c r="AH115" i="2"/>
  <c r="AI115" i="2"/>
  <c r="AH89" i="2"/>
  <c r="AI89" i="2"/>
  <c r="AH33" i="2"/>
  <c r="AI33" i="2"/>
  <c r="AH60" i="2"/>
  <c r="AI60" i="2"/>
  <c r="AH76" i="2"/>
  <c r="AI76" i="2"/>
  <c r="AH17" i="2"/>
  <c r="AI17" i="2"/>
  <c r="AH104" i="2"/>
  <c r="AI104" i="2"/>
  <c r="AH35" i="2"/>
  <c r="AI35" i="2"/>
  <c r="AH118" i="2"/>
  <c r="AI118" i="2"/>
  <c r="AH120" i="2"/>
  <c r="AI120" i="2"/>
  <c r="AH109" i="2"/>
  <c r="AI109" i="2"/>
  <c r="AH57" i="2"/>
  <c r="AI57" i="2"/>
  <c r="AH97" i="2"/>
  <c r="AI97" i="2"/>
  <c r="AH114" i="2"/>
  <c r="AI114" i="2"/>
  <c r="AH101" i="2"/>
  <c r="AI101" i="2"/>
  <c r="AH124" i="2"/>
  <c r="AI124" i="2"/>
  <c r="AH37" i="2"/>
  <c r="AI37" i="2"/>
  <c r="AH125" i="2"/>
  <c r="AI125" i="2"/>
  <c r="AH86" i="2"/>
  <c r="AI86" i="2"/>
  <c r="AH110" i="2"/>
  <c r="AI110" i="2"/>
  <c r="AH123" i="2"/>
  <c r="AI123" i="2"/>
  <c r="AH112" i="2"/>
  <c r="AI112" i="2"/>
  <c r="AH116" i="2"/>
  <c r="AI116" i="2"/>
  <c r="AH52" i="2"/>
  <c r="AI52" i="2"/>
  <c r="AH132" i="2"/>
  <c r="AI132" i="2"/>
  <c r="AH127" i="2"/>
  <c r="AI127" i="2"/>
  <c r="AH3" i="2"/>
  <c r="AI3" i="2"/>
  <c r="AH133" i="2"/>
  <c r="AI133" i="2"/>
  <c r="AH139" i="2"/>
  <c r="AI139" i="2"/>
  <c r="AH4" i="2"/>
  <c r="AI4" i="2"/>
  <c r="AH6" i="2"/>
  <c r="AI6" i="2"/>
  <c r="AH32" i="2"/>
  <c r="AI32" i="2"/>
  <c r="AH8" i="2"/>
  <c r="AI8" i="2"/>
  <c r="AH26" i="2"/>
  <c r="AI26" i="2"/>
  <c r="AH73" i="2"/>
  <c r="AI73" i="2"/>
  <c r="AH7" i="2"/>
  <c r="AI7" i="2"/>
  <c r="AH13" i="2"/>
  <c r="AI13" i="2"/>
  <c r="AH16" i="2"/>
  <c r="AI16" i="2"/>
  <c r="AH54" i="2"/>
  <c r="AI54" i="2"/>
  <c r="AH5" i="2"/>
  <c r="AI5" i="2"/>
  <c r="AH78" i="2"/>
  <c r="AI78" i="2"/>
  <c r="AH111" i="2"/>
  <c r="AI111" i="2"/>
  <c r="AH12" i="2"/>
  <c r="AI12" i="2"/>
  <c r="AH18" i="2"/>
  <c r="AI18" i="2"/>
  <c r="AH21" i="2"/>
  <c r="AI21" i="2"/>
  <c r="AH9" i="2"/>
  <c r="AI9" i="2"/>
  <c r="AH23" i="2"/>
  <c r="AI23" i="2"/>
  <c r="AH90" i="2"/>
  <c r="AI90" i="2"/>
  <c r="AH121" i="2"/>
  <c r="AI121" i="2"/>
  <c r="AH45" i="2"/>
  <c r="AI45" i="2"/>
  <c r="AH95" i="2"/>
  <c r="AI95" i="2"/>
  <c r="AH14" i="2"/>
  <c r="AI14" i="2"/>
  <c r="AI19" i="2"/>
  <c r="AH19" i="2"/>
  <c r="AA425" i="9"/>
  <c r="N425" i="9"/>
  <c r="I2" i="5"/>
  <c r="E2" i="5"/>
  <c r="Z32" i="7"/>
  <c r="Z31" i="7"/>
  <c r="Z30" i="7"/>
  <c r="Z23" i="7"/>
  <c r="Z25" i="7"/>
  <c r="Z24" i="7"/>
  <c r="Z19" i="7"/>
  <c r="T240" i="1"/>
  <c r="Z12" i="7"/>
  <c r="Z5" i="7"/>
  <c r="AD240" i="1"/>
  <c r="I62" i="3"/>
  <c r="Q117" i="3"/>
  <c r="T146" i="2"/>
  <c r="Q240" i="1"/>
  <c r="AD243" i="1" s="1"/>
  <c r="Z40" i="7"/>
  <c r="AD117" i="3"/>
  <c r="AE117" i="3"/>
  <c r="C117" i="3"/>
  <c r="G117" i="3"/>
  <c r="C240" i="1"/>
  <c r="G240" i="1"/>
  <c r="G146" i="2"/>
  <c r="C146" i="2"/>
  <c r="I139" i="2"/>
  <c r="I92" i="2"/>
  <c r="I57" i="2"/>
  <c r="I90" i="2"/>
  <c r="I124" i="2"/>
  <c r="I69" i="2"/>
  <c r="I72" i="2"/>
  <c r="I35" i="2"/>
  <c r="I41" i="2"/>
  <c r="I33" i="2"/>
  <c r="I64" i="2"/>
  <c r="I106" i="2"/>
  <c r="I84" i="2"/>
  <c r="I134" i="2"/>
  <c r="I78" i="2"/>
  <c r="I135" i="2"/>
  <c r="I121" i="2"/>
  <c r="I141" i="2"/>
  <c r="I104" i="2"/>
  <c r="I142" i="2"/>
  <c r="I43" i="2"/>
  <c r="I75" i="2"/>
  <c r="I76" i="2"/>
  <c r="I137" i="2"/>
  <c r="I120" i="2"/>
  <c r="I116" i="2"/>
  <c r="I38" i="2"/>
  <c r="I40" i="2"/>
  <c r="I68" i="2"/>
  <c r="I101" i="2"/>
  <c r="I48" i="2"/>
  <c r="I27" i="2"/>
  <c r="I109" i="2"/>
  <c r="I10" i="2"/>
  <c r="I22" i="2"/>
  <c r="I93" i="2"/>
  <c r="I67" i="2"/>
  <c r="I70" i="2"/>
  <c r="I81" i="2"/>
  <c r="I114" i="2"/>
  <c r="I30" i="2"/>
  <c r="I61" i="2"/>
  <c r="I140" i="2"/>
  <c r="I50" i="2"/>
  <c r="I138" i="2"/>
  <c r="I56" i="2"/>
  <c r="I136" i="2"/>
  <c r="I83" i="2"/>
  <c r="I71" i="2"/>
  <c r="I74" i="2"/>
  <c r="I86" i="2"/>
  <c r="I60" i="2"/>
  <c r="I123" i="2"/>
  <c r="I31" i="2"/>
  <c r="I103" i="2"/>
  <c r="I79" i="2"/>
  <c r="I6" i="2"/>
  <c r="I14" i="2"/>
  <c r="I21" i="2"/>
  <c r="I107" i="2"/>
  <c r="I118" i="2"/>
  <c r="I125" i="2"/>
  <c r="I34" i="2"/>
  <c r="I18" i="2"/>
  <c r="I20" i="2"/>
  <c r="I5" i="2"/>
  <c r="I96" i="2"/>
  <c r="I47" i="2"/>
  <c r="I49" i="2"/>
  <c r="I11" i="2"/>
  <c r="I100" i="2"/>
  <c r="I42" i="2"/>
  <c r="I91" i="2"/>
  <c r="I127" i="2"/>
  <c r="I89" i="2"/>
  <c r="I28" i="2"/>
  <c r="I65" i="2"/>
  <c r="I132" i="2"/>
  <c r="I97" i="2"/>
  <c r="I8" i="2"/>
  <c r="I13" i="2"/>
  <c r="I122" i="2"/>
  <c r="I117" i="2"/>
  <c r="I29" i="2"/>
  <c r="I87" i="2"/>
  <c r="I24" i="2"/>
  <c r="I12" i="2"/>
  <c r="I110" i="2"/>
  <c r="I4" i="2"/>
  <c r="I32" i="2"/>
  <c r="I113" i="2"/>
  <c r="I111" i="2"/>
  <c r="I108" i="2"/>
  <c r="I95" i="2"/>
  <c r="L13" i="3"/>
  <c r="L28" i="3"/>
  <c r="L47" i="3"/>
  <c r="L141" i="1"/>
  <c r="L210" i="1"/>
  <c r="L191" i="1"/>
  <c r="L15" i="1"/>
  <c r="L14" i="1"/>
  <c r="E330" i="5"/>
  <c r="I330" i="5"/>
  <c r="J330" i="5" s="1"/>
  <c r="Z425" i="9"/>
  <c r="M425" i="9"/>
  <c r="W58" i="3"/>
  <c r="W76" i="3"/>
  <c r="W27" i="3"/>
  <c r="V58" i="3"/>
  <c r="V76" i="3"/>
  <c r="V27" i="3"/>
  <c r="P117" i="3"/>
  <c r="S117" i="3"/>
  <c r="X126" i="2"/>
  <c r="X131" i="2"/>
  <c r="X90" i="2"/>
  <c r="X78" i="2"/>
  <c r="X121" i="2"/>
  <c r="W126" i="2"/>
  <c r="W131" i="2"/>
  <c r="W90" i="2"/>
  <c r="W78" i="2"/>
  <c r="W121" i="2"/>
  <c r="Y105" i="1"/>
  <c r="X220" i="1"/>
  <c r="Y220" i="1"/>
  <c r="X211" i="1"/>
  <c r="Y211" i="1"/>
  <c r="X221" i="1"/>
  <c r="Y221" i="1"/>
  <c r="X85" i="1"/>
  <c r="Y85" i="1"/>
  <c r="X212" i="1"/>
  <c r="Y212" i="1"/>
  <c r="X182" i="1"/>
  <c r="Y182" i="1"/>
  <c r="X210" i="1"/>
  <c r="Y210" i="1"/>
  <c r="X92" i="1"/>
  <c r="Y92" i="1"/>
  <c r="P240" i="1"/>
  <c r="AF51" i="3"/>
  <c r="AF67" i="3"/>
  <c r="AF85" i="3"/>
  <c r="AF60" i="3"/>
  <c r="AF59" i="3"/>
  <c r="AF25" i="3"/>
  <c r="AF58" i="3"/>
  <c r="AF76" i="3"/>
  <c r="AF27" i="3"/>
  <c r="V25" i="3"/>
  <c r="W25" i="3"/>
  <c r="M25" i="3"/>
  <c r="M58" i="3"/>
  <c r="M76" i="3"/>
  <c r="M27" i="3"/>
  <c r="L25" i="3"/>
  <c r="AG25" i="3" s="1"/>
  <c r="L58" i="3"/>
  <c r="AG58" i="3" s="1"/>
  <c r="L76" i="3"/>
  <c r="AG76" i="3" s="1"/>
  <c r="L27" i="3"/>
  <c r="AG27" i="3" s="1"/>
  <c r="I25" i="3"/>
  <c r="I58" i="3"/>
  <c r="I76" i="3"/>
  <c r="I27" i="3"/>
  <c r="AF132" i="2"/>
  <c r="AF127" i="2"/>
  <c r="AF3" i="2"/>
  <c r="AF133" i="2"/>
  <c r="AF139" i="2"/>
  <c r="AF52" i="2"/>
  <c r="W23" i="2"/>
  <c r="X23" i="2"/>
  <c r="I23" i="2"/>
  <c r="I126" i="2"/>
  <c r="I131" i="2"/>
  <c r="AC240" i="1"/>
  <c r="AE105" i="1"/>
  <c r="AE220" i="1"/>
  <c r="AE211" i="1"/>
  <c r="AE221" i="1"/>
  <c r="AE85" i="1"/>
  <c r="AE212" i="1"/>
  <c r="AE182" i="1"/>
  <c r="AE210" i="1"/>
  <c r="AE92" i="1"/>
  <c r="AE3" i="1"/>
  <c r="X105" i="1"/>
  <c r="L235" i="1"/>
  <c r="L105" i="1"/>
  <c r="AF105" i="1" s="1"/>
  <c r="M105" i="1"/>
  <c r="L220" i="1"/>
  <c r="AF220" i="1" s="1"/>
  <c r="M220" i="1"/>
  <c r="L211" i="1"/>
  <c r="AF211" i="1" s="1"/>
  <c r="M211" i="1"/>
  <c r="L221" i="1"/>
  <c r="AF221" i="1" s="1"/>
  <c r="M221" i="1"/>
  <c r="L85" i="1"/>
  <c r="AF85" i="1" s="1"/>
  <c r="M85" i="1"/>
  <c r="L212" i="1"/>
  <c r="AF212" i="1" s="1"/>
  <c r="M212" i="1"/>
  <c r="L182" i="1"/>
  <c r="AF182" i="1" s="1"/>
  <c r="M182" i="1"/>
  <c r="M210" i="1"/>
  <c r="L92" i="1"/>
  <c r="AF92" i="1" s="1"/>
  <c r="M92" i="1"/>
  <c r="I105" i="1"/>
  <c r="I220" i="1"/>
  <c r="I211" i="1"/>
  <c r="I221" i="1"/>
  <c r="I85" i="1"/>
  <c r="I212" i="1"/>
  <c r="I182" i="1"/>
  <c r="I210" i="1"/>
  <c r="I92" i="1"/>
  <c r="I49" i="1"/>
  <c r="L425" i="9"/>
  <c r="Y425" i="9"/>
  <c r="K433" i="9" s="1"/>
  <c r="X425" i="9"/>
  <c r="W425" i="9"/>
  <c r="V425" i="9"/>
  <c r="U425" i="9"/>
  <c r="T425" i="9"/>
  <c r="S425" i="9"/>
  <c r="R425" i="9"/>
  <c r="Q425" i="9"/>
  <c r="P425" i="9"/>
  <c r="O425" i="9"/>
  <c r="K425" i="9"/>
  <c r="J425" i="9"/>
  <c r="I425" i="9"/>
  <c r="H425" i="9"/>
  <c r="G425" i="9"/>
  <c r="F425" i="9"/>
  <c r="E425" i="9"/>
  <c r="D425" i="9"/>
  <c r="C425" i="9"/>
  <c r="B425" i="9"/>
  <c r="AG126" i="2" l="1"/>
  <c r="AG131" i="2"/>
  <c r="AG121" i="2"/>
  <c r="AG90" i="2"/>
  <c r="AG23" i="2"/>
  <c r="AG78" i="2"/>
  <c r="AF210" i="1"/>
  <c r="Z33" i="7"/>
  <c r="Z26" i="7"/>
  <c r="G120" i="3"/>
  <c r="G243" i="1"/>
  <c r="G242" i="1"/>
  <c r="T242" i="1"/>
  <c r="M433" i="9"/>
  <c r="C434" i="9"/>
  <c r="M434" i="9"/>
  <c r="L433" i="9"/>
  <c r="G119" i="3"/>
  <c r="X146" i="2"/>
  <c r="AE149" i="2"/>
  <c r="AE120" i="3"/>
  <c r="AD120" i="3"/>
  <c r="AD149" i="2"/>
  <c r="AE240" i="1"/>
  <c r="Y240" i="1"/>
  <c r="AC243" i="1"/>
  <c r="V117" i="3"/>
  <c r="W117" i="3"/>
  <c r="S119" i="3"/>
  <c r="T148" i="2"/>
  <c r="K330" i="5"/>
  <c r="L434" i="9"/>
  <c r="K434" i="9"/>
  <c r="G434" i="9"/>
  <c r="B434" i="9"/>
  <c r="I433" i="9"/>
  <c r="J433" i="9"/>
  <c r="A434" i="9"/>
  <c r="C433" i="9"/>
  <c r="D434" i="9"/>
  <c r="F434" i="9"/>
  <c r="D433" i="9"/>
  <c r="E434" i="9"/>
  <c r="I434" i="9"/>
  <c r="H434" i="9"/>
  <c r="J434" i="9"/>
  <c r="A433" i="9"/>
  <c r="B433" i="9"/>
  <c r="E433" i="9"/>
  <c r="F433" i="9"/>
  <c r="H433" i="9"/>
  <c r="G433" i="9"/>
  <c r="X133" i="2"/>
  <c r="X102" i="2"/>
  <c r="X130" i="2"/>
  <c r="X54" i="2"/>
  <c r="W133" i="2"/>
  <c r="AG133" i="2" s="1"/>
  <c r="W102" i="2"/>
  <c r="AG102" i="2" s="1"/>
  <c r="W130" i="2"/>
  <c r="AG130" i="2" s="1"/>
  <c r="W54" i="2"/>
  <c r="AG54" i="2" s="1"/>
  <c r="W139" i="2"/>
  <c r="AG139" i="2" s="1"/>
  <c r="Y203" i="1"/>
  <c r="Y97" i="1"/>
  <c r="Y21" i="1"/>
  <c r="Y40" i="1"/>
  <c r="Y6" i="1"/>
  <c r="Y33" i="1"/>
  <c r="Y194" i="1"/>
  <c r="Y58" i="1"/>
  <c r="Y49" i="1"/>
  <c r="X203" i="1"/>
  <c r="X97" i="1"/>
  <c r="X21" i="1"/>
  <c r="X40" i="1"/>
  <c r="X6" i="1"/>
  <c r="X33" i="1"/>
  <c r="X194" i="1"/>
  <c r="X58" i="1"/>
  <c r="X49" i="1"/>
  <c r="X235" i="1"/>
  <c r="AF235" i="1" s="1"/>
  <c r="AF97" i="2"/>
  <c r="AF114" i="2"/>
  <c r="AF101" i="2"/>
  <c r="AF124" i="2"/>
  <c r="AF37" i="2"/>
  <c r="AF125" i="2"/>
  <c r="AF86" i="2"/>
  <c r="AF110" i="2"/>
  <c r="AF123" i="2"/>
  <c r="AF112" i="2"/>
  <c r="AF116" i="2"/>
  <c r="I54" i="2"/>
  <c r="I130" i="2"/>
  <c r="I102" i="2"/>
  <c r="I133" i="2"/>
  <c r="L33" i="1"/>
  <c r="AF33" i="1" s="1"/>
  <c r="L6" i="1"/>
  <c r="AF6" i="1" s="1"/>
  <c r="M6" i="1"/>
  <c r="M33" i="1"/>
  <c r="M194" i="1"/>
  <c r="M58" i="1"/>
  <c r="M49" i="1"/>
  <c r="L194" i="1"/>
  <c r="AF194" i="1" s="1"/>
  <c r="L58" i="1"/>
  <c r="AF58" i="1" s="1"/>
  <c r="L49" i="1"/>
  <c r="AF49" i="1" s="1"/>
  <c r="L40" i="1"/>
  <c r="AF40" i="1" s="1"/>
  <c r="M40" i="1"/>
  <c r="AE40" i="1"/>
  <c r="AE6" i="1"/>
  <c r="AE33" i="1"/>
  <c r="AE194" i="1"/>
  <c r="AE58" i="1"/>
  <c r="AE49" i="1"/>
  <c r="AE21" i="1"/>
  <c r="AE234" i="1"/>
  <c r="AE12" i="1"/>
  <c r="AE13" i="1"/>
  <c r="AE215" i="1"/>
  <c r="AE217" i="1"/>
  <c r="AE206" i="1"/>
  <c r="AE43" i="1"/>
  <c r="AE17" i="1"/>
  <c r="AE28" i="1"/>
  <c r="AE61" i="1"/>
  <c r="AE69" i="1"/>
  <c r="AE68" i="1"/>
  <c r="AE5" i="1"/>
  <c r="AE127" i="1"/>
  <c r="AE77" i="1"/>
  <c r="AE122" i="1"/>
  <c r="AE228" i="1"/>
  <c r="AE22" i="1"/>
  <c r="AE103" i="1"/>
  <c r="AE140" i="1"/>
  <c r="AE72" i="1"/>
  <c r="AE177" i="1"/>
  <c r="AE209" i="1"/>
  <c r="AE89" i="1"/>
  <c r="AE39" i="1"/>
  <c r="AE118" i="1"/>
  <c r="AE73" i="1"/>
  <c r="AE169" i="1"/>
  <c r="AE96" i="1"/>
  <c r="AE112" i="1"/>
  <c r="AE201" i="1"/>
  <c r="AE101" i="1"/>
  <c r="AE48" i="1"/>
  <c r="AE94" i="1"/>
  <c r="AE207" i="1"/>
  <c r="AE155" i="1"/>
  <c r="AE88" i="1"/>
  <c r="AE7" i="1"/>
  <c r="AE46" i="1"/>
  <c r="AE87" i="1"/>
  <c r="AE184" i="1"/>
  <c r="AE91" i="1"/>
  <c r="AE214" i="1"/>
  <c r="AE57" i="1"/>
  <c r="AE216" i="1"/>
  <c r="AE213" i="1"/>
  <c r="AE166" i="1"/>
  <c r="AE11" i="1"/>
  <c r="AE190" i="1"/>
  <c r="AE102" i="1"/>
  <c r="AE100" i="1"/>
  <c r="AE141" i="1"/>
  <c r="AE36" i="1"/>
  <c r="AE144" i="1"/>
  <c r="AE192" i="1"/>
  <c r="AE222" i="1"/>
  <c r="AE171" i="1"/>
  <c r="AE113" i="1"/>
  <c r="AE67" i="1"/>
  <c r="AE226" i="1"/>
  <c r="AE65" i="1"/>
  <c r="AE25" i="1"/>
  <c r="AE109" i="1"/>
  <c r="AE123" i="1"/>
  <c r="AE134" i="1"/>
  <c r="AE74" i="1"/>
  <c r="AE179" i="1"/>
  <c r="AE185" i="1"/>
  <c r="AE157" i="1"/>
  <c r="AE183" i="1"/>
  <c r="AE35" i="1"/>
  <c r="AE124" i="1"/>
  <c r="AE128" i="1"/>
  <c r="AE30" i="1"/>
  <c r="AE130" i="1"/>
  <c r="AE95" i="1"/>
  <c r="AE208" i="1"/>
  <c r="AE172" i="1"/>
  <c r="AE116" i="1"/>
  <c r="AE204" i="1"/>
  <c r="AE153" i="1"/>
  <c r="AE143" i="1"/>
  <c r="AE167" i="1"/>
  <c r="AE139" i="1"/>
  <c r="AE168" i="1"/>
  <c r="AE148" i="1"/>
  <c r="AE78" i="1"/>
  <c r="AE104" i="1"/>
  <c r="AE51" i="1"/>
  <c r="AE110" i="1"/>
  <c r="AE202" i="1"/>
  <c r="AE156" i="1"/>
  <c r="AE197" i="1"/>
  <c r="AE108" i="1"/>
  <c r="AE126" i="1"/>
  <c r="AE175" i="1"/>
  <c r="AE115" i="1"/>
  <c r="AE121" i="1"/>
  <c r="AE44" i="1"/>
  <c r="AE107" i="1"/>
  <c r="AE178" i="1"/>
  <c r="AE137" i="1"/>
  <c r="AE176" i="1"/>
  <c r="AE150" i="1"/>
  <c r="AE82" i="1"/>
  <c r="AE132" i="1"/>
  <c r="AE151" i="1"/>
  <c r="AE90" i="1"/>
  <c r="AE133" i="1"/>
  <c r="AE152" i="1"/>
  <c r="AE187" i="1"/>
  <c r="AE218" i="1"/>
  <c r="AE117" i="1"/>
  <c r="AE174" i="1"/>
  <c r="AE191" i="1"/>
  <c r="AE160" i="1"/>
  <c r="AE165" i="1"/>
  <c r="AE114" i="1"/>
  <c r="AE106" i="1"/>
  <c r="AE189" i="1"/>
  <c r="AE111" i="1"/>
  <c r="AE80" i="1"/>
  <c r="AE125" i="1"/>
  <c r="AE120" i="1"/>
  <c r="AE70" i="1"/>
  <c r="AE60" i="1"/>
  <c r="AE63" i="1"/>
  <c r="AE173" i="1"/>
  <c r="AE98" i="1"/>
  <c r="AE66" i="1"/>
  <c r="AE188" i="1"/>
  <c r="AE159" i="1"/>
  <c r="AE146" i="1"/>
  <c r="AE135" i="1"/>
  <c r="AE232" i="1"/>
  <c r="AE145" i="1"/>
  <c r="AE129" i="1"/>
  <c r="AE19" i="1"/>
  <c r="AE198" i="1"/>
  <c r="AE147" i="1"/>
  <c r="AE199" i="1"/>
  <c r="AE20" i="1"/>
  <c r="AE200" i="1"/>
  <c r="AE162" i="1"/>
  <c r="AE81" i="1"/>
  <c r="AE84" i="1"/>
  <c r="AE138" i="1"/>
  <c r="AE41" i="1"/>
  <c r="AE75" i="1"/>
  <c r="AE38" i="1"/>
  <c r="AE86" i="1"/>
  <c r="AE71" i="1"/>
  <c r="AE205" i="1"/>
  <c r="AE158" i="1"/>
  <c r="AE62" i="1"/>
  <c r="AE76" i="1"/>
  <c r="AE180" i="1"/>
  <c r="AE59" i="1"/>
  <c r="AE55" i="1"/>
  <c r="AE225" i="1"/>
  <c r="AE53" i="1"/>
  <c r="AE54" i="1"/>
  <c r="AE99" i="1"/>
  <c r="AE83" i="1"/>
  <c r="AE227" i="1"/>
  <c r="AE164" i="1"/>
  <c r="AE161" i="1"/>
  <c r="AE18" i="1"/>
  <c r="AE154" i="1"/>
  <c r="AE170" i="1"/>
  <c r="AE26" i="1"/>
  <c r="AE136" i="1"/>
  <c r="AE79" i="1"/>
  <c r="AE56" i="1"/>
  <c r="AE93" i="1"/>
  <c r="AE195" i="1"/>
  <c r="AE42" i="1"/>
  <c r="AE149" i="1"/>
  <c r="AE31" i="1"/>
  <c r="AE193" i="1"/>
  <c r="AE119" i="1"/>
  <c r="AE223" i="1"/>
  <c r="AE10" i="1"/>
  <c r="AE230" i="1"/>
  <c r="AE50" i="1"/>
  <c r="AE52" i="1"/>
  <c r="AE64" i="1"/>
  <c r="AE16" i="1"/>
  <c r="AE181" i="1"/>
  <c r="AE27" i="1"/>
  <c r="AE231" i="1"/>
  <c r="AE163" i="1"/>
  <c r="AE186" i="1"/>
  <c r="AE233" i="1"/>
  <c r="AE196" i="1"/>
  <c r="AE229" i="1"/>
  <c r="AE34" i="1"/>
  <c r="AE24" i="1"/>
  <c r="AE142" i="1"/>
  <c r="AE131" i="1"/>
  <c r="AE29" i="1"/>
  <c r="AE45" i="1"/>
  <c r="AE47" i="1"/>
  <c r="AE15" i="1"/>
  <c r="AE9" i="1"/>
  <c r="AE32" i="1"/>
  <c r="AE37" i="1"/>
  <c r="AE4" i="1"/>
  <c r="AE23" i="1"/>
  <c r="AE14" i="1"/>
  <c r="AE8" i="1"/>
  <c r="AE219" i="1"/>
  <c r="AE224" i="1"/>
  <c r="AE236" i="1"/>
  <c r="AE203" i="1"/>
  <c r="AE97" i="1"/>
  <c r="AE235" i="1"/>
  <c r="I58" i="1"/>
  <c r="I194" i="1"/>
  <c r="I33" i="1"/>
  <c r="I6" i="1"/>
  <c r="I40" i="1"/>
  <c r="X42" i="2"/>
  <c r="X60" i="2"/>
  <c r="X56" i="2"/>
  <c r="X52" i="2"/>
  <c r="X17" i="2"/>
  <c r="X128" i="2"/>
  <c r="X37" i="2"/>
  <c r="W42" i="2"/>
  <c r="AG42" i="2" s="1"/>
  <c r="W60" i="2"/>
  <c r="AG60" i="2" s="1"/>
  <c r="W56" i="2"/>
  <c r="AG56" i="2" s="1"/>
  <c r="W52" i="2"/>
  <c r="AG52" i="2" s="1"/>
  <c r="W17" i="2"/>
  <c r="AG17" i="2" s="1"/>
  <c r="W128" i="2"/>
  <c r="AG128" i="2" s="1"/>
  <c r="W37" i="2"/>
  <c r="AG37" i="2" s="1"/>
  <c r="W51" i="3"/>
  <c r="W67" i="3"/>
  <c r="W85" i="3"/>
  <c r="W60" i="3"/>
  <c r="W59" i="3"/>
  <c r="V51" i="3"/>
  <c r="V67" i="3"/>
  <c r="V85" i="3"/>
  <c r="V60" i="3"/>
  <c r="V59" i="3"/>
  <c r="I85" i="3"/>
  <c r="I60" i="3"/>
  <c r="I59" i="3"/>
  <c r="I67" i="3"/>
  <c r="I51" i="3"/>
  <c r="AF19" i="2"/>
  <c r="I52" i="2"/>
  <c r="I17" i="2"/>
  <c r="I128" i="2"/>
  <c r="I37" i="2"/>
  <c r="L21" i="1"/>
  <c r="AF21" i="1" s="1"/>
  <c r="M21" i="1"/>
  <c r="L97" i="1"/>
  <c r="AF97" i="1" s="1"/>
  <c r="M97" i="1"/>
  <c r="L203" i="1"/>
  <c r="AF203" i="1" s="1"/>
  <c r="M203" i="1"/>
  <c r="I97" i="1"/>
  <c r="I21" i="1"/>
  <c r="I203" i="1"/>
  <c r="AF62" i="3"/>
  <c r="AF112" i="3"/>
  <c r="AF100" i="3"/>
  <c r="AF46" i="3"/>
  <c r="AF9" i="3"/>
  <c r="AF5" i="3"/>
  <c r="AF68" i="3"/>
  <c r="AF109" i="3"/>
  <c r="AF82" i="3"/>
  <c r="AF24" i="3"/>
  <c r="AF56" i="3"/>
  <c r="AF19" i="3"/>
  <c r="AF4" i="3"/>
  <c r="AF12" i="3"/>
  <c r="AF65" i="3"/>
  <c r="AF3" i="3"/>
  <c r="AF83" i="3"/>
  <c r="AF107" i="3"/>
  <c r="AF98" i="3"/>
  <c r="AF75" i="3"/>
  <c r="AF97" i="3"/>
  <c r="AF108" i="3"/>
  <c r="AF55" i="3"/>
  <c r="AF31" i="3"/>
  <c r="AF30" i="3"/>
  <c r="AF54" i="3"/>
  <c r="AF80" i="3"/>
  <c r="AF90" i="3"/>
  <c r="AF81" i="3"/>
  <c r="AF50" i="3"/>
  <c r="AF23" i="3"/>
  <c r="AF44" i="3"/>
  <c r="AF101" i="3"/>
  <c r="AF40" i="3"/>
  <c r="AF52" i="3"/>
  <c r="AF53" i="3"/>
  <c r="AF93" i="3"/>
  <c r="AF48" i="3"/>
  <c r="AF37" i="3"/>
  <c r="AF63" i="3"/>
  <c r="AF43" i="3"/>
  <c r="AF99" i="3"/>
  <c r="AF45" i="3"/>
  <c r="AF34" i="3"/>
  <c r="AF69" i="3"/>
  <c r="AF70" i="3"/>
  <c r="AF72" i="3"/>
  <c r="AF79" i="3"/>
  <c r="AF42" i="3"/>
  <c r="AF10" i="3"/>
  <c r="AF20" i="3"/>
  <c r="AF29" i="3"/>
  <c r="AF87" i="3"/>
  <c r="AF95" i="3"/>
  <c r="AF77" i="3"/>
  <c r="AF22" i="3"/>
  <c r="AF21" i="3"/>
  <c r="AF14" i="3"/>
  <c r="AF61" i="3"/>
  <c r="AF78" i="3"/>
  <c r="AF94" i="3"/>
  <c r="AF41" i="3"/>
  <c r="AF64" i="3"/>
  <c r="AF57" i="3"/>
  <c r="AF96" i="3"/>
  <c r="AF66" i="3"/>
  <c r="AF86" i="3"/>
  <c r="AF103" i="3"/>
  <c r="AF104" i="3"/>
  <c r="AF17" i="3"/>
  <c r="AF15" i="3"/>
  <c r="AF113" i="3"/>
  <c r="AF73" i="3"/>
  <c r="AF47" i="3"/>
  <c r="AF49" i="3"/>
  <c r="AF91" i="3"/>
  <c r="AF39" i="3"/>
  <c r="AF18" i="3"/>
  <c r="AF74" i="3"/>
  <c r="AF35" i="3"/>
  <c r="AF71" i="3"/>
  <c r="AF89" i="3"/>
  <c r="AF92" i="3"/>
  <c r="AF38" i="3"/>
  <c r="AF110" i="3"/>
  <c r="AF26" i="3"/>
  <c r="AF28" i="3"/>
  <c r="AF11" i="3"/>
  <c r="AF6" i="3"/>
  <c r="AF84" i="3"/>
  <c r="AF7" i="3"/>
  <c r="AF105" i="3"/>
  <c r="AF16" i="3"/>
  <c r="AF33" i="3"/>
  <c r="AF102" i="3"/>
  <c r="AF32" i="3"/>
  <c r="AF36" i="3"/>
  <c r="AF13" i="3"/>
  <c r="AF111" i="3"/>
  <c r="AF88" i="3"/>
  <c r="AF106" i="3"/>
  <c r="AF8" i="3"/>
  <c r="AF4" i="2"/>
  <c r="AF6" i="2"/>
  <c r="AF32" i="2"/>
  <c r="AF8" i="2"/>
  <c r="AF26" i="2"/>
  <c r="AF73" i="2"/>
  <c r="AF7" i="2"/>
  <c r="AF13" i="2"/>
  <c r="AF16" i="2"/>
  <c r="AF54" i="2"/>
  <c r="AF5" i="2"/>
  <c r="AF78" i="2"/>
  <c r="AF111" i="2"/>
  <c r="AF12" i="2"/>
  <c r="AF18" i="2"/>
  <c r="AF21" i="2"/>
  <c r="AF9" i="2"/>
  <c r="AF23" i="2"/>
  <c r="AF90" i="2"/>
  <c r="AF121" i="2"/>
  <c r="AF45" i="2"/>
  <c r="AF95" i="2"/>
  <c r="AF14" i="2"/>
  <c r="AF131" i="2"/>
  <c r="AF87" i="2"/>
  <c r="AF30" i="2"/>
  <c r="AF25" i="2"/>
  <c r="AF62" i="2"/>
  <c r="AF22" i="2"/>
  <c r="AF126" i="2"/>
  <c r="AF27" i="2"/>
  <c r="AF34" i="2"/>
  <c r="AF56" i="2"/>
  <c r="AF24" i="2"/>
  <c r="AF42" i="2"/>
  <c r="AF10" i="2"/>
  <c r="AF36" i="2"/>
  <c r="AF70" i="2"/>
  <c r="AF63" i="2"/>
  <c r="AF38" i="2"/>
  <c r="AF28" i="2"/>
  <c r="AF40" i="2"/>
  <c r="AF53" i="2"/>
  <c r="AF31" i="2"/>
  <c r="AF44" i="2"/>
  <c r="AF122" i="2"/>
  <c r="AF79" i="2"/>
  <c r="AF128" i="2"/>
  <c r="AF130" i="2"/>
  <c r="AF39" i="2"/>
  <c r="AF58" i="2"/>
  <c r="AF92" i="2"/>
  <c r="AF29" i="2"/>
  <c r="AF15" i="2"/>
  <c r="AF108" i="2"/>
  <c r="AF102" i="2"/>
  <c r="AF68" i="2"/>
  <c r="AF80" i="2"/>
  <c r="AF41" i="2"/>
  <c r="AF129" i="2"/>
  <c r="AF69" i="2"/>
  <c r="AF99" i="2"/>
  <c r="AF47" i="2"/>
  <c r="AF66" i="2"/>
  <c r="AF65" i="2"/>
  <c r="AF43" i="2"/>
  <c r="AF82" i="2"/>
  <c r="AF49" i="2"/>
  <c r="AF71" i="2"/>
  <c r="AF85" i="2"/>
  <c r="AF88" i="2"/>
  <c r="AF91" i="2"/>
  <c r="AF107" i="2"/>
  <c r="AF20" i="2"/>
  <c r="AF50" i="2"/>
  <c r="AF105" i="2"/>
  <c r="AF67" i="2"/>
  <c r="AF113" i="2"/>
  <c r="AF81" i="2"/>
  <c r="AF117" i="2"/>
  <c r="AF100" i="2"/>
  <c r="AF74" i="2"/>
  <c r="AF51" i="2"/>
  <c r="AF48" i="2"/>
  <c r="AF96" i="2"/>
  <c r="AF94" i="2"/>
  <c r="AF77" i="2"/>
  <c r="AF55" i="2"/>
  <c r="AF98" i="2"/>
  <c r="AF46" i="2"/>
  <c r="AF59" i="2"/>
  <c r="AF72" i="2"/>
  <c r="AF119" i="2"/>
  <c r="AF106" i="2"/>
  <c r="AF103" i="2"/>
  <c r="AF84" i="2"/>
  <c r="AF75" i="2"/>
  <c r="AF140" i="2"/>
  <c r="AF141" i="2"/>
  <c r="AF142" i="2"/>
  <c r="AF137" i="2"/>
  <c r="AF138" i="2"/>
  <c r="AF134" i="2"/>
  <c r="AF64" i="2"/>
  <c r="AF136" i="2"/>
  <c r="AF61" i="2"/>
  <c r="AF11" i="2"/>
  <c r="AF135" i="2"/>
  <c r="AF83" i="2"/>
  <c r="AF93" i="2"/>
  <c r="AF115" i="2"/>
  <c r="AF89" i="2"/>
  <c r="AF33" i="2"/>
  <c r="AF60" i="2"/>
  <c r="AF76" i="2"/>
  <c r="AF17" i="2"/>
  <c r="AF104" i="2"/>
  <c r="AF35" i="2"/>
  <c r="AF118" i="2"/>
  <c r="AF120" i="2"/>
  <c r="AF109" i="2"/>
  <c r="AF57" i="2"/>
  <c r="M235" i="1"/>
  <c r="Y235" i="1"/>
  <c r="X139" i="2"/>
  <c r="I3" i="5"/>
  <c r="W100" i="2"/>
  <c r="AG100" i="2" s="1"/>
  <c r="X100" i="2"/>
  <c r="W119" i="2"/>
  <c r="AG119" i="2" s="1"/>
  <c r="X119" i="2"/>
  <c r="W7" i="2"/>
  <c r="AG7" i="2" s="1"/>
  <c r="X7" i="2"/>
  <c r="Y224" i="1"/>
  <c r="Y71" i="1"/>
  <c r="Y181" i="1"/>
  <c r="Y186" i="1"/>
  <c r="X196" i="1"/>
  <c r="X224" i="1"/>
  <c r="X71" i="1"/>
  <c r="X181" i="1"/>
  <c r="X186" i="1"/>
  <c r="I7" i="2"/>
  <c r="I119" i="2"/>
  <c r="Y196" i="1"/>
  <c r="M186" i="1"/>
  <c r="L236" i="1"/>
  <c r="L196" i="1"/>
  <c r="AF196" i="1" s="1"/>
  <c r="L224" i="1"/>
  <c r="AF224" i="1" s="1"/>
  <c r="L71" i="1"/>
  <c r="AF71" i="1" s="1"/>
  <c r="L181" i="1"/>
  <c r="AF181" i="1" s="1"/>
  <c r="L186" i="1"/>
  <c r="AF186" i="1" s="1"/>
  <c r="M196" i="1"/>
  <c r="M224" i="1"/>
  <c r="M71" i="1"/>
  <c r="M181" i="1"/>
  <c r="L12" i="1"/>
  <c r="I196" i="1"/>
  <c r="I71" i="1"/>
  <c r="I181" i="1"/>
  <c r="I186" i="1"/>
  <c r="W41" i="3"/>
  <c r="V101" i="3"/>
  <c r="V100" i="3"/>
  <c r="W100" i="3"/>
  <c r="V68" i="3"/>
  <c r="W84" i="3"/>
  <c r="V84" i="3"/>
  <c r="V3" i="3"/>
  <c r="W13" i="3"/>
  <c r="W82" i="3"/>
  <c r="W4" i="3"/>
  <c r="W102" i="3"/>
  <c r="W90" i="3"/>
  <c r="W12" i="3"/>
  <c r="W23" i="3"/>
  <c r="W54" i="3"/>
  <c r="W63" i="3"/>
  <c r="W96" i="3"/>
  <c r="W29" i="3"/>
  <c r="W86" i="3"/>
  <c r="W32" i="3"/>
  <c r="W7" i="3"/>
  <c r="W49" i="3"/>
  <c r="W6" i="3"/>
  <c r="W83" i="3"/>
  <c r="W79" i="3"/>
  <c r="W18" i="3"/>
  <c r="W38" i="3"/>
  <c r="W48" i="3"/>
  <c r="W40" i="3"/>
  <c r="W81" i="3"/>
  <c r="W57" i="3"/>
  <c r="W11" i="3"/>
  <c r="W33" i="3"/>
  <c r="W91" i="3"/>
  <c r="W72" i="3"/>
  <c r="W69" i="3"/>
  <c r="W61" i="3"/>
  <c r="W87" i="3"/>
  <c r="W35" i="3"/>
  <c r="W80" i="3"/>
  <c r="W44" i="3"/>
  <c r="W95" i="3"/>
  <c r="W78" i="3"/>
  <c r="W10" i="3"/>
  <c r="W77" i="3"/>
  <c r="W47" i="3"/>
  <c r="W104" i="3"/>
  <c r="W62" i="3"/>
  <c r="W26" i="3"/>
  <c r="W70" i="3"/>
  <c r="W93" i="3"/>
  <c r="W65" i="3"/>
  <c r="W75" i="3"/>
  <c r="W50" i="3"/>
  <c r="W34" i="3"/>
  <c r="W28" i="3"/>
  <c r="W20" i="3"/>
  <c r="W89" i="3"/>
  <c r="W39" i="3"/>
  <c r="W66" i="3"/>
  <c r="W92" i="3"/>
  <c r="W45" i="3"/>
  <c r="W31" i="3"/>
  <c r="W46" i="3"/>
  <c r="W107" i="3"/>
  <c r="W74" i="3"/>
  <c r="W64" i="3"/>
  <c r="W21" i="3"/>
  <c r="W55" i="3"/>
  <c r="W112" i="3"/>
  <c r="W71" i="3"/>
  <c r="W99" i="3"/>
  <c r="W42" i="3"/>
  <c r="W36" i="3"/>
  <c r="W94" i="3"/>
  <c r="W30" i="3"/>
  <c r="W52" i="3"/>
  <c r="W98" i="3"/>
  <c r="W56" i="3"/>
  <c r="W8" i="3"/>
  <c r="W73" i="3"/>
  <c r="W37" i="3"/>
  <c r="W43" i="3"/>
  <c r="W53" i="3"/>
  <c r="W111" i="3"/>
  <c r="W110" i="3"/>
  <c r="W109" i="3"/>
  <c r="W105" i="3"/>
  <c r="W97" i="3"/>
  <c r="W16" i="3"/>
  <c r="W22" i="3"/>
  <c r="W108" i="3"/>
  <c r="W5" i="3"/>
  <c r="W19" i="3"/>
  <c r="W103" i="3"/>
  <c r="W101" i="3"/>
  <c r="W106" i="3"/>
  <c r="W88" i="3"/>
  <c r="W24" i="3"/>
  <c r="V41" i="3"/>
  <c r="V13" i="3"/>
  <c r="AG13" i="3" s="1"/>
  <c r="V82" i="3"/>
  <c r="V4" i="3"/>
  <c r="V102" i="3"/>
  <c r="V90" i="3"/>
  <c r="V12" i="3"/>
  <c r="V23" i="3"/>
  <c r="V54" i="3"/>
  <c r="V63" i="3"/>
  <c r="V96" i="3"/>
  <c r="V29" i="3"/>
  <c r="V86" i="3"/>
  <c r="V32" i="3"/>
  <c r="V7" i="3"/>
  <c r="V49" i="3"/>
  <c r="V6" i="3"/>
  <c r="V83" i="3"/>
  <c r="V79" i="3"/>
  <c r="V18" i="3"/>
  <c r="V38" i="3"/>
  <c r="V48" i="3"/>
  <c r="V40" i="3"/>
  <c r="V81" i="3"/>
  <c r="V57" i="3"/>
  <c r="V11" i="3"/>
  <c r="V33" i="3"/>
  <c r="V91" i="3"/>
  <c r="V72" i="3"/>
  <c r="V69" i="3"/>
  <c r="V61" i="3"/>
  <c r="V87" i="3"/>
  <c r="V35" i="3"/>
  <c r="V80" i="3"/>
  <c r="V44" i="3"/>
  <c r="V95" i="3"/>
  <c r="V78" i="3"/>
  <c r="V10" i="3"/>
  <c r="V77" i="3"/>
  <c r="V47" i="3"/>
  <c r="AG47" i="3" s="1"/>
  <c r="V104" i="3"/>
  <c r="V62" i="3"/>
  <c r="V26" i="3"/>
  <c r="V70" i="3"/>
  <c r="V93" i="3"/>
  <c r="V65" i="3"/>
  <c r="V75" i="3"/>
  <c r="V50" i="3"/>
  <c r="V34" i="3"/>
  <c r="V28" i="3"/>
  <c r="AG28" i="3" s="1"/>
  <c r="V20" i="3"/>
  <c r="V89" i="3"/>
  <c r="V39" i="3"/>
  <c r="V66" i="3"/>
  <c r="V92" i="3"/>
  <c r="V45" i="3"/>
  <c r="V31" i="3"/>
  <c r="V46" i="3"/>
  <c r="V107" i="3"/>
  <c r="V74" i="3"/>
  <c r="V64" i="3"/>
  <c r="V21" i="3"/>
  <c r="V55" i="3"/>
  <c r="V112" i="3"/>
  <c r="V71" i="3"/>
  <c r="V99" i="3"/>
  <c r="V42" i="3"/>
  <c r="V36" i="3"/>
  <c r="V94" i="3"/>
  <c r="V30" i="3"/>
  <c r="V52" i="3"/>
  <c r="V98" i="3"/>
  <c r="V56" i="3"/>
  <c r="V8" i="3"/>
  <c r="V73" i="3"/>
  <c r="V37" i="3"/>
  <c r="V43" i="3"/>
  <c r="V53" i="3"/>
  <c r="V111" i="3"/>
  <c r="V110" i="3"/>
  <c r="V109" i="3"/>
  <c r="V105" i="3"/>
  <c r="V97" i="3"/>
  <c r="V16" i="3"/>
  <c r="V22" i="3"/>
  <c r="V108" i="3"/>
  <c r="V5" i="3"/>
  <c r="V19" i="3"/>
  <c r="V103" i="3"/>
  <c r="V106" i="3"/>
  <c r="V88" i="3"/>
  <c r="V24" i="3"/>
  <c r="V14" i="3"/>
  <c r="X134" i="2"/>
  <c r="X115" i="2"/>
  <c r="X113" i="2"/>
  <c r="X127" i="2"/>
  <c r="W115" i="2"/>
  <c r="AG115" i="2" s="1"/>
  <c r="W113" i="2"/>
  <c r="AG113" i="2" s="1"/>
  <c r="W127" i="2"/>
  <c r="AG127" i="2" s="1"/>
  <c r="L234" i="1"/>
  <c r="Y225" i="1"/>
  <c r="Y184" i="1"/>
  <c r="Y228" i="1"/>
  <c r="Y37" i="1"/>
  <c r="Y5" i="1"/>
  <c r="Y215" i="1"/>
  <c r="Y140" i="1"/>
  <c r="Y19" i="1"/>
  <c r="Y29" i="1"/>
  <c r="Y163" i="1"/>
  <c r="Y55" i="1"/>
  <c r="Y3" i="1"/>
  <c r="Y18" i="1"/>
  <c r="Y127" i="1"/>
  <c r="Y233" i="1"/>
  <c r="Y27" i="1"/>
  <c r="Y23" i="1"/>
  <c r="Y217" i="1"/>
  <c r="Y13" i="1"/>
  <c r="Y72" i="1"/>
  <c r="Y16" i="1"/>
  <c r="Y68" i="1"/>
  <c r="Y164" i="1"/>
  <c r="Y42" i="1"/>
  <c r="Y197" i="1"/>
  <c r="Y9" i="1"/>
  <c r="Y229" i="1"/>
  <c r="Y219" i="1"/>
  <c r="X225" i="1"/>
  <c r="X184" i="1"/>
  <c r="X228" i="1"/>
  <c r="X37" i="1"/>
  <c r="X5" i="1"/>
  <c r="X215" i="1"/>
  <c r="X140" i="1"/>
  <c r="X19" i="1"/>
  <c r="X29" i="1"/>
  <c r="X163" i="1"/>
  <c r="X55" i="1"/>
  <c r="X3" i="1"/>
  <c r="X18" i="1"/>
  <c r="X127" i="1"/>
  <c r="X233" i="1"/>
  <c r="X27" i="1"/>
  <c r="X23" i="1"/>
  <c r="X217" i="1"/>
  <c r="X13" i="1"/>
  <c r="X72" i="1"/>
  <c r="X16" i="1"/>
  <c r="X68" i="1"/>
  <c r="X164" i="1"/>
  <c r="X42" i="1"/>
  <c r="X197" i="1"/>
  <c r="X9" i="1"/>
  <c r="X229" i="1"/>
  <c r="X219" i="1"/>
  <c r="Y195" i="1"/>
  <c r="X195" i="1"/>
  <c r="X227" i="1"/>
  <c r="Y206" i="1"/>
  <c r="Y234" i="1"/>
  <c r="Y236" i="1"/>
  <c r="Y213" i="1"/>
  <c r="Y24" i="1"/>
  <c r="Y126" i="1"/>
  <c r="Y50" i="1"/>
  <c r="Y149" i="1"/>
  <c r="Y31" i="1"/>
  <c r="Y231" i="1"/>
  <c r="Y226" i="1"/>
  <c r="Y178" i="1"/>
  <c r="Y112" i="1"/>
  <c r="Y192" i="1"/>
  <c r="Y216" i="1"/>
  <c r="Y142" i="1"/>
  <c r="Y11" i="1"/>
  <c r="Y171" i="1"/>
  <c r="Y141" i="1"/>
  <c r="Y104" i="1"/>
  <c r="Y214" i="1"/>
  <c r="Y199" i="1"/>
  <c r="Y132" i="1"/>
  <c r="Y207" i="1"/>
  <c r="Y148" i="1"/>
  <c r="Y173" i="1"/>
  <c r="Y84" i="1"/>
  <c r="Y59" i="1"/>
  <c r="Y41" i="1"/>
  <c r="Y180" i="1"/>
  <c r="Y111" i="1"/>
  <c r="Y130" i="1"/>
  <c r="Y48" i="1"/>
  <c r="Y162" i="1"/>
  <c r="Y189" i="1"/>
  <c r="Y205" i="1"/>
  <c r="Y174" i="1"/>
  <c r="Y157" i="1"/>
  <c r="Y30" i="1"/>
  <c r="Y177" i="1"/>
  <c r="Y166" i="1"/>
  <c r="Y190" i="1"/>
  <c r="Y15" i="1"/>
  <c r="Y143" i="1"/>
  <c r="Y66" i="1"/>
  <c r="Y123" i="1"/>
  <c r="Y35" i="1"/>
  <c r="Y69" i="1"/>
  <c r="Y168" i="1"/>
  <c r="Y156" i="1"/>
  <c r="Y108" i="1"/>
  <c r="Y125" i="1"/>
  <c r="Y204" i="1"/>
  <c r="Y135" i="1"/>
  <c r="Y129" i="1"/>
  <c r="Y109" i="1"/>
  <c r="Y116" i="1"/>
  <c r="Y232" i="1"/>
  <c r="Y115" i="1"/>
  <c r="Y144" i="1"/>
  <c r="Y118" i="1"/>
  <c r="Y154" i="1"/>
  <c r="Y137" i="1"/>
  <c r="Y201" i="1"/>
  <c r="Y191" i="1"/>
  <c r="Y167" i="1"/>
  <c r="Y151" i="1"/>
  <c r="Y121" i="1"/>
  <c r="Y193" i="1"/>
  <c r="Y20" i="1"/>
  <c r="Y110" i="1"/>
  <c r="Y139" i="1"/>
  <c r="Y114" i="1"/>
  <c r="Y36" i="1"/>
  <c r="Y160" i="1"/>
  <c r="Y183" i="1"/>
  <c r="Y153" i="1"/>
  <c r="Y158" i="1"/>
  <c r="Y95" i="1"/>
  <c r="Y170" i="1"/>
  <c r="Y152" i="1"/>
  <c r="Y87" i="1"/>
  <c r="Y98" i="1"/>
  <c r="Y70" i="1"/>
  <c r="Y179" i="1"/>
  <c r="Y75" i="1"/>
  <c r="Y218" i="1"/>
  <c r="Y150" i="1"/>
  <c r="Y188" i="1"/>
  <c r="Y54" i="1"/>
  <c r="Y86" i="1"/>
  <c r="Y57" i="1"/>
  <c r="Y8" i="1"/>
  <c r="Y100" i="1"/>
  <c r="Y91" i="1"/>
  <c r="Y165" i="1"/>
  <c r="Y94" i="1"/>
  <c r="Y187" i="1"/>
  <c r="Y56" i="1"/>
  <c r="Y124" i="1"/>
  <c r="Y134" i="1"/>
  <c r="Y80" i="1"/>
  <c r="Y119" i="1"/>
  <c r="Y83" i="1"/>
  <c r="Y146" i="1"/>
  <c r="Y117" i="1"/>
  <c r="Y43" i="1"/>
  <c r="Y202" i="1"/>
  <c r="Y145" i="1"/>
  <c r="Y161" i="1"/>
  <c r="Y208" i="1"/>
  <c r="Y230" i="1"/>
  <c r="Y107" i="1"/>
  <c r="Y222" i="1"/>
  <c r="Y51" i="1"/>
  <c r="Y93" i="1"/>
  <c r="Y45" i="1"/>
  <c r="Y90" i="1"/>
  <c r="Y61" i="1"/>
  <c r="Y34" i="1"/>
  <c r="Y159" i="1"/>
  <c r="Y28" i="1"/>
  <c r="Y82" i="1"/>
  <c r="Y120" i="1"/>
  <c r="Y102" i="1"/>
  <c r="Y74" i="1"/>
  <c r="Y62" i="1"/>
  <c r="Y101" i="1"/>
  <c r="Y128" i="1"/>
  <c r="Y138" i="1"/>
  <c r="Y76" i="1"/>
  <c r="Y44" i="1"/>
  <c r="Y147" i="1"/>
  <c r="Y200" i="1"/>
  <c r="Y22" i="1"/>
  <c r="Y88" i="1"/>
  <c r="Y73" i="1"/>
  <c r="Y169" i="1"/>
  <c r="Y103" i="1"/>
  <c r="Y185" i="1"/>
  <c r="Y122" i="1"/>
  <c r="Y63" i="1"/>
  <c r="Y60" i="1"/>
  <c r="Y99" i="1"/>
  <c r="Y209" i="1"/>
  <c r="Y65" i="1"/>
  <c r="Y7" i="1"/>
  <c r="Y198" i="1"/>
  <c r="Y78" i="1"/>
  <c r="Y96" i="1"/>
  <c r="Y67" i="1"/>
  <c r="Y175" i="1"/>
  <c r="Y77" i="1"/>
  <c r="Y131" i="1"/>
  <c r="Y172" i="1"/>
  <c r="Y53" i="1"/>
  <c r="Y14" i="1"/>
  <c r="Y38" i="1"/>
  <c r="Y106" i="1"/>
  <c r="Y64" i="1"/>
  <c r="Y113" i="1"/>
  <c r="Y47" i="1"/>
  <c r="Y46" i="1"/>
  <c r="Y223" i="1"/>
  <c r="Y136" i="1"/>
  <c r="Y176" i="1"/>
  <c r="Y155" i="1"/>
  <c r="Y89" i="1"/>
  <c r="Y81" i="1"/>
  <c r="Y4" i="1"/>
  <c r="Y26" i="1"/>
  <c r="Y32" i="1"/>
  <c r="Y39" i="1"/>
  <c r="Y10" i="1"/>
  <c r="Y79" i="1"/>
  <c r="Y25" i="1"/>
  <c r="Y133" i="1"/>
  <c r="Y52" i="1"/>
  <c r="Y17" i="1"/>
  <c r="Y227" i="1"/>
  <c r="Y12" i="1"/>
  <c r="X3" i="2"/>
  <c r="X8" i="2"/>
  <c r="X234" i="1"/>
  <c r="X236" i="1"/>
  <c r="X213" i="1"/>
  <c r="X24" i="1"/>
  <c r="X126" i="1"/>
  <c r="X50" i="1"/>
  <c r="X149" i="1"/>
  <c r="X31" i="1"/>
  <c r="X231" i="1"/>
  <c r="X226" i="1"/>
  <c r="X178" i="1"/>
  <c r="X112" i="1"/>
  <c r="X192" i="1"/>
  <c r="X216" i="1"/>
  <c r="X142" i="1"/>
  <c r="X11" i="1"/>
  <c r="X171" i="1"/>
  <c r="X141" i="1"/>
  <c r="AF141" i="1" s="1"/>
  <c r="X104" i="1"/>
  <c r="X214" i="1"/>
  <c r="X199" i="1"/>
  <c r="X132" i="1"/>
  <c r="X207" i="1"/>
  <c r="X148" i="1"/>
  <c r="X173" i="1"/>
  <c r="X84" i="1"/>
  <c r="X59" i="1"/>
  <c r="X41" i="1"/>
  <c r="X180" i="1"/>
  <c r="X111" i="1"/>
  <c r="X130" i="1"/>
  <c r="X48" i="1"/>
  <c r="X162" i="1"/>
  <c r="X189" i="1"/>
  <c r="X205" i="1"/>
  <c r="X174" i="1"/>
  <c r="X157" i="1"/>
  <c r="X30" i="1"/>
  <c r="X177" i="1"/>
  <c r="X166" i="1"/>
  <c r="X190" i="1"/>
  <c r="X15" i="1"/>
  <c r="AF15" i="1" s="1"/>
  <c r="X143" i="1"/>
  <c r="X66" i="1"/>
  <c r="X123" i="1"/>
  <c r="X35" i="1"/>
  <c r="X69" i="1"/>
  <c r="X168" i="1"/>
  <c r="X156" i="1"/>
  <c r="X108" i="1"/>
  <c r="X125" i="1"/>
  <c r="X204" i="1"/>
  <c r="X135" i="1"/>
  <c r="X129" i="1"/>
  <c r="X109" i="1"/>
  <c r="X116" i="1"/>
  <c r="X232" i="1"/>
  <c r="X115" i="1"/>
  <c r="X144" i="1"/>
  <c r="X118" i="1"/>
  <c r="X154" i="1"/>
  <c r="X137" i="1"/>
  <c r="X201" i="1"/>
  <c r="X191" i="1"/>
  <c r="AF191" i="1" s="1"/>
  <c r="X167" i="1"/>
  <c r="X151" i="1"/>
  <c r="X121" i="1"/>
  <c r="X206" i="1"/>
  <c r="X193" i="1"/>
  <c r="X20" i="1"/>
  <c r="X110" i="1"/>
  <c r="X139" i="1"/>
  <c r="X114" i="1"/>
  <c r="X36" i="1"/>
  <c r="X160" i="1"/>
  <c r="X183" i="1"/>
  <c r="X153" i="1"/>
  <c r="X158" i="1"/>
  <c r="X95" i="1"/>
  <c r="X170" i="1"/>
  <c r="X152" i="1"/>
  <c r="X87" i="1"/>
  <c r="X98" i="1"/>
  <c r="X70" i="1"/>
  <c r="X179" i="1"/>
  <c r="X75" i="1"/>
  <c r="X218" i="1"/>
  <c r="X150" i="1"/>
  <c r="X188" i="1"/>
  <c r="X54" i="1"/>
  <c r="X86" i="1"/>
  <c r="X57" i="1"/>
  <c r="X8" i="1"/>
  <c r="X100" i="1"/>
  <c r="X91" i="1"/>
  <c r="X165" i="1"/>
  <c r="X94" i="1"/>
  <c r="X187" i="1"/>
  <c r="X56" i="1"/>
  <c r="X124" i="1"/>
  <c r="X134" i="1"/>
  <c r="X80" i="1"/>
  <c r="X119" i="1"/>
  <c r="X83" i="1"/>
  <c r="X146" i="1"/>
  <c r="X117" i="1"/>
  <c r="X43" i="1"/>
  <c r="X202" i="1"/>
  <c r="X145" i="1"/>
  <c r="X161" i="1"/>
  <c r="X208" i="1"/>
  <c r="X230" i="1"/>
  <c r="X107" i="1"/>
  <c r="X222" i="1"/>
  <c r="X51" i="1"/>
  <c r="X93" i="1"/>
  <c r="X45" i="1"/>
  <c r="X90" i="1"/>
  <c r="X61" i="1"/>
  <c r="X34" i="1"/>
  <c r="X159" i="1"/>
  <c r="X28" i="1"/>
  <c r="X82" i="1"/>
  <c r="X120" i="1"/>
  <c r="X102" i="1"/>
  <c r="X74" i="1"/>
  <c r="X62" i="1"/>
  <c r="X101" i="1"/>
  <c r="X128" i="1"/>
  <c r="X138" i="1"/>
  <c r="X76" i="1"/>
  <c r="X44" i="1"/>
  <c r="X147" i="1"/>
  <c r="X200" i="1"/>
  <c r="X22" i="1"/>
  <c r="X88" i="1"/>
  <c r="X73" i="1"/>
  <c r="X169" i="1"/>
  <c r="X103" i="1"/>
  <c r="X185" i="1"/>
  <c r="X122" i="1"/>
  <c r="X63" i="1"/>
  <c r="X60" i="1"/>
  <c r="X99" i="1"/>
  <c r="X209" i="1"/>
  <c r="X65" i="1"/>
  <c r="X7" i="1"/>
  <c r="X198" i="1"/>
  <c r="X78" i="1"/>
  <c r="X96" i="1"/>
  <c r="X67" i="1"/>
  <c r="X175" i="1"/>
  <c r="X77" i="1"/>
  <c r="X131" i="1"/>
  <c r="X172" i="1"/>
  <c r="X53" i="1"/>
  <c r="X14" i="1"/>
  <c r="AF14" i="1" s="1"/>
  <c r="X38" i="1"/>
  <c r="X106" i="1"/>
  <c r="X64" i="1"/>
  <c r="X113" i="1"/>
  <c r="X47" i="1"/>
  <c r="X46" i="1"/>
  <c r="X223" i="1"/>
  <c r="X136" i="1"/>
  <c r="X176" i="1"/>
  <c r="X155" i="1"/>
  <c r="X89" i="1"/>
  <c r="X81" i="1"/>
  <c r="X4" i="1"/>
  <c r="X26" i="1"/>
  <c r="X32" i="1"/>
  <c r="X39" i="1"/>
  <c r="X10" i="1"/>
  <c r="X79" i="1"/>
  <c r="X25" i="1"/>
  <c r="X133" i="1"/>
  <c r="X52" i="1"/>
  <c r="X17" i="1"/>
  <c r="X12" i="1"/>
  <c r="M72" i="1"/>
  <c r="M16" i="1"/>
  <c r="M68" i="1"/>
  <c r="M164" i="1"/>
  <c r="M42" i="1"/>
  <c r="M197" i="1"/>
  <c r="M9" i="1"/>
  <c r="M229" i="1"/>
  <c r="M219" i="1"/>
  <c r="L72" i="1"/>
  <c r="AF72" i="1" s="1"/>
  <c r="L16" i="1"/>
  <c r="AF16" i="1" s="1"/>
  <c r="L68" i="1"/>
  <c r="AF68" i="1" s="1"/>
  <c r="L164" i="1"/>
  <c r="AF164" i="1" s="1"/>
  <c r="L42" i="1"/>
  <c r="AF42" i="1" s="1"/>
  <c r="L197" i="1"/>
  <c r="AF197" i="1" s="1"/>
  <c r="L9" i="1"/>
  <c r="AF9" i="1" s="1"/>
  <c r="L229" i="1"/>
  <c r="AF229" i="1" s="1"/>
  <c r="L219" i="1"/>
  <c r="AF219" i="1" s="1"/>
  <c r="I42" i="1"/>
  <c r="I197" i="1"/>
  <c r="I9" i="1"/>
  <c r="I229" i="1"/>
  <c r="I219" i="1"/>
  <c r="I68" i="1"/>
  <c r="I164" i="1"/>
  <c r="AF234" i="1" l="1"/>
  <c r="AF12" i="1"/>
  <c r="AF236" i="1"/>
  <c r="G148" i="2"/>
  <c r="AF146" i="2"/>
  <c r="L51" i="3"/>
  <c r="AG51" i="3" s="1"/>
  <c r="M59" i="3"/>
  <c r="L67" i="3"/>
  <c r="AG67" i="3" s="1"/>
  <c r="M60" i="3"/>
  <c r="L112" i="3"/>
  <c r="AG112" i="3" s="1"/>
  <c r="M85" i="3"/>
  <c r="L59" i="3"/>
  <c r="AG59" i="3" s="1"/>
  <c r="M67" i="3"/>
  <c r="L60" i="3"/>
  <c r="AG60" i="3" s="1"/>
  <c r="M51" i="3"/>
  <c r="L85" i="3"/>
  <c r="AG85" i="3" s="1"/>
  <c r="AF117" i="3"/>
  <c r="G149" i="2"/>
  <c r="I24" i="3"/>
  <c r="I100" i="3"/>
  <c r="I115" i="2"/>
  <c r="I72" i="1"/>
  <c r="I16" i="1"/>
  <c r="I14" i="3"/>
  <c r="L103" i="3"/>
  <c r="AG103" i="3" s="1"/>
  <c r="M43" i="3"/>
  <c r="L15" i="3"/>
  <c r="M15" i="3"/>
  <c r="L10" i="3"/>
  <c r="AG10" i="3" s="1"/>
  <c r="M10" i="3"/>
  <c r="W14" i="3"/>
  <c r="I41" i="3"/>
  <c r="L69" i="3"/>
  <c r="AG69" i="3" s="1"/>
  <c r="M69" i="3"/>
  <c r="I13" i="3"/>
  <c r="L7" i="3"/>
  <c r="AG7" i="3" s="1"/>
  <c r="M7" i="3"/>
  <c r="I82" i="3"/>
  <c r="L30" i="3"/>
  <c r="AG30" i="3" s="1"/>
  <c r="M30" i="3"/>
  <c r="I4" i="3"/>
  <c r="L21" i="3"/>
  <c r="AG21" i="3" s="1"/>
  <c r="M21" i="3"/>
  <c r="L107" i="3"/>
  <c r="AG107" i="3" s="1"/>
  <c r="M107" i="3"/>
  <c r="I102" i="3"/>
  <c r="M62" i="3"/>
  <c r="I90" i="3"/>
  <c r="L66" i="3"/>
  <c r="AG66" i="3" s="1"/>
  <c r="M66" i="3"/>
  <c r="I12" i="3"/>
  <c r="L42" i="3"/>
  <c r="AG42" i="3" s="1"/>
  <c r="M42" i="3"/>
  <c r="L83" i="3"/>
  <c r="AG83" i="3" s="1"/>
  <c r="M83" i="3"/>
  <c r="I54" i="3"/>
  <c r="L26" i="3"/>
  <c r="AG26" i="3" s="1"/>
  <c r="M26" i="3"/>
  <c r="I23" i="3"/>
  <c r="L8" i="3"/>
  <c r="AG8" i="3" s="1"/>
  <c r="M8" i="3"/>
  <c r="I96" i="3"/>
  <c r="L87" i="3"/>
  <c r="AG87" i="3" s="1"/>
  <c r="M87" i="3"/>
  <c r="I29" i="3"/>
  <c r="L78" i="3"/>
  <c r="AG78" i="3" s="1"/>
  <c r="M78" i="3"/>
  <c r="I86" i="3"/>
  <c r="L70" i="3"/>
  <c r="AG70" i="3" s="1"/>
  <c r="M70" i="3"/>
  <c r="I49" i="3"/>
  <c r="I7" i="3"/>
  <c r="L33" i="3"/>
  <c r="AG33" i="3" s="1"/>
  <c r="M33" i="3"/>
  <c r="I6" i="3"/>
  <c r="M112" i="3"/>
  <c r="I83" i="3"/>
  <c r="I79" i="3"/>
  <c r="L86" i="3"/>
  <c r="AG86" i="3" s="1"/>
  <c r="M86" i="3"/>
  <c r="I18" i="3"/>
  <c r="L38" i="3"/>
  <c r="AG38" i="3" s="1"/>
  <c r="M38" i="3"/>
  <c r="I40" i="3"/>
  <c r="L96" i="3"/>
  <c r="AG96" i="3" s="1"/>
  <c r="M96" i="3"/>
  <c r="I48" i="3"/>
  <c r="L39" i="3"/>
  <c r="AG39" i="3" s="1"/>
  <c r="M39" i="3"/>
  <c r="I81" i="3"/>
  <c r="L73" i="3"/>
  <c r="AG73" i="3" s="1"/>
  <c r="M73" i="3"/>
  <c r="I57" i="3"/>
  <c r="I11" i="3"/>
  <c r="L82" i="3"/>
  <c r="AG82" i="3" s="1"/>
  <c r="M82" i="3"/>
  <c r="L84" i="3"/>
  <c r="AG84" i="3" s="1"/>
  <c r="M84" i="3"/>
  <c r="L63" i="3"/>
  <c r="AG63" i="3" s="1"/>
  <c r="M63" i="3"/>
  <c r="I33" i="3"/>
  <c r="L20" i="3"/>
  <c r="AG20" i="3" s="1"/>
  <c r="M20" i="3"/>
  <c r="L93" i="3"/>
  <c r="AG93" i="3" s="1"/>
  <c r="M93" i="3"/>
  <c r="L92" i="3"/>
  <c r="AG92" i="3" s="1"/>
  <c r="M92" i="3"/>
  <c r="I35" i="3"/>
  <c r="L95" i="3"/>
  <c r="AG95" i="3" s="1"/>
  <c r="M95" i="3"/>
  <c r="I72" i="3"/>
  <c r="L98" i="3"/>
  <c r="AG98" i="3" s="1"/>
  <c r="M98" i="3"/>
  <c r="L34" i="3"/>
  <c r="AG34" i="3" s="1"/>
  <c r="M34" i="3"/>
  <c r="I87" i="3"/>
  <c r="L77" i="3"/>
  <c r="AG77" i="3" s="1"/>
  <c r="M77" i="3"/>
  <c r="I69" i="3"/>
  <c r="I95" i="3"/>
  <c r="L12" i="3"/>
  <c r="AG12" i="3" s="1"/>
  <c r="M12" i="3"/>
  <c r="I44" i="3"/>
  <c r="L111" i="3"/>
  <c r="AG111" i="3" s="1"/>
  <c r="M111" i="3"/>
  <c r="I91" i="3"/>
  <c r="L94" i="3"/>
  <c r="AG94" i="3" s="1"/>
  <c r="M94" i="3"/>
  <c r="I80" i="3"/>
  <c r="L109" i="3"/>
  <c r="AG109" i="3" s="1"/>
  <c r="M109" i="3"/>
  <c r="I10" i="3"/>
  <c r="L55" i="3"/>
  <c r="AG55" i="3" s="1"/>
  <c r="M55" i="3"/>
  <c r="I28" i="3"/>
  <c r="L110" i="3"/>
  <c r="AG110" i="3" s="1"/>
  <c r="M110" i="3"/>
  <c r="I77" i="3"/>
  <c r="L104" i="3"/>
  <c r="AG104" i="3" s="1"/>
  <c r="M104" i="3"/>
  <c r="I47" i="3"/>
  <c r="L91" i="3"/>
  <c r="AG91" i="3" s="1"/>
  <c r="M91" i="3"/>
  <c r="I78" i="3"/>
  <c r="L81" i="3"/>
  <c r="AG81" i="3" s="1"/>
  <c r="M81" i="3"/>
  <c r="I26" i="3"/>
  <c r="L80" i="3"/>
  <c r="AG80" i="3" s="1"/>
  <c r="M80" i="3"/>
  <c r="I104" i="3"/>
  <c r="L74" i="3"/>
  <c r="AG74" i="3" s="1"/>
  <c r="M74" i="3"/>
  <c r="L5" i="3"/>
  <c r="AG5" i="3" s="1"/>
  <c r="M5" i="3"/>
  <c r="I93" i="3"/>
  <c r="L64" i="3"/>
  <c r="AG64" i="3" s="1"/>
  <c r="M64" i="3"/>
  <c r="I65" i="3"/>
  <c r="L22" i="3"/>
  <c r="AG22" i="3" s="1"/>
  <c r="M22" i="3"/>
  <c r="I34" i="3"/>
  <c r="L11" i="3"/>
  <c r="AG11" i="3" s="1"/>
  <c r="M11" i="3"/>
  <c r="I75" i="3"/>
  <c r="L54" i="3"/>
  <c r="AG54" i="3" s="1"/>
  <c r="M54" i="3"/>
  <c r="I20" i="3"/>
  <c r="I50" i="3"/>
  <c r="L40" i="3"/>
  <c r="AG40" i="3" s="1"/>
  <c r="M40" i="3"/>
  <c r="I89" i="3"/>
  <c r="L35" i="3"/>
  <c r="AG35" i="3" s="1"/>
  <c r="M35" i="3"/>
  <c r="I39" i="3"/>
  <c r="L105" i="3"/>
  <c r="AG105" i="3" s="1"/>
  <c r="M105" i="3"/>
  <c r="I66" i="3"/>
  <c r="L52" i="3"/>
  <c r="AG52" i="3" s="1"/>
  <c r="M52" i="3"/>
  <c r="I45" i="3"/>
  <c r="L44" i="3"/>
  <c r="AG44" i="3" s="1"/>
  <c r="M44" i="3"/>
  <c r="I46" i="3"/>
  <c r="L41" i="3"/>
  <c r="AG41" i="3" s="1"/>
  <c r="M41" i="3"/>
  <c r="I92" i="3"/>
  <c r="L102" i="3"/>
  <c r="AG102" i="3" s="1"/>
  <c r="M102" i="3"/>
  <c r="I31" i="3"/>
  <c r="I64" i="3"/>
  <c r="L75" i="3"/>
  <c r="AG75" i="3" s="1"/>
  <c r="M75" i="3"/>
  <c r="I21" i="3"/>
  <c r="M47" i="3"/>
  <c r="I107" i="3"/>
  <c r="L53" i="3"/>
  <c r="AG53" i="3" s="1"/>
  <c r="M53" i="3"/>
  <c r="I74" i="3"/>
  <c r="L48" i="3"/>
  <c r="AG48" i="3" s="1"/>
  <c r="M48" i="3"/>
  <c r="I55" i="3"/>
  <c r="L46" i="3"/>
  <c r="AG46" i="3" s="1"/>
  <c r="M46" i="3"/>
  <c r="I112" i="3"/>
  <c r="L4" i="3"/>
  <c r="AG4" i="3" s="1"/>
  <c r="M4" i="3"/>
  <c r="L108" i="3"/>
  <c r="AG108" i="3" s="1"/>
  <c r="M108" i="3"/>
  <c r="I32" i="3"/>
  <c r="L57" i="3"/>
  <c r="AG57" i="3" s="1"/>
  <c r="M57" i="3"/>
  <c r="I71" i="3"/>
  <c r="L90" i="3"/>
  <c r="AG90" i="3" s="1"/>
  <c r="M90" i="3"/>
  <c r="I63" i="3"/>
  <c r="L23" i="3"/>
  <c r="AG23" i="3" s="1"/>
  <c r="M23" i="3"/>
  <c r="I99" i="3"/>
  <c r="L37" i="3"/>
  <c r="AG37" i="3" s="1"/>
  <c r="M37" i="3"/>
  <c r="I42" i="3"/>
  <c r="L50" i="3"/>
  <c r="AG50" i="3" s="1"/>
  <c r="M50" i="3"/>
  <c r="I36" i="3"/>
  <c r="L24" i="3"/>
  <c r="AG24" i="3" s="1"/>
  <c r="M24" i="3"/>
  <c r="I52" i="3"/>
  <c r="L45" i="3"/>
  <c r="AG45" i="3" s="1"/>
  <c r="M45" i="3"/>
  <c r="I30" i="3"/>
  <c r="L99" i="3"/>
  <c r="AG99" i="3" s="1"/>
  <c r="M99" i="3"/>
  <c r="I8" i="3"/>
  <c r="L106" i="3"/>
  <c r="AG106" i="3" s="1"/>
  <c r="M106" i="3"/>
  <c r="I94" i="3"/>
  <c r="I73" i="3"/>
  <c r="L89" i="3"/>
  <c r="AG89" i="3" s="1"/>
  <c r="M89" i="3"/>
  <c r="I98" i="3"/>
  <c r="L88" i="3"/>
  <c r="AG88" i="3" s="1"/>
  <c r="M88" i="3"/>
  <c r="I56" i="3"/>
  <c r="M28" i="3"/>
  <c r="I37" i="3"/>
  <c r="L36" i="3"/>
  <c r="AG36" i="3" s="1"/>
  <c r="M36" i="3"/>
  <c r="I43" i="3"/>
  <c r="L31" i="3"/>
  <c r="AG31" i="3" s="1"/>
  <c r="M31" i="3"/>
  <c r="I61" i="3"/>
  <c r="L72" i="3"/>
  <c r="AG72" i="3" s="1"/>
  <c r="M72" i="3"/>
  <c r="I111" i="3"/>
  <c r="L100" i="3"/>
  <c r="AG100" i="3" s="1"/>
  <c r="M100" i="3"/>
  <c r="I53" i="3"/>
  <c r="L49" i="3"/>
  <c r="AG49" i="3" s="1"/>
  <c r="M49" i="3"/>
  <c r="I105" i="3"/>
  <c r="L16" i="3"/>
  <c r="AG16" i="3" s="1"/>
  <c r="M16" i="3"/>
  <c r="I110" i="3"/>
  <c r="L32" i="3"/>
  <c r="AG32" i="3" s="1"/>
  <c r="M32" i="3"/>
  <c r="I109" i="3"/>
  <c r="L17" i="3"/>
  <c r="M17" i="3"/>
  <c r="I70" i="3"/>
  <c r="L29" i="3"/>
  <c r="AG29" i="3" s="1"/>
  <c r="M29" i="3"/>
  <c r="I22" i="3"/>
  <c r="L65" i="3"/>
  <c r="AG65" i="3" s="1"/>
  <c r="M65" i="3"/>
  <c r="I97" i="3"/>
  <c r="L101" i="3"/>
  <c r="AG101" i="3" s="1"/>
  <c r="M101" i="3"/>
  <c r="I16" i="3"/>
  <c r="L19" i="3"/>
  <c r="AG19" i="3" s="1"/>
  <c r="M19" i="3"/>
  <c r="I5" i="3"/>
  <c r="L9" i="3"/>
  <c r="M9" i="3"/>
  <c r="I108" i="3"/>
  <c r="L71" i="3"/>
  <c r="AG71" i="3" s="1"/>
  <c r="M71" i="3"/>
  <c r="I19" i="3"/>
  <c r="L97" i="3"/>
  <c r="AG97" i="3" s="1"/>
  <c r="M97" i="3"/>
  <c r="I103" i="3"/>
  <c r="L79" i="3"/>
  <c r="AG79" i="3" s="1"/>
  <c r="M79" i="3"/>
  <c r="I101" i="3"/>
  <c r="L18" i="3"/>
  <c r="AG18" i="3" s="1"/>
  <c r="M18" i="3"/>
  <c r="I88" i="3"/>
  <c r="L43" i="3"/>
  <c r="AG43" i="3" s="1"/>
  <c r="L113" i="3"/>
  <c r="M113" i="3"/>
  <c r="I17" i="3"/>
  <c r="V17" i="3"/>
  <c r="W17" i="3"/>
  <c r="I9" i="3"/>
  <c r="AG3" i="3"/>
  <c r="M3" i="3"/>
  <c r="V9" i="3"/>
  <c r="W9" i="3"/>
  <c r="I106" i="3"/>
  <c r="L14" i="3"/>
  <c r="AG14" i="3" s="1"/>
  <c r="M14" i="3"/>
  <c r="I15" i="3"/>
  <c r="L6" i="3"/>
  <c r="AG6" i="3" s="1"/>
  <c r="M6" i="3"/>
  <c r="V15" i="3"/>
  <c r="W15" i="3"/>
  <c r="I113" i="3"/>
  <c r="L61" i="3"/>
  <c r="AG61" i="3" s="1"/>
  <c r="M61" i="3"/>
  <c r="V113" i="3"/>
  <c r="W113" i="3"/>
  <c r="I38" i="3"/>
  <c r="M103" i="3"/>
  <c r="I68" i="3"/>
  <c r="M13" i="3"/>
  <c r="W68" i="3"/>
  <c r="I84" i="3"/>
  <c r="L56" i="3"/>
  <c r="AG56" i="3" s="1"/>
  <c r="M56" i="3"/>
  <c r="I3" i="3"/>
  <c r="L68" i="3"/>
  <c r="AG68" i="3" s="1"/>
  <c r="M68" i="3"/>
  <c r="W3" i="3"/>
  <c r="E167" i="5"/>
  <c r="J2" i="5"/>
  <c r="AG113" i="3" l="1"/>
  <c r="AG9" i="3"/>
  <c r="AG17" i="3"/>
  <c r="AG15" i="3"/>
  <c r="L62" i="3"/>
  <c r="W123" i="2"/>
  <c r="AG123" i="2" s="1"/>
  <c r="X123" i="2"/>
  <c r="W86" i="2"/>
  <c r="AG86" i="2" s="1"/>
  <c r="X86" i="2"/>
  <c r="W15" i="2"/>
  <c r="AG15" i="2" s="1"/>
  <c r="X15" i="2"/>
  <c r="W9" i="2"/>
  <c r="AG9" i="2" s="1"/>
  <c r="X9" i="2"/>
  <c r="I9" i="2"/>
  <c r="I15" i="2"/>
  <c r="L35" i="1"/>
  <c r="AF35" i="1" s="1"/>
  <c r="M35" i="1"/>
  <c r="L176" i="1"/>
  <c r="AF176" i="1" s="1"/>
  <c r="M176" i="1"/>
  <c r="L206" i="1"/>
  <c r="AF206" i="1" s="1"/>
  <c r="M206" i="1"/>
  <c r="L43" i="1"/>
  <c r="AF43" i="1" s="1"/>
  <c r="M43" i="1"/>
  <c r="L32" i="1"/>
  <c r="AF32" i="1" s="1"/>
  <c r="M32" i="1"/>
  <c r="L90" i="1"/>
  <c r="AF90" i="1" s="1"/>
  <c r="M90" i="1"/>
  <c r="L7" i="1"/>
  <c r="AF7" i="1" s="1"/>
  <c r="M7" i="1"/>
  <c r="L170" i="1"/>
  <c r="AF170" i="1" s="1"/>
  <c r="M170" i="1"/>
  <c r="L83" i="1"/>
  <c r="AF83" i="1" s="1"/>
  <c r="M83" i="1"/>
  <c r="L52" i="1"/>
  <c r="AF52" i="1" s="1"/>
  <c r="M52" i="1"/>
  <c r="M234" i="1"/>
  <c r="M163" i="1"/>
  <c r="M236" i="1"/>
  <c r="M217" i="1"/>
  <c r="M13" i="1"/>
  <c r="M230" i="1"/>
  <c r="M79" i="1"/>
  <c r="M142" i="1"/>
  <c r="M184" i="1"/>
  <c r="M5" i="1"/>
  <c r="M70" i="1"/>
  <c r="M78" i="1"/>
  <c r="M20" i="1"/>
  <c r="M46" i="1"/>
  <c r="M119" i="1"/>
  <c r="M149" i="1"/>
  <c r="M178" i="1"/>
  <c r="M65" i="1"/>
  <c r="M64" i="1"/>
  <c r="M155" i="1"/>
  <c r="M218" i="1"/>
  <c r="M112" i="1"/>
  <c r="M19" i="1"/>
  <c r="M191" i="1"/>
  <c r="M106" i="1"/>
  <c r="M8" i="1"/>
  <c r="M131" i="1"/>
  <c r="M22" i="1"/>
  <c r="M62" i="1"/>
  <c r="M134" i="1"/>
  <c r="M73" i="1"/>
  <c r="M122" i="1"/>
  <c r="M66" i="1"/>
  <c r="M81" i="1"/>
  <c r="M44" i="1"/>
  <c r="M11" i="1"/>
  <c r="M209" i="1"/>
  <c r="M37" i="1"/>
  <c r="M67" i="1"/>
  <c r="M4" i="1"/>
  <c r="M53" i="1"/>
  <c r="M175" i="1"/>
  <c r="M173" i="1"/>
  <c r="M198" i="1"/>
  <c r="M75" i="1"/>
  <c r="M56" i="1"/>
  <c r="M169" i="1"/>
  <c r="M45" i="1"/>
  <c r="M103" i="1"/>
  <c r="M93" i="1"/>
  <c r="M47" i="1"/>
  <c r="M233" i="1"/>
  <c r="M100" i="1"/>
  <c r="M139" i="1"/>
  <c r="M28" i="1"/>
  <c r="M199" i="1"/>
  <c r="M188" i="1"/>
  <c r="M113" i="1"/>
  <c r="M180" i="1"/>
  <c r="M110" i="1"/>
  <c r="M193" i="1"/>
  <c r="M152" i="1"/>
  <c r="M91" i="1"/>
  <c r="M99" i="1"/>
  <c r="M54" i="1"/>
  <c r="M192" i="1"/>
  <c r="M109" i="1"/>
  <c r="M145" i="1"/>
  <c r="M98" i="1"/>
  <c r="M185" i="1"/>
  <c r="M29" i="1"/>
  <c r="M57" i="1"/>
  <c r="M183" i="1"/>
  <c r="M123" i="1"/>
  <c r="M34" i="1"/>
  <c r="M215" i="1"/>
  <c r="M227" i="1"/>
  <c r="M179" i="1"/>
  <c r="M38" i="1"/>
  <c r="M114" i="1"/>
  <c r="M232" i="1"/>
  <c r="M214" i="1"/>
  <c r="M172" i="1"/>
  <c r="M222" i="1"/>
  <c r="M15" i="1"/>
  <c r="M26" i="1"/>
  <c r="M115" i="1"/>
  <c r="M201" i="1"/>
  <c r="M86" i="1"/>
  <c r="M116" i="1"/>
  <c r="M102" i="1"/>
  <c r="M195" i="1"/>
  <c r="M157" i="1"/>
  <c r="M128" i="1"/>
  <c r="M96" i="1"/>
  <c r="M89" i="1"/>
  <c r="M104" i="1"/>
  <c r="M94" i="1"/>
  <c r="M225" i="1"/>
  <c r="M107" i="1"/>
  <c r="M17" i="1"/>
  <c r="M111" i="1"/>
  <c r="M156" i="1"/>
  <c r="M69" i="1"/>
  <c r="M141" i="1"/>
  <c r="M146" i="1"/>
  <c r="M171" i="1"/>
  <c r="M144" i="1"/>
  <c r="M140" i="1"/>
  <c r="M101" i="1"/>
  <c r="M63" i="1"/>
  <c r="M121" i="1"/>
  <c r="M138" i="1"/>
  <c r="M159" i="1"/>
  <c r="M61" i="1"/>
  <c r="M36" i="1"/>
  <c r="M132" i="1"/>
  <c r="M137" i="1"/>
  <c r="M130" i="1"/>
  <c r="M108" i="1"/>
  <c r="M125" i="1"/>
  <c r="M118" i="1"/>
  <c r="M120" i="1"/>
  <c r="M31" i="1"/>
  <c r="M60" i="1"/>
  <c r="M153" i="1"/>
  <c r="M200" i="1"/>
  <c r="M160" i="1"/>
  <c r="M190" i="1"/>
  <c r="M208" i="1"/>
  <c r="M136" i="1"/>
  <c r="M51" i="1"/>
  <c r="M158" i="1"/>
  <c r="M148" i="1"/>
  <c r="M143" i="1"/>
  <c r="M174" i="1"/>
  <c r="M167" i="1"/>
  <c r="M129" i="1"/>
  <c r="M76" i="1"/>
  <c r="M168" i="1"/>
  <c r="M124" i="1"/>
  <c r="M202" i="1"/>
  <c r="M80" i="1"/>
  <c r="M133" i="1"/>
  <c r="M25" i="1"/>
  <c r="M162" i="1"/>
  <c r="M177" i="1"/>
  <c r="M126" i="1"/>
  <c r="M18" i="1"/>
  <c r="M189" i="1"/>
  <c r="M88" i="1"/>
  <c r="M216" i="1"/>
  <c r="M41" i="1"/>
  <c r="M95" i="1"/>
  <c r="M166" i="1"/>
  <c r="M77" i="1"/>
  <c r="M161" i="1"/>
  <c r="M165" i="1"/>
  <c r="M204" i="1"/>
  <c r="M59" i="1"/>
  <c r="M228" i="1"/>
  <c r="M207" i="1"/>
  <c r="M117" i="1"/>
  <c r="M151" i="1"/>
  <c r="M135" i="1"/>
  <c r="M154" i="1"/>
  <c r="M48" i="1"/>
  <c r="M30" i="1"/>
  <c r="M147" i="1"/>
  <c r="M10" i="1"/>
  <c r="M187" i="1"/>
  <c r="M39" i="1"/>
  <c r="M223" i="1"/>
  <c r="M87" i="1"/>
  <c r="M226" i="1"/>
  <c r="M82" i="1"/>
  <c r="M150" i="1"/>
  <c r="M74" i="1"/>
  <c r="M24" i="1"/>
  <c r="M14" i="1"/>
  <c r="M50" i="1"/>
  <c r="M23" i="1"/>
  <c r="M27" i="1"/>
  <c r="M55" i="1"/>
  <c r="M84" i="1"/>
  <c r="M205" i="1"/>
  <c r="M127" i="1"/>
  <c r="M231" i="1"/>
  <c r="M213" i="1"/>
  <c r="M3" i="1"/>
  <c r="L163" i="1"/>
  <c r="AF163" i="1" s="1"/>
  <c r="L217" i="1"/>
  <c r="AF217" i="1" s="1"/>
  <c r="L13" i="1"/>
  <c r="AF13" i="1" s="1"/>
  <c r="L230" i="1"/>
  <c r="AF230" i="1" s="1"/>
  <c r="L79" i="1"/>
  <c r="AF79" i="1" s="1"/>
  <c r="L142" i="1"/>
  <c r="AF142" i="1" s="1"/>
  <c r="L184" i="1"/>
  <c r="AF184" i="1" s="1"/>
  <c r="L5" i="1"/>
  <c r="AF5" i="1" s="1"/>
  <c r="L70" i="1"/>
  <c r="AF70" i="1" s="1"/>
  <c r="L78" i="1"/>
  <c r="AF78" i="1" s="1"/>
  <c r="L20" i="1"/>
  <c r="AF20" i="1" s="1"/>
  <c r="L46" i="1"/>
  <c r="AF46" i="1" s="1"/>
  <c r="L119" i="1"/>
  <c r="AF119" i="1" s="1"/>
  <c r="L149" i="1"/>
  <c r="AF149" i="1" s="1"/>
  <c r="L178" i="1"/>
  <c r="AF178" i="1" s="1"/>
  <c r="L65" i="1"/>
  <c r="AF65" i="1" s="1"/>
  <c r="L64" i="1"/>
  <c r="AF64" i="1" s="1"/>
  <c r="L155" i="1"/>
  <c r="AF155" i="1" s="1"/>
  <c r="L218" i="1"/>
  <c r="AF218" i="1" s="1"/>
  <c r="L112" i="1"/>
  <c r="AF112" i="1" s="1"/>
  <c r="L19" i="1"/>
  <c r="AF19" i="1" s="1"/>
  <c r="L106" i="1"/>
  <c r="AF106" i="1" s="1"/>
  <c r="L8" i="1"/>
  <c r="AF8" i="1" s="1"/>
  <c r="L131" i="1"/>
  <c r="AF131" i="1" s="1"/>
  <c r="L22" i="1"/>
  <c r="AF22" i="1" s="1"/>
  <c r="L62" i="1"/>
  <c r="AF62" i="1" s="1"/>
  <c r="L134" i="1"/>
  <c r="AF134" i="1" s="1"/>
  <c r="L73" i="1"/>
  <c r="AF73" i="1" s="1"/>
  <c r="L122" i="1"/>
  <c r="AF122" i="1" s="1"/>
  <c r="L66" i="1"/>
  <c r="AF66" i="1" s="1"/>
  <c r="L81" i="1"/>
  <c r="AF81" i="1" s="1"/>
  <c r="L44" i="1"/>
  <c r="AF44" i="1" s="1"/>
  <c r="L11" i="1"/>
  <c r="AF11" i="1" s="1"/>
  <c r="L209" i="1"/>
  <c r="AF209" i="1" s="1"/>
  <c r="L37" i="1"/>
  <c r="AF37" i="1" s="1"/>
  <c r="L67" i="1"/>
  <c r="AF67" i="1" s="1"/>
  <c r="L4" i="1"/>
  <c r="AF4" i="1" s="1"/>
  <c r="L53" i="1"/>
  <c r="AF53" i="1" s="1"/>
  <c r="L175" i="1"/>
  <c r="AF175" i="1" s="1"/>
  <c r="L173" i="1"/>
  <c r="AF173" i="1" s="1"/>
  <c r="L198" i="1"/>
  <c r="AF198" i="1" s="1"/>
  <c r="L75" i="1"/>
  <c r="AF75" i="1" s="1"/>
  <c r="L56" i="1"/>
  <c r="AF56" i="1" s="1"/>
  <c r="L169" i="1"/>
  <c r="AF169" i="1" s="1"/>
  <c r="L45" i="1"/>
  <c r="AF45" i="1" s="1"/>
  <c r="L103" i="1"/>
  <c r="AF103" i="1" s="1"/>
  <c r="L93" i="1"/>
  <c r="AF93" i="1" s="1"/>
  <c r="L47" i="1"/>
  <c r="AF47" i="1" s="1"/>
  <c r="L233" i="1"/>
  <c r="AF233" i="1" s="1"/>
  <c r="L100" i="1"/>
  <c r="AF100" i="1" s="1"/>
  <c r="L139" i="1"/>
  <c r="AF139" i="1" s="1"/>
  <c r="L28" i="1"/>
  <c r="AF28" i="1" s="1"/>
  <c r="L199" i="1"/>
  <c r="AF199" i="1" s="1"/>
  <c r="L188" i="1"/>
  <c r="AF188" i="1" s="1"/>
  <c r="L113" i="1"/>
  <c r="AF113" i="1" s="1"/>
  <c r="L180" i="1"/>
  <c r="AF180" i="1" s="1"/>
  <c r="L110" i="1"/>
  <c r="AF110" i="1" s="1"/>
  <c r="L193" i="1"/>
  <c r="AF193" i="1" s="1"/>
  <c r="L152" i="1"/>
  <c r="AF152" i="1" s="1"/>
  <c r="L91" i="1"/>
  <c r="AF91" i="1" s="1"/>
  <c r="L99" i="1"/>
  <c r="AF99" i="1" s="1"/>
  <c r="L54" i="1"/>
  <c r="AF54" i="1" s="1"/>
  <c r="L192" i="1"/>
  <c r="AF192" i="1" s="1"/>
  <c r="L109" i="1"/>
  <c r="AF109" i="1" s="1"/>
  <c r="L145" i="1"/>
  <c r="AF145" i="1" s="1"/>
  <c r="L98" i="1"/>
  <c r="AF98" i="1" s="1"/>
  <c r="L185" i="1"/>
  <c r="AF185" i="1" s="1"/>
  <c r="L29" i="1"/>
  <c r="AF29" i="1" s="1"/>
  <c r="L57" i="1"/>
  <c r="AF57" i="1" s="1"/>
  <c r="L183" i="1"/>
  <c r="AF183" i="1" s="1"/>
  <c r="L123" i="1"/>
  <c r="AF123" i="1" s="1"/>
  <c r="L34" i="1"/>
  <c r="AF34" i="1" s="1"/>
  <c r="L215" i="1"/>
  <c r="AF215" i="1" s="1"/>
  <c r="L227" i="1"/>
  <c r="AF227" i="1" s="1"/>
  <c r="L179" i="1"/>
  <c r="AF179" i="1" s="1"/>
  <c r="L38" i="1"/>
  <c r="AF38" i="1" s="1"/>
  <c r="L114" i="1"/>
  <c r="AF114" i="1" s="1"/>
  <c r="L232" i="1"/>
  <c r="AF232" i="1" s="1"/>
  <c r="L214" i="1"/>
  <c r="AF214" i="1" s="1"/>
  <c r="L172" i="1"/>
  <c r="AF172" i="1" s="1"/>
  <c r="L222" i="1"/>
  <c r="AF222" i="1" s="1"/>
  <c r="L26" i="1"/>
  <c r="AF26" i="1" s="1"/>
  <c r="L115" i="1"/>
  <c r="AF115" i="1" s="1"/>
  <c r="L201" i="1"/>
  <c r="AF201" i="1" s="1"/>
  <c r="L86" i="1"/>
  <c r="AF86" i="1" s="1"/>
  <c r="L116" i="1"/>
  <c r="AF116" i="1" s="1"/>
  <c r="L102" i="1"/>
  <c r="AF102" i="1" s="1"/>
  <c r="L195" i="1"/>
  <c r="AF195" i="1" s="1"/>
  <c r="L157" i="1"/>
  <c r="AF157" i="1" s="1"/>
  <c r="L128" i="1"/>
  <c r="AF128" i="1" s="1"/>
  <c r="L96" i="1"/>
  <c r="AF96" i="1" s="1"/>
  <c r="L89" i="1"/>
  <c r="AF89" i="1" s="1"/>
  <c r="L104" i="1"/>
  <c r="AF104" i="1" s="1"/>
  <c r="L94" i="1"/>
  <c r="AF94" i="1" s="1"/>
  <c r="L225" i="1"/>
  <c r="AF225" i="1" s="1"/>
  <c r="L107" i="1"/>
  <c r="AF107" i="1" s="1"/>
  <c r="L17" i="1"/>
  <c r="AF17" i="1" s="1"/>
  <c r="L111" i="1"/>
  <c r="AF111" i="1" s="1"/>
  <c r="L156" i="1"/>
  <c r="AF156" i="1" s="1"/>
  <c r="L69" i="1"/>
  <c r="AF69" i="1" s="1"/>
  <c r="L146" i="1"/>
  <c r="AF146" i="1" s="1"/>
  <c r="L171" i="1"/>
  <c r="AF171" i="1" s="1"/>
  <c r="L144" i="1"/>
  <c r="AF144" i="1" s="1"/>
  <c r="L140" i="1"/>
  <c r="AF140" i="1" s="1"/>
  <c r="L101" i="1"/>
  <c r="AF101" i="1" s="1"/>
  <c r="L63" i="1"/>
  <c r="AF63" i="1" s="1"/>
  <c r="L121" i="1"/>
  <c r="AF121" i="1" s="1"/>
  <c r="L138" i="1"/>
  <c r="AF138" i="1" s="1"/>
  <c r="L159" i="1"/>
  <c r="AF159" i="1" s="1"/>
  <c r="L61" i="1"/>
  <c r="AF61" i="1" s="1"/>
  <c r="L36" i="1"/>
  <c r="AF36" i="1" s="1"/>
  <c r="L132" i="1"/>
  <c r="AF132" i="1" s="1"/>
  <c r="L137" i="1"/>
  <c r="AF137" i="1" s="1"/>
  <c r="L130" i="1"/>
  <c r="AF130" i="1" s="1"/>
  <c r="L108" i="1"/>
  <c r="AF108" i="1" s="1"/>
  <c r="L125" i="1"/>
  <c r="AF125" i="1" s="1"/>
  <c r="L118" i="1"/>
  <c r="AF118" i="1" s="1"/>
  <c r="L120" i="1"/>
  <c r="AF120" i="1" s="1"/>
  <c r="L31" i="1"/>
  <c r="AF31" i="1" s="1"/>
  <c r="L60" i="1"/>
  <c r="AF60" i="1" s="1"/>
  <c r="L153" i="1"/>
  <c r="AF153" i="1" s="1"/>
  <c r="L200" i="1"/>
  <c r="AF200" i="1" s="1"/>
  <c r="L160" i="1"/>
  <c r="AF160" i="1" s="1"/>
  <c r="L190" i="1"/>
  <c r="AF190" i="1" s="1"/>
  <c r="L208" i="1"/>
  <c r="AF208" i="1" s="1"/>
  <c r="L136" i="1"/>
  <c r="AF136" i="1" s="1"/>
  <c r="L51" i="1"/>
  <c r="AF51" i="1" s="1"/>
  <c r="L158" i="1"/>
  <c r="AF158" i="1" s="1"/>
  <c r="L148" i="1"/>
  <c r="AF148" i="1" s="1"/>
  <c r="L143" i="1"/>
  <c r="AF143" i="1" s="1"/>
  <c r="L174" i="1"/>
  <c r="AF174" i="1" s="1"/>
  <c r="L167" i="1"/>
  <c r="AF167" i="1" s="1"/>
  <c r="L129" i="1"/>
  <c r="AF129" i="1" s="1"/>
  <c r="L76" i="1"/>
  <c r="AF76" i="1" s="1"/>
  <c r="L168" i="1"/>
  <c r="AF168" i="1" s="1"/>
  <c r="L124" i="1"/>
  <c r="AF124" i="1" s="1"/>
  <c r="L202" i="1"/>
  <c r="AF202" i="1" s="1"/>
  <c r="L80" i="1"/>
  <c r="AF80" i="1" s="1"/>
  <c r="L133" i="1"/>
  <c r="AF133" i="1" s="1"/>
  <c r="L25" i="1"/>
  <c r="AF25" i="1" s="1"/>
  <c r="L162" i="1"/>
  <c r="AF162" i="1" s="1"/>
  <c r="L177" i="1"/>
  <c r="AF177" i="1" s="1"/>
  <c r="L126" i="1"/>
  <c r="AF126" i="1" s="1"/>
  <c r="L18" i="1"/>
  <c r="AF18" i="1" s="1"/>
  <c r="L189" i="1"/>
  <c r="AF189" i="1" s="1"/>
  <c r="L88" i="1"/>
  <c r="AF88" i="1" s="1"/>
  <c r="L216" i="1"/>
  <c r="AF216" i="1" s="1"/>
  <c r="L41" i="1"/>
  <c r="AF41" i="1" s="1"/>
  <c r="L95" i="1"/>
  <c r="AF95" i="1" s="1"/>
  <c r="L166" i="1"/>
  <c r="AF166" i="1" s="1"/>
  <c r="L77" i="1"/>
  <c r="AF77" i="1" s="1"/>
  <c r="L161" i="1"/>
  <c r="AF161" i="1" s="1"/>
  <c r="L165" i="1"/>
  <c r="AF165" i="1" s="1"/>
  <c r="L204" i="1"/>
  <c r="AF204" i="1" s="1"/>
  <c r="L59" i="1"/>
  <c r="AF59" i="1" s="1"/>
  <c r="L228" i="1"/>
  <c r="AF228" i="1" s="1"/>
  <c r="L207" i="1"/>
  <c r="AF207" i="1" s="1"/>
  <c r="L117" i="1"/>
  <c r="AF117" i="1" s="1"/>
  <c r="L151" i="1"/>
  <c r="AF151" i="1" s="1"/>
  <c r="L135" i="1"/>
  <c r="AF135" i="1" s="1"/>
  <c r="L154" i="1"/>
  <c r="AF154" i="1" s="1"/>
  <c r="L48" i="1"/>
  <c r="AF48" i="1" s="1"/>
  <c r="L30" i="1"/>
  <c r="AF30" i="1" s="1"/>
  <c r="L147" i="1"/>
  <c r="AF147" i="1" s="1"/>
  <c r="L10" i="1"/>
  <c r="AF10" i="1" s="1"/>
  <c r="L187" i="1"/>
  <c r="AF187" i="1" s="1"/>
  <c r="L39" i="1"/>
  <c r="AF39" i="1" s="1"/>
  <c r="L223" i="1"/>
  <c r="AF223" i="1" s="1"/>
  <c r="L87" i="1"/>
  <c r="AF87" i="1" s="1"/>
  <c r="L226" i="1"/>
  <c r="AF226" i="1" s="1"/>
  <c r="L82" i="1"/>
  <c r="AF82" i="1" s="1"/>
  <c r="L150" i="1"/>
  <c r="AF150" i="1" s="1"/>
  <c r="L74" i="1"/>
  <c r="AF74" i="1" s="1"/>
  <c r="L24" i="1"/>
  <c r="AF24" i="1" s="1"/>
  <c r="L50" i="1"/>
  <c r="AF50" i="1" s="1"/>
  <c r="L23" i="1"/>
  <c r="AF23" i="1" s="1"/>
  <c r="L27" i="1"/>
  <c r="AF27" i="1" s="1"/>
  <c r="L55" i="1"/>
  <c r="AF55" i="1" s="1"/>
  <c r="L84" i="1"/>
  <c r="AF84" i="1" s="1"/>
  <c r="L205" i="1"/>
  <c r="AF205" i="1" s="1"/>
  <c r="L127" i="1"/>
  <c r="AF127" i="1" s="1"/>
  <c r="L231" i="1"/>
  <c r="AF231" i="1" s="1"/>
  <c r="L213" i="1"/>
  <c r="AF213" i="1" s="1"/>
  <c r="L3" i="1"/>
  <c r="AF3" i="1" s="1"/>
  <c r="M12" i="1"/>
  <c r="I35" i="1"/>
  <c r="I176" i="1"/>
  <c r="I206" i="1"/>
  <c r="I43" i="1"/>
  <c r="I32" i="1"/>
  <c r="I90" i="1"/>
  <c r="I7" i="1"/>
  <c r="I170" i="1"/>
  <c r="I83" i="1"/>
  <c r="I52" i="1"/>
  <c r="I18" i="5"/>
  <c r="J18" i="5" s="1"/>
  <c r="I80" i="5"/>
  <c r="K80" i="5" s="1"/>
  <c r="E197" i="5"/>
  <c r="E80" i="5"/>
  <c r="I48" i="1"/>
  <c r="I195" i="1"/>
  <c r="I77" i="1"/>
  <c r="I150" i="1"/>
  <c r="E9" i="5"/>
  <c r="I27" i="5"/>
  <c r="I28" i="5"/>
  <c r="J28" i="5" s="1"/>
  <c r="I29" i="5"/>
  <c r="J29" i="5" s="1"/>
  <c r="I30" i="5"/>
  <c r="K30"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62" i="5"/>
  <c r="K62" i="5" s="1"/>
  <c r="I63" i="5"/>
  <c r="I64" i="5"/>
  <c r="I65" i="5"/>
  <c r="I66" i="5"/>
  <c r="I67" i="5"/>
  <c r="J67" i="5" s="1"/>
  <c r="I68" i="5"/>
  <c r="K68" i="5" s="1"/>
  <c r="I69" i="5"/>
  <c r="K69" i="5" s="1"/>
  <c r="I70" i="5"/>
  <c r="I71" i="5"/>
  <c r="I72" i="5"/>
  <c r="I73" i="5"/>
  <c r="I74" i="5"/>
  <c r="I75" i="5"/>
  <c r="K75" i="5" s="1"/>
  <c r="I76" i="5"/>
  <c r="K76" i="5" s="1"/>
  <c r="I77" i="5"/>
  <c r="I78" i="5"/>
  <c r="I79" i="5"/>
  <c r="I81" i="5"/>
  <c r="I82" i="5"/>
  <c r="I83" i="5"/>
  <c r="K83" i="5" s="1"/>
  <c r="I84" i="5"/>
  <c r="I85" i="5"/>
  <c r="I86" i="5"/>
  <c r="I87" i="5"/>
  <c r="I88" i="5"/>
  <c r="K88" i="5" s="1"/>
  <c r="I89" i="5"/>
  <c r="I90" i="5"/>
  <c r="I91" i="5"/>
  <c r="J91" i="5" s="1"/>
  <c r="I92" i="5"/>
  <c r="J92" i="5" s="1"/>
  <c r="I93" i="5"/>
  <c r="K93" i="5" s="1"/>
  <c r="I94" i="5"/>
  <c r="I95" i="5"/>
  <c r="I96" i="5"/>
  <c r="I97" i="5"/>
  <c r="I98" i="5"/>
  <c r="I99" i="5"/>
  <c r="J99" i="5" s="1"/>
  <c r="I100" i="5"/>
  <c r="K100" i="5" s="1"/>
  <c r="I101" i="5"/>
  <c r="K101" i="5" s="1"/>
  <c r="I102" i="5"/>
  <c r="I103" i="5"/>
  <c r="I104" i="5"/>
  <c r="K104" i="5" s="1"/>
  <c r="I105" i="5"/>
  <c r="I106" i="5"/>
  <c r="I107" i="5"/>
  <c r="K107" i="5" s="1"/>
  <c r="I108" i="5"/>
  <c r="K108" i="5" s="1"/>
  <c r="I109" i="5"/>
  <c r="I110" i="5"/>
  <c r="I111" i="5"/>
  <c r="I112" i="5"/>
  <c r="K112" i="5" s="1"/>
  <c r="I113" i="5"/>
  <c r="I114" i="5"/>
  <c r="I115" i="5"/>
  <c r="J115" i="5" s="1"/>
  <c r="I116" i="5"/>
  <c r="J116" i="5" s="1"/>
  <c r="I117" i="5"/>
  <c r="K117" i="5" s="1"/>
  <c r="I118" i="5"/>
  <c r="I119" i="5"/>
  <c r="I120" i="5"/>
  <c r="K120" i="5" s="1"/>
  <c r="I121" i="5"/>
  <c r="I122" i="5"/>
  <c r="I123" i="5"/>
  <c r="I124" i="5"/>
  <c r="J124" i="5" s="1"/>
  <c r="I125" i="5"/>
  <c r="K125" i="5" s="1"/>
  <c r="I126" i="5"/>
  <c r="I127" i="5"/>
  <c r="K127" i="5" s="1"/>
  <c r="I128" i="5"/>
  <c r="I129" i="5"/>
  <c r="I130" i="5"/>
  <c r="I131" i="5"/>
  <c r="J131" i="5" s="1"/>
  <c r="I132" i="5"/>
  <c r="K132" i="5" s="1"/>
  <c r="I133" i="5"/>
  <c r="K133" i="5" s="1"/>
  <c r="I134" i="5"/>
  <c r="I135" i="5"/>
  <c r="I136" i="5"/>
  <c r="I137" i="5"/>
  <c r="I138" i="5"/>
  <c r="I139" i="5"/>
  <c r="K139" i="5" s="1"/>
  <c r="I140" i="5"/>
  <c r="J140" i="5" s="1"/>
  <c r="I141" i="5"/>
  <c r="I142" i="5"/>
  <c r="I143" i="5"/>
  <c r="I144" i="5"/>
  <c r="K144" i="5" s="1"/>
  <c r="I145" i="5"/>
  <c r="I146" i="5"/>
  <c r="I147" i="5"/>
  <c r="K147" i="5" s="1"/>
  <c r="I148" i="5"/>
  <c r="I149" i="5"/>
  <c r="I150" i="5"/>
  <c r="I151" i="5"/>
  <c r="K151" i="5" s="1"/>
  <c r="I152" i="5"/>
  <c r="I153" i="5"/>
  <c r="I154" i="5"/>
  <c r="J154" i="5" s="1"/>
  <c r="I155" i="5"/>
  <c r="K155" i="5" s="1"/>
  <c r="I156" i="5"/>
  <c r="K156" i="5" s="1"/>
  <c r="I157" i="5"/>
  <c r="I158" i="5"/>
  <c r="I159" i="5"/>
  <c r="I160" i="5"/>
  <c r="I161" i="5"/>
  <c r="I162" i="5"/>
  <c r="J162" i="5" s="1"/>
  <c r="I163" i="5"/>
  <c r="K163" i="5" s="1"/>
  <c r="I164" i="5"/>
  <c r="K164" i="5" s="1"/>
  <c r="I165" i="5"/>
  <c r="J165" i="5" s="1"/>
  <c r="I166" i="5"/>
  <c r="I167" i="5"/>
  <c r="K167" i="5" s="1"/>
  <c r="I168" i="5"/>
  <c r="I169" i="5"/>
  <c r="I170" i="5"/>
  <c r="K170" i="5" s="1"/>
  <c r="I171" i="5"/>
  <c r="K171" i="5" s="1"/>
  <c r="I172" i="5"/>
  <c r="I173" i="5"/>
  <c r="I174" i="5"/>
  <c r="I175" i="5"/>
  <c r="K175" i="5" s="1"/>
  <c r="I176" i="5"/>
  <c r="I177" i="5"/>
  <c r="I178" i="5"/>
  <c r="K178" i="5" s="1"/>
  <c r="I179" i="5"/>
  <c r="J179" i="5" s="1"/>
  <c r="I180" i="5"/>
  <c r="K180" i="5" s="1"/>
  <c r="I181" i="5"/>
  <c r="I182" i="5"/>
  <c r="I183" i="5"/>
  <c r="K183" i="5" s="1"/>
  <c r="I184" i="5"/>
  <c r="K184" i="5" s="1"/>
  <c r="I185" i="5"/>
  <c r="I186" i="5"/>
  <c r="I187" i="5"/>
  <c r="J187" i="5" s="1"/>
  <c r="I188" i="5"/>
  <c r="K188" i="5" s="1"/>
  <c r="I189" i="5"/>
  <c r="I190" i="5"/>
  <c r="I191" i="5"/>
  <c r="I192" i="5"/>
  <c r="I193" i="5"/>
  <c r="I194" i="5"/>
  <c r="K194" i="5" s="1"/>
  <c r="I195" i="5"/>
  <c r="K195" i="5" s="1"/>
  <c r="I196" i="5"/>
  <c r="K196" i="5" s="1"/>
  <c r="I197" i="5"/>
  <c r="I198" i="5"/>
  <c r="I199" i="5"/>
  <c r="K199" i="5" s="1"/>
  <c r="I200" i="5"/>
  <c r="I201" i="5"/>
  <c r="I202" i="5"/>
  <c r="K202" i="5" s="1"/>
  <c r="I203" i="5"/>
  <c r="K203" i="5" s="1"/>
  <c r="I204" i="5"/>
  <c r="I205" i="5"/>
  <c r="K205" i="5" s="1"/>
  <c r="I206" i="5"/>
  <c r="I207" i="5"/>
  <c r="I208" i="5"/>
  <c r="I209" i="5"/>
  <c r="K209" i="5" s="1"/>
  <c r="I210" i="5"/>
  <c r="K210" i="5" s="1"/>
  <c r="I211" i="5"/>
  <c r="I212" i="5"/>
  <c r="K212" i="5" s="1"/>
  <c r="I213" i="5"/>
  <c r="K213" i="5" s="1"/>
  <c r="I214" i="5"/>
  <c r="I215" i="5"/>
  <c r="I216" i="5"/>
  <c r="K216" i="5" s="1"/>
  <c r="I217" i="5"/>
  <c r="J217" i="5" s="1"/>
  <c r="I218" i="5"/>
  <c r="I219" i="5"/>
  <c r="I220" i="5"/>
  <c r="K220" i="5" s="1"/>
  <c r="I221" i="5"/>
  <c r="I222" i="5"/>
  <c r="I223" i="5"/>
  <c r="I224" i="5"/>
  <c r="K224" i="5" s="1"/>
  <c r="I225" i="5"/>
  <c r="K225" i="5" s="1"/>
  <c r="I226" i="5"/>
  <c r="K226" i="5" s="1"/>
  <c r="I227" i="5"/>
  <c r="I228" i="5"/>
  <c r="I229" i="5"/>
  <c r="K229" i="5" s="1"/>
  <c r="I230" i="5"/>
  <c r="I231" i="5"/>
  <c r="K231" i="5" s="1"/>
  <c r="I232" i="5"/>
  <c r="I233" i="5"/>
  <c r="K233" i="5" s="1"/>
  <c r="I234" i="5"/>
  <c r="I235" i="5"/>
  <c r="K235" i="5" s="1"/>
  <c r="I236" i="5"/>
  <c r="I237" i="5"/>
  <c r="I238" i="5"/>
  <c r="I239" i="5"/>
  <c r="J239" i="5" s="1"/>
  <c r="I240" i="5"/>
  <c r="K240" i="5" s="1"/>
  <c r="I241" i="5"/>
  <c r="K241" i="5" s="1"/>
  <c r="I242" i="5"/>
  <c r="I243" i="5"/>
  <c r="K243" i="5" s="1"/>
  <c r="I244" i="5"/>
  <c r="K244" i="5" s="1"/>
  <c r="I245" i="5"/>
  <c r="I246" i="5"/>
  <c r="I247" i="5"/>
  <c r="K247" i="5" s="1"/>
  <c r="I248" i="5"/>
  <c r="J248" i="5" s="1"/>
  <c r="I249" i="5"/>
  <c r="I250" i="5"/>
  <c r="I251" i="5"/>
  <c r="K251" i="5" s="1"/>
  <c r="I252" i="5"/>
  <c r="I253" i="5"/>
  <c r="I254" i="5"/>
  <c r="K254" i="5" s="1"/>
  <c r="I255" i="5"/>
  <c r="I256" i="5"/>
  <c r="I257" i="5"/>
  <c r="K257" i="5" s="1"/>
  <c r="I258" i="5"/>
  <c r="I259" i="5"/>
  <c r="I260" i="5"/>
  <c r="K260" i="5" s="1"/>
  <c r="I261" i="5"/>
  <c r="J261" i="5" s="1"/>
  <c r="I262" i="5"/>
  <c r="I263" i="5"/>
  <c r="I264" i="5"/>
  <c r="K264" i="5" s="1"/>
  <c r="I265" i="5"/>
  <c r="I266" i="5"/>
  <c r="I267" i="5"/>
  <c r="K267" i="5" s="1"/>
  <c r="I268" i="5"/>
  <c r="I269" i="5"/>
  <c r="I270" i="5"/>
  <c r="K270" i="5" s="1"/>
  <c r="I271" i="5"/>
  <c r="I272" i="5"/>
  <c r="I273" i="5"/>
  <c r="I274" i="5"/>
  <c r="J274" i="5" s="1"/>
  <c r="I275" i="5"/>
  <c r="J275" i="5" s="1"/>
  <c r="I276" i="5"/>
  <c r="I277" i="5"/>
  <c r="I278" i="5"/>
  <c r="I279" i="5"/>
  <c r="I280" i="5"/>
  <c r="I281" i="5"/>
  <c r="J281" i="5" s="1"/>
  <c r="I282" i="5"/>
  <c r="I283" i="5"/>
  <c r="I284" i="5"/>
  <c r="I285" i="5"/>
  <c r="I286" i="5"/>
  <c r="K286" i="5" s="1"/>
  <c r="I287" i="5"/>
  <c r="I288" i="5"/>
  <c r="I289" i="5"/>
  <c r="I290" i="5"/>
  <c r="K290" i="5" s="1"/>
  <c r="I291" i="5"/>
  <c r="I292" i="5"/>
  <c r="I293" i="5"/>
  <c r="K293" i="5" s="1"/>
  <c r="I294" i="5"/>
  <c r="J294" i="5" s="1"/>
  <c r="I295" i="5"/>
  <c r="I296" i="5"/>
  <c r="I297" i="5"/>
  <c r="K297" i="5" s="1"/>
  <c r="I298" i="5"/>
  <c r="I299" i="5"/>
  <c r="I300" i="5"/>
  <c r="I301" i="5"/>
  <c r="J301" i="5" s="1"/>
  <c r="I302" i="5"/>
  <c r="I303" i="5"/>
  <c r="I304" i="5"/>
  <c r="K304" i="5" s="1"/>
  <c r="I305" i="5"/>
  <c r="I306" i="5"/>
  <c r="I307" i="5"/>
  <c r="I308" i="5"/>
  <c r="K308" i="5" s="1"/>
  <c r="I309" i="5"/>
  <c r="I310" i="5"/>
  <c r="I311" i="5"/>
  <c r="I312" i="5"/>
  <c r="I313" i="5"/>
  <c r="I314" i="5"/>
  <c r="I315" i="5"/>
  <c r="K315" i="5" s="1"/>
  <c r="I316" i="5"/>
  <c r="I317" i="5"/>
  <c r="I318" i="5"/>
  <c r="K318" i="5" s="1"/>
  <c r="I319" i="5"/>
  <c r="I320" i="5"/>
  <c r="I321" i="5"/>
  <c r="I322" i="5"/>
  <c r="I323" i="5"/>
  <c r="I324" i="5"/>
  <c r="I325" i="5"/>
  <c r="I326" i="5"/>
  <c r="I327" i="5"/>
  <c r="K327" i="5" s="1"/>
  <c r="I328" i="5"/>
  <c r="J328" i="5" s="1"/>
  <c r="I329" i="5"/>
  <c r="K329" i="5" s="1"/>
  <c r="I331" i="5"/>
  <c r="I332" i="5"/>
  <c r="K332" i="5" s="1"/>
  <c r="I333" i="5"/>
  <c r="I334" i="5"/>
  <c r="I335" i="5"/>
  <c r="J335" i="5" s="1"/>
  <c r="I336" i="5"/>
  <c r="K336" i="5" s="1"/>
  <c r="I337" i="5"/>
  <c r="K337" i="5" s="1"/>
  <c r="I338" i="5"/>
  <c r="I339" i="5"/>
  <c r="I340" i="5"/>
  <c r="J340" i="5" s="1"/>
  <c r="I341" i="5"/>
  <c r="K341" i="5" s="1"/>
  <c r="I342" i="5"/>
  <c r="I343" i="5"/>
  <c r="I344" i="5"/>
  <c r="K344" i="5" s="1"/>
  <c r="I345" i="5"/>
  <c r="J345" i="5" s="1"/>
  <c r="I346" i="5"/>
  <c r="I347" i="5"/>
  <c r="J347" i="5" s="1"/>
  <c r="I348" i="5"/>
  <c r="K348" i="5" s="1"/>
  <c r="I349" i="5"/>
  <c r="I350" i="5"/>
  <c r="K350" i="5" s="1"/>
  <c r="I351" i="5"/>
  <c r="J351" i="5" s="1"/>
  <c r="I352" i="5"/>
  <c r="I353" i="5"/>
  <c r="K353" i="5" s="1"/>
  <c r="I354" i="5"/>
  <c r="K354" i="5" s="1"/>
  <c r="I355" i="5"/>
  <c r="I356" i="5"/>
  <c r="I357" i="5"/>
  <c r="K357" i="5" s="1"/>
  <c r="I358" i="5"/>
  <c r="I359" i="5"/>
  <c r="I360" i="5"/>
  <c r="K360" i="5" s="1"/>
  <c r="I361" i="5"/>
  <c r="K361" i="5" s="1"/>
  <c r="I362" i="5"/>
  <c r="K362" i="5" s="1"/>
  <c r="I363" i="5"/>
  <c r="J363" i="5" s="1"/>
  <c r="I364" i="5"/>
  <c r="I365" i="5"/>
  <c r="K365" i="5" s="1"/>
  <c r="I366" i="5"/>
  <c r="I367" i="5"/>
  <c r="K367" i="5" s="1"/>
  <c r="I368" i="5"/>
  <c r="K368" i="5" s="1"/>
  <c r="I369" i="5"/>
  <c r="J369" i="5" s="1"/>
  <c r="I370" i="5"/>
  <c r="I371" i="5"/>
  <c r="J371" i="5" s="1"/>
  <c r="I372" i="5"/>
  <c r="I373" i="5"/>
  <c r="K373" i="5" s="1"/>
  <c r="I374" i="5"/>
  <c r="K374" i="5" s="1"/>
  <c r="I375" i="5"/>
  <c r="K375" i="5" s="1"/>
  <c r="I376" i="5"/>
  <c r="K376" i="5" s="1"/>
  <c r="I377" i="5"/>
  <c r="K377" i="5" s="1"/>
  <c r="I378" i="5"/>
  <c r="J378" i="5" s="1"/>
  <c r="I379" i="5"/>
  <c r="K379" i="5" s="1"/>
  <c r="I380" i="5"/>
  <c r="I381" i="5"/>
  <c r="J381" i="5" s="1"/>
  <c r="I382" i="5"/>
  <c r="I383" i="5"/>
  <c r="K383" i="5" s="1"/>
  <c r="I384" i="5"/>
  <c r="K384" i="5" s="1"/>
  <c r="I385" i="5"/>
  <c r="J385" i="5" s="1"/>
  <c r="I386" i="5"/>
  <c r="J386" i="5" s="1"/>
  <c r="I387" i="5"/>
  <c r="I388" i="5"/>
  <c r="K388" i="5" s="1"/>
  <c r="I389" i="5"/>
  <c r="J389" i="5" s="1"/>
  <c r="I390" i="5"/>
  <c r="K390" i="5" s="1"/>
  <c r="I391" i="5"/>
  <c r="K391" i="5" s="1"/>
  <c r="I19" i="5"/>
  <c r="I20" i="5"/>
  <c r="K20" i="5" s="1"/>
  <c r="I21" i="5"/>
  <c r="I22" i="5"/>
  <c r="I23" i="5"/>
  <c r="I24" i="5"/>
  <c r="I25" i="5"/>
  <c r="I26" i="5"/>
  <c r="I4" i="5"/>
  <c r="J4" i="5" s="1"/>
  <c r="I5" i="5"/>
  <c r="I6" i="5"/>
  <c r="J6" i="5" s="1"/>
  <c r="I7" i="5"/>
  <c r="I8" i="5"/>
  <c r="I9" i="5"/>
  <c r="I10" i="5"/>
  <c r="J10" i="5" s="1"/>
  <c r="I11" i="5"/>
  <c r="K11" i="5" s="1"/>
  <c r="I12" i="5"/>
  <c r="J12" i="5" s="1"/>
  <c r="I13" i="5"/>
  <c r="I14" i="5"/>
  <c r="J14" i="5" s="1"/>
  <c r="I15" i="5"/>
  <c r="I16" i="5"/>
  <c r="I17" i="5"/>
  <c r="E15" i="5"/>
  <c r="E7" i="5"/>
  <c r="E43" i="5"/>
  <c r="E74" i="5"/>
  <c r="E160" i="5"/>
  <c r="E127" i="5"/>
  <c r="E174" i="5"/>
  <c r="E23" i="5"/>
  <c r="M23" i="5" s="1"/>
  <c r="E297" i="5"/>
  <c r="E154" i="5"/>
  <c r="E235" i="5"/>
  <c r="E170" i="5"/>
  <c r="E112" i="5"/>
  <c r="E279" i="5"/>
  <c r="E71" i="5"/>
  <c r="E221" i="5"/>
  <c r="E88" i="5"/>
  <c r="E117" i="5"/>
  <c r="E102" i="5"/>
  <c r="E165" i="5"/>
  <c r="E288" i="5"/>
  <c r="E168" i="5"/>
  <c r="E382" i="5"/>
  <c r="E78" i="5"/>
  <c r="E261" i="5"/>
  <c r="E173" i="5"/>
  <c r="E223" i="5"/>
  <c r="E252" i="5"/>
  <c r="E313" i="5"/>
  <c r="E355" i="5"/>
  <c r="E136" i="5"/>
  <c r="E349" i="5"/>
  <c r="E346" i="5"/>
  <c r="E353" i="5"/>
  <c r="E200" i="5"/>
  <c r="E351" i="5"/>
  <c r="E254" i="5"/>
  <c r="E133" i="5"/>
  <c r="E139" i="5"/>
  <c r="E391" i="5"/>
  <c r="E390" i="5"/>
  <c r="E373" i="5"/>
  <c r="E229" i="5"/>
  <c r="E324" i="5"/>
  <c r="E148" i="5"/>
  <c r="E121" i="5"/>
  <c r="E239" i="5"/>
  <c r="E142" i="5"/>
  <c r="E334" i="5"/>
  <c r="E315" i="5"/>
  <c r="E309" i="5"/>
  <c r="E212" i="5"/>
  <c r="E262" i="5"/>
  <c r="E381" i="5"/>
  <c r="E326" i="5"/>
  <c r="E208" i="5"/>
  <c r="E291" i="5"/>
  <c r="E172" i="5"/>
  <c r="E361" i="5"/>
  <c r="E276" i="5"/>
  <c r="E332" i="5"/>
  <c r="E234" i="5"/>
  <c r="E161" i="5"/>
  <c r="E122" i="5"/>
  <c r="E20" i="5"/>
  <c r="E370" i="5"/>
  <c r="E318" i="5"/>
  <c r="E156" i="5"/>
  <c r="E264" i="5"/>
  <c r="E191" i="5"/>
  <c r="E265" i="5"/>
  <c r="E135" i="5"/>
  <c r="E360" i="5"/>
  <c r="E389" i="5"/>
  <c r="E94" i="5"/>
  <c r="E182" i="5"/>
  <c r="E169" i="5"/>
  <c r="E298" i="5"/>
  <c r="E66" i="5"/>
  <c r="E184" i="5"/>
  <c r="E103" i="5"/>
  <c r="E39" i="5"/>
  <c r="E204" i="5"/>
  <c r="E226" i="5"/>
  <c r="E242" i="5"/>
  <c r="E322" i="5"/>
  <c r="E96" i="5"/>
  <c r="E12" i="5"/>
  <c r="E247" i="5"/>
  <c r="E42" i="5"/>
  <c r="E41" i="5"/>
  <c r="E364" i="5"/>
  <c r="E196" i="5"/>
  <c r="E75" i="5"/>
  <c r="E132" i="5"/>
  <c r="E86" i="5"/>
  <c r="E10" i="5"/>
  <c r="E72" i="5"/>
  <c r="E118" i="5"/>
  <c r="E81" i="5"/>
  <c r="E190" i="5"/>
  <c r="E91" i="5"/>
  <c r="E145" i="5"/>
  <c r="E25" i="5"/>
  <c r="E176" i="5"/>
  <c r="E302" i="5"/>
  <c r="E128" i="5"/>
  <c r="E22" i="5"/>
  <c r="E126" i="5"/>
  <c r="E109" i="5"/>
  <c r="E114" i="5"/>
  <c r="E189" i="5"/>
  <c r="E210" i="5"/>
  <c r="E245" i="5"/>
  <c r="E155" i="5"/>
  <c r="E62" i="5"/>
  <c r="E98" i="5"/>
  <c r="E193" i="5"/>
  <c r="E93" i="5"/>
  <c r="E106" i="5"/>
  <c r="E110" i="5"/>
  <c r="E107" i="5"/>
  <c r="E269" i="5"/>
  <c r="E224" i="5"/>
  <c r="E293" i="5"/>
  <c r="E95" i="5"/>
  <c r="E273" i="5"/>
  <c r="E219" i="5"/>
  <c r="E295" i="5"/>
  <c r="E248" i="5"/>
  <c r="E44" i="5"/>
  <c r="E90" i="5"/>
  <c r="E149" i="5"/>
  <c r="E101" i="5"/>
  <c r="E99" i="5"/>
  <c r="E199" i="5"/>
  <c r="E175" i="5"/>
  <c r="E344" i="5"/>
  <c r="E369" i="5"/>
  <c r="E105" i="5"/>
  <c r="E308" i="5"/>
  <c r="E141" i="5"/>
  <c r="E243" i="5"/>
  <c r="E282" i="5"/>
  <c r="E270" i="5"/>
  <c r="E89" i="5"/>
  <c r="E140" i="5"/>
  <c r="E124" i="5"/>
  <c r="E379" i="5"/>
  <c r="E267" i="5"/>
  <c r="E236" i="5"/>
  <c r="E289" i="5"/>
  <c r="E311" i="5"/>
  <c r="E287" i="5"/>
  <c r="E299" i="5"/>
  <c r="E343" i="5"/>
  <c r="E363" i="5"/>
  <c r="E380" i="5"/>
  <c r="E260" i="5"/>
  <c r="E356" i="5"/>
  <c r="E292" i="5"/>
  <c r="E339" i="5"/>
  <c r="E319" i="5"/>
  <c r="E338" i="5"/>
  <c r="E328" i="5"/>
  <c r="E120" i="5"/>
  <c r="E352" i="5"/>
  <c r="E272" i="5"/>
  <c r="E213" i="5"/>
  <c r="E336" i="5"/>
  <c r="E150" i="5"/>
  <c r="E337" i="5"/>
  <c r="E304" i="5"/>
  <c r="E233" i="5"/>
  <c r="E214" i="5"/>
  <c r="E310" i="5"/>
  <c r="E347" i="5"/>
  <c r="E374" i="5"/>
  <c r="E357" i="5"/>
  <c r="E372" i="5"/>
  <c r="E350" i="5"/>
  <c r="E368" i="5"/>
  <c r="E238" i="5"/>
  <c r="E348" i="5"/>
  <c r="E251" i="5"/>
  <c r="E327" i="5"/>
  <c r="E316" i="5"/>
  <c r="E340" i="5"/>
  <c r="E253" i="5"/>
  <c r="E111" i="5"/>
  <c r="E166" i="5"/>
  <c r="E345" i="5"/>
  <c r="E240" i="5"/>
  <c r="E367" i="5"/>
  <c r="E47" i="5"/>
  <c r="E342" i="5"/>
  <c r="E300" i="5"/>
  <c r="E108" i="5"/>
  <c r="E33" i="5"/>
  <c r="M33" i="5" s="1"/>
  <c r="E123" i="5"/>
  <c r="E329" i="5"/>
  <c r="E203" i="5"/>
  <c r="E129" i="5"/>
  <c r="E157" i="5"/>
  <c r="E228" i="5"/>
  <c r="E286" i="5"/>
  <c r="E205" i="5"/>
  <c r="E256" i="5"/>
  <c r="E198" i="5"/>
  <c r="E37" i="5"/>
  <c r="E177" i="5"/>
  <c r="E125" i="5"/>
  <c r="E137" i="5"/>
  <c r="E58" i="5"/>
  <c r="E134" i="5"/>
  <c r="E217" i="5"/>
  <c r="E48" i="5"/>
  <c r="E274" i="5"/>
  <c r="E146" i="5"/>
  <c r="E275" i="5"/>
  <c r="E85" i="5"/>
  <c r="E230" i="5"/>
  <c r="E178" i="5"/>
  <c r="E49" i="5"/>
  <c r="E195" i="5"/>
  <c r="E325" i="5"/>
  <c r="E138" i="5"/>
  <c r="E183" i="5"/>
  <c r="E207" i="5"/>
  <c r="E333" i="5"/>
  <c r="E231" i="5"/>
  <c r="E97" i="5"/>
  <c r="E162" i="5"/>
  <c r="E115" i="5"/>
  <c r="E341" i="5"/>
  <c r="E227" i="5"/>
  <c r="E60" i="5"/>
  <c r="E194" i="5"/>
  <c r="E280" i="5"/>
  <c r="E277" i="5"/>
  <c r="E151" i="5"/>
  <c r="E314" i="5"/>
  <c r="E32" i="5"/>
  <c r="E59" i="5"/>
  <c r="E152" i="5"/>
  <c r="E13" i="5"/>
  <c r="E358" i="5"/>
  <c r="E384" i="5"/>
  <c r="E222" i="5"/>
  <c r="E69" i="5"/>
  <c r="E19" i="5"/>
  <c r="E54" i="5"/>
  <c r="E63" i="5"/>
  <c r="E82" i="5"/>
  <c r="E171" i="5"/>
  <c r="E26" i="5"/>
  <c r="E38" i="5"/>
  <c r="E378" i="5"/>
  <c r="E206" i="5"/>
  <c r="E305" i="5"/>
  <c r="E385" i="5"/>
  <c r="E388" i="5"/>
  <c r="E18" i="5"/>
  <c r="E79" i="5"/>
  <c r="E53" i="5"/>
  <c r="E35" i="5"/>
  <c r="E87" i="5"/>
  <c r="E34" i="5"/>
  <c r="E5" i="5"/>
  <c r="E147" i="5"/>
  <c r="E185" i="5"/>
  <c r="E65" i="5"/>
  <c r="E76" i="5"/>
  <c r="E17" i="5"/>
  <c r="E52" i="5"/>
  <c r="E158" i="5"/>
  <c r="E179" i="5"/>
  <c r="E153" i="5"/>
  <c r="E46" i="5"/>
  <c r="E113" i="5"/>
  <c r="E218" i="5"/>
  <c r="E55" i="5"/>
  <c r="E283" i="5"/>
  <c r="E215" i="5"/>
  <c r="E268" i="5"/>
  <c r="E323" i="5"/>
  <c r="E216" i="5"/>
  <c r="E312" i="5"/>
  <c r="E30" i="5"/>
  <c r="E294" i="5"/>
  <c r="E130" i="5"/>
  <c r="E284" i="5"/>
  <c r="E257" i="5"/>
  <c r="E278" i="5"/>
  <c r="E180" i="5"/>
  <c r="E383" i="5"/>
  <c r="E73" i="5"/>
  <c r="E225" i="5"/>
  <c r="E258" i="5"/>
  <c r="E354" i="5"/>
  <c r="E296" i="5"/>
  <c r="E359" i="5"/>
  <c r="E259" i="5"/>
  <c r="E77" i="5"/>
  <c r="E51" i="5"/>
  <c r="E386" i="5"/>
  <c r="E365" i="5"/>
  <c r="E241" i="5"/>
  <c r="E375" i="5"/>
  <c r="E271" i="5"/>
  <c r="E320" i="5"/>
  <c r="E232" i="5"/>
  <c r="E376" i="5"/>
  <c r="E306" i="5"/>
  <c r="E307" i="5"/>
  <c r="E366" i="5"/>
  <c r="E281" i="5"/>
  <c r="E303" i="5"/>
  <c r="E290" i="5"/>
  <c r="E244" i="5"/>
  <c r="E321" i="5"/>
  <c r="E250" i="5"/>
  <c r="E192" i="5"/>
  <c r="E164" i="5"/>
  <c r="E301" i="5"/>
  <c r="E335" i="5"/>
  <c r="E201" i="5"/>
  <c r="E331" i="5"/>
  <c r="E362" i="5"/>
  <c r="E220" i="5"/>
  <c r="E92" i="5"/>
  <c r="E263" i="5"/>
  <c r="E68" i="5"/>
  <c r="E159" i="5"/>
  <c r="E181" i="5"/>
  <c r="E255" i="5"/>
  <c r="E371" i="5"/>
  <c r="E317" i="5"/>
  <c r="E202" i="5"/>
  <c r="E57" i="5"/>
  <c r="E100" i="5"/>
  <c r="E285" i="5"/>
  <c r="E188" i="5"/>
  <c r="E45" i="5"/>
  <c r="E83" i="5"/>
  <c r="E67" i="5"/>
  <c r="E266" i="5"/>
  <c r="E186" i="5"/>
  <c r="E209" i="5"/>
  <c r="E387" i="5"/>
  <c r="E24" i="5"/>
  <c r="E29" i="5"/>
  <c r="E144" i="5"/>
  <c r="E131" i="5"/>
  <c r="E187" i="5"/>
  <c r="E246" i="5"/>
  <c r="E237" i="5"/>
  <c r="E143" i="5"/>
  <c r="E249" i="5"/>
  <c r="E119" i="5"/>
  <c r="E211" i="5"/>
  <c r="E8" i="5"/>
  <c r="E28" i="5"/>
  <c r="E84" i="5"/>
  <c r="E104" i="5"/>
  <c r="E163" i="5"/>
  <c r="E116" i="5"/>
  <c r="E377" i="5"/>
  <c r="E4" i="5"/>
  <c r="E3" i="5"/>
  <c r="E6" i="5"/>
  <c r="E11" i="5"/>
  <c r="E40" i="5"/>
  <c r="E16" i="5"/>
  <c r="E50" i="5"/>
  <c r="E56" i="5"/>
  <c r="E36" i="5"/>
  <c r="E21" i="5"/>
  <c r="E14" i="5"/>
  <c r="E70" i="5"/>
  <c r="E27" i="5"/>
  <c r="E31" i="5"/>
  <c r="E61" i="5"/>
  <c r="E64" i="5"/>
  <c r="L117" i="3" l="1"/>
  <c r="AG62" i="3"/>
  <c r="L240" i="1"/>
  <c r="K3" i="5"/>
  <c r="J3" i="5"/>
  <c r="K277" i="5"/>
  <c r="K78" i="5"/>
  <c r="J55" i="5"/>
  <c r="J47" i="5"/>
  <c r="K311" i="5"/>
  <c r="K284" i="5"/>
  <c r="J263" i="5"/>
  <c r="K149" i="5"/>
  <c r="K142" i="5"/>
  <c r="J70" i="5"/>
  <c r="J39" i="5"/>
  <c r="K303" i="5"/>
  <c r="K289" i="5"/>
  <c r="J269" i="5"/>
  <c r="K250" i="5"/>
  <c r="K219" i="5"/>
  <c r="K181" i="5"/>
  <c r="J296" i="5"/>
  <c r="J242" i="5"/>
  <c r="K157" i="5"/>
  <c r="K312" i="5"/>
  <c r="K63" i="5"/>
  <c r="K31" i="5"/>
  <c r="J317" i="5"/>
  <c r="K276" i="5"/>
  <c r="K256" i="5"/>
  <c r="K234" i="5"/>
  <c r="J227" i="5"/>
  <c r="J211" i="5"/>
  <c r="J204" i="5"/>
  <c r="K189" i="5"/>
  <c r="J134" i="5"/>
  <c r="K126" i="5"/>
  <c r="K118" i="5"/>
  <c r="J110" i="5"/>
  <c r="J102" i="5"/>
  <c r="K94" i="5"/>
  <c r="K86" i="5"/>
  <c r="J17" i="5"/>
  <c r="J9" i="5"/>
  <c r="K25" i="5"/>
  <c r="J16" i="5"/>
  <c r="J8" i="5"/>
  <c r="J322" i="5"/>
  <c r="K18" i="5"/>
  <c r="J15" i="5"/>
  <c r="J7" i="5"/>
  <c r="K23" i="5"/>
  <c r="K321" i="5"/>
  <c r="J74" i="5"/>
  <c r="J66" i="5"/>
  <c r="J59" i="5"/>
  <c r="J51" i="5"/>
  <c r="J43" i="5"/>
  <c r="J35" i="5"/>
  <c r="J27" i="5"/>
  <c r="K331" i="5"/>
  <c r="J326" i="5"/>
  <c r="K320" i="5"/>
  <c r="J307" i="5"/>
  <c r="K300" i="5"/>
  <c r="K292" i="5"/>
  <c r="J285" i="5"/>
  <c r="K280" i="5"/>
  <c r="J273" i="5"/>
  <c r="K259" i="5"/>
  <c r="J253" i="5"/>
  <c r="J223" i="5"/>
  <c r="J215" i="5"/>
  <c r="J201" i="5"/>
  <c r="J193" i="5"/>
  <c r="J169" i="5"/>
  <c r="J153" i="5"/>
  <c r="J138" i="5"/>
  <c r="J130" i="5"/>
  <c r="J106" i="5"/>
  <c r="J90" i="5"/>
  <c r="J65" i="5"/>
  <c r="J50" i="5"/>
  <c r="J42" i="5"/>
  <c r="J13" i="5"/>
  <c r="J5" i="5"/>
  <c r="J356" i="5"/>
  <c r="K349" i="5"/>
  <c r="K343" i="5"/>
  <c r="K325" i="5"/>
  <c r="K314" i="5"/>
  <c r="J306" i="5"/>
  <c r="K299" i="5"/>
  <c r="J291" i="5"/>
  <c r="K279" i="5"/>
  <c r="K272" i="5"/>
  <c r="K266" i="5"/>
  <c r="J258" i="5"/>
  <c r="J252" i="5"/>
  <c r="J237" i="5"/>
  <c r="J230" i="5"/>
  <c r="J207" i="5"/>
  <c r="J192" i="5"/>
  <c r="J176" i="5"/>
  <c r="J168" i="5"/>
  <c r="J145" i="5"/>
  <c r="J129" i="5"/>
  <c r="J113" i="5"/>
  <c r="J105" i="5"/>
  <c r="J81" i="5"/>
  <c r="K57" i="5"/>
  <c r="K49" i="5"/>
  <c r="K41" i="5"/>
  <c r="K2" i="5"/>
  <c r="K43" i="5"/>
  <c r="J331" i="5"/>
  <c r="J272" i="5"/>
  <c r="K291" i="5"/>
  <c r="K253" i="5"/>
  <c r="K113" i="5"/>
  <c r="J260" i="5"/>
  <c r="J144" i="5"/>
  <c r="K258" i="5"/>
  <c r="K105" i="5"/>
  <c r="J325" i="5"/>
  <c r="J104" i="5"/>
  <c r="K102" i="5"/>
  <c r="J151" i="5"/>
  <c r="J376" i="5"/>
  <c r="J314" i="5"/>
  <c r="J257" i="5"/>
  <c r="J94" i="5"/>
  <c r="K252" i="5"/>
  <c r="K90" i="5"/>
  <c r="J373" i="5"/>
  <c r="J312" i="5"/>
  <c r="J229" i="5"/>
  <c r="J44" i="5"/>
  <c r="K66" i="5"/>
  <c r="J308" i="5"/>
  <c r="J213" i="5"/>
  <c r="K215" i="5"/>
  <c r="K65" i="5"/>
  <c r="J350" i="5"/>
  <c r="J280" i="5"/>
  <c r="J212" i="5"/>
  <c r="K154" i="5"/>
  <c r="K55" i="5"/>
  <c r="J279" i="5"/>
  <c r="J199" i="5"/>
  <c r="K306" i="5"/>
  <c r="K145" i="5"/>
  <c r="J284" i="5"/>
  <c r="J157" i="5"/>
  <c r="K351" i="5"/>
  <c r="K269" i="5"/>
  <c r="K165" i="5"/>
  <c r="J388" i="5"/>
  <c r="J375" i="5"/>
  <c r="J357" i="5"/>
  <c r="J219" i="5"/>
  <c r="J100" i="5"/>
  <c r="J52" i="5"/>
  <c r="K263" i="5"/>
  <c r="K227" i="5"/>
  <c r="K162" i="5"/>
  <c r="K378" i="5"/>
  <c r="K296" i="5"/>
  <c r="J276" i="5"/>
  <c r="J86" i="5"/>
  <c r="J368" i="5"/>
  <c r="J344" i="5"/>
  <c r="J300" i="5"/>
  <c r="J247" i="5"/>
  <c r="J139" i="5"/>
  <c r="J83" i="5"/>
  <c r="J23" i="5"/>
  <c r="K371" i="5"/>
  <c r="K335" i="5"/>
  <c r="K285" i="5"/>
  <c r="K204" i="5"/>
  <c r="K140" i="5"/>
  <c r="K39" i="5"/>
  <c r="K340" i="5"/>
  <c r="J254" i="5"/>
  <c r="J31" i="5"/>
  <c r="J383" i="5"/>
  <c r="J341" i="5"/>
  <c r="J321" i="5"/>
  <c r="J292" i="5"/>
  <c r="J244" i="5"/>
  <c r="J194" i="5"/>
  <c r="J126" i="5"/>
  <c r="J78" i="5"/>
  <c r="K326" i="5"/>
  <c r="K138" i="5"/>
  <c r="K36" i="5"/>
  <c r="J362" i="5"/>
  <c r="J290" i="5"/>
  <c r="J267" i="5"/>
  <c r="J234" i="5"/>
  <c r="J183" i="5"/>
  <c r="J118" i="5"/>
  <c r="J63" i="5"/>
  <c r="K322" i="5"/>
  <c r="K281" i="5"/>
  <c r="K239" i="5"/>
  <c r="K192" i="5"/>
  <c r="K74" i="5"/>
  <c r="K28" i="5"/>
  <c r="J329" i="5"/>
  <c r="K211" i="5"/>
  <c r="J377" i="5"/>
  <c r="J360" i="5"/>
  <c r="J315" i="5"/>
  <c r="J289" i="5"/>
  <c r="J266" i="5"/>
  <c r="J231" i="5"/>
  <c r="J178" i="5"/>
  <c r="J112" i="5"/>
  <c r="J57" i="5"/>
  <c r="K274" i="5"/>
  <c r="K169" i="5"/>
  <c r="K115" i="5"/>
  <c r="K67" i="5"/>
  <c r="K27" i="5"/>
  <c r="K346" i="5"/>
  <c r="J346" i="5"/>
  <c r="K316" i="5"/>
  <c r="J316" i="5"/>
  <c r="K283" i="5"/>
  <c r="J283" i="5"/>
  <c r="K249" i="5"/>
  <c r="J249" i="5"/>
  <c r="K218" i="5"/>
  <c r="J218" i="5"/>
  <c r="K77" i="5"/>
  <c r="J77" i="5"/>
  <c r="K46" i="5"/>
  <c r="J46" i="5"/>
  <c r="J333" i="5"/>
  <c r="K333" i="5"/>
  <c r="K309" i="5"/>
  <c r="J309" i="5"/>
  <c r="J287" i="5"/>
  <c r="K287" i="5"/>
  <c r="K301" i="5"/>
  <c r="K187" i="5"/>
  <c r="J19" i="5"/>
  <c r="K19" i="5"/>
  <c r="K228" i="5"/>
  <c r="J228" i="5"/>
  <c r="K198" i="5"/>
  <c r="J198" i="5"/>
  <c r="J190" i="5"/>
  <c r="K190" i="5"/>
  <c r="J182" i="5"/>
  <c r="K182" i="5"/>
  <c r="J174" i="5"/>
  <c r="K174" i="5"/>
  <c r="J166" i="5"/>
  <c r="K166" i="5"/>
  <c r="J158" i="5"/>
  <c r="K158" i="5"/>
  <c r="J150" i="5"/>
  <c r="K150" i="5"/>
  <c r="J143" i="5"/>
  <c r="K143" i="5"/>
  <c r="J135" i="5"/>
  <c r="K135" i="5"/>
  <c r="J127" i="5"/>
  <c r="J119" i="5"/>
  <c r="K119" i="5"/>
  <c r="J391" i="5"/>
  <c r="J354" i="5"/>
  <c r="J304" i="5"/>
  <c r="J251" i="5"/>
  <c r="J203" i="5"/>
  <c r="J164" i="5"/>
  <c r="J125" i="5"/>
  <c r="K217" i="5"/>
  <c r="K92" i="5"/>
  <c r="K352" i="5"/>
  <c r="J352" i="5"/>
  <c r="K310" i="5"/>
  <c r="J310" i="5"/>
  <c r="K268" i="5"/>
  <c r="J268" i="5"/>
  <c r="K85" i="5"/>
  <c r="J85" i="5"/>
  <c r="J24" i="5"/>
  <c r="K24" i="5"/>
  <c r="J382" i="5"/>
  <c r="K382" i="5"/>
  <c r="K232" i="5"/>
  <c r="J232" i="5"/>
  <c r="J84" i="5"/>
  <c r="K84" i="5"/>
  <c r="J26" i="5"/>
  <c r="K26" i="5"/>
  <c r="J197" i="5"/>
  <c r="K197" i="5"/>
  <c r="J173" i="5"/>
  <c r="K173" i="5"/>
  <c r="J390" i="5"/>
  <c r="J384" i="5"/>
  <c r="J361" i="5"/>
  <c r="J353" i="5"/>
  <c r="J343" i="5"/>
  <c r="J332" i="5"/>
  <c r="J303" i="5"/>
  <c r="J270" i="5"/>
  <c r="J259" i="5"/>
  <c r="J250" i="5"/>
  <c r="J233" i="5"/>
  <c r="J216" i="5"/>
  <c r="J202" i="5"/>
  <c r="J181" i="5"/>
  <c r="J163" i="5"/>
  <c r="J142" i="5"/>
  <c r="J120" i="5"/>
  <c r="J101" i="5"/>
  <c r="J80" i="5"/>
  <c r="J62" i="5"/>
  <c r="J41" i="5"/>
  <c r="J20" i="5"/>
  <c r="K389" i="5"/>
  <c r="K381" i="5"/>
  <c r="K369" i="5"/>
  <c r="K356" i="5"/>
  <c r="K307" i="5"/>
  <c r="K273" i="5"/>
  <c r="K237" i="5"/>
  <c r="K193" i="5"/>
  <c r="K168" i="5"/>
  <c r="K116" i="5"/>
  <c r="K91" i="5"/>
  <c r="K42" i="5"/>
  <c r="K370" i="5"/>
  <c r="J370" i="5"/>
  <c r="K141" i="5"/>
  <c r="J141" i="5"/>
  <c r="K109" i="5"/>
  <c r="J109" i="5"/>
  <c r="K61" i="5"/>
  <c r="J186" i="5"/>
  <c r="K186" i="5"/>
  <c r="J123" i="5"/>
  <c r="K123" i="5"/>
  <c r="J60" i="5"/>
  <c r="K60" i="5"/>
  <c r="J367" i="5"/>
  <c r="J349" i="5"/>
  <c r="J337" i="5"/>
  <c r="J320" i="5"/>
  <c r="J311" i="5"/>
  <c r="J299" i="5"/>
  <c r="J286" i="5"/>
  <c r="J277" i="5"/>
  <c r="J256" i="5"/>
  <c r="J243" i="5"/>
  <c r="J226" i="5"/>
  <c r="J210" i="5"/>
  <c r="J195" i="5"/>
  <c r="J175" i="5"/>
  <c r="J155" i="5"/>
  <c r="J133" i="5"/>
  <c r="J93" i="5"/>
  <c r="J75" i="5"/>
  <c r="J54" i="5"/>
  <c r="K386" i="5"/>
  <c r="K363" i="5"/>
  <c r="K347" i="5"/>
  <c r="K317" i="5"/>
  <c r="K248" i="5"/>
  <c r="K230" i="5"/>
  <c r="K207" i="5"/>
  <c r="K131" i="5"/>
  <c r="K106" i="5"/>
  <c r="K81" i="5"/>
  <c r="K29" i="5"/>
  <c r="K364" i="5"/>
  <c r="J364" i="5"/>
  <c r="K334" i="5"/>
  <c r="J334" i="5"/>
  <c r="K295" i="5"/>
  <c r="J295" i="5"/>
  <c r="K262" i="5"/>
  <c r="J262" i="5"/>
  <c r="K172" i="5"/>
  <c r="J172" i="5"/>
  <c r="J38" i="5"/>
  <c r="J148" i="5"/>
  <c r="K148" i="5"/>
  <c r="J196" i="5"/>
  <c r="J156" i="5"/>
  <c r="J117" i="5"/>
  <c r="J76" i="5"/>
  <c r="J37" i="5"/>
  <c r="K22" i="5"/>
  <c r="J22" i="5"/>
  <c r="J246" i="5"/>
  <c r="K246" i="5"/>
  <c r="J238" i="5"/>
  <c r="K238" i="5"/>
  <c r="J208" i="5"/>
  <c r="K208" i="5"/>
  <c r="J185" i="5"/>
  <c r="K185" i="5"/>
  <c r="J177" i="5"/>
  <c r="K177" i="5"/>
  <c r="J161" i="5"/>
  <c r="K161" i="5"/>
  <c r="J146" i="5"/>
  <c r="K146" i="5"/>
  <c r="J122" i="5"/>
  <c r="K122" i="5"/>
  <c r="J114" i="5"/>
  <c r="K114" i="5"/>
  <c r="J98" i="5"/>
  <c r="K98" i="5"/>
  <c r="J82" i="5"/>
  <c r="K82" i="5"/>
  <c r="J348" i="5"/>
  <c r="J297" i="5"/>
  <c r="J241" i="5"/>
  <c r="J225" i="5"/>
  <c r="J209" i="5"/>
  <c r="J171" i="5"/>
  <c r="J132" i="5"/>
  <c r="J69" i="5"/>
  <c r="J30" i="5"/>
  <c r="K385" i="5"/>
  <c r="K179" i="5"/>
  <c r="K130" i="5"/>
  <c r="K53" i="5"/>
  <c r="K339" i="5"/>
  <c r="J339" i="5"/>
  <c r="K302" i="5"/>
  <c r="J302" i="5"/>
  <c r="K255" i="5"/>
  <c r="J255" i="5"/>
  <c r="J180" i="5"/>
  <c r="J338" i="5"/>
  <c r="K338" i="5"/>
  <c r="J21" i="5"/>
  <c r="K21" i="5"/>
  <c r="J245" i="5"/>
  <c r="K245" i="5"/>
  <c r="J222" i="5"/>
  <c r="K222" i="5"/>
  <c r="J214" i="5"/>
  <c r="K214" i="5"/>
  <c r="J200" i="5"/>
  <c r="K200" i="5"/>
  <c r="J184" i="5"/>
  <c r="J160" i="5"/>
  <c r="K160" i="5"/>
  <c r="J152" i="5"/>
  <c r="K152" i="5"/>
  <c r="J137" i="5"/>
  <c r="K137" i="5"/>
  <c r="J121" i="5"/>
  <c r="K121" i="5"/>
  <c r="J97" i="5"/>
  <c r="K97" i="5"/>
  <c r="J89" i="5"/>
  <c r="K89" i="5"/>
  <c r="J73" i="5"/>
  <c r="K73" i="5"/>
  <c r="J58" i="5"/>
  <c r="K58" i="5"/>
  <c r="J34" i="5"/>
  <c r="K34" i="5"/>
  <c r="J365" i="5"/>
  <c r="J327" i="5"/>
  <c r="J318" i="5"/>
  <c r="J264" i="5"/>
  <c r="J240" i="5"/>
  <c r="J224" i="5"/>
  <c r="J205" i="5"/>
  <c r="J189" i="5"/>
  <c r="J170" i="5"/>
  <c r="J149" i="5"/>
  <c r="J108" i="5"/>
  <c r="J88" i="5"/>
  <c r="J68" i="5"/>
  <c r="J49" i="5"/>
  <c r="K345" i="5"/>
  <c r="K328" i="5"/>
  <c r="K294" i="5"/>
  <c r="K261" i="5"/>
  <c r="K242" i="5"/>
  <c r="K153" i="5"/>
  <c r="K129" i="5"/>
  <c r="K387" i="5"/>
  <c r="J387" i="5"/>
  <c r="K358" i="5"/>
  <c r="J358" i="5"/>
  <c r="K323" i="5"/>
  <c r="J323" i="5"/>
  <c r="K288" i="5"/>
  <c r="J288" i="5"/>
  <c r="J282" i="5"/>
  <c r="K282" i="5"/>
  <c r="K380" i="5"/>
  <c r="J380" i="5"/>
  <c r="K372" i="5"/>
  <c r="J372" i="5"/>
  <c r="K366" i="5"/>
  <c r="J366" i="5"/>
  <c r="K359" i="5"/>
  <c r="J359" i="5"/>
  <c r="K355" i="5"/>
  <c r="J355" i="5"/>
  <c r="K342" i="5"/>
  <c r="J342" i="5"/>
  <c r="K324" i="5"/>
  <c r="J324" i="5"/>
  <c r="K319" i="5"/>
  <c r="J319" i="5"/>
  <c r="K313" i="5"/>
  <c r="J313" i="5"/>
  <c r="K305" i="5"/>
  <c r="J305" i="5"/>
  <c r="K298" i="5"/>
  <c r="J298" i="5"/>
  <c r="K278" i="5"/>
  <c r="J278" i="5"/>
  <c r="K271" i="5"/>
  <c r="J271" i="5"/>
  <c r="K265" i="5"/>
  <c r="J265" i="5"/>
  <c r="K236" i="5"/>
  <c r="J236" i="5"/>
  <c r="K221" i="5"/>
  <c r="J221" i="5"/>
  <c r="K206" i="5"/>
  <c r="J206" i="5"/>
  <c r="K191" i="5"/>
  <c r="J191" i="5"/>
  <c r="K159" i="5"/>
  <c r="J159" i="5"/>
  <c r="K136" i="5"/>
  <c r="J136" i="5"/>
  <c r="K128" i="5"/>
  <c r="J128" i="5"/>
  <c r="K96" i="5"/>
  <c r="J96" i="5"/>
  <c r="K72" i="5"/>
  <c r="J72" i="5"/>
  <c r="K64" i="5"/>
  <c r="J64" i="5"/>
  <c r="K33" i="5"/>
  <c r="J33" i="5"/>
  <c r="J379" i="5"/>
  <c r="J374" i="5"/>
  <c r="J336" i="5"/>
  <c r="J293" i="5"/>
  <c r="J235" i="5"/>
  <c r="J220" i="5"/>
  <c r="J188" i="5"/>
  <c r="J167" i="5"/>
  <c r="J147" i="5"/>
  <c r="J107" i="5"/>
  <c r="J45" i="5"/>
  <c r="J25" i="5"/>
  <c r="K275" i="5"/>
  <c r="K223" i="5"/>
  <c r="K201" i="5"/>
  <c r="K176"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4" i="5"/>
  <c r="K70" i="5"/>
  <c r="K59" i="5"/>
  <c r="J11" i="5"/>
  <c r="K17" i="5"/>
  <c r="K13" i="5"/>
  <c r="K9" i="5"/>
  <c r="K5" i="5"/>
  <c r="K15" i="5"/>
  <c r="K7" i="5"/>
  <c r="K16" i="5"/>
  <c r="K14" i="5"/>
  <c r="K12" i="5"/>
  <c r="K10" i="5"/>
  <c r="K8" i="5"/>
  <c r="K6" i="5"/>
  <c r="K4" i="5"/>
  <c r="I45" i="2" l="1"/>
  <c r="W45" i="2"/>
  <c r="AG45" i="2" s="1"/>
  <c r="X45" i="2"/>
  <c r="W72" i="2"/>
  <c r="AG72" i="2" s="1"/>
  <c r="X72" i="2"/>
  <c r="W29" i="2"/>
  <c r="AG29" i="2" s="1"/>
  <c r="X29" i="2"/>
  <c r="W110" i="2"/>
  <c r="AG110" i="2" s="1"/>
  <c r="X110" i="2"/>
  <c r="W19" i="2"/>
  <c r="AG19" i="2" s="1"/>
  <c r="I29" i="1"/>
  <c r="I12" i="1"/>
  <c r="I235" i="1"/>
  <c r="W20" i="2"/>
  <c r="AG20" i="2" s="1"/>
  <c r="X114" i="2"/>
  <c r="W87" i="2"/>
  <c r="AG87" i="2" s="1"/>
  <c r="W6" i="2"/>
  <c r="AG6" i="2" s="1"/>
  <c r="W30" i="2"/>
  <c r="AG30" i="2" s="1"/>
  <c r="W41" i="2"/>
  <c r="AG41" i="2" s="1"/>
  <c r="W93" i="2"/>
  <c r="AG93" i="2" s="1"/>
  <c r="W5" i="2"/>
  <c r="AG5" i="2" s="1"/>
  <c r="W59" i="2"/>
  <c r="AG59" i="2" s="1"/>
  <c r="W40" i="2"/>
  <c r="AG40" i="2" s="1"/>
  <c r="W74" i="2"/>
  <c r="AG74" i="2" s="1"/>
  <c r="W111" i="2"/>
  <c r="AG111" i="2" s="1"/>
  <c r="W132" i="2"/>
  <c r="AG132" i="2" s="1"/>
  <c r="W79" i="2"/>
  <c r="AG79" i="2" s="1"/>
  <c r="W43" i="2"/>
  <c r="AG43" i="2" s="1"/>
  <c r="W116" i="2"/>
  <c r="AG116" i="2" s="1"/>
  <c r="W85" i="2"/>
  <c r="AG85" i="2" s="1"/>
  <c r="W55" i="2"/>
  <c r="AG55" i="2" s="1"/>
  <c r="W51" i="2"/>
  <c r="AG51" i="2" s="1"/>
  <c r="W32" i="2"/>
  <c r="AG32" i="2" s="1"/>
  <c r="W129" i="2"/>
  <c r="AG129" i="2" s="1"/>
  <c r="W77" i="2"/>
  <c r="AG77" i="2" s="1"/>
  <c r="W3" i="2"/>
  <c r="AG3" i="2" s="1"/>
  <c r="W18" i="2"/>
  <c r="AG18" i="2" s="1"/>
  <c r="W96" i="2"/>
  <c r="AG96" i="2" s="1"/>
  <c r="W81" i="2"/>
  <c r="AG81" i="2" s="1"/>
  <c r="W125" i="2"/>
  <c r="AG125" i="2" s="1"/>
  <c r="W83" i="2"/>
  <c r="AG83" i="2" s="1"/>
  <c r="W108" i="2"/>
  <c r="AG108" i="2" s="1"/>
  <c r="W71" i="2"/>
  <c r="AG71" i="2" s="1"/>
  <c r="W50" i="2"/>
  <c r="AG50" i="2" s="1"/>
  <c r="W36" i="2"/>
  <c r="AG36" i="2" s="1"/>
  <c r="W104" i="2"/>
  <c r="AG104" i="2" s="1"/>
  <c r="W64" i="2"/>
  <c r="AG64" i="2" s="1"/>
  <c r="W137" i="2"/>
  <c r="AG137" i="2" s="1"/>
  <c r="W58" i="2"/>
  <c r="AG58" i="2" s="1"/>
  <c r="W39" i="2"/>
  <c r="AG39" i="2" s="1"/>
  <c r="W105" i="2"/>
  <c r="AG105" i="2" s="1"/>
  <c r="W44" i="2"/>
  <c r="AG44" i="2" s="1"/>
  <c r="W106" i="2"/>
  <c r="AG106" i="2" s="1"/>
  <c r="W103" i="2"/>
  <c r="AG103" i="2" s="1"/>
  <c r="W82" i="2"/>
  <c r="AG82" i="2" s="1"/>
  <c r="W120" i="2"/>
  <c r="AG120" i="2" s="1"/>
  <c r="W38" i="2"/>
  <c r="AG38" i="2" s="1"/>
  <c r="W35" i="2"/>
  <c r="AG35" i="2" s="1"/>
  <c r="W142" i="2"/>
  <c r="AG142" i="2" s="1"/>
  <c r="W25" i="2"/>
  <c r="AG25" i="2" s="1"/>
  <c r="W122" i="2"/>
  <c r="AG122" i="2" s="1"/>
  <c r="W14" i="2"/>
  <c r="AG14" i="2" s="1"/>
  <c r="W46" i="2"/>
  <c r="AG46" i="2" s="1"/>
  <c r="W88" i="2"/>
  <c r="AG88" i="2" s="1"/>
  <c r="W98" i="2"/>
  <c r="AG98" i="2" s="1"/>
  <c r="W62" i="2"/>
  <c r="AG62" i="2" s="1"/>
  <c r="W68" i="2"/>
  <c r="AG68" i="2" s="1"/>
  <c r="W12" i="2"/>
  <c r="AG12" i="2" s="1"/>
  <c r="W95" i="2"/>
  <c r="AG95" i="2" s="1"/>
  <c r="W48" i="2"/>
  <c r="AG48" i="2" s="1"/>
  <c r="W136" i="2"/>
  <c r="AG136" i="2" s="1"/>
  <c r="W26" i="2"/>
  <c r="AG26" i="2" s="1"/>
  <c r="W66" i="2"/>
  <c r="AG66" i="2" s="1"/>
  <c r="W99" i="2"/>
  <c r="AG99" i="2" s="1"/>
  <c r="W67" i="2"/>
  <c r="AG67" i="2" s="1"/>
  <c r="W140" i="2"/>
  <c r="AG140" i="2" s="1"/>
  <c r="X91" i="2"/>
  <c r="W94" i="2"/>
  <c r="AG94" i="2" s="1"/>
  <c r="W63" i="2"/>
  <c r="AG63" i="2" s="1"/>
  <c r="W70" i="2"/>
  <c r="AG70" i="2" s="1"/>
  <c r="W10" i="2"/>
  <c r="AG10" i="2" s="1"/>
  <c r="W109" i="2"/>
  <c r="AG109" i="2" s="1"/>
  <c r="W80" i="2"/>
  <c r="AG80" i="2" s="1"/>
  <c r="W117" i="2"/>
  <c r="AG117" i="2" s="1"/>
  <c r="W76" i="2"/>
  <c r="AG76" i="2" s="1"/>
  <c r="W49" i="2"/>
  <c r="AG49" i="2" s="1"/>
  <c r="W13" i="2"/>
  <c r="AG13" i="2" s="1"/>
  <c r="W57" i="2"/>
  <c r="AG57" i="2" s="1"/>
  <c r="W124" i="2"/>
  <c r="AG124" i="2" s="1"/>
  <c r="W107" i="2"/>
  <c r="AG107" i="2" s="1"/>
  <c r="W16" i="2"/>
  <c r="AG16" i="2" s="1"/>
  <c r="W47" i="2"/>
  <c r="AG47" i="2" s="1"/>
  <c r="W135" i="2"/>
  <c r="AG135" i="2" s="1"/>
  <c r="W4" i="2"/>
  <c r="AG4" i="2" s="1"/>
  <c r="W8" i="2"/>
  <c r="AG8" i="2" s="1"/>
  <c r="W69" i="2"/>
  <c r="AG69" i="2" s="1"/>
  <c r="W118" i="2"/>
  <c r="AG118" i="2" s="1"/>
  <c r="W65" i="2"/>
  <c r="AG65" i="2" s="1"/>
  <c r="W24" i="2"/>
  <c r="AG24" i="2" s="1"/>
  <c r="W138" i="2"/>
  <c r="AG138" i="2" s="1"/>
  <c r="W97" i="2"/>
  <c r="AG97" i="2" s="1"/>
  <c r="W21" i="2"/>
  <c r="AG21" i="2" s="1"/>
  <c r="W141" i="2"/>
  <c r="AG141" i="2" s="1"/>
  <c r="W92" i="2"/>
  <c r="AG92" i="2" s="1"/>
  <c r="W101" i="2"/>
  <c r="AG101" i="2" s="1"/>
  <c r="W89" i="2"/>
  <c r="AG89" i="2" s="1"/>
  <c r="W11" i="2"/>
  <c r="AG11" i="2" s="1"/>
  <c r="W34" i="2"/>
  <c r="AG34" i="2" s="1"/>
  <c r="W112" i="2"/>
  <c r="AG112" i="2" s="1"/>
  <c r="W31" i="2"/>
  <c r="AG31" i="2" s="1"/>
  <c r="W53" i="2"/>
  <c r="AG53" i="2" s="1"/>
  <c r="W22" i="2"/>
  <c r="AG22" i="2" s="1"/>
  <c r="W28" i="2"/>
  <c r="AG28" i="2" s="1"/>
  <c r="W33" i="2"/>
  <c r="AG33" i="2" s="1"/>
  <c r="W73" i="2"/>
  <c r="AG73" i="2" s="1"/>
  <c r="W27" i="2"/>
  <c r="AG27" i="2" s="1"/>
  <c r="I73" i="2"/>
  <c r="I112" i="2"/>
  <c r="I53" i="2"/>
  <c r="I19" i="2"/>
  <c r="I16" i="2"/>
  <c r="I80" i="2"/>
  <c r="I63" i="2"/>
  <c r="I94" i="2"/>
  <c r="I99" i="2"/>
  <c r="I66" i="2"/>
  <c r="I26" i="2"/>
  <c r="I62" i="2"/>
  <c r="I98" i="2"/>
  <c r="I88" i="2"/>
  <c r="I46" i="2"/>
  <c r="I25" i="2"/>
  <c r="I82" i="2"/>
  <c r="I59" i="2"/>
  <c r="I85" i="2"/>
  <c r="I55" i="2"/>
  <c r="I51" i="2"/>
  <c r="I129" i="2"/>
  <c r="I77" i="2"/>
  <c r="I36" i="2"/>
  <c r="I58" i="2"/>
  <c r="I39" i="2"/>
  <c r="I105" i="2"/>
  <c r="I44" i="2"/>
  <c r="I205" i="1"/>
  <c r="X19" i="2" l="1"/>
  <c r="X36" i="2"/>
  <c r="X30" i="2"/>
  <c r="X28" i="2"/>
  <c r="X105" i="2"/>
  <c r="X136" i="2"/>
  <c r="X13" i="2"/>
  <c r="X40" i="2"/>
  <c r="X10" i="2"/>
  <c r="X92" i="2"/>
  <c r="X67" i="2"/>
  <c r="X94" i="2"/>
  <c r="X124" i="2"/>
  <c r="X120" i="2"/>
  <c r="X74" i="2"/>
  <c r="X26" i="2"/>
  <c r="X41" i="2"/>
  <c r="X81" i="2"/>
  <c r="X108" i="2"/>
  <c r="X25" i="2"/>
  <c r="X69" i="2"/>
  <c r="X32" i="2"/>
  <c r="X27" i="2"/>
  <c r="X73" i="2"/>
  <c r="X5" i="2"/>
  <c r="W114" i="2"/>
  <c r="AG114" i="2" s="1"/>
  <c r="X44" i="2"/>
  <c r="X58" i="2"/>
  <c r="X65" i="2"/>
  <c r="X14" i="2"/>
  <c r="X82" i="2"/>
  <c r="X61" i="2"/>
  <c r="X138" i="2"/>
  <c r="X85" i="2"/>
  <c r="X140" i="2"/>
  <c r="X137" i="2"/>
  <c r="X75" i="2"/>
  <c r="X77" i="2"/>
  <c r="X70" i="2"/>
  <c r="X135" i="2"/>
  <c r="X68" i="2"/>
  <c r="X39" i="2"/>
  <c r="X59" i="2"/>
  <c r="X117" i="2"/>
  <c r="X99" i="2"/>
  <c r="X79" i="2"/>
  <c r="X18" i="2"/>
  <c r="X96" i="2"/>
  <c r="X4" i="2"/>
  <c r="X63" i="2"/>
  <c r="X87" i="2"/>
  <c r="X22" i="2"/>
  <c r="X107" i="2"/>
  <c r="X33" i="2"/>
  <c r="X98" i="2"/>
  <c r="X116" i="2"/>
  <c r="X101" i="2"/>
  <c r="X97" i="2"/>
  <c r="X129" i="2"/>
  <c r="X118" i="2"/>
  <c r="X55" i="2"/>
  <c r="X112" i="2"/>
  <c r="X35" i="2"/>
  <c r="X11" i="2"/>
  <c r="X106" i="2"/>
  <c r="X93" i="2"/>
  <c r="X24" i="2"/>
  <c r="X51" i="2"/>
  <c r="X141" i="2"/>
  <c r="X109" i="2"/>
  <c r="X43" i="2"/>
  <c r="X21" i="2"/>
  <c r="X80" i="2"/>
  <c r="X95" i="2"/>
  <c r="X111" i="2"/>
  <c r="X12" i="2"/>
  <c r="X6" i="2"/>
  <c r="W91" i="2"/>
  <c r="AG91" i="2" s="1"/>
  <c r="X20" i="2"/>
  <c r="X16" i="2"/>
  <c r="X46" i="2"/>
  <c r="X84" i="2"/>
  <c r="X34" i="2"/>
  <c r="X38" i="2"/>
  <c r="X71" i="2"/>
  <c r="X83" i="2"/>
  <c r="X62" i="2"/>
  <c r="X132" i="2"/>
  <c r="X142" i="2"/>
  <c r="X88" i="2"/>
  <c r="X64" i="2"/>
  <c r="X103" i="2"/>
  <c r="X122" i="2"/>
  <c r="X104" i="2"/>
  <c r="X53" i="2"/>
  <c r="X47" i="2"/>
  <c r="X49" i="2"/>
  <c r="X66" i="2"/>
  <c r="X50" i="2"/>
  <c r="X125" i="2"/>
  <c r="X48" i="2"/>
  <c r="X57" i="2"/>
  <c r="X76" i="2"/>
  <c r="X89" i="2"/>
  <c r="X31" i="2"/>
  <c r="I180" i="1"/>
  <c r="I130" i="1"/>
  <c r="I115" i="1"/>
  <c r="I165" i="1"/>
  <c r="I151" i="1"/>
  <c r="I56" i="1"/>
  <c r="I213" i="1"/>
  <c r="I84" i="1"/>
  <c r="I53" i="1"/>
  <c r="I139" i="1"/>
  <c r="I103" i="1"/>
  <c r="I30" i="1"/>
  <c r="I172" i="1"/>
  <c r="I173" i="1"/>
  <c r="I167" i="1"/>
  <c r="I222" i="1"/>
  <c r="I190" i="1"/>
  <c r="I227" i="1"/>
  <c r="I193" i="1"/>
  <c r="I41" i="1"/>
  <c r="I11" i="1"/>
  <c r="I38" i="1"/>
  <c r="I184" i="1"/>
  <c r="I141" i="1"/>
  <c r="I148" i="1"/>
  <c r="I66" i="1"/>
  <c r="I145" i="1"/>
  <c r="I70" i="1"/>
  <c r="I201" i="1"/>
  <c r="I73" i="1"/>
  <c r="I215" i="1"/>
  <c r="I37" i="1"/>
  <c r="I204" i="1"/>
  <c r="I157" i="1"/>
  <c r="I28" i="1"/>
  <c r="I123" i="1"/>
  <c r="I86" i="1"/>
  <c r="I13" i="1"/>
  <c r="I119" i="1"/>
  <c r="I109" i="1"/>
  <c r="I110" i="1"/>
  <c r="I155" i="1"/>
  <c r="I116" i="1"/>
  <c r="I232" i="1"/>
  <c r="I78" i="1"/>
  <c r="I102" i="1"/>
  <c r="I198" i="1"/>
  <c r="I15" i="1"/>
  <c r="I135" i="1"/>
  <c r="I67" i="1"/>
  <c r="I87" i="1"/>
  <c r="I199" i="1"/>
  <c r="I122" i="1"/>
  <c r="I96" i="1"/>
  <c r="I233" i="1"/>
  <c r="I163" i="1"/>
  <c r="I100" i="1"/>
  <c r="I214" i="1"/>
  <c r="I162" i="1"/>
  <c r="I129" i="1"/>
  <c r="I225" i="1"/>
  <c r="I187" i="1"/>
  <c r="I200" i="1"/>
  <c r="I132" i="1"/>
  <c r="I134" i="1"/>
  <c r="I124" i="1"/>
  <c r="I75" i="1"/>
  <c r="I142" i="1"/>
  <c r="I25" i="1"/>
  <c r="I185" i="1"/>
  <c r="I91" i="1"/>
  <c r="I76" i="1"/>
  <c r="I82" i="1"/>
  <c r="I144" i="1"/>
  <c r="I161" i="1"/>
  <c r="I10" i="1"/>
  <c r="I154" i="1"/>
  <c r="I60" i="1"/>
  <c r="I158" i="1"/>
  <c r="I189" i="1"/>
  <c r="I63" i="1"/>
  <c r="I19" i="1"/>
  <c r="I179" i="1"/>
  <c r="I136" i="1"/>
  <c r="I39" i="1"/>
  <c r="I137" i="1"/>
  <c r="I89" i="1"/>
  <c r="I153" i="1"/>
  <c r="I156" i="1"/>
  <c r="I125" i="1"/>
  <c r="I191" i="1"/>
  <c r="I27" i="1"/>
  <c r="I8" i="1"/>
  <c r="I149" i="1"/>
  <c r="I147" i="1"/>
  <c r="I140" i="1"/>
  <c r="I107" i="1"/>
  <c r="I104" i="1"/>
  <c r="I207" i="1"/>
  <c r="I108" i="1"/>
  <c r="I209" i="1"/>
  <c r="I216" i="1"/>
  <c r="I138" i="1"/>
  <c r="I47" i="1"/>
  <c r="I98" i="1"/>
  <c r="I18" i="1"/>
  <c r="I26" i="1"/>
  <c r="I14" i="1"/>
  <c r="I131" i="1"/>
  <c r="I166" i="1"/>
  <c r="I57" i="1"/>
  <c r="I50" i="1"/>
  <c r="I36" i="1"/>
  <c r="I146" i="1"/>
  <c r="I55" i="1"/>
  <c r="I34" i="1"/>
  <c r="I223" i="1"/>
  <c r="I236" i="1"/>
  <c r="I74" i="1"/>
  <c r="I106" i="1"/>
  <c r="I126" i="1"/>
  <c r="I64" i="1"/>
  <c r="I127" i="1"/>
  <c r="I65" i="1"/>
  <c r="I88" i="1"/>
  <c r="I128" i="1"/>
  <c r="I54" i="1"/>
  <c r="I113" i="1"/>
  <c r="I31" i="1"/>
  <c r="I17" i="1"/>
  <c r="I46" i="1"/>
  <c r="I20" i="1"/>
  <c r="I178" i="1"/>
  <c r="I112" i="1"/>
  <c r="I217" i="1"/>
  <c r="I23" i="1"/>
  <c r="I62" i="1"/>
  <c r="I45" i="1"/>
  <c r="I24" i="1"/>
  <c r="I4" i="1"/>
  <c r="I230" i="1"/>
  <c r="I111" i="1"/>
  <c r="I22" i="1"/>
  <c r="I234" i="1"/>
  <c r="I226" i="1"/>
  <c r="I5" i="1"/>
  <c r="I51" i="1"/>
  <c r="I118" i="1"/>
  <c r="I95" i="1"/>
  <c r="I202" i="1"/>
  <c r="I208" i="1"/>
  <c r="I175" i="1"/>
  <c r="I143" i="1"/>
  <c r="I168" i="1"/>
  <c r="I228" i="1"/>
  <c r="I171" i="1"/>
  <c r="I117" i="1"/>
  <c r="I152" i="1"/>
  <c r="I192" i="1"/>
  <c r="I61" i="1"/>
  <c r="I160" i="1"/>
  <c r="I121" i="1"/>
  <c r="I80" i="1"/>
  <c r="I169" i="1"/>
  <c r="I69" i="1"/>
  <c r="I133" i="1"/>
  <c r="I79" i="1"/>
  <c r="I120" i="1"/>
  <c r="I174" i="1"/>
  <c r="I93" i="1"/>
  <c r="I81" i="1"/>
  <c r="I183" i="1"/>
  <c r="I231" i="1"/>
  <c r="I159" i="1"/>
  <c r="I99" i="1"/>
  <c r="I59" i="1"/>
  <c r="I94" i="1"/>
  <c r="I114" i="1"/>
  <c r="I188" i="1"/>
  <c r="I177" i="1"/>
  <c r="I44" i="1"/>
  <c r="I218" i="1"/>
  <c r="I101" i="1"/>
  <c r="W146" i="2" l="1"/>
  <c r="I3" i="2"/>
</calcChain>
</file>

<file path=xl/sharedStrings.xml><?xml version="1.0" encoding="utf-8"?>
<sst xmlns="http://schemas.openxmlformats.org/spreadsheetml/2006/main" count="5294" uniqueCount="1381">
  <si>
    <t>Spend</t>
  </si>
  <si>
    <t>Ad Sales</t>
  </si>
  <si>
    <t>Spend Difference</t>
  </si>
  <si>
    <t>Total Sales</t>
  </si>
  <si>
    <t>Dec</t>
  </si>
  <si>
    <t>(Child) ASIN</t>
  </si>
  <si>
    <t>Count</t>
  </si>
  <si>
    <t>Jan</t>
  </si>
  <si>
    <t>Title</t>
  </si>
  <si>
    <t>Row Labels</t>
  </si>
  <si>
    <t>Sum of Units Ordered</t>
  </si>
  <si>
    <t>Edit 12</t>
  </si>
  <si>
    <t>Edit 01</t>
  </si>
  <si>
    <t>Consistency</t>
  </si>
  <si>
    <t>Diff 12-01</t>
  </si>
  <si>
    <t>Diff %</t>
  </si>
  <si>
    <t>Diff Edit</t>
  </si>
  <si>
    <t>Ad Sales 01</t>
  </si>
  <si>
    <t>Diff</t>
  </si>
  <si>
    <t>PerUnit Dec</t>
  </si>
  <si>
    <t>PerUnit Jan</t>
  </si>
  <si>
    <t>DIFF</t>
  </si>
  <si>
    <t>多花的钱estimate</t>
  </si>
  <si>
    <t>B0BXYKQBDC</t>
  </si>
  <si>
    <t>Multi Collagen Peptides Powder, 16 Oz - Hydrolyzed Protein Peptides | Type I,II,III,V,X with Hyaluronic Acid, Biotin 10,000mcg &amp; Vitamin C - Unflavored - Keto &amp; Paleo Friendly, Ez Mix in Drinks</t>
  </si>
  <si>
    <t>B0BKK4X56L</t>
  </si>
  <si>
    <t>整体下调保持top竞争力 持续在保持销量基础上降低整体花费 top KW/KW/PT</t>
  </si>
  <si>
    <t>花费降低，销量没有明显变化 继续保持</t>
  </si>
  <si>
    <t>B0C88BJYX2</t>
  </si>
  <si>
    <t>Whole Milk Powder, 4lbs | rBST Hormone Free, Pasture Raised Source, Premium Grade Dry Powdered Form | Great for Baking | Rich in Protein | Non-GMO</t>
  </si>
  <si>
    <t>B0CLFXDX4Z</t>
  </si>
  <si>
    <t>小幅度降Bid 0.05 KW 给budget</t>
  </si>
  <si>
    <t>下调top到40，rest到10，整体Bid再降0.5继续跑</t>
  </si>
  <si>
    <t>B0D16FNPY5</t>
  </si>
  <si>
    <t>Micro Ingredients Organic Spirulina Supplement, 3000MG Per Serving, 720 Tablets (4 Month Supply), No Filler &amp; Non-GMO, Rich in Vegan Protein, Vitamins &amp; Prebiotics, Premium Spirulina Pills Organic</t>
  </si>
  <si>
    <t>B01DPW5DC4</t>
  </si>
  <si>
    <t>下调整体KW和PT的花钱较多的base 观察销量</t>
  </si>
  <si>
    <t>下调了话费继续观察暂时销量没有波动</t>
  </si>
  <si>
    <t>B0BCMKNMZB</t>
  </si>
  <si>
    <t>B0CG7M9HWP</t>
  </si>
  <si>
    <t>Moringa 6000mg capsules</t>
  </si>
  <si>
    <t>B0DDWPH39G</t>
  </si>
  <si>
    <t>钱不够花 KW先降到80Top 慢慢跑完上提</t>
  </si>
  <si>
    <t>继续下调整体bid 不够花</t>
  </si>
  <si>
    <t>B07H9LGDPM</t>
  </si>
  <si>
    <t>B07NY4MF5Y</t>
  </si>
  <si>
    <t>MiracleMag Magnesium Supplement, 2lbs</t>
  </si>
  <si>
    <t>B0CVT7ZLLH</t>
  </si>
  <si>
    <t>涨了很多价格现在PU的价格可以接受 暂时保持</t>
  </si>
  <si>
    <t>大幅度下调 准备DC</t>
  </si>
  <si>
    <t>B01L2TGLTG</t>
  </si>
  <si>
    <t>B0BCMNBZPR</t>
  </si>
  <si>
    <t>Allulose Sweetener, 3 Pounds (48 Ounces), Zero Calorie, Plant Based Sugar Alternative, No After Taste, Best for Coffee, Drinks, Tea, Cooking and Baking, Keto Diet and Vegan Friendly</t>
  </si>
  <si>
    <t>B08PY5ZJTX</t>
  </si>
  <si>
    <t>整体下调bid，top小幅度下调 继续跑全部有IS</t>
  </si>
  <si>
    <t>继续下调到80跑 IS10+</t>
  </si>
  <si>
    <t>B0CMK41YYD</t>
  </si>
  <si>
    <t>B0CMK1YPQN</t>
  </si>
  <si>
    <t xml:space="preserve">Cod Liver Oil 2000mg </t>
  </si>
  <si>
    <t>B0D3T12XYP</t>
  </si>
  <si>
    <t>PT和KW都下调 应该要降价往回跑一下量</t>
  </si>
  <si>
    <t>关闭等货</t>
  </si>
  <si>
    <t>B0BY3V6ZR7</t>
  </si>
  <si>
    <t>Magnesium Glycinate 400mg with Vitamin C - 200 Capsules, Elemental Magnesium 400mg Supplement, 100% Chelated, Support Healthy Muscle, Bones &amp; Mood</t>
  </si>
  <si>
    <t>B087F4HLJ3</t>
  </si>
  <si>
    <t>auto下调整体bid花不少也 上调top 20%</t>
  </si>
  <si>
    <t>auto下调整体，TOP KW下调到80</t>
  </si>
  <si>
    <t>B0BKR735X8</t>
  </si>
  <si>
    <t>Micro Ingredients Sustainably US Grown, Organic Slippery Elm Bark Powder, 1 Pound (645 Servings), Helps Soothe The Throat and Coughing, No Irradiated, No Contaminated, No GMOs, Pet Friendly</t>
  </si>
  <si>
    <t>B075VFCQBC</t>
  </si>
  <si>
    <t xml:space="preserve">逐步下调 没什么对手了其实，竞品评分下去消失在我们视野里了 </t>
  </si>
  <si>
    <t>关掉等货了</t>
  </si>
  <si>
    <t>B0C2WVVXT9</t>
  </si>
  <si>
    <t>Micro Ingredients Vitamin D3 5000 IU with K2 100 mcg, 300 Soft-Gels | K2 MK-7 with D3 Vitamin Supplement, 2 in 1 Support Immune, Heart, Joint, Teeth &amp; Bone Health - Easy to Swallow</t>
  </si>
  <si>
    <t>B07RX4P4RL</t>
  </si>
  <si>
    <t>继续跑吧花费不高能维持一下</t>
  </si>
  <si>
    <t>保持</t>
  </si>
  <si>
    <t>B07T5X85N9</t>
  </si>
  <si>
    <t>Micro Ingredients Organic Lions Mane Mushroom Supplement Powder, 16 Ounce | Sustainably US Grown, Nootropic for Mental Clarity, Energy, &amp; Immune Support | Non-GMO, Vegan</t>
  </si>
  <si>
    <t>B07P2CWWVV</t>
  </si>
  <si>
    <t>上调20%的PT 花费昨天自己跌了</t>
  </si>
  <si>
    <t>暂时保持输出主要是buybox问题</t>
  </si>
  <si>
    <t>B07CY1LGVZ</t>
  </si>
  <si>
    <t>B0C6WN52Q9</t>
  </si>
  <si>
    <t>Organic Instant 10 in 1 Mushroom Coffee Powder, 28 Ounce (317 Servings) | Premium Arabica Coffee with Lion’s Mane, Chaga, Reishi, &amp; More | Smooth Medium Roast, Clean Energy, &amp; Immune Support</t>
  </si>
  <si>
    <t>调整一下广告结构PT下调整体bid，KW也一样 KW top上调10% 往头部倾斜 现在不够花 看看效果给Budget</t>
  </si>
  <si>
    <t>KW整体下调0.1 保持top头部输出</t>
  </si>
  <si>
    <t>B0CWN5QQ8V</t>
  </si>
  <si>
    <t>Sustainably US Grown, Organic Mega Mushroom 10 in 1 Complex Formula Powder for Immune System Booster, 10 Ounce (284 Days Supply), Chaga, Lions Mane, Cordyceps, Reishi &amp; More, Filler Free, Vegan</t>
  </si>
  <si>
    <t>B07RG8MMXW</t>
  </si>
  <si>
    <t>整体下调base不太多 保留top水平  page还是花了一半的样子</t>
  </si>
  <si>
    <t>继续下调部分超标base和主词base下调page输出</t>
  </si>
  <si>
    <t>B0CF3M3Y1M</t>
  </si>
  <si>
    <t>B0BXYDSGC4</t>
  </si>
  <si>
    <t>Hair Vitamins Complex, 120 Capsules</t>
  </si>
  <si>
    <t>B0CVTRS7KJ</t>
  </si>
  <si>
    <t>top降到120 现在有点高 加上我们降价了 可以降低一点广告力度 后续根据广告表现做出调整</t>
  </si>
  <si>
    <t>PT关掉其他类目 太散了 这个产品主要就是hair 目的性比较强 ，KW也下调rest 看看Deal能跑不</t>
  </si>
  <si>
    <t>B0C7FF131K</t>
  </si>
  <si>
    <t>B0C2SCVL8Z</t>
  </si>
  <si>
    <t>Pure Magnesium Flakes, 6lbs | Great for Foot &amp; Body Bath Soaks | Natural Magnesium Chloride Minerals | Better Absorption Over Epsom Salt | Relaxation &amp; Skin Hydration Support</t>
  </si>
  <si>
    <t>B0C9PGM325</t>
  </si>
  <si>
    <t>整體廣告budget給了150, 日銷60-70間, magneisum flakes主要是在ancient minerals低價競品上搶量快速, NOW近期也賣起來了8塊多, 在PT出單變差了, 回調超標PT降了一點budget</t>
  </si>
  <si>
    <t>销量有稳定上涨到90+</t>
  </si>
  <si>
    <t>B0D2S6H23L</t>
  </si>
  <si>
    <t>B0C2SY3BG3</t>
  </si>
  <si>
    <t>Organic Blue Spirulina Powder (Phycocyanin Extract), 50 Servings - No Fishy Smell, 100% Vegan Protein from Blue-Green Algae, Natural Luminous Blue Food Coloring for Smoothies, Baking, Drinks &amp; Cooking</t>
  </si>
  <si>
    <t>B0B2379WMW</t>
  </si>
  <si>
    <t>有小size撑腰的情况下应该适当降低一些标准了 不断下调暂时下调top到30% KWandPT</t>
  </si>
  <si>
    <t>大幅度下调整体</t>
  </si>
  <si>
    <t>Natural Astaxanthin 12mg, 90 Softgels, 3 Month Supply, Premium Astaxanthin Supplements (MicroAlgae), Supports Eye, Joint, Internal Circulation Health and Antioxidant, Easy to Swallow</t>
  </si>
  <si>
    <t>B08MWZQ4S6</t>
  </si>
  <si>
    <t>IS够用之前是不花钱 10+%附近的主词IS 小幅度下调top10% budget给到250</t>
  </si>
  <si>
    <t>下调top到60KW</t>
  </si>
  <si>
    <t>B01DPW5JSW</t>
  </si>
  <si>
    <t>Organic Freeze Dried Strawberries Sliced, 6.4oz | Fresh Raw Fruit Slices, Great Healthy Snacks or as a Garnish for Chocolate, Shortcake, and Smoothies | Non-GMO, 0 Sugar Added</t>
  </si>
  <si>
    <t>B0C9PLML31</t>
  </si>
  <si>
    <t>下调主次bid，保持top，主次IS比较高 暂时保持花费</t>
  </si>
  <si>
    <t>下调top 20% 下调主次Bid0.1</t>
  </si>
  <si>
    <t>B08FXX6WSZ</t>
  </si>
  <si>
    <t>B08PY3Q8XS</t>
  </si>
  <si>
    <t>Lions Mane Capsules</t>
  </si>
  <si>
    <t>B0D68FCQVT</t>
  </si>
  <si>
    <t>花费降低了很多没做比较大调整继续观察 销量没有明显变化</t>
  </si>
  <si>
    <t>加码到100top PT现在不出单了 主要产品现在丢掉了竞争的位置</t>
  </si>
  <si>
    <t>B09YX7G6JJ</t>
  </si>
  <si>
    <t>B07XW95GZN</t>
  </si>
  <si>
    <t>Pumpkin Seed Oil with Saw Palmetto, 3,000mg Per Serving, 300 Softgels | Cold Pressed, Pure Virgin Oil, Herbal Supplement | Supports Urinary, Bladder &amp; Prostate Health | Non-GMO</t>
  </si>
  <si>
    <t>B01BHF3KRG</t>
  </si>
  <si>
    <t>广告开起来跑，货已经就位了</t>
  </si>
  <si>
    <t>先不给Budget降到30top，现在自然流量应该是重叠广告</t>
  </si>
  <si>
    <t>B09VCTVH98</t>
  </si>
  <si>
    <t>Microingredients Hydration Electrolyte Powder, Lemon Raspberry, 2 Lbs - High Potassium (1000mg), 0 Calorie, Sugar-Free, Hydration Drink Mix with Real Lemon Juice - Keto, Paleo, Non-GMO</t>
  </si>
  <si>
    <t>B0CG7TB55T</t>
  </si>
  <si>
    <t>PT有点太高了 下调到120跑 花费有点超标</t>
  </si>
  <si>
    <t>KW和PT全部下调到80继续跑 300+只卖100出头 有点高稍微</t>
  </si>
  <si>
    <t>B07XWDCBFB</t>
  </si>
  <si>
    <t>Organic Bee Pollen Granules, 1lb | Pure Fresh Harvest, Natural Superfood, Raw Sweet Flavor | Rich in B Vitamins, Minerals, Protein, &amp; Antioxidants | Keto, Non-GMO</t>
  </si>
  <si>
    <t>B0CLFGBK2B</t>
  </si>
  <si>
    <t>主词bid下调其他的没怎么出</t>
  </si>
  <si>
    <t>PT下调到30% 继续跑KW主词都有IS</t>
  </si>
  <si>
    <t>Micro Ingredients Lutein &amp; Zeaxanthin 40mg Softgels, 240 Count, with Astaxanthin, Omega-3s, &amp; Phospholipids | Eye + Vision Health Vitamins | Third Party Tested, Non-GMO, Gluten Free</t>
  </si>
  <si>
    <t>B0812QPT4J</t>
  </si>
  <si>
    <t>top到100，不够花，小幅度下调水平</t>
  </si>
  <si>
    <t>top到80，rest到20，PT 60-20</t>
  </si>
  <si>
    <t>B07X37D16H</t>
  </si>
  <si>
    <t>Creatine Monohydrate 5,000mg, 500 Capsules | Pure Creatine Pills – Micronized + Unflavored Powder Source, Easy Absorption | Pre Workout &amp; Muscle Health Support | Keto, Non-GMO</t>
  </si>
  <si>
    <t>B0B9289VLY</t>
  </si>
  <si>
    <t>PT下调到60top，KW保持继续跑</t>
  </si>
  <si>
    <t>KW降到80，PT降到40/10 超标而且花费较高</t>
  </si>
  <si>
    <t>B01DWUEOYC</t>
  </si>
  <si>
    <t>B01DPW5FWW</t>
  </si>
  <si>
    <t>Organic Matcha Green Tea Powder, 1 Pound (16 Ounce), Culinary Grade, First Harvest Authentic Japanese Origin, 100% Pure Matcha for Smoothies, Latte and Baking, Unflavored, Non-Irradiation</t>
  </si>
  <si>
    <t>主词Bid降到0.85，PT下调top10%</t>
  </si>
  <si>
    <t>KW下调到80 top, PT下调rest到0</t>
  </si>
  <si>
    <t>B01BHF3OMW</t>
  </si>
  <si>
    <t>Micro Ingredients Organic Lemon Juice Powder, 10 Ounce, Cold Pressed Concentrated Powder, Filler Free, Rich in Natural Vitamin C for Immune System Booster, Great Flavor for Soda, Baking and Cooking, Vegan Friendly</t>
  </si>
  <si>
    <t>Micro Ingredients Organic Spirulina Powder, 16 Ounce, Raw Spirulina (Arthrospira Platensis), The Richest Sources of 70% Vegan Protein, Containers Minerals, Vitamins, Non-GMO &amp; Non-Irradiation</t>
  </si>
  <si>
    <t>B0CVTDBXW5</t>
  </si>
  <si>
    <t>B0BXYB91BJ</t>
  </si>
  <si>
    <t>Micro Ingredients Sustainably US Grown, Organic Wheat Grass Powder (100% Whole-Leaf), 16 Ounce, Rich in Immune Vitamins, Fibers and Minerals, Support Digestion Function, Vegan Friendly</t>
  </si>
  <si>
    <t>B01NH4ZI46</t>
  </si>
  <si>
    <t>B0C35PK9GJ</t>
  </si>
  <si>
    <t>B079MNQXLF</t>
  </si>
  <si>
    <t>Organic Whole Cinnamon Stick, 2lbs | 2 ¾” Stick Size | Raw Cinnamon Spice Flavor &amp; Aroma | Great for Tea, Desserts, or Cooking | Non-GMO, Vegan Friendly, Bulk Supply</t>
  </si>
  <si>
    <t>B0C9PGM2LW</t>
  </si>
  <si>
    <t>B0BSP5GTMQ</t>
  </si>
  <si>
    <t>Bovine Collagen Protein Powder, 1 Pound</t>
  </si>
  <si>
    <t>B0D16G8C8P</t>
  </si>
  <si>
    <t>B08FXYT1RT</t>
  </si>
  <si>
    <t>B081ZJQYVK</t>
  </si>
  <si>
    <t xml:space="preserve">Organic Butterfly Pea Powder 8oz </t>
  </si>
  <si>
    <t>B0D3ST21FG</t>
  </si>
  <si>
    <t>Citric Acid 6 Pounds, Food Grade, Fine Granular Powder | 100% Pure, Concentrated Anhydrous Form | Natural Preservative + Great for Cooking, Cleaning, &amp; DIY Bath Bombs | Non-GMO</t>
  </si>
  <si>
    <t>B0BXYCL8KP</t>
  </si>
  <si>
    <t>B0BL1R1T8Y</t>
  </si>
  <si>
    <t>B0BV3DFDK5</t>
  </si>
  <si>
    <t>Pure Organic Stevia Powder, 1lb</t>
  </si>
  <si>
    <t>B0D2LYMLJT</t>
  </si>
  <si>
    <t>B0CZFZYXN3</t>
  </si>
  <si>
    <t>Xanthan Gum Powder 2lb - Premium Food Grade for Cooking, Keto Baking, Thickening Soups &amp; Sauces, Dressings, Vegan Friendly, Non-GMO, Gluten Free</t>
  </si>
  <si>
    <t>B0BXY6BMHQ</t>
  </si>
  <si>
    <t>B07RG8M2XB</t>
  </si>
  <si>
    <t>Triple Strength Omega 3 Fish Oil Supplements 3000mg, 200 Softgels - Lemon Flavored - Burpless (Enteric-Coated) | EPA 1200mg + DHA 900mg | Deep Sea Fish, Wild Caught from Norwegian Waters</t>
  </si>
  <si>
    <t>B07L45XQBR</t>
  </si>
  <si>
    <t>Micro Ingredients Maximum Strength Organic Korean Ginseng Root 200:1 Powder, 4 Ounce, Red Panax Ginseng Powder, Active Ginsenosides, Vegan Friendly</t>
  </si>
  <si>
    <t>B01DPW5H84</t>
  </si>
  <si>
    <t>Micro Ingredients Vitamin B12 5000mcg | Methyl B12 Active Form – 180 Chewable Tablets | Fast Dissolve, Natural Strawberry Flavor, Support Energy, Metabolism Health | Vegan, Non-GMO, &amp; No Gluten</t>
  </si>
  <si>
    <t>B08MX1ZWB4</t>
  </si>
  <si>
    <t>B09MJYVXX9</t>
  </si>
  <si>
    <t>B076FH7639</t>
  </si>
  <si>
    <t>Organic Ceylon Cinnamon Powder 1lb</t>
  </si>
  <si>
    <t>B0D2S665WK</t>
  </si>
  <si>
    <t>下调bid整体上调top到50，集中出一点top</t>
  </si>
  <si>
    <t>下调到40跑跑看</t>
  </si>
  <si>
    <t>B087DVF12V</t>
  </si>
  <si>
    <t>B0D85V6X3G</t>
  </si>
  <si>
    <t>Micro Ingredients Organic Marshmallow Root Powder, 8 Ounce, Filler Free and Traditionally Used, Supports Digestive Gastrointestinal Health, Non-Irradiated and No GMOs, Vegan Friendly</t>
  </si>
  <si>
    <t>B074WLN3WN</t>
  </si>
  <si>
    <t>B0BSP461K1</t>
  </si>
  <si>
    <t>B0BR4N7C2F</t>
  </si>
  <si>
    <t>Organic Tomato Powder 2lb</t>
  </si>
  <si>
    <t>B0CLFZXMRB</t>
  </si>
  <si>
    <t>B06XC72G8G</t>
  </si>
  <si>
    <t>Vitamin D3 1,000 iu Plus K2 (MK-7) 25 mcg, 300 Virgin Coconut Oil Softgels</t>
  </si>
  <si>
    <t>B0CVTRSWQ1</t>
  </si>
  <si>
    <t>B0CMK3LBGJ</t>
  </si>
  <si>
    <t>B01L2TGRFO</t>
  </si>
  <si>
    <t>Smoked Paprika Powder, 4lbs | Spanish Origin, Fine Ground, Oak Wood Smoked, Raw Sweet &amp; Spicy Flavor | Spice Rack Seasoning | Great for Chicken, Steak, or Vegetables | Additive Free, Non-GMO</t>
  </si>
  <si>
    <t>B0CLFZ81GG</t>
  </si>
  <si>
    <t>B0CFPG9M5K</t>
  </si>
  <si>
    <t>Vitamin B1 Benfotiamine 600mg Per Serving, 240 Coconut Oil Softgels | Essential B Vitamins Supplement, Fat Soluble | Supports Metabolism &amp; Healthy Nervous System | Non-GMO, Easy to Swallow</t>
  </si>
  <si>
    <t>B0CG7ZTT7B</t>
  </si>
  <si>
    <t>B0D85VVNF7</t>
  </si>
  <si>
    <t>Organic Hibiscus Flowers, 2lbs | Loose Leaf Flower Source for Tea Bags | Cut &amp; Sifted Dried Leaves | Great for Iced or Hot Brewed Herbal Tea | Caffeine Free, Non-GMO, No Sugar</t>
  </si>
  <si>
    <t>B0C9PGR822</t>
  </si>
  <si>
    <t>B0C35DQQM9</t>
  </si>
  <si>
    <t>B087DZKHVW</t>
  </si>
  <si>
    <t>Creatine Monohydrate Powder 1 kg (2.2 Lbs), 5000mg Per Serv, Micronized Creatine Powder, Unflavored, Pure, No Filler, Keto &amp; Vegan Friendly, Easy Dissolve Pre Workout Creatine for Women and Men</t>
  </si>
  <si>
    <t>B09YFHGK3F</t>
  </si>
  <si>
    <t>B0C7FPF4TT</t>
  </si>
  <si>
    <t>Organic Arrowroot Powder, 5lbs | Food Grade, All Purpose Flour, Corn Starch Substitute</t>
  </si>
  <si>
    <t>B0CLFXD4XS</t>
  </si>
  <si>
    <t>B0CF3HM62X</t>
  </si>
  <si>
    <t xml:space="preserve">Peanut Powder 4lb </t>
  </si>
  <si>
    <t>B0DGRPBBZY</t>
  </si>
  <si>
    <t>Micro Ingredients Pure Bee Pollen Granules, 2lbs | Fresh Harvest, Natural Superfood, Raw Sweet Flavor | Rich in B Vitamins, Minerals, Protein, &amp; Antioxidants | Keto, Non-GMO</t>
  </si>
  <si>
    <t>Turmeric Extract 95% Curcuminoids (Natural Turmeric Extract and Turmeric Supplements), 50 Grams, Rich in Antioxidants for Joint &amp; Immune Support, No GMOs, Vegan Friendly, India Origin</t>
  </si>
  <si>
    <t>B01DPW5DD8</t>
  </si>
  <si>
    <t>B0BWGY19D1</t>
  </si>
  <si>
    <t>Omega 3 Fish Oil 4200mg 120 Softgels</t>
  </si>
  <si>
    <t>B0CS56P75L</t>
  </si>
  <si>
    <t>B0846SDQZG</t>
  </si>
  <si>
    <t>B0CF3P11B1</t>
  </si>
  <si>
    <t>Micro Ingredients Organic Ashwagandha Root Powder | 2 Pound, No Filler, No Additives, Highly Purified | Active Withanolides, Adaptogenic Ayurvedic Herbal Supplements, No GMO, Gluten Free, India Origin</t>
  </si>
  <si>
    <t>B01N3U3WO4</t>
  </si>
  <si>
    <t>B0C8M8X8PG</t>
  </si>
  <si>
    <t>B0CZGHL1TW</t>
  </si>
  <si>
    <t>Golden Monk Fruit Sweetener with Allulose, 2 lbs | No Erythritol, No Aftertaste, 1:1 Brown Sugar Substitute | Zero Calorie, Great for Drinks, Coffee, Tea, Cookies | Keto, Vegan, Non-GMO</t>
  </si>
  <si>
    <t>B0C9P7L7YJ</t>
  </si>
  <si>
    <t>B0B2FF7XN9</t>
  </si>
  <si>
    <t>Organic Goji Berries 2lbs, Large Whole Sun-Dried Berries | Sulfate Free, Natural Antioxidant | Raw Superfood Berry for Energy, Eye, &amp; Immune Health | Non-GMO</t>
  </si>
  <si>
    <t>B074WKCPS4</t>
  </si>
  <si>
    <t>Sustainably US Grown, Organic Sunflower Lecithin Powder, 1 Pound, Sustainable Farmed, Cold Pressed, Rich in Phosphatidyl Choline and Protein, Making Liposomal Vitamin C, Lactation Supplement, Non-GMO</t>
  </si>
  <si>
    <t>B01N02YNF5</t>
  </si>
  <si>
    <t>B0BKRPXKWD</t>
  </si>
  <si>
    <t>Monk Fruit Sweetener with Allulose, 2 lbs | No Erythritol | No Aftertaste, 1:1 White Sugar Substitute, Keto &amp; Vegan Friendly, Zero Calorie | Great for Drinks, Coffee, Tea, Cookies | Non-GMO</t>
  </si>
  <si>
    <t>B01JNM6NTW</t>
  </si>
  <si>
    <t xml:space="preserve">Myo &amp; D-Chiro Inositol Powder 1lb </t>
  </si>
  <si>
    <t>B0DGRG846L</t>
  </si>
  <si>
    <t>B0C2SLBPRK</t>
  </si>
  <si>
    <t>B0D3SNSJ47</t>
  </si>
  <si>
    <t>Organic Milk Thistle Extract, 3.5 Ounces, Pure Milk Thistle Powder Organic, Milk Thistle Tea, Contains 80% Active Silymarin, Strongly Supports Liver Health and Antioxidant, Vegan Friendly</t>
  </si>
  <si>
    <t>B01L2TGS30</t>
  </si>
  <si>
    <t>B0C8LQVNX8</t>
  </si>
  <si>
    <t>B0971RLCR2</t>
  </si>
  <si>
    <t>Micro Ingredients Quercetin with Vitamin C and Zinc, 240 Capsules | Quercetin 500mg, Vitamin C 500mg, Zinc 50mg (Picolinate, Citrate, Glycinate, Gluconate) | Complete Immune Support Supplements</t>
  </si>
  <si>
    <t>B087Z8PSW6</t>
  </si>
  <si>
    <t>B01N20ON39</t>
  </si>
  <si>
    <t>Organic Chlorella Tablets, 500mg Per Tablet, 720 Tabs (360 Grams), 4 Months Supply, Broken Cell Wall, Rich in Vegan Protein &amp; Vitamins, No Filler, No Additives &amp; Non-GMO | Pure Green Algae Superfood</t>
  </si>
  <si>
    <t>B01FMWFG86</t>
  </si>
  <si>
    <t>B074Q2KK6Z</t>
  </si>
  <si>
    <t>Organic French Chicory Root, 2lbs | Roasted Chicory Granule for Chicory Coffee | Brews like Regular Coffee | Caffeine Free Coffee Substitute | Rich in Prebiotic Fiber | Non-GMO</t>
  </si>
  <si>
    <t>B0CG7VSS1Z</t>
  </si>
  <si>
    <t>B0BB53JDMF</t>
  </si>
  <si>
    <t>Micro Ingredients Vitamin B3 Nicotinamide 1,000mg Per Serving, 400 Capsules | Flush Free Niacin, Essential B Vitamin Supplement | Skin Care Health &amp; Energy Support | Non-GMO, Gluten Free</t>
  </si>
  <si>
    <t>B08C9MWZD9</t>
  </si>
  <si>
    <t>B0CFPMHB25</t>
  </si>
  <si>
    <t>Micro Ingredients North American Grown, Pea Protein Powder, 5 Pounds | Plant Based, Unflavored | Complete Vegan Protein Source – 27g Serving | Rich in BCAAs &amp; EAAs | Non-GMO, Keto Friendly</t>
  </si>
  <si>
    <t>B0C35LNMRF</t>
  </si>
  <si>
    <t>B0D3FQWRV4</t>
  </si>
  <si>
    <t>Organic Fortified Nutritional Yeast Flakes, 2LB | Rich in Vegan Protein, B Vitamins, &amp; Beta-Glucans | Keto Friendly, Dairy Free Cheese Substitute, Non-GMO, Gluten Free</t>
  </si>
  <si>
    <t>Organic Strawberry Freeze Dried Powder, 12 Ounce (56 Serving), Strawberry Powder for Baking, Best Super Foods for Smoothie &amp; Beverage Blend, Non-GMO, Vegan</t>
  </si>
  <si>
    <t>B07CXZBRZP</t>
  </si>
  <si>
    <t>Micro Ingredients Melatonin 20mg Tablets, 400 Counts, Natural Strawberry Flavor, Fast Dissolve | No Drug, Vegetarian Friendly, Non-GMO &amp; No Gluten</t>
  </si>
  <si>
    <t>B07RY554K5</t>
  </si>
  <si>
    <t>B01JNNAN4C</t>
  </si>
  <si>
    <t>Electrolyte Powder 1lb</t>
  </si>
  <si>
    <t>B0CS4VV8MD</t>
  </si>
  <si>
    <t>Pure D Ribose Powder, 1 KG (2.2 Pound and 200 Servings), Natural Simple Sugar, Dissolves Clear, Pharmaceutical Grade, Filler Free, No GMOs, No Gluten. and Water Soluble</t>
  </si>
  <si>
    <t>B01JNFGDUI</t>
  </si>
  <si>
    <t>B0CF3CTC2V</t>
  </si>
  <si>
    <t>B0C8LR3L5M</t>
  </si>
  <si>
    <t>Sustainably Canada Grown, Organic Blueberry Extract 50:1 Concentrated Powder, 6 Ounce, Wild Grown and Freeze Dried, Natural Flavor for Beverage, Smoothie and Baking, No GMOs</t>
  </si>
  <si>
    <t>B07CY1TLH2</t>
  </si>
  <si>
    <t>B0C35N273V</t>
  </si>
  <si>
    <t>Organic Dandelion Root Powder 8oz</t>
  </si>
  <si>
    <t>B0D2S4DZ7L</t>
  </si>
  <si>
    <t>B0BT2V8YK4</t>
  </si>
  <si>
    <t xml:space="preserve">Organic Butterfly Pea Flowers, 8oz </t>
  </si>
  <si>
    <t>B0CLFQJ9V2</t>
  </si>
  <si>
    <t>B01JNNAQVW</t>
  </si>
  <si>
    <t>B0DCJ6L37S</t>
  </si>
  <si>
    <t>Sustainably US Grown, Organic Cranberry Juice Powder (Wild Cranberry Supplements Cold Pressed), 8 Ounce, Enhance Urinary Tract Cleanse &amp; Prostate Health, Water Soluble and Pet Friendly</t>
  </si>
  <si>
    <t>B07G3L5SX7</t>
  </si>
  <si>
    <t>Beef Gelatin Powder | Grass Fed, 2lbs | Unflavored Thickening Agent, Pasture Raised Source, Rich in Natural Protein | Great for Cooking &amp; Baking | Non-GMO</t>
  </si>
  <si>
    <t>B076B4ZF8W</t>
  </si>
  <si>
    <t>B07WS2TFP1</t>
  </si>
  <si>
    <t>Micro Ingredients Odorless Garlic 7500mg Per Servings, 300 Softgels | 2 Years Aged Garlic Extract, Grown Allium Sativum Bulb | Potent Antioxidant Supplement, Immune Support, and Heart Health</t>
  </si>
  <si>
    <t>B0812DJRSK</t>
  </si>
  <si>
    <t>B0CX3GYCNN</t>
  </si>
  <si>
    <t>Micro Ingredients Maximum Strength Vitamin A 25000 IU | 500 Softgels with Coconut Oil for Better Absorption | Essential Vitamins for Vision, Growth, &amp; Reproduction | Non-GMO, Easy to Swallow</t>
  </si>
  <si>
    <t>Organic Whole Yellow Mustard Seed, 4lbs</t>
  </si>
  <si>
    <t>B0CLFJ81NC</t>
  </si>
  <si>
    <t>B0D21244KR</t>
  </si>
  <si>
    <t>Ultra Omega 3-6-9 3600mg Perserv, 300 Burpless Softgels | Lemon Flavor – Blend of Fish, Flaxseed, Borage Oils | Bioavailable Source, Non-GMO, No Gluten, Mercury Free</t>
  </si>
  <si>
    <t>B07RD8T952</t>
  </si>
  <si>
    <t>Micro Ingredients Antarctic Krill Oil Supplement, 1000mg Per Serving, 300 Soft-Gels, Rich in Omega-3s EPA, DHA &amp; Natural Astaxanthin, Supports Immune System &amp; Brain Health, Easy to Swallow</t>
  </si>
  <si>
    <t>B0D2FGQB84</t>
  </si>
  <si>
    <t>B01NCTZSPF</t>
  </si>
  <si>
    <t>Micro Ingredients Pure Vitamin C Crystal Powder (Water Soluble Vitamin C 1000mg Per Serving), 1 KG (2.2 Pounds), Immune Vitamins and Strong Antioxidant, Pure Ascorbic Acid Powder Supplement</t>
  </si>
  <si>
    <t>B01HFOJBG2</t>
  </si>
  <si>
    <t>B0D3T51D3C</t>
  </si>
  <si>
    <t>D Mannose Powder, 8.8 Ounce, Pure Mannose Supplement, Quick Water Soluble, Support Urinary Tract Cleanse &amp; Bladder Health, Premium Mannose for Women and Men, Vegan Friendly</t>
  </si>
  <si>
    <t>B01L2TFP1Q</t>
  </si>
  <si>
    <t>B0C35GYDV3</t>
  </si>
  <si>
    <t>Micro Ingredients Full Spectrum Vitamin K2 MK-4 + MK-7 Supplement, 150 mcg, 300 Coconut Oil Softgles | Easily Absorbed, Active Menaquinone Complex | Immune, Joint, &amp; Heart Support | Non-GMO</t>
  </si>
  <si>
    <t>Sunflower Lecithin 1,600mg Per Serving, 300 Softgels</t>
  </si>
  <si>
    <t>B0CVTMQBGR</t>
  </si>
  <si>
    <t>B0BKNVNLN9</t>
  </si>
  <si>
    <t>Micro Ingredients Organic Beet Root Juice Powder, 1 Pound -Superfood Drink Mix | Non-GMO</t>
  </si>
  <si>
    <t>B01N32M7BR</t>
  </si>
  <si>
    <t>Vitamin B12 1000mcg</t>
  </si>
  <si>
    <t>B0DK64ZGK4</t>
  </si>
  <si>
    <t>B0BWH53V3J</t>
  </si>
  <si>
    <t>Organic Turkey Tail Mushroom Powder (50:1 Extract), 8 Ounce | Sustainably US Grown, Freeze Dried with Active Polysaccharides, Supports Immune Response &amp; Cellular Level, Pet Friendly</t>
  </si>
  <si>
    <t>B07P2BWC78</t>
  </si>
  <si>
    <t>B0D85XBLCH</t>
  </si>
  <si>
    <t>Micro Ingredients Red Panax Ginseng 1200mg Per Serving, 200 Softgels | High Potency Korean Ginseng Extract with Active Ginsenosides, Non-GMO &amp; No Gluten</t>
  </si>
  <si>
    <t>B07S17DJS3</t>
  </si>
  <si>
    <t>Organic Hibiscus Tea Bags, 200 Count | Caffeine Free, Loose Leaf Flower Source | Eco-Friendly Hemp Paper Bags | Great for Iced or Hot Brewed Tea | Non-GMO, No Sugar</t>
  </si>
  <si>
    <t>B0C35TKL3M</t>
  </si>
  <si>
    <t>B08TBBBJK8</t>
  </si>
  <si>
    <t>Micro Ingredients Biotin 10,000mcg w/Hyaluronic Acid 25mg | 360 Virgin Coconut Oil Softgels, Fast Release, One Year Supply, Supports Healthy Hair, Skin &amp; Nails, Non-GMO &amp; No Gluten</t>
  </si>
  <si>
    <t>B08MX3DD8G</t>
  </si>
  <si>
    <t>B0CWK143JD</t>
  </si>
  <si>
    <t>Organic Bamboo Fiber Powder, 2lbs</t>
  </si>
  <si>
    <t>B0CVTJKVFQ</t>
  </si>
  <si>
    <t>B0BKR55C7H</t>
  </si>
  <si>
    <t>Organic Celery Juice Powder, 20 Ounce (1.25 Pound), 71 Serving, Celery Detox and Cold Pressed, Boosts Immune System, Energy and Supports Gut Health, Rich in Immune Vitamin C and Minerals, Vegan</t>
  </si>
  <si>
    <t>B0CJK5JRPV</t>
  </si>
  <si>
    <t>B0845QRGV5</t>
  </si>
  <si>
    <t>Calcium 1200mg with Vitamin D3K2 1000IU</t>
  </si>
  <si>
    <t>B0DDWNT45S</t>
  </si>
  <si>
    <t/>
  </si>
  <si>
    <t>B0C2WPPTNM</t>
  </si>
  <si>
    <t>B088B4L5WB</t>
  </si>
  <si>
    <t>US Origin Potassium Citrate Powder, 1 KG (35 Ounce), Essential Electrolyte Supplement, Supports Mineral Balance, Heart Health and Immune System, Vegan Friendly</t>
  </si>
  <si>
    <t>B01KFALQ34</t>
  </si>
  <si>
    <t>Maximum Strength Organic Pure Horny Goat Weed with Active Icariins for Men and Women, 100 Grams, Organic Epimedium Powder for Energy and Immune System Booster, Filler Free and Vegan Friendly</t>
  </si>
  <si>
    <t>B01L2TGSVM</t>
  </si>
  <si>
    <t>B0BY3TCG1V</t>
  </si>
  <si>
    <t>MSM(Methylsulfonylmethane) Powder,1 KG | 2000mg Perserving, MSM Crystal Powder Fortified with Vitamin C, Bioactive Source of Sulfur, Joint Health Support &amp; Hair Growth, Vegan, Non-GMO</t>
  </si>
  <si>
    <t>B01DPW5EIM</t>
  </si>
  <si>
    <t>B07MTW3QDD</t>
  </si>
  <si>
    <t>Pure Birch Xylitol Sweetener (Xylitol Sugar Crystal Powder), 6 Pounds (96 Ounce &amp; 680 Serving), Natural Sweetener, 1:1 Brown Sugar Substitute and Low Calorie, Best for Baking and Cooking, No After Taste, Keto Friendly and Product of USA</t>
  </si>
  <si>
    <t>B07T5WW8LF</t>
  </si>
  <si>
    <t>B0CVTQ4G5Z</t>
  </si>
  <si>
    <t>B0DDM8LQMS</t>
  </si>
  <si>
    <t>Vegan omega 3</t>
  </si>
  <si>
    <t>Fadogia Agrestis 600mg Per Serving, 50:1 Extract Powder, 4 Ounce, Highly Purified and Bioavailable, USA Third Party Tested, Maximum Strength, No Filler, No Additives, Non-GMO &amp; No Gluten</t>
  </si>
  <si>
    <t>B0B22T88RH</t>
  </si>
  <si>
    <t>B0DDCVSPP5</t>
  </si>
  <si>
    <t>Micro Ingredients Organic Camu Camu Powder, 12 oz | High Natural Vitamin C Level | Fresh Freeze-Dried Berries Source | Supports Energy and Immune Health | No GMOs, Vegan Friendly</t>
  </si>
  <si>
    <t>USDA Organic Monk Fruit Extract Powder with Active Mogrosides, 4 Ounce, Zero Calorie, Zero Carb, Sugar Alternative, Monk Fruit Keto Diet, Perfect Paleo &amp; Low-Carb Dieters, Natural Sweetener, Vegan</t>
  </si>
  <si>
    <t>B07W86RNBX</t>
  </si>
  <si>
    <t>B0B92CPGJ9</t>
  </si>
  <si>
    <t>Organic Freeze-Dried Lime Powder, 1.5lbs | Raw Lime Juice Flavor, Sugar Free Drink Mix, Rich in Vitamin C | Water Flavor Enhancer, Great for Beverages &amp; Smoothies | Additive Free, Non-GMO</t>
  </si>
  <si>
    <t>B0CLFG8QLY</t>
  </si>
  <si>
    <t>B0D7B94P8D</t>
  </si>
  <si>
    <t>Psyllium Husk Powder, 2 Pound (32 Ounce), Soluble Fiber, Psyllium Husk Daily Fiber for Baking, Smoothie and Beverage, India Origin, Keto Diet, Unflavored, Gluten Free, No GMOs and Vegan Friendly</t>
  </si>
  <si>
    <t>B07RD8TVDG</t>
  </si>
  <si>
    <t>B0BWH7QPX6</t>
  </si>
  <si>
    <t>B0BWH9RWC9</t>
  </si>
  <si>
    <t>Micro Ingredients Organic Chlorella Powder, 20 Ounces | Broken Cell Wall for Complete Absorption | Raw Superfood Supplement, Rich in Protein &amp; Vitamins | Non-GMO, Vegan, Non-Irradiated</t>
  </si>
  <si>
    <t>Micro Ingredients Organic Acacia Senegal Powder, 2 Pounds (32 Ounce), Instant Soluble Fiber Powder, Plant-Based Prebiotic Superfood for Gut Health, Non-GMO, No Gluten, Vegan</t>
  </si>
  <si>
    <t>B09NQVBGQK</t>
  </si>
  <si>
    <t>B07X4BL4GC</t>
  </si>
  <si>
    <t>B09KZ1VNPF</t>
  </si>
  <si>
    <t>Indian Healing Clay Powder 2lb</t>
  </si>
  <si>
    <t>B0DDWH3NNX</t>
  </si>
  <si>
    <t>B0CMK2Z12X</t>
  </si>
  <si>
    <t>Micro Ingredients Antarctic Krill Oil Supplement, 2,000mg Per Serving, 240 Softgels, Triple Strength, Rich in Omega-3s EPA, DHA &amp; Natural Astaxanthin, Supports Immune System &amp; Brain Health</t>
  </si>
  <si>
    <t>2 Pack Antarctic Krill Oil Supplement, 1000mg Per Serving, 120 Soft-Gels Each, Rich in Omega-3s, EPA, DHA &amp; Astaxanthin, Supports Brain Health, Premium Krill Oil Capsules Liquid Softgels</t>
  </si>
  <si>
    <t>B08X6N1YBK</t>
  </si>
  <si>
    <t>B0DFZNFMYD</t>
  </si>
  <si>
    <t>B081NW5N61</t>
  </si>
  <si>
    <t>Micro Ingredients Quercetin Supplements with Zinc &amp; Vitamin D3, 1,000mg Per Serving, 240 Capsules | 3 in 1 – Quercetin 1,000mg, Zinc Picolinate 50mg, &amp; Vitamin D 5,000iu | Immune Support | Non-GMO</t>
  </si>
  <si>
    <t>B09SBP5D35</t>
  </si>
  <si>
    <t>B0BWGKFVS9</t>
  </si>
  <si>
    <t>B0C9PGG2WV</t>
  </si>
  <si>
    <t>Organic Mango Juice Powder, 8 Ounce, Cold Pressed, Rich in Immune Vitamin C for Immune System Support, and Great Flavor for Drinks, Smoothie and Beverages, Non-GMO</t>
  </si>
  <si>
    <t>B07P3H1872</t>
  </si>
  <si>
    <t>B0BKR53C6Z</t>
  </si>
  <si>
    <t>B08MX16TYC</t>
  </si>
  <si>
    <t>Micro Ingredients Organic Red Yeast Rice Powder, 8 Ounce (1 Year Supply), Non-GMO, Vegan Friendly</t>
  </si>
  <si>
    <t>B07P3HDQD9</t>
  </si>
  <si>
    <t>B07MTVDV6Y</t>
  </si>
  <si>
    <t>B0DJTVL9H4</t>
  </si>
  <si>
    <t>Micro Ingredients Organic Mucuna Pruriens Extract Powder,1 Pound (908 Servings), Pure Mucuna Supplement, Promote Mood, Brain Health and Boosts Immune System, Energy, Vegan Friendly</t>
  </si>
  <si>
    <t>B01BHF3J4K</t>
  </si>
  <si>
    <t>Baking Soda Powder, 6lbs | Pure Sodium Bicarbonate | Bulk Food Grade Supply | Great for Cleaning, Cooking, Laundry, or Personal Care | Non-GMO, Filler Free</t>
  </si>
  <si>
    <t>B0CG7C5X2F</t>
  </si>
  <si>
    <t>B0C2SSC3XZ</t>
  </si>
  <si>
    <t>Organic Whole Rainbow Peppercorn Blend, 2lbs | Black, Green, Pink, &amp; White Fresh Peppercorns for Easy Grinder Refill | Multi Purpose Seasoning for Cooking or Baking | Non-GMO</t>
  </si>
  <si>
    <t>B08KYN91HW</t>
  </si>
  <si>
    <t>2 Pack of Pure USDA Organic Acerola Cherry Powder, Natural and Organic Vitamin C for Immune System, 8 Ounce, No GMO, No Gluten, Brazil Origin</t>
  </si>
  <si>
    <t>B01L2TGTK2</t>
  </si>
  <si>
    <t>Beta Alanine Powder, Pure Beta Alanine Supplement, 2.2 Pounds (500 Days Supply), Filler Free, Amino Energy Pre Workout, Unflavored, Non-GMO and Vegan Friendly</t>
  </si>
  <si>
    <t>B01M3YCOJ4</t>
  </si>
  <si>
    <t>B09BDNFL58</t>
  </si>
  <si>
    <t>Organic Broccoli Powder, 1 Pound, Freeze Dried, Contains Natural DIM (Diindolylmethane), and Rich in Fiber and Immune Vitamin C, Green Superfood for Smoothie &amp; Drinks, Vegan Friendly</t>
  </si>
  <si>
    <t>B07QQ3HTM5</t>
  </si>
  <si>
    <t>B0D85XVGMQ</t>
  </si>
  <si>
    <t>B0DDCW97QV</t>
  </si>
  <si>
    <t>Micro Ingredients Evening Primrose Oil 1300mg Perserving, 240 Softgels | Enhanced with 40mg Black Cohosh Extract, Cold Pressed – 10% Active GLA, Non-GMO, No Gluten, Easy to Swallow</t>
  </si>
  <si>
    <t>B01DPW5LR6</t>
  </si>
  <si>
    <t>Pure Inositol Powder, Myo-Inositol B8 Powder, 1KG (2.2 Pounds), Strongly Supports Liver Health &amp; Antioxidant, Super Inositol for Hair and Inositol for Sleep, Non-GMO and Vegan Friendly</t>
  </si>
  <si>
    <t>B01DPW5E46</t>
  </si>
  <si>
    <t>B0CZFY5HHJ</t>
  </si>
  <si>
    <t>Organic Daily Prebiotic Dietary Fiber Supplement Powder, (Inulin Fiber from Chicory Root), 10 Ounce, Highly Promote Intestinal Colon, Gut Health and Digestive Function, Vegan Friendly</t>
  </si>
  <si>
    <t>B07P3GKXKK</t>
  </si>
  <si>
    <t>B07K6XGYPL</t>
  </si>
  <si>
    <t>B0C6WY48KJ</t>
  </si>
  <si>
    <t>Micro Ingredients Sustainably US Grown, Organic Reishi Mushroom Powder, 8 Ounce, Pure Reishi Supplement 100:1 Extract (Reishi Mushroom)</t>
  </si>
  <si>
    <t>B0CFPLT75L</t>
  </si>
  <si>
    <t>Pure L Citrulline Malate 2:1 Powder, 500 Grams, Filler Free, Vegan Citrulline Supplement and Citrulline Nitrate, Supports Muscle Performance, Endurance and Strength, Unflavored, Dissolve Easily</t>
  </si>
  <si>
    <t>B01HFOBO7Q</t>
  </si>
  <si>
    <t>B0CWMWHRFC</t>
  </si>
  <si>
    <t>Potassium Chloride Powder, 1 Kg (2.2 Pounds), Salt Substitute &amp; Electrolyte Powder, Pure Potassium Chloride Supplement, Essential Mineral, Filler Free and Dissolve Easily</t>
  </si>
  <si>
    <t>B07T1LZ4D2</t>
  </si>
  <si>
    <t>B0DDCWYPWR</t>
  </si>
  <si>
    <t>Micro Ingredients Organic Papaya Fruit Powder, 8 Ounce, Freeze Dried, Naturally Rich in Papaya Enzyme, Supports Antioxidant and Digestive Function, No GMOs &amp; Vegan Friendly</t>
  </si>
  <si>
    <t>B07NY5GKYG</t>
  </si>
  <si>
    <t>B0923DM169</t>
  </si>
  <si>
    <t>Glutathione Supplement, Pure Glutathione Reduced Powder with Inositol, 5 Ounce (9 Months Supply), 2 in 1 Formula, Powerful Ingredients for Antioxidants, Supports Liver Function, Vegan</t>
  </si>
  <si>
    <t>B0812D49XG</t>
  </si>
  <si>
    <t>Micro Ingredients L Citrulline Capsules, 1500mg Per Serving, 360 Counts, Citrulline Pre-Workout Supplement, Non-GMO</t>
  </si>
  <si>
    <t>B08N3BG2SR</t>
  </si>
  <si>
    <t>B0CG7S11B6</t>
  </si>
  <si>
    <t>B0C6WWZ61Y</t>
  </si>
  <si>
    <t>Agar Agar Powder, 1lb | Vegan Substitute for Beef Gelatin, Unflavored Thickening Agent, Plant Based Red Algae | Great for Desserts or Baked Plates | Non-GMO, Sugar Free</t>
  </si>
  <si>
    <t>B0C35H321V</t>
  </si>
  <si>
    <t>B076BFRPNS</t>
  </si>
  <si>
    <t>B0C31WDSTR</t>
  </si>
  <si>
    <t>Vitamin D3 50,000 IU Plus K2 (MK-7) 200 mcg, 240 Virgin Coconut Oil Softgels | 2 in 1 Vitamins D &amp; K Complex | Supports Calcium Absorption, Bone, Immune, &amp; Heart Health | Easy to Swallow</t>
  </si>
  <si>
    <t>B0BSP5TBP3</t>
  </si>
  <si>
    <t>Taurine Powder Supplement | 1 KG, 2000mg Per Serving | Unflavored | 100% Pure, Easily Absorbed Free Form | Essential Amino Acids for Exercise, Energy, &amp; Heart Support</t>
  </si>
  <si>
    <t>B0C88H675D</t>
  </si>
  <si>
    <t>B0CJK4JF1V</t>
  </si>
  <si>
    <t>Sustainably US Grown, Organic Saw Palmetto Powder, 4 Ounce, with Active Fatty Acid, Pure Saw Palmetto Prostate &amp; Hair Growth Supplement, Healthy Urination Frequency &amp; Hair Loss Blocker Supplement</t>
  </si>
  <si>
    <t>B07WLMT9FS</t>
  </si>
  <si>
    <t>B085PZLP29</t>
  </si>
  <si>
    <t>B0C2WV9FGF</t>
  </si>
  <si>
    <t>Organic Kelp Powder Supplement, 2lbs | Sustainably US Grown, Raw Ascophyllum Nodosum Source | Rich in Iodine for Thyroid Support, Body Scrubs, &amp; Skin Care | Non-GMO, Vegan</t>
  </si>
  <si>
    <t>B01LFPNJ8S</t>
  </si>
  <si>
    <t>B0C2X5QQRR</t>
  </si>
  <si>
    <t>Organic Non-Fortified Nutritional Yeast Flakes, 2 Pounds | Rich in Vegan Protein, B Vitamins &amp; Beta-glucans | Keto Friendly, Dairy Free Cheese Substitute, Non-GMO, Gluten Free</t>
  </si>
  <si>
    <t>B0BKR4ZNH1</t>
  </si>
  <si>
    <t>Organic Dried Red Raspberry Leaf, 2lbs | Raw from Germany, Cut &amp; Sifted Whole Leaves | Makes Traditional Herbal Tea | Great for Refilling Tea Bags | Non-GMO, Vegan, Gluten Free</t>
  </si>
  <si>
    <t>B07YQBYZ75</t>
  </si>
  <si>
    <t>B0BJ198K28</t>
  </si>
  <si>
    <t>B07RD4DFNZ</t>
  </si>
  <si>
    <t>Organic Maca Root Powder, 2 Pound, Gelatinized for Better Absorption, Rich in Antioxidants, Help Energy, Stamina, Endurance, Strength and Immune System, No GMOs, Vegan Friendly and Peru Origin</t>
  </si>
  <si>
    <t>Organic Dried Lavender Flowers, 2lbs | Raw from France, Extra Grade Loose Lavender Buds | Great for Herbal Tea or Culinary Baking | Rich in Antioxidants &amp; Essential Oil | Non-GMO</t>
  </si>
  <si>
    <t>B07YQCX5WR</t>
  </si>
  <si>
    <t>Micro Ingredients Water Soluble COQ10 Supplement (COQ10 200mg Per Serving in Powder Form), 50 Grams (8 Months Supply), Extra Absorption, Support Heart Health and Energy Production, Vegan Friendly</t>
  </si>
  <si>
    <t>B07RH9L848</t>
  </si>
  <si>
    <t>B07BKN8S81</t>
  </si>
  <si>
    <t>Omega 3 Fish Oil DHA Supplements 1000mg with EPA 500mg, 200 Softgels – Lemon Flavored, Burpless (Enteric Coated) | Deep Sea Fresh Fish, Wild Caught from Norwegian Waters | Mercury Free</t>
  </si>
  <si>
    <t>B0C2S5MC6J</t>
  </si>
  <si>
    <t>Micro Ingredients 5-HTP 200mg with Chamomile Flower Extract, 180 Capsules, 2 in 1 Formula, 98% Griffonia Seed Extract, Enhanced with Chamomile | Highly Bioavailable for Mood, Sleep &amp; Relaxation</t>
  </si>
  <si>
    <t>B08MX256RL</t>
  </si>
  <si>
    <t>B0812F3JGG</t>
  </si>
  <si>
    <t>Creatine Monohydrate Powder 500 Grams (1.1 LBS), 5000mg Per Serv, Micronized Creatine Powder, Unflavored, Pure, No Filler, Keto &amp; Vegan, Easy Dissolve Pre Workout Creatine for Women and Men</t>
  </si>
  <si>
    <t>B09TNMZBQ5</t>
  </si>
  <si>
    <t>Organic Barley Grass Powder, 16 Ounces | US Grown | Rich in Vitamins, Minerals, Fibers, &amp; Antioxidants | Superfood Greens Mix for Immune Health and Digestion Support | Non-GMO</t>
  </si>
  <si>
    <t>B01NCTM200</t>
  </si>
  <si>
    <t>Organic Ground Ginger Powder, 2 Pounds (32 Ounce), Great Flavor and Highly Aromatic, Fine Loose Powder for Better Mixing without Settling, Best for Cooking, Baking, Tea &amp; More, Product of India</t>
  </si>
  <si>
    <t>Pure Pine Pollen Powder, 6 Ounce, Wild Harvest an Broken Cell Wall, Supports Immune System Health, Boosts Energy, Antioxidant &amp; Androgenic, No GMOs, Vegan Friendly</t>
  </si>
  <si>
    <t>B079N44L9C</t>
  </si>
  <si>
    <t>B08TB8VX8P</t>
  </si>
  <si>
    <t>Pure Trans-Resveratrol Powder with Natural Vitamin E, 5 Ounce, 2 in 1 Formula, Micronized Powder for Better Absorption, Premium Resveratrol Supplement, Super Antioxidant, Vegan Friendly</t>
  </si>
  <si>
    <t>Micro Ingredients Organic Boswellia Serrata Extract Powder, 8 Ounce, Pure Boswellia Supplement with 65% Boswellic Acid, Supports Joints, Knees and Bones Health, Non-GMO, Pet Friendly, India Origin</t>
  </si>
  <si>
    <t>B01DPW5I6U</t>
  </si>
  <si>
    <t>B0CF38KTZQ</t>
  </si>
  <si>
    <t>Micro Ingredients D Aspartic Acid Pills, DAA Supplement, 3000mg Per Serving, 300 Capsules, Premium D Aspartic Acid, Non-GMO</t>
  </si>
  <si>
    <t>B087F1HYB7</t>
  </si>
  <si>
    <t>Micro Ingredients Organic Chaga Mushroom Extract 100:1 Powder, 6 Ounce | Sustainably Maine Grown, Wild Harvest, Chaga Tea, Superfood for Beverage and Smoothie, Vegan Friendly</t>
  </si>
  <si>
    <t>Organic Garlic Powder, 3lbs | Culinary Grade | Freshly Harvested Raw Allium Sativum Bulb | Natural Herbal Spice | Great for Seasonings, Meats, or Vegetables | Non-GMO</t>
  </si>
  <si>
    <t>B0BXYB635P</t>
  </si>
  <si>
    <t>Micro Ingredients Black Seed Oil 2000 mg with Vitamin D3 1000 IU, 240 Softgels | Cold Pressed - Nigella Sativa Pills from Egypt, Virgin Oil, Odorless, Non-GMO &amp; No Gluten</t>
  </si>
  <si>
    <t>Micro Ingredients Organic Bamboo Extract Powder, 8 Ounce (1 Year Supply), Rich in Silica and Minerals, Supports Healthy Skin, Nail, Hair, Joints and Bones, Non-GMO and Vegan Friendly</t>
  </si>
  <si>
    <t>B07CXK6M1G</t>
  </si>
  <si>
    <t>B0BWHLHMHY</t>
  </si>
  <si>
    <t>B0BSP3CD3N</t>
  </si>
  <si>
    <t>Micro Ingredients Ground Cayenne Pepper Powder Bulk, 6 Pounds - 60,000 Heat Units, Spicy and Filler Free, Garden Protection from Wildlife, No Gluten, No GMOs, Vegan Friendly</t>
  </si>
  <si>
    <t>B08TB8F5LL</t>
  </si>
  <si>
    <t>B0DDW2L4YM</t>
  </si>
  <si>
    <t>Organic Shredded Coconut Flakes, 4lbs</t>
  </si>
  <si>
    <t>B0CLFYHSV2</t>
  </si>
  <si>
    <t>B07755F5YT</t>
  </si>
  <si>
    <t>B0C2WY5ZN1</t>
  </si>
  <si>
    <t>Pure L Serine Powder, 500 Grams (250 Day Supply), Filler Free, Supports Production of L-Cystine &amp; L-Tryptophan for Brain Health, Water Soluble, No GMOs, No Gluten</t>
  </si>
  <si>
    <t>B01MTLG2HR</t>
  </si>
  <si>
    <t>B0CLFRYPPT</t>
  </si>
  <si>
    <t>Flaxseed Oil 1400mg Softgels, 300 Counts | w/ 700mg ALA Omega 3, Cold Pressed, Rich in Fatty Acids, Alpha Linolenic Acid, Support Heart Health &amp; Immune System | Non-GMO, No Gluten - 300 Servings</t>
  </si>
  <si>
    <t>B01DPW5TXW</t>
  </si>
  <si>
    <t>Micro Ingredients Pantothenic Acid Vitamin B5 Supplement, Vitamin B5 500mg Per Count, 365 Capsules (1 Year Supply), B-Complex Vitamin, Support Energy Production and Nervous System, Non-GMO</t>
  </si>
  <si>
    <t>B08MX59VV3</t>
  </si>
  <si>
    <t>B0CWN8C5KR</t>
  </si>
  <si>
    <t>Magnesium Citrate 400mg with Vitamin D3 1000IU &amp; B6, 240 Capsules | Elemental Mineral &amp; Vitamins Complex | Combats Constipation, Supports Muscle, Heart, &amp; Bone Health – Non-GMO</t>
  </si>
  <si>
    <t>B087F7DTR7</t>
  </si>
  <si>
    <t>B084Z9VQ2Q</t>
  </si>
  <si>
    <t>Organic Freeze-Dried Dragon Fruit Powder (Pink Pitaya/Pitahaya), 10 Ounce, Perfect for Shakes, Baking &amp; Smoothie, Non-GMO, No Gluten, Vegan Friendly</t>
  </si>
  <si>
    <t>B07P4M1YGN</t>
  </si>
  <si>
    <t>Double Strength Yohimbine Supplements for Men and Women, 10mg Per Serving, 300 Softgels, Yohimbine HCL with Virgin Sunflower Seed Oil for Better Absorption, Supports Energy Production, African Raw</t>
  </si>
  <si>
    <t>B08MX72C55</t>
  </si>
  <si>
    <t>B07R8JTQSZ</t>
  </si>
  <si>
    <t>Sustainably US Grown, Kale Powder Organic, 1 Pound (454 Servings), Freeze Dried, Most Nutrient-Dense Food on the Planet, Green Superfood for Kale Tea and Kale Drink, No GMOs and Vegan Friendly</t>
  </si>
  <si>
    <t>B07L46RH6P</t>
  </si>
  <si>
    <t>Micro Ingredients Vitamin B1 500mg Per Serving, 240 Tablets | Vitamin B1 Thiamine Supplement, Essential B Vitamins | Supports Metabolism &amp; Healthy Nervous System | Non-GMO, Easy to Swallow</t>
  </si>
  <si>
    <t>B08C73K1PR</t>
  </si>
  <si>
    <t>B0D2S5M4DK</t>
  </si>
  <si>
    <t>Micro Ingredients Organic Chlorella Powder, 10 Ounce, Broken Cell Wall, Rich in Vegan Proteins &amp; Vitamins, Raw, Bulk Premium Chlorella Supplement, Vegan Friendly, Non-Irradiation</t>
  </si>
  <si>
    <t>B01L2TGOEI</t>
  </si>
  <si>
    <t>L Glutamine Powder Gut Health, 1Kg, 100% Pure, Free Form - Unflavored- Vegan Friendly, No Filler, No additives, Supports Muscle Recovery, Post Workout | Non-GMO &amp; Gluten-Free</t>
  </si>
  <si>
    <t>B01HFN37MC</t>
  </si>
  <si>
    <t>Folic Acid 1,000 mcg, 500 Coconut Oil Softgels (1mg) | Essential Prenatal Vitamins (Vitamin B9) | 1,667 mcg DFE | Third Party Tested, No Artificial Colors or Flavors | Non-GMO, Gluten Free</t>
  </si>
  <si>
    <t>B087F3WYNW</t>
  </si>
  <si>
    <t>Micro Ingredients Sustainably US Grown, Organic Spinach Powder, 1 Pound, Freeze Dried from Whole Leaf, Rich in Beneficial Thylakoids and Chlorophyll, Contains Multivitamins, Non-GMO, Vegan Friendly</t>
  </si>
  <si>
    <t>B07WH4DXVX</t>
  </si>
  <si>
    <t>B0BSP4P38R</t>
  </si>
  <si>
    <t>2 Pack Vitamin D3 5000IU Plus K2, 2 in 1 Formula, Vitamin D3 Liquid with Vitamin K2, 300 Soft-Gels, Immune Vitamin Complex with Virgin Sunflower Seed Oil, Support Your Heart, Teeth &amp; Joint Health</t>
  </si>
  <si>
    <t>B07VF2S2LC</t>
  </si>
  <si>
    <t>Vitamin K Complex with coconut oil softgels</t>
  </si>
  <si>
    <t>B0C9PNMGR3</t>
  </si>
  <si>
    <t>Micro Ingredients Organic Barley Grass Juice Powder, 10 Ounce, Cold Pressed, US Grown, Rich in Immune Vitamin, Fibers, Minerals, Antioxidants and Protein, Support Immune System and Digestion, Vegan</t>
  </si>
  <si>
    <t>B01MT7T5XX</t>
  </si>
  <si>
    <t>Golden Monk Fruit Sweetener with Erythritol, 4 Pounds - No After Taste - Brown Sugar Substitute, Keto Diet Friendly, Zero Calorie, Natural Sweetener for Drinks, Coffee, Tea, Cookies, No-GMO, Vegan</t>
  </si>
  <si>
    <t>B0BCN5XPBX</t>
  </si>
  <si>
    <t>Organic He Shou Wu, Pure Fo Ti Extract Powder, 6 Ounce, Prepared Foti Steaming with Black Bean, Traditional Anti Aging Herb, Promotes Hair Health and Antioxidant, Filler Free and No GMOs</t>
  </si>
  <si>
    <t>B06XKV2PK3</t>
  </si>
  <si>
    <t>Pure Quercetin Dihydrate Powder, Quercetin 500mg Per Serving, 100 Grams, Most Bioavailable Grade and Filler Free, Powerful Antioxidant Supports Energy, Immune System , No GMOs and Vegan</t>
  </si>
  <si>
    <t>B01DPW5IWY</t>
  </si>
  <si>
    <t>B0CF3JV16Q</t>
  </si>
  <si>
    <t>Organic Pomegranate Juice Powder, 1 Pound (91 Serving), Freeze Dried &amp; Cold Pressed, Natural Vitamin C (Immune Vitamin), Support Immune System, Organic Flavor for Smoothie &amp; Beverage, Vegan Friendly</t>
  </si>
  <si>
    <t>B01HN63W4Y</t>
  </si>
  <si>
    <t>Lutein &amp; Zeaxanthin 20mg Softgels, 400 Coun</t>
  </si>
  <si>
    <t>B0CVTTDTP9</t>
  </si>
  <si>
    <t>B0C9PNDL22</t>
  </si>
  <si>
    <t>Micro Ingredients Organic Rhodiola Rosea Root Extract, 50g Powder | Adaptogenic Herb Based Supplement with Active Rosavins &amp; Salidrosides | Supports Energy &amp; Relaxation | No GMOs, Filler Free</t>
  </si>
  <si>
    <t>B01DPW5LN0</t>
  </si>
  <si>
    <t>Pure Acerola Cherry Powder Organic, Natural Organic Vitamin C for Immune System Booster, 8 Ounce, Best Superfoods for Beverage, Smoothie and Drinks, Vegan Friendly, Brazil Origin</t>
  </si>
  <si>
    <t>B0CFPQN4J1</t>
  </si>
  <si>
    <t>Organic Goji Powder, Freeze Dried Goji Berry Powder, 1 Pound (16 Ounce), Sulfate Free, Pure Goji Supplement, Natural Booster for Energy, Eye Health, and Super Immune Vitamin C for Antioxidant, Non-GMO</t>
  </si>
  <si>
    <t>B06XKJQVZ8</t>
  </si>
  <si>
    <t>Turmeric Extract 95% Curcuminoids (Natural Turmeric Extract and Turmeric Supplements), 100 Grams, Rich in Antioxidants for Joint &amp; Immune Support, No GMOs, Vegan Friendly, India Origin</t>
  </si>
  <si>
    <t>B01JNPEPOE</t>
  </si>
  <si>
    <t>Pure Organic Stevia Powder, 8 Ounces, 1418 Serving, High Grade Stevia Green Leaf Extract Reb-A, Reduced Bitter Aftertaste, 0 Calorie, Natural Sweetener, Sugar Alternative, Keto Friendly</t>
  </si>
  <si>
    <t>Marine Collagen Protein Powder, 1lb</t>
  </si>
  <si>
    <t>B01BHF3GMK</t>
  </si>
  <si>
    <t>Micro Ingredients Organic Triphala Powder, 2 Pounds (Amla + Haritaki + Bibhitaki) | India Origin, Herbal Adaptogen Supplement, Supports Colon &amp; Immune Health | Vegan, No GMOS</t>
  </si>
  <si>
    <t>B01L2U1RHG</t>
  </si>
  <si>
    <t>B0C8LYLM61</t>
  </si>
  <si>
    <t>Organic 10 in 1 Ground Mushroom Coffee Powder, 24 Ounce | Premium Arabica Coffee with Lion’s Mane, Chaga, Reishi, &amp; More | Smooth Medium Roast, Clean Energy, &amp; Immune Support</t>
  </si>
  <si>
    <t>已經下調到花費比較合理的範圍了2/unit,  先不調整budget, KW花費主要在rest爭取往上走, top上調到100, rest降到10及主詞mushroom coffee到0.82</t>
  </si>
  <si>
    <t>B0C2X2BW68</t>
  </si>
  <si>
    <t>DIM Active Supplement, DIM 300mg, 240 Veggie Capsules (8-Month Supply), 2 in 1 Formula, Estrogen Metabolism, Premium DIM-Plus Broccoli Extract Supplement With Black Pepper for Better Absorption</t>
  </si>
  <si>
    <t>B08MX153BT</t>
  </si>
  <si>
    <t>B0CYKDW4QQ</t>
  </si>
  <si>
    <t>B09ZPVMQ9F</t>
  </si>
  <si>
    <t>Micro Ingredients Glycine Powder, 1KG (2.2 Pounds), Glycine 1000mg Per Serving, Supports Restful Sleep and Neurotransmitter, Water Soluble and Products of USA</t>
  </si>
  <si>
    <t>B01LBILPCG</t>
  </si>
  <si>
    <t>Organic Mega 10 Mushroom Powder 5oz</t>
  </si>
  <si>
    <t>Omega-3 Fish Oil 1000mg 300 count</t>
  </si>
  <si>
    <t>B0DK69SLY9</t>
  </si>
  <si>
    <t>Micro Ingredients Tongkat Ali Extract 200:1 (Longjack) Powder, 100 Grams, Grown in Indonesia, 100% Pure Eurycoma Longifolia Root Extract, Bitter Taste - No Filler, No Additive, Non-GMO</t>
  </si>
  <si>
    <t>B01L2TFQHY</t>
  </si>
  <si>
    <t>Micro Ingredients Sustainably US Grown, Organic Dandelion Root Tea Powder, Pure Dandelion Supplement, 1 Pound (16 Ounce, 1 Year Supply)</t>
  </si>
  <si>
    <t>B079MTDMK8</t>
  </si>
  <si>
    <t>Micro Ingredients Vitamin E 1000 IU, 240 Softgels | Pure Vitamin E Oil Pills | Antioxidant Supplements for Skin, Face, &amp; Immune Health | Non-GMO, Gluten Free</t>
  </si>
  <si>
    <t>B01DPW5GRG</t>
  </si>
  <si>
    <t xml:space="preserve">Organic Instant Mushroom Coffee 14oz </t>
  </si>
  <si>
    <t>Monk Fruit Sweetener with Erythritol Granules, 4 Pounds, No After Taste, 1:1 White Sugar Substitute, Keto Diet Friendly, Zero Calorie, Natural Sweetener for Drinks, Coffee, Tea, Cookies, No-GMO, Vegan</t>
  </si>
  <si>
    <t>Micro Ingredients Raw Organic Ginkgo Biloba Powder, 8 Ounce (18 Months Supply), Filler Free, Supports Brain Function and Mental Alertness, No GMOs and Vegan Friendly</t>
  </si>
  <si>
    <t>B01L2TGUHO</t>
  </si>
  <si>
    <t>B0BKR522Q9</t>
  </si>
  <si>
    <t>Micro Ingredients Riboflavin Vitamin B2, 400mg Per Serving, 180 Mini Tablets, Premium Vitamin B2 400mg Riboflavin Supplements, Easy to Swallow, Non-GMO</t>
  </si>
  <si>
    <t>B08C7BCJPM</t>
  </si>
  <si>
    <t>B0C3NM9959</t>
  </si>
  <si>
    <t>Pure Green Coffee Bean Extract, 4 Ounce, Filler Free with Natural Caffeine, Green Coffee Bean Fat Burn Supplement with 50% Chlorogenic Acid, Supports Metabolism and Weight Management, Vegan Friendly</t>
  </si>
  <si>
    <t>B074WGLHFM</t>
  </si>
  <si>
    <t>Sustainably US Grown, Organic Shiitake Mushrooms Powder, 8 Ounce, Made from The Finest Dried Shiitake Mushroom, Stronger Umami Flavor Than Fresh Mushrooms, Great for Sauce, Soup and Pasta</t>
  </si>
  <si>
    <t>B08PXYB6RH</t>
  </si>
  <si>
    <t>B0C6YKYN2B</t>
  </si>
  <si>
    <t>B0C8PVGKSK</t>
  </si>
  <si>
    <t>North America Grown, Organic Pea Protein Powder, 1KG (2.2 Pounds), Plant-Based Vegan Protein Organic, Rich in Branched Chain Amino Acids, Flavonoids and Minerals, No GMOs &amp; Vegan Friendly</t>
  </si>
  <si>
    <t>B01DWUEQ7C</t>
  </si>
  <si>
    <t>Sustainably US Grown, Organic Cordyceps Mushroom Extract Powder 100:1 | 6 Ounce, 30% Polysaccharides and Cordycepic Acid, From Fruit Body and Mycelium, Supports Energy &amp; Immune Health</t>
  </si>
  <si>
    <t>B074WL37DN</t>
  </si>
  <si>
    <t xml:space="preserve">Multi Collagen Peptides Packets 40-count </t>
  </si>
  <si>
    <t>B0CVTNMFSK</t>
  </si>
  <si>
    <t>Brewers Yeast Powder for Lactation, 3lbs</t>
  </si>
  <si>
    <t xml:space="preserve">Electrolyte Powder Grape Flavor 2lb </t>
  </si>
  <si>
    <t>B0D3T248FJ</t>
  </si>
  <si>
    <t>Organic Collagen Peptides Powder 12oz</t>
  </si>
  <si>
    <t>B0D3SH3DVW</t>
  </si>
  <si>
    <t>B0DDCW84F6</t>
  </si>
  <si>
    <t>Organic Soluble Prebiotics Fiber Supplement (Inulin, Acacia, Psyllium Husk), 2 Pounds, 3 in 1 Fiber Formula, Daily Fiber, Unflavored, for Digestive Health, Hunger Control, Vegan</t>
  </si>
  <si>
    <t>Erythritol Granules, 6 Pounds (96 Ounce), 1:1 Sugar Substitute, No After Taste, 0 Calorie, Natural Sweetener, Erythritol Keto Sugar Substitute, Non-GMO, Vegan</t>
  </si>
  <si>
    <t>B07SZHV7RN</t>
  </si>
  <si>
    <t>2 Pack Micro Ingredients Organic Lemon Juice Powder, 10 Ounce, Rich in Natural Vitamin C (Immune Vitamins) for Immune System, Great Flavor for Drinks, Smoothie &amp; Beverages, Vegan</t>
  </si>
  <si>
    <t>B07XGDGNH9</t>
  </si>
  <si>
    <t>Micro Ingredients Organic Tart Cherry Powder, 4 Ounce, Sustainably US Grown, Uric Acid Cleanse, Antioxidant and Flavonoids, Enhance Joint Health, Sleep Cycles &amp; Immune System</t>
  </si>
  <si>
    <t>B07G3KLNM7</t>
  </si>
  <si>
    <t>Pure L-Theanine Powder, 100 Grams (1 Year Supply), Filler Free, No GMOs and Vegan Friendly</t>
  </si>
  <si>
    <t>B01DPW5F5O</t>
  </si>
  <si>
    <t>Electrolyte Powder Pineapple Flavor 2lb</t>
  </si>
  <si>
    <t>B0D3T8WHH4</t>
  </si>
  <si>
    <t>Sustainably US Grown, Organic Freeze Dried Raspberry Juice Powder, 8 Ounce, Contains Immune Vitamin C for Immune System Booster, Rich in Raspberry Ketones, Fatty Acids, Minerals and Antioxidant, Vegan</t>
  </si>
  <si>
    <t>B07L466GW8</t>
  </si>
  <si>
    <t>B0BWH3JMNB</t>
  </si>
  <si>
    <t>US Origin Pure Magnesium Citrate Powder, 2 Pounds (32 Ounce), Pure and Filler Free, Relaxation and Nutrient Utilization, Vegan</t>
  </si>
  <si>
    <t>Vitamin D3 2,000 iu Plus K2 (MK-7) 50 mcg, 300 Virgin Coconut Oil Softgels</t>
  </si>
  <si>
    <t>Stevia Sweetener Powder with Plant-based Erythritol, 4 Pounds (64 Ounces) | Keto, 0 Calorie, Low Carb, 4:1 Sugar Substitute, Natural Sweetener, Bitterless, Reb-A Stevia Leaf Extract, Non-GMO, Vegan</t>
  </si>
  <si>
    <t>B09NQXJHYQ</t>
  </si>
  <si>
    <t>B0CFPJ5BRM</t>
  </si>
  <si>
    <t>Pure Organic Stevia Powder, 4 Ounces, 706 Serving, Highest Grade Stevia Green Leaf Extract Reb-A, Reduced Bitter Aftertaste, 0 Calorie, Natural Sweetener, Sugar Alternative, Keto Friendly</t>
  </si>
  <si>
    <t>Organic Freeze-Dried Acai Powder 8oz, Sustainably Grown in Brazilian Amazon, 100% Pure Berry Pulp, Raw, Bulk, No Filler, No additives, Great for Acai Bowls, Yogurt, Smoothies, and More</t>
  </si>
  <si>
    <t>B09TG36LYR</t>
  </si>
  <si>
    <t>Vitamin D3 5000IU with coconut oil</t>
  </si>
  <si>
    <t>B0DGRWCTN8</t>
  </si>
  <si>
    <t>Organic Blue Spirulina 30g</t>
  </si>
  <si>
    <t>CoQ10 100mg with MCT Oil</t>
  </si>
  <si>
    <t>B0DK69D35M</t>
  </si>
  <si>
    <t>Organic Beet Root Powder, 4 Pounds | Cold Pressed, Water Soluble, High Concentrated Raw Beet Supplement | Superfood Drink Mix | Non-GMO, Vegan Friendly, Plant Based</t>
  </si>
  <si>
    <t>Micro Ingredients Organic Pineapple Powder, 8 Ounce, Freeze Dried, Rich in Bromelain and Immune Vitamin C for Immune System Booster, Great Flavor for Drinks, Baking and Cooking, Non-GMO</t>
  </si>
  <si>
    <t>B07W9B5K1R</t>
  </si>
  <si>
    <t>Organic Schisandra Extract Powder, 8 Ounce, Traditional Adaptogen and Filler Free, Pure Schisandra Supplement, Supports Liver Detox and Cognitive Health, No GMOs</t>
  </si>
  <si>
    <t>B07GF4QLJJ</t>
  </si>
  <si>
    <t>B0C8LXX8JF</t>
  </si>
  <si>
    <t>Organic Matcha Green Tea Powder, 2 Pound (32 Ounce), Culinary Grade - Unflavored - First Harvest Authentic Japanese Origin, 100% Pure Matcha for Smoothies, Latte and Baking, Non-GMO, Non-Irradiation</t>
  </si>
  <si>
    <t>B09TG3RDGS</t>
  </si>
  <si>
    <t>B0DJWR8MZ3</t>
  </si>
  <si>
    <t>Vitamin D3 5000 iu Plus K2 (MK-7) 100 mcg, 300 Virgin Coconut Oil Softgels | 2 in 1 Vitamins D &amp; K Complex | Supports Calcium Absorption, Bone, Immune, &amp; Heart Health – Easy to Swallow</t>
  </si>
  <si>
    <t>Organic Black Cumin Seed (Nigella Sativa), 2lbs | Premium Grade Whole Black Seed from Egypt | Rich in Healthy Black Seed Oil | Raw Seeds for Baking, Seasoning, and Cooking | Non-GMO</t>
  </si>
  <si>
    <t>Organic Lion's Mane Powder 8oz</t>
  </si>
  <si>
    <t>Magnesium Glycinate 400mg</t>
  </si>
  <si>
    <t>B0DGRNP1ZL</t>
  </si>
  <si>
    <t>Magnesium Oxide 400mg</t>
  </si>
  <si>
    <t>B0DDWD83GF</t>
  </si>
  <si>
    <t>Organic Amla Powder (Amalaki) | 32oz, India Origin Gooseberry Powder | Rich in Vitamin C, Antioxidants, Supports Immune, Digestive &amp; Skin Health, Non-GMO, Vegan &amp; Keto Friendly</t>
  </si>
  <si>
    <t>B06XKYNFY1</t>
  </si>
  <si>
    <t>Goat Milk Powder, 2lbs | Grass Fed Source, Australian Farm Derived, Unadulterated Formula, Easily Digested | Rich in Protein, Calcium, &amp; Probiotics | Non-GMO, Gluten Free, Pet Friendly</t>
  </si>
  <si>
    <t>Multi-Collagen Capsules</t>
  </si>
  <si>
    <t>B07YMJLTR6</t>
  </si>
  <si>
    <t>Micro Ingredients Organic Coconut Milk Powder, 2 Pound (32 Ounce), Plant-Based Creamer, Perfect for Coffee, Tea and Smoothie, Non-GMO and Keto Friendly</t>
  </si>
  <si>
    <t>B0CJK6YZYX</t>
  </si>
  <si>
    <t>Hyaluronic Acid Serum Powder, High Molecular Weight, Cosmetics Grade, 30 Gram, Support Hydration and Moisture, Water Soluble (Within 2 Hours), Vegan Friendly</t>
  </si>
  <si>
    <t>B01DPW5C5W</t>
  </si>
  <si>
    <t>Organic Inulin FOS Powder (Jerusalem Artichoke), 2.2 Pounds (35 Ounce), Quick Water Soluble, Prebiotic Intestinal Support for Colon and Gut Health, Natural Fibers for Smoothie &amp; Drinks, Vegan Friendly</t>
  </si>
  <si>
    <t>Organic Chlorella Spirulina Tablets, 3000mg Per Serving, 720 Counts, 4 Months Supply, 50/50 Blend Superfood, No Filler, No Additives, Cracked Cell Wall, Rich in Vegan Protein &amp; Chlorophyll</t>
  </si>
  <si>
    <t>Instant Bovine Colostrum Powder 8oz</t>
  </si>
  <si>
    <t>Organic Ceylon Cinnamon Powder | 2 Lb - [Sourced from Sri Lanka] - Inner Bark Cinnamomum Verum, Delicate Flavor and Aroma, Third Party Tested for Purity, Vegan, Non-GMO &amp; Gluten Free</t>
  </si>
  <si>
    <t>B01BHF3IXM</t>
  </si>
  <si>
    <t>Moringa Powder Organic (Moringa Oleifera Leaf Powder), 2 Pounds, Rich in Antioxidants and Immune Vitamin, Great Superfoods for Moringa Tea, Moringa Drink, Moringa Powder for Hair, India Grown, Vegan</t>
  </si>
  <si>
    <t>B0C7SNQ62P</t>
  </si>
  <si>
    <t>Micro Ingredients Organic European Black Elderberry Juice Powder, 4 Ounce, Cold Pressed, Flash Pasteurized for Safety, Supports Immune System, Energy and Vascular Health, No GMOs, Vegan Friendly</t>
  </si>
  <si>
    <t>B07QTCDMBW</t>
  </si>
  <si>
    <t>Organic MCT Oil Powder with Prebiotic Fiber,1 Pound(16 Ounce), Fast Fuel for Body and Brain, C8 MCT Oil for Coffee Creamer, Delicious for Tea, Smoothie, Drink and Beverage, No GMOs, Keto Diet, Vegan</t>
  </si>
  <si>
    <t>Multi Collagen Protein Powder, 2 Pounds – Type I,II,III,V,X with Biotin 10000mcg, Hyaluronic Acid, Vitamin C – Unflavored Collagen Peptides – Keto &amp; Paleo Friendly, Easy Dissolve, Non-GMO</t>
  </si>
  <si>
    <t>B0D87LZF99</t>
  </si>
  <si>
    <t>Vitamin D3 10000 iu Plus K2 (MK-7) 200 mcg, 180 Virgin Coconut Oil Softgels| 2 in 1 Vitamins D &amp; K Complex | Supports Calcium Absorption, Bone, Immune, &amp; Heart Health – Easy to Swallow</t>
  </si>
  <si>
    <t>B0BWGKT1PJ</t>
  </si>
  <si>
    <t>B0C2XJ92Y6</t>
  </si>
  <si>
    <t>Micro Ingredients Oil of Oregano Softgels 6000mg Per Serving, 300 Count | with Black Seed Oil, 4X Strength Carvacrol &amp; Thymoquinone | Plant Based, Non-GMO | Antioxidant &amp; Immune Support</t>
  </si>
  <si>
    <t>B01L2TFPNE</t>
  </si>
  <si>
    <t>B0C485JWYV</t>
  </si>
  <si>
    <t>B0CF3RZQCZ</t>
  </si>
  <si>
    <t>Total Unit</t>
  </si>
  <si>
    <t>Diff Unit</t>
  </si>
  <si>
    <t>Total Spend</t>
  </si>
  <si>
    <t>Total Ad Sales</t>
  </si>
  <si>
    <t>Total Diff</t>
  </si>
  <si>
    <t>B0CP2YGSCZ</t>
  </si>
  <si>
    <t>B0C2X6VR58</t>
  </si>
  <si>
    <t>B0CX3MJQKM</t>
  </si>
  <si>
    <t>B07QBVHK8H</t>
  </si>
  <si>
    <t>B0CWKDYC5Q</t>
  </si>
  <si>
    <t>ACOS</t>
  </si>
  <si>
    <t>Tcos</t>
  </si>
  <si>
    <t>B0BWGPJNTR</t>
  </si>
  <si>
    <t>B09LFFGQXM</t>
  </si>
  <si>
    <t>B0CF3N7PNY</t>
  </si>
  <si>
    <t>B0CMK9SWBJ</t>
  </si>
  <si>
    <t>B081ZH92R6</t>
  </si>
  <si>
    <t>B09BDHTR2H</t>
  </si>
  <si>
    <t>B0CXGX8QTQ</t>
  </si>
  <si>
    <t>B0C2XFMKWL</t>
  </si>
  <si>
    <t>B08X6JSZ69</t>
  </si>
  <si>
    <t>B0CFPBNWCF</t>
  </si>
  <si>
    <t>B07V8LRWZK</t>
  </si>
  <si>
    <t>B07GBMPZKD</t>
  </si>
  <si>
    <t>B09F3XW1BX</t>
  </si>
  <si>
    <t>B0971V1HGK</t>
  </si>
  <si>
    <t>B0971W4PSN</t>
  </si>
  <si>
    <t>B0C2XJGG1H</t>
  </si>
  <si>
    <t>B0C2WJHQLT</t>
  </si>
  <si>
    <t>B01DPW5BNA</t>
  </si>
  <si>
    <t>B0CHX3CST7</t>
  </si>
  <si>
    <t>B0CWNDCY6V</t>
  </si>
  <si>
    <t>B0DGYLR7W1</t>
  </si>
  <si>
    <t>B08WHFZQSJ</t>
  </si>
  <si>
    <t>B087CM3PP2</t>
  </si>
  <si>
    <t>B07XW8BXDS</t>
  </si>
  <si>
    <t>B09KTDRCYD</t>
  </si>
  <si>
    <t>B07YF52935</t>
  </si>
  <si>
    <t>B0CF3MT9NR</t>
  </si>
  <si>
    <t>B0DDWNGRKL</t>
  </si>
  <si>
    <t>B0CFP9DF3C</t>
  </si>
  <si>
    <t>B0DJWRXKPX</t>
  </si>
  <si>
    <t>B0BKR14XL3</t>
  </si>
  <si>
    <t>B0BWHLHMV1</t>
  </si>
  <si>
    <t>B0CF3HYSHR</t>
  </si>
  <si>
    <t>B0CZFY5H2J</t>
  </si>
  <si>
    <t>B08WHZZP5F</t>
  </si>
  <si>
    <t>B0DJWPJ2MX</t>
  </si>
  <si>
    <t>B08517K5QY</t>
  </si>
  <si>
    <t>B07VB11KGW</t>
  </si>
  <si>
    <t>B074R8XH2Q</t>
  </si>
  <si>
    <t>B0C6WP15YQ</t>
  </si>
  <si>
    <t>B0861HNMMK</t>
  </si>
  <si>
    <t>B0DDCTG43B</t>
  </si>
  <si>
    <t>B01FL9DFR4</t>
  </si>
  <si>
    <t>B0DF425DGX</t>
  </si>
  <si>
    <t>B0DGR5T8JG</t>
  </si>
  <si>
    <t>B076B7TYL7</t>
  </si>
  <si>
    <t>B091G5YF1J</t>
  </si>
  <si>
    <t>B07XVS9MS3</t>
  </si>
  <si>
    <t>B0DLXM7ZTC</t>
  </si>
  <si>
    <t>B0C2SFWMSW</t>
  </si>
  <si>
    <t>B0CFPQWQNC</t>
  </si>
  <si>
    <t>B0C6V5K27L</t>
  </si>
  <si>
    <t>B07BKSH9GW</t>
  </si>
  <si>
    <t>B0C2SKQBDB</t>
  </si>
  <si>
    <t>B07RD4CKP4</t>
  </si>
  <si>
    <t>B08LMTG54X</t>
  </si>
  <si>
    <t>B0B92XZZPJ</t>
  </si>
  <si>
    <t>B0C8LTR6L1</t>
  </si>
  <si>
    <t>B09WJV9D1Y</t>
  </si>
  <si>
    <t>B075G4N2K1</t>
  </si>
  <si>
    <t>B08DK1M6FL</t>
  </si>
  <si>
    <t>B0D2MDHWT5</t>
  </si>
  <si>
    <t>B0C8M1F4V7</t>
  </si>
  <si>
    <t>B0C8LXD8F2</t>
  </si>
  <si>
    <t>B0CDDY9DJL</t>
  </si>
  <si>
    <t>B0D883PXW4</t>
  </si>
  <si>
    <t>B0DJWTBLGH</t>
  </si>
  <si>
    <t>B0CZGQN3Y4</t>
  </si>
  <si>
    <t>B08X63BXLZ</t>
  </si>
  <si>
    <t>B07WTXS4BL</t>
  </si>
  <si>
    <t>B0B7CMR12N</t>
  </si>
  <si>
    <t>B081NWFC6W</t>
  </si>
  <si>
    <t>B08M245LZF</t>
  </si>
  <si>
    <t>B0DJWWQSPX</t>
  </si>
  <si>
    <t>B07VNJ97G1</t>
  </si>
  <si>
    <t>B092373KF3</t>
  </si>
  <si>
    <t>B0BMF3TMWZ</t>
  </si>
  <si>
    <t>B0DK6684NK</t>
  </si>
  <si>
    <t>B0C2WG9NLL</t>
  </si>
  <si>
    <t>B086QBQ7X4</t>
  </si>
  <si>
    <t>B0DDMM94BF</t>
  </si>
  <si>
    <t>B0B8TJLSSP</t>
  </si>
  <si>
    <t>B0C8LWRXVV</t>
  </si>
  <si>
    <t>B09F2NL4H6</t>
  </si>
  <si>
    <t>B0DCKRMSJ8</t>
  </si>
  <si>
    <t>B0C35H2G42</t>
  </si>
  <si>
    <t>B0BGR22RG6</t>
  </si>
  <si>
    <t>B0DCKRBV9T</t>
  </si>
  <si>
    <t>B07WV6898X</t>
  </si>
  <si>
    <t>B0C2W734WL</t>
  </si>
  <si>
    <t>B07W8XG27G</t>
  </si>
  <si>
    <t>B0C8M8MQMR</t>
  </si>
  <si>
    <t>B0872L4YZS</t>
  </si>
  <si>
    <t>B07G7YPJSJ</t>
  </si>
  <si>
    <t>B086M6FBG4</t>
  </si>
  <si>
    <t>B0DK65FRV2</t>
  </si>
  <si>
    <t>B0D68JXS1L</t>
  </si>
  <si>
    <t>B0BMDPLQ3K</t>
  </si>
  <si>
    <t>B0D2FTRPL1</t>
  </si>
  <si>
    <t>B08M23CLN5</t>
  </si>
  <si>
    <t>B0CWN6Y9LM</t>
  </si>
  <si>
    <t>B0DGRNC1VW</t>
  </si>
  <si>
    <t>B08WHPNJTT</t>
  </si>
  <si>
    <t>B0DLDXLQ4B</t>
  </si>
  <si>
    <t>B0DK64NZS8</t>
  </si>
  <si>
    <t>B0C2SH4J85</t>
  </si>
  <si>
    <t>B0DDB5BWYP</t>
  </si>
  <si>
    <t>B07MTTBMD1</t>
  </si>
  <si>
    <t>B0DJWVMRR9</t>
  </si>
  <si>
    <t>B0DLLHGKDM</t>
  </si>
  <si>
    <t>B0DS6Q88VS</t>
  </si>
  <si>
    <t>B076B63VJC</t>
  </si>
  <si>
    <t>B08C4NZQYY</t>
  </si>
  <si>
    <t>B09238QQ52</t>
  </si>
  <si>
    <t>B09N7RGHML</t>
  </si>
  <si>
    <t>B0C88PXW63</t>
  </si>
  <si>
    <t>B0DNVCPMYW</t>
  </si>
  <si>
    <t>B0BR4NQGSC</t>
  </si>
  <si>
    <t>B0923B4XLX</t>
  </si>
  <si>
    <t>B0866BQP63</t>
  </si>
  <si>
    <t>B09KTCYFZ7</t>
  </si>
  <si>
    <t>B09F4ML3FF</t>
  </si>
  <si>
    <t>B085WGFPYS</t>
  </si>
  <si>
    <t>B09F4GYTDQ</t>
  </si>
  <si>
    <t>B09KTBBYLQ</t>
  </si>
  <si>
    <t>B0B34CDHNS</t>
  </si>
  <si>
    <t>B087CMV1PD</t>
  </si>
  <si>
    <t>B07VC1M3S3</t>
  </si>
  <si>
    <t>B07GCBWB83</t>
  </si>
  <si>
    <t>B0BSP1W5JW</t>
  </si>
  <si>
    <t>B07H9JTLWY</t>
  </si>
  <si>
    <t>B07GCBWP2M</t>
  </si>
  <si>
    <t>B085WGL72X</t>
  </si>
  <si>
    <t>B07K6Z195K</t>
  </si>
  <si>
    <t>B076B5V4RQ</t>
  </si>
  <si>
    <t>B09WXLZZRX</t>
  </si>
  <si>
    <t>B07MTTWGWJ</t>
  </si>
  <si>
    <t>B07WV689LY</t>
  </si>
  <si>
    <t>B0BL1NMB59</t>
  </si>
  <si>
    <t>B07WWK3SMQ</t>
  </si>
  <si>
    <t>B0BFJXC2JN</t>
  </si>
  <si>
    <t>B0BGQKY4KD</t>
  </si>
  <si>
    <t>B0B9HVBQ4F</t>
  </si>
  <si>
    <t>November</t>
  </si>
  <si>
    <t>JC</t>
  </si>
  <si>
    <t>CL</t>
  </si>
  <si>
    <t>HL</t>
  </si>
  <si>
    <t>GP</t>
  </si>
  <si>
    <t>多花的钱 estimate</t>
  </si>
  <si>
    <t>Review</t>
  </si>
  <si>
    <t>Review2</t>
  </si>
  <si>
    <t>NatureBell Moringa Oleifera 8000mg Per Serving | 240 Capsules, Made with Organic Moringa Leaf Powder, Non-GMO, Gluten Free, Superfood Antioxidant, Skin Health &amp; Immune Support</t>
  </si>
  <si>
    <t>銷量主要受到rosebella影響, 月初rosebella兩個ASIN同時銷售導致NB銷量及花費下滑明顯, 當時花到page上了調整廣告花費後往上走, 目前花費在1.84/unit會OOB, 主要銷量受到rosebella多不打算繼續給budget了, 爭取budget內跑到7PM後; KW中午就快花完, 已經花到top上了降到60爭取多跑跑, PT下調top到70, 早上就快花光</t>
  </si>
  <si>
    <t>近期熱度下降, 競品銷量都下滑, 整體廣告給500 budget total, 花費1.8/unit KW跟PT能花到7-8PM, 保持力度正常跑</t>
  </si>
  <si>
    <t>Magnesium Complex Supplement 500mg, 300 Capsules | 10 Active Forms – Glycinate, Citrate, Taurate, Plus More | 100% Chelated &amp; Purified | Bone, Heart, &amp; Muscle Support | Non-GMO</t>
  </si>
  <si>
    <t>02/05: 以前廣告不花錢, Q1流量加MG上漲後廣告花出去了, 花費有點高2.3/unit, 開始逐步下調KW&amp;PT的廣告力度找找平衡</t>
  </si>
  <si>
    <t>7天花費降到1.85/unit, 銷量穩定150-200, PT還是有點超標, 下調budget到120及超標rest到10合格及預算內打, 主要還是跑KW廣告</t>
  </si>
  <si>
    <t>PT出單還是比較差, budget降到80, top下調80及超標base縮減廣告花費, 跑KW主要; KW下午就OOB, 銷量穩定150上下, 下調top到100及phrase整體nb相關詞到0.75很花錢, 下調exact超標詞</t>
  </si>
  <si>
    <t>Magnesium Citrate 500mg, 240 Capsules (Citrato de Magnesio) | High Purity Elemental Form – Extra Strength | Essential Mineral for Heart, Muscle, &amp; Digestion Support – Non-GMO &amp; No Gluten</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</si>
  <si>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</si>
  <si>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 xml:space="preserve">一月份漲價後上調廣告力度, 廣告花費從1.16/unit漲到1.45/unit, 漲價後日銷保持100左右, 縮減了KW&amp;PT兩個廣告的budget 150/80控制預算, 之前給了比較高的預算, 調整到2/unit內跑 </t>
  </si>
  <si>
    <t>花費降到1.5/unit內, 日銷100出頭, 預算內正常跑跑KW主詞, PT花不多 budegt降到50預算內跑, top上提到120補產品, DW合併給評論14塊給了20% coupon在價格上比較沒有優勢, 不激進</t>
  </si>
  <si>
    <t>Maximum Strength Berberine Plus, 1200mg Per Serving, 120 Capsule, Powerfully Supports Glucose Metabolism, Immune System, Cardiovascular and Gastrointestinal Function, Made in USA.</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</si>
  <si>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</si>
  <si>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日銷小幅上漲130+, 廣告給了budget就能花完, 開始逐步下調廣告預算, 打了TOP KW的效果比較一般</t>
  </si>
  <si>
    <t>7天花費降到1.9/unit, 日銷120-130, PT還是會在下午就OOB, 小幅下調top110緩緩花費, 調整KW廣告結構縮減page花費, 加vegan berberine, vegan berberine supplement近期開始有搜索</t>
  </si>
  <si>
    <t xml:space="preserve">NAD+ 1500mg vegetarian capsules 240 count </t>
  </si>
  <si>
    <t>新品, 廣告費保持, 目前1.69/unit廣告費, KW下調Rest到0, 移PT 30budget給KW出, 其他保持正常跑</t>
  </si>
  <si>
    <t>廣告回調合格內繼續推廣, 主要受評論數影響大</t>
  </si>
  <si>
    <t>NatureBell Vitamin E Oil Softgels, 1,000 IU Per Serving, 300 Pills | Essential Antioxidant Supplements, Easily Absorbed Form – Supports Skin, Heart, &amp; Immune Health – Non-GMO</t>
  </si>
  <si>
    <t>Deal就多出345个，整体没有比较明显下跌 最近稳定在100附近日销 vitamina e 1000mg para mujer和vitamin e 1000 iu softgels是这个产品占比最高的词 可以做相关女性的推广</t>
  </si>
  <si>
    <t>Q1流量廣告花出去了, 日銷多50+/day同時花費也增加了, 權重比較高廣告好打出去, 縮減TOP KW rest力度還是保持top主力花費, 減緩OOB時間; 一般KW下調budget到100及top&amp;rest各10%控制中部詞的廣告花費; PT天天下午就OOB, 下調top到70及超標base緩緩廣告花費</t>
  </si>
  <si>
    <t>花費降到1.75/unit, 每天花費350日銷保持200出頭, 三個廣告都能花完, 能跑到10PM左右正常跑</t>
  </si>
  <si>
    <t>Magnesium Malate 1500mg capsules 240 count</t>
  </si>
  <si>
    <t>新品合併magnesium推廣, 持續漲價同時拉廣告, 花費有點偏高, 開始下調一點廣告力度, 主要是靠合併賣上去</t>
  </si>
  <si>
    <t>廣告沒有太大效果, 已經合併給了評論在PT DW拿到30%IS多了近5倍的評論還是沒拿到量, 在主詞拿到5%佔比還是沒有太大突破, 縮減廣告力度</t>
  </si>
  <si>
    <t>NatureBell Allulose Sweetener, 2.5 Lbs | Keto &amp; Vegan-Friendly, White Sugar Substitute | 0 Calorie, 0 Sugar, 0 Net Carb, Non-Glycemic, Browns Like Table Sugar | Bulk Supply for Baking &amp; Beverages</t>
  </si>
  <si>
    <t>转了广告没开BA的打开跑跑 和deal要2选1 做一个大size 5lb出来 分析过了</t>
  </si>
  <si>
    <t>11/12-13换平台，价格可能没有及时更改，49.99在卖，销量在那天下降到个位数；十月广告花销少花了将近850块，销量少了275个</t>
  </si>
  <si>
    <t>日銷保持70+, 廣告約花1.6/unit, 保持廣告合格內正常賣</t>
  </si>
  <si>
    <t>Magnesium Glycinate 500mg Per Serving | 240 Veggie Capsule, 100% Chelated &amp; Purified – Non-GMO &amp; Gluten Free</t>
  </si>
  <si>
    <t>貨賣光DC</t>
  </si>
  <si>
    <t>NatureBell Vitamin D3 5000 K2 (MK7) with Virgin Coconut Oil, 240 Softgels, 100mcg, 2 in 1 Support, Duo-Ack | 8 Months Supply | Third Party Tested, Non GMO &amp; No Gluten</t>
  </si>
  <si>
    <t>廣告以前花不出錢, 現在能花銷量一併上漲, 日銷平均134/day, 廣告花費1.5/unit, KW TOP下調到100, 不太激進打, 超標詞回調, PT TOP上提到80往上出</t>
  </si>
  <si>
    <t>花費控制在1.34/unit, 廣告花費內正常調整</t>
  </si>
  <si>
    <t>CoQ10 (Ubiquinone) 400mg with Omega 3 Fatty Acids, 240 Capsules | Stable High Absorption Form – Antioxidant Support for Heart &amp; Energy Health – Extra Strength Coenzyme Q10 Supplement</t>
  </si>
  <si>
    <t>日銷平均186/day, 廣告花費1.6/unit, TOP KW只有大詞coq10轉化比較好, 其他詞回調合格, 主要留空間給coq10, 其餘保持廣告花費正常打</t>
  </si>
  <si>
    <t>NatureBell Sunflower Lecithin 2,400mg, 4 Months Supply, 240 Softgels | Infused with Non-GMO Sunflower Seed Oil – Rich in Phosphatidyl Choline – No Soy, No Gluten</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</si>
  <si>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</si>
  <si>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</si>
  <si>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日銷平均24/day, 屬於頭部集中母嬰類產品, 保留KW跑就好, PT跟AUTO轉化都不太行</t>
  </si>
  <si>
    <t xml:space="preserve">Magnesium Taurate 1500mg 240 Capsules </t>
  </si>
  <si>
    <t>新品合併magnesium推廣, 已漲回原價, 目前日銷穩定70+/day, 廣告1.6/unit, 保持花費正常賣</t>
  </si>
  <si>
    <t>NatureBell Resveratrol Supplement 1000mg Per Serving, 180 Veggie Capsules, 99% Pure Trans-Resveratrol, Antioxidant for Healthy Aging, Brain, &amp; Heart Support – Non-GMO</t>
  </si>
  <si>
    <t>新品已漲回原價, 銷量上漲帶動花費, 屬於整體流量較大也能花錢的產品,日銷平均80/day, 廣告2.1/unit, 下調PT預算到80, KW Rest下調到0往上出出, 控制廣告2/unit內正常打</t>
  </si>
  <si>
    <t>Ashwagandha 12,500mg with black pepper</t>
  </si>
  <si>
    <t>新品, 平均日銷59/day, 廣告費目前2.3/unit</t>
  </si>
  <si>
    <t>NatureBell Ceylon Cinnamon 1800mg Per Serving, 180 Capsules, Made with Organic Sri Lanka Ceylon Cinnamon and Bitter Melon, 2 in 1 Support, Non-GMO, No Gluten</t>
  </si>
  <si>
    <t>Magnesium Glycinate Capsules 500mg | 240 Count, 100% Chelated &amp; Purified, 3rd Party Tested, Non-GMO &amp; Gluten Free</t>
  </si>
  <si>
    <t>10月deal多出4307个，mg主词6周水平相对比较稳定小幅度上涨，500mg的占比强势上涨，整体水平比较可观 广告花费控制的比较合规 12/4这周Innate做deal可能会被影响水平 整体算不上下跌</t>
  </si>
  <si>
    <t>在12月底拿到ac後加大廣告的推廣, 目前花費控制在0.95/unit不高, 以前花不出錢</t>
  </si>
  <si>
    <t>Lutein 40mg and Zeaxanthin 1,600mcg Per Serving, 360 Softgels | 4 in 1 with Omega-3s, Astaxanthin, &amp; Phospholipids – Marigold Flower Extract – Eye Antioxidant Vitamins – Non-GMO</t>
  </si>
  <si>
    <t>Berberine Supplement 500mg | 300 Veggie Capsules, 97% Pure Berberine HCL, 5:1 Root Extract – Healthy Glucose Metabolism &amp; Immune Support – Plant Based, Vegan, Non-GMO</t>
  </si>
  <si>
    <t>NatureBell Irish Sea Moss Capsules, 3,000mg Per Serving, 240 Veggie Pills | Made with Organic Raw Powder – 3 in 1 Plus Bladderwrack &amp; Burdock Root – Immune &amp; Thyroid Superfood Support – Non-GMO</t>
  </si>
  <si>
    <t>Dihydroberberine 500mg</t>
  </si>
  <si>
    <t>Vitamin D3 K2 (10,000 IU Vitamin D + 200mcg Vitamin K MK-7) 240 Softgels with Coconut Oil for Complete Absorption | Bone, Heart, Immune, &amp; Calcium Support | One a Day, Non-GMO</t>
  </si>
  <si>
    <t>NatureBell Astaxanthin 12mg, 240 Softgels, Made with Astax (Max Strength from MicroAlgae), Natural Antioxidant for Skin &amp; Eye Health – Non-GMO &amp; No Gluten, 4 Month Supply</t>
  </si>
  <si>
    <t>NatureBell Psyllium Husk Powder, 3 Lbs(48 Oz), 9000mg Per Serving - Unflavored | No Fillers, No Additives, Gluten Free, Soluble Fiber, Great for Gut Health, Keto Baking, Mixing Shakes, Juices &amp; More</t>
  </si>
  <si>
    <t>NatureBell Hyaluronic Acid Supplements 2000mg Per Serving | 240 Capsules, with MSM &amp; Multi Collagen – 3 in 1 Support – Skin Hydration, Joint Lubrication, Hair, and Eye Health</t>
  </si>
  <si>
    <t>NatureBell Organic Myco Guardians 10 in 1 Mushroom Powder, 10oz | Fresh Superfood Mushrooms Complex – Lions Mane, Turkey Tail, 8 More | Immune Booster &amp; Brain Health Supplement | No Fillers</t>
  </si>
  <si>
    <t>Vitamin B Complex for Women, 240 Veggie Capsules</t>
  </si>
  <si>
    <t>NatureBell DHEA 100mg, 240 Capsules | Extra Strength, Micronized Grade for Better Absorption, Supports Energy Level, Metabolism and Healthy Aging for Men and Women, No GMOs and Made in U.S.A</t>
  </si>
  <si>
    <t>NatureBell Digestive Enzymes with Prebiotics | 240 Veggie Capsules - 20 Enzyme &amp; 5 Prebiotic Complex – Support Gut Health, Bloating Relief for Women &amp; Men, Non-GMO, Vegan Friendly</t>
  </si>
  <si>
    <t>NatureBell Quercetin 1000mg Per Serving | 240 Capsules, Ultra Strength Quercetin Supplement | Bioflavonoids for Healthy Immune Support, Third Party Tested, Non-GMO &amp; No Gluten</t>
  </si>
  <si>
    <t>NatureBell CoQ10 (Ubiquinone) 200mg with PQQ, 240 Veggie Capsules | Stable High Absorption Form – Antioxidant Support for Brain, Heart, &amp; Energy Health – Extra Strength Coenzyme Q10 Supplement</t>
  </si>
  <si>
    <t>NatureBell L Methylfolate 15mg (5-MTHF) with Methyl B12 1,000mcg, 240 Vegetarian Capsules | High Potency Dual Action for Energy &amp; Cognitive Support, Active Folic Acid – Methyl Folate Supplement</t>
  </si>
  <si>
    <t>NatureBell Kava Kava Capsules 1000mg with Ginkgo Biloba, 200 Count | Noble Kava Root Extract with Active Kavalactones – Herbal KavaMind Relaxation Complex – Plant Based, Non-GMO</t>
  </si>
  <si>
    <t>High Potency Zinc Picolinate 100mg - 240 Capsules, Bioavailable Form of Zinc for Immune Support and Skin Health - Non-GMO and Gluten- Zinc Supplements</t>
  </si>
  <si>
    <t xml:space="preserve">Advanced Glucosamine </t>
  </si>
  <si>
    <t>L Tyrosine Supplement, 1,500mg Per Serving, 240 Capsules | Essential Amino Acids – Brain Health Support for Memory, Cognitive Health, and Mental Alertness – Non-GMO</t>
  </si>
  <si>
    <t>Zinc Quercetin 1300mg with Vitamin D3 5000IU, 120 Capsules, 4 in 1 Formula, Zinc 50mg, Vitamin C 250mg, Vitamin D3 5000 IU - Advanced Immune Defense, Non-GMO</t>
  </si>
  <si>
    <t>Olive Leaf Extract 30000mg, 240 Capsules | 40% Active Oleuropein, 50:1 Herbal Equivalent – Rich in Polyphenol &amp; Flavonoid Antioxidants for Immune &amp; Heart Health – Non-GMO</t>
  </si>
  <si>
    <t>Ultra Strength Phosphatidylserine Supplement 500mg Per Serving, 240 Capsules | Soy Free, Derived from Sunflower Lecithin – Supports Cognitive Health and Brain Function – Non-GMO</t>
  </si>
  <si>
    <t>Organic Hibiscus Tea Bags</t>
  </si>
  <si>
    <t>Huperzine A 400mcg Per Serving, 180 Capsules, (Huperzine A Supplement), Supports Focus, Cognition, Memory and Learning Ability, Premium Brain Health Supplement, No GMOs</t>
  </si>
  <si>
    <t>NAC Supplement (N-Acetyl Cysteine) with Quercetin, 1,200mg Per Serving, 240 Capsules | Double Strength Antioxidant Support for Immune, Liver, &amp; Lung Health – Non-GMO</t>
  </si>
  <si>
    <t>NatureBell Everyday Fruits and Vegetables Supplements, 480 Total Vegetarian Capsules</t>
  </si>
  <si>
    <t>L-Lysine 1000mg + Quercetin 250mg Supplement, 240 Capsules, Free Form, 4-in-1 Lysine Complex, Quercetin with Vitamin C and Zinc | Immune Support | Promote Lips &amp; Skin Health</t>
  </si>
  <si>
    <t>NatureBell Vitamin D3 50,000 iu with K2 200 mcg, 180 Coconut Oil Softgels | Vitamins D as Cholecalciferol &amp; K as MK-7 | Max Strength Bone, Heart, Immune, &amp; Calcium Support | Once Weekly, Non-GMO</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</si>
  <si>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</si>
  <si>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</si>
  <si>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Fadogia Agrestis 600mg Complexed with Tongkat Ali 400mg, 180 Capsules, Optimal Dosage for Enhanced Bioavailability, 20:1 Fadogia Argrestis Extract Indonesia Tongkat-Ali (Longjack)</t>
  </si>
  <si>
    <t>Omega 3 Fish Oil 4,200mg, 180 Burpless Softgels, Highly Purified EPA 1,200mg &amp; DHA 900mg | Lemon Flavored | Premium Wild Caught Fish from Deep Sea – Heart &amp; Brain Support – Mercury Free &amp; Non-GMO</t>
  </si>
  <si>
    <t>Potassium Magnesium Supplement – Potassium 200mg + Magnesium 200mg | 240 Capsules – Easily Absorbed Potassium Citrate &amp; Magnesium Citrate – Muscle, Bone, &amp; Heart Health Support – Non-GMO</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</si>
  <si>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</si>
  <si>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</si>
  <si>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St John's Wort Supplement, 1500mg Per Serving with 2250mcg Hypericin, 2 in 1 Formula St John's Wort Complex, 200 Capsules, Promote Emotional Balance, Joyful Mood &amp; Stress Response</t>
  </si>
  <si>
    <t>Allulose Sweetener 5lb</t>
  </si>
  <si>
    <t>NatureBell Lions Mane Supplement 9,000mg Per Serving, 240 Veggie Capsules | Made with Organic Lion’s Mane Powder Extract – Cognitive Brain Nootropic &amp; Immune Health Mushroom – Non-GMO</t>
  </si>
  <si>
    <t xml:space="preserve">Probiotics+ 200 billion CFU 40 </t>
  </si>
  <si>
    <t>NatureBell P5P Vitamin B6 100mg Per Serving, 240 Capsules | Activated Pyridoxal 5 Phosphate Supplements – Essential B Vitamins for Brain &amp; Memory Health – Non-GMO</t>
  </si>
  <si>
    <t>TMG (Trimethylglycine) 1500mg capsules</t>
  </si>
  <si>
    <t>Antarctic Krill Oil 2000mg Supplement, 240 Softgels, 3X Strength Natural Source of Omega-3s, EPA 240mg + DHA 160mg + Astaxanthin 800mcg – No Fishy Aftertaste – Mercury Free &amp; Non-GMO</t>
  </si>
  <si>
    <t>Advanced Turkey Tail Quercetin Supplements, Turkey Tail (Coriolus Versicolor) with Quercetin 1100mg Per Serving, 180 Counts, 2 in 1 Formula, Immune System Booster, Daily Mushroom Mycelium Supplement</t>
  </si>
  <si>
    <t>NatureBell Double Strength Triphala Supplement (Made with Organic Amla, Bibhitaki, Haritaki Fruit Complex), 1200mg Per Serving, 180 Capsules, 3 in 1 Formula, Supports Digestive Health, Non-GMO</t>
  </si>
  <si>
    <t>Organic Mushroom Coffee with MCT Oil</t>
  </si>
  <si>
    <t>NatureBell Tongkat Ali 200:1 Extract for Men, 2000mg Per Serving, Indonesia Origin, Eurycoma Longifolia | with Panax Ginseng for Energy, Stamina, &amp; Male Health Support (150 Count (Pack of 1))</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</si>
  <si>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</si>
  <si>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</si>
  <si>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</si>
  <si>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NatureBell Glutathione Supplement 1000mg, 180 Veggie Capsules | 98%+ Purity Verified, Bioavailable Reduced Glutathione Pills, Active Form, Master Antioxidant – Vegan Friendly &amp; Non-GMO</t>
  </si>
  <si>
    <t>Creatine Monohydrate 3,000mg Per Serving, 300 Capsules – Micronized – Unflavored Creatine Pills – Support Pre Workout &amp; Healthy Muscle – Easily Absorbed, Easy to Swallow (50 Servings)</t>
  </si>
  <si>
    <t>十月份Prime Day的销量很好每天销量可以接近100个每天，十一月则不然；11/25-26后，同时NB和BA都在卖，Buybox在26号后在BA，但是广告花销NB反而多（NB，28日广告花了34）</t>
  </si>
  <si>
    <t>2 Pack NatureBell Mucuna Pruriens Capsules, 1500mg Per Serving, Made with Mucuna and Ashwagandha, 480 Capsules, 2 in 1 Formula, Contains Mucuna Pruriens Seeds for Mood Mind and Brain Health</t>
  </si>
  <si>
    <t>NatureBell Vitamin K Complex, K1 + K2 (MK-7 &amp; MK-4) 2,600mcg Per Serving, 300 Coconut Oil Softgels | Max Absorption – Full Spectrum K Vitamins Supplement | Heart &amp; Bone Support | Non-GMO</t>
  </si>
  <si>
    <t>新品 调价后有持续下跌最近5号降回去了 可以继续观察</t>
  </si>
  <si>
    <t>Vitamin K的热度没有明显的变化，但是十一月广告花销相较于十月几乎翻番；</t>
  </si>
  <si>
    <t>NatureBell Biotin 10000mcg + Hyaluronic Acid 25mg | 250 Coconut Oil Softgels, Premium Biotin Vitamins for Hair Skin and Nails, Highly Purified and Bioavailable, Quick Release</t>
  </si>
  <si>
    <t>NatureBell Melatonin 20mg, 365 Fast Dissolve Tablets - Natural Strawberry Flavor - Vegetarian Chewable Lozenges for 1 Year Supply, High Potency | Non-GMO, No Gluten</t>
  </si>
  <si>
    <t>NatureBell PQQ 40mg with CoQ10, 180 Veggie Capsules | Active Pyrroloquinoline Quinone, Highly Bioavailable ZenPQQ+ Formula – Promotes Heart, Brain, &amp; Mitochondrial Health – Non-GMO</t>
  </si>
  <si>
    <t>Organic Beet Powder 5Lbs | 4,000mg Per Serving – Concentrated Whole Beet Root Source | High Dietary Nitrates – Raw Superfood Supplements – Great for Vegan Shakes &amp; Smoothies – Non-GMO</t>
  </si>
  <si>
    <t>Force Factor和Better Alt等几个品牌在黑五期间降价，排名上升较多；相较于十月份的热度，十一月的热度有所下降；</t>
  </si>
  <si>
    <t>NatureBell Psyllium Husk Capsules 1500mg Per Serving, 360 Count, 3 in 1 Fiber with Inulin &amp; Chia Seed – Daily Soluble Fiber for Gut Health – Plant Based Herbal Fiber Supplement, Non-GMO, Gluten Free</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</si>
  <si>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</si>
  <si>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</si>
  <si>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</si>
  <si>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L Tryptophan 1500mg with L Theanine 200mg, 300 Capsules | Active Free Form, Plant Based Supplement – Calm Formula, Supports Relaxation – Non-GMO &amp; No Gluten</t>
  </si>
  <si>
    <t>NatureBell Bromelain, 1,000mg Per Serving, 240 Veggie Capsules</t>
  </si>
  <si>
    <t>NatureBell Oregano Oil with Black Seed Oil 7,500mg, 360 Softgels | Wild Harvested, 50:1 Fresh Oregano Extract – Retains Carvacrol &amp; Thymoquinone – Essential Oils for Immune Health – Non-GMO</t>
  </si>
  <si>
    <t>NatureBell Cranberry Pills 36,000mg with Acerola, 240 Veggie Capsules | 100:1 Fresh Cranberries Extract – Made with Organic Ingredients – Supports Urinary Tract Health – Sugar Free</t>
  </si>
  <si>
    <t>2 Pack Maximum Strength Zinc 100mg, Zinc Picolinate Supplement, 480 Capsules, Zinc Vitamin and Immune Vitamins for Enzyme Function and Immune Support, Non-GMO and Made in USA</t>
  </si>
  <si>
    <t>NatureBell Vitamin B2 Riboflavin 400mg Per Serving, 240 Capsules | Essential Daily B Vitamin, Easily Absorbed Form – Supports Energy, Skin, and Cellular Health – Non-GMO, Gluten Free</t>
  </si>
  <si>
    <t>Mucuna Pruriens Capsules, Triple Strength 1500mg Per Serving, 2 in 1 Formula, Made with Mucuna and Ashwagandha, 240 Capsules, Potent Seed Extract, Positive Mood, Relaxation &amp; Restoration Support</t>
  </si>
  <si>
    <t xml:space="preserve">Potassium Citrate 99mg capsules 500 count </t>
  </si>
  <si>
    <t>NatureBell Antarctic Krill Oil 1000mg Supplement, 180 Softgels, Natural Source of Omega-3s, EPA, DHA and Astaxanthin - No Aftertaste - Support Heart Health, Mercury Free &amp; Non-GMO</t>
  </si>
  <si>
    <t>Organic Non-Fortified Nutritional Yeast Flakes, 2 lbs | Versatile Vegan Cheese Substitute, Natural Dairy Free Cheesy Seasoning – Rich Protein &amp; B Complex Vitamins Source – Keto, Non-GMO</t>
  </si>
  <si>
    <t>NatureBell D-Mannose 2000mg with Cranberry Extract 400mg, 240 Veggie Capsules, Double Strength | Fast Acting Urinary Tract Health Pills, Flush Impurities, Ultra UTI Support for Women &amp; Men</t>
  </si>
  <si>
    <t>Pregnenolone 100mg, 200 Capsules | 99%+ Purity, Micronized Grade for Higher Absorption, Plant Based – Hormone*, Cognitive, &amp; Immune Health Supplement – Non-GMO, Soy Free</t>
  </si>
  <si>
    <t>NatureBell 2 Pack Cranberry Pills 36,000mg with Acerola, 480 Veggie Capsules | 100:1 Fresh Cranberries Extract – Organic Ingredients – Supports Urinary Tract Health – Sugar Free</t>
  </si>
  <si>
    <t>2 Pack Berberine Supplement 1500mg Per Serving, 480 Veggie Capsules | Plus 1200mg True Ceylon Cinnamon, 97% Berberine HCL, Plant-Based, Vegan, Non-GMO, Gluten Free</t>
  </si>
  <si>
    <t>Pterostilbene with 98% Trans-Resveratrol, 200mg Per Serving, 200 Capsules | Naturally Sourced from Wild Blueberries – Antioxidant Supplement for Healthy Aging Support – Non-GMO</t>
  </si>
  <si>
    <t xml:space="preserve">primeday多出了点 占比比较稳定的listing category的量相对是比较少的 </t>
  </si>
  <si>
    <t>Vitamin E 400iu</t>
  </si>
  <si>
    <t>Triple Complex Magnesium Supplement, 240 Capsules | Magnesium Glycinate 500mg with Citrate &amp; Malate | Chelated &amp; Purified | Bone, Heart, &amp; Muscle Support | Non-GMO</t>
  </si>
  <si>
    <t>Naturebell Ginkgo Biloba Extract 500mg Per Serving, 300 Capsules | GinkoVida | Extra Strength Ginko Biloba Supplement - Promote Memory, Focus and Brain Health</t>
  </si>
  <si>
    <t>NatureBell Red Yeast Rice 2,400mg with CoQ10 100mg | 240 Veggie Capsules (1,200mg Per Capsule) – Max Strength Herbal Supplement – Antioxidant Support for Energy &amp; Heart Health – Non-GMO</t>
  </si>
  <si>
    <t>R-Alpha Lipoic Acid (R-ALA) 1200mg</t>
  </si>
  <si>
    <t>NatureBell Alpha Lipoic Acid 600mg Per Serving | 300 Capsules - with Vitamin B1 Complex | 4 in 1 - [R-ALA | S-ALA | Thiamine | Benfotiamine] - High Bioavailability, Third Party Tested | Non-GMO</t>
  </si>
  <si>
    <t>Magnesium Glycinate Supplement 1,000mg | 500mg Per Capsule, 240 Pills | 100% Chelated &amp; Purified – Non-GMO &amp; Gluten Free</t>
  </si>
  <si>
    <t>NatureBell D Mannose Powder, 12oz | Instantized for Max Absorption – Fast Acting Cleanse – Urinary Tract &amp; Bladder Health Support – Flush UTI Impurities – Non-GMO, Vegan</t>
  </si>
  <si>
    <t>NatureBell Magnesium Glycinate 400mg (Elemental), 270 Capsules – 100% Chelated for Max Absorption | Non-GMO &amp; No Gluten, Bioavailable Mineral Supplement for Muscle, Joint, Enzyme, &amp; Heart Health</t>
  </si>
  <si>
    <t>NatureBell Creatine Monohydrate Powder 500 Grams, 5000mg Per Serving, Pure Unflavored Creatine Powder - Micronized - Pre Workout | Keto | Vegan | Dissolves Easy | Filler Free - 100 Servings (1.1Lb)</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</si>
  <si>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</si>
  <si>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</si>
  <si>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Korean Red Ginseng 2,250mg Per Serving, 240 Softgels | Panax Ginseng Root, Standardized to 10% Ginsenosides, Non-GMO, Support Energy, Male Performance, &amp; Immune System</t>
  </si>
  <si>
    <t>Benfotiamine 300mg with Thiamine 100mg Per Serving | 240 Veggie Capsules, Essential Vitamin B1 Benfotiamine Supplement, Bioavailable Fat &amp; Water Soluble Forms – Energy &amp; Nerve Support – Non-GMO</t>
  </si>
  <si>
    <t>TUDCA 500mg with Black Pepper Extract, 60 Capsules – High Absorption Livamate Formula, Natural Bitter Taste | Bile Salt Supplement | Third Party Tested</t>
  </si>
  <si>
    <t>NatureBell Quercetin 500mg Per Serving | 300 Capsules, Ultra Strength Quercetin Supplement | Bioflavonoids for Healthy Immune Support, Third Party Tested, Non-GMO &amp; No Gluten</t>
  </si>
  <si>
    <t>Organic Lion's Mane Powder</t>
  </si>
  <si>
    <t>Xylitol Sweetener, 5lbs | Natural Birch Crystal Source – 1:1 Sugar Substitute – Sweet Flavor with No Erythritol – Low Calorie &amp; Glycemic Impact – Sugar Free, No Aftertaste, Non-GMO</t>
  </si>
  <si>
    <t xml:space="preserve">Taurine 1000mg capsules 500 count </t>
  </si>
  <si>
    <t>2 Pack NAC Supplement (N-Acetyl Cysteine) with Quercetin, 1,200mg Per Serving, 480 Capsules | Double Strength Antioxidant Support for Immune, Liver, &amp; Lung Health – Non-GMO</t>
  </si>
  <si>
    <t>2 Pack Olive Leaf Extract 30000mg, 480 Total Capsules | 40% Active Oleuropein, 50:1 Herbal Equivalent – Rich in Polyphenol &amp; Flavonoid Antioxidants for Immune &amp; Heart Health – Non-GMO</t>
  </si>
  <si>
    <t>Sambucus Elderberry Capsules, 5000mg Herbal Equivalent, with Quercetin 500mg, Zinc and Vitamin C, 200 Capsules, 4 in 1 Formula, Support Immune System, Premium Elderberry Zinc Quercetin Supplements</t>
  </si>
  <si>
    <t>2 Pack Naturebell Zinc Quercetin with Vitamin C &amp; D3, 120 Capsules, Quercetin 1000mg, 4 in 1 Zinc 50mg, Vitamin C 250mg, Vitamin D3 5000 IU - Advanced Immune Defense, ZincVanta, Lung Support</t>
  </si>
  <si>
    <t>Multi Collagen Protein Powder 600g - 5 Types (I, II, III, V, X) Grass-Fed &amp; Pasture-Raised | with Biotin 5000mcg, Vitamin C &amp; Hyaluronic Acid | Keto, Paleo, Unflavored (54 Servings)</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</si>
  <si>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</si>
  <si>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</si>
  <si>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2 Pack Magnesium Glycinate 500mg, 480 Capsules – 100% Chelated for Max Absorption – Bioavailable Mineral Supplement for Muscle, Joint, Enzyme, &amp; Heart Health</t>
  </si>
  <si>
    <t>Tongkat Ali 200:1 (Longjack) Extract for Men, 2000mg Per Serving, Indonesia Origin, Eurycoma Longifolia | with Panax Ginseng for Energy, Stamina, &amp; Male Health Support (150 Count (Pack of 2))</t>
  </si>
  <si>
    <t>CoQ10 (Ubiquinone) 300mg with Omega 3 Fatty Acids, 240 Capsules</t>
  </si>
  <si>
    <t>NatureBell Hyaluronic Acid Supplements 250mg | 240 Capsules, with Biotin 5000mcg &amp; Vitamin C 25mg, 3 in 1 Support - Skin Hydration, Joint Lubrication, Hair and Eye Health</t>
  </si>
  <si>
    <t>Nattokinase Supplement 8,000 FU Per Serving, 240 Veggie Capsules | Traditional Natto Extract Source – Max Strength Enzyme &amp; Heart Health Support – Non-GMO</t>
  </si>
  <si>
    <t>Liver Cleanse Detox &amp; Repair Supplement, 240 Veggie Capsules</t>
  </si>
  <si>
    <t>NatureBell 2 Pack Hyaluronic Acid Supplements 2000mg | 480 Total Capsules, with MSM &amp; Multi Collagen – 3 in 1 Support – Skin Hydration, Joint Lubrication, Hair, and Eye Health</t>
  </si>
  <si>
    <t>Magnesium Glycinate 200mg with Valerian Root, 300 Capsules</t>
  </si>
  <si>
    <t>NatureBell 2 Pack Plant Based Hyaluronic Acid Supplements 250mg with 25mg Vitamin C &amp; Biotin 5000mcg, 480 Total Capsules | Essential for Hair Growth, Joint Support, &amp; Hydrating Skin | Non-GMO</t>
  </si>
  <si>
    <t>Magnesium Complex 400mg Supplement, 300 Capsules | Magnesium Glycinate + Citrate Elemental Forms – Essential Minerals for Heart, Muscle, &amp; Digestion Support – Non-GMO &amp; No Gluten</t>
  </si>
  <si>
    <t>NatureBell Evening Primrose Oil with Black Cohosh, 1,300mg Per Serving, 300 Mini-Softgels | Cold Pressed Seeds, Retains 130mg GLA for Womens Health &amp; Skin Care Support – Hexane Free, Non-GMO</t>
  </si>
  <si>
    <t>Choline 500mg with Omega-3 capsules 240 count</t>
  </si>
  <si>
    <t>NatureBell 2 Pack Ceylon Cinnamon 9000mg Per Serving, 480 Capsules, Made with Organic Ceylon Cinnamon Plus Bitter Melon, Non-GMO</t>
  </si>
  <si>
    <t>Magnesium Glycinate Powder Peach-Mango Flavor Jar 1lb</t>
  </si>
  <si>
    <t>NatureBell Citicoline Supplements, CDP Choline, Citicoline 500mg Plus Tyrosine 50mg Per Serving, Optimized Dosage, 120 Capsules, 2 in 1 Formula, Dual Action Brain Supplement, Non-GMO</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</si>
  <si>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</si>
  <si>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</si>
  <si>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</si>
  <si>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DHEA 50mg</t>
  </si>
  <si>
    <t>NatureBell 2 Pack Creatine Monohydrate Powder 500 Grams, 5000mg Per Serving, Pure Unflavored Creatine Powder - Micronized - Pre Workout | Keto | Vegan | Dissolves Easy | Filler Free</t>
  </si>
  <si>
    <t>NatureBell Full Spectrum Vitamin K2 Supplement with MK-7 &amp; MK-4, 200 mcg, 240 Capsules | 2 in 1 Formula, K Vitamins Complex – Supports Bone, Joint, and Heart Health – Non-GMO</t>
  </si>
  <si>
    <t xml:space="preserve">Advanced Electrolyte hydration capsules </t>
  </si>
  <si>
    <t xml:space="preserve">Electrolyte Powder Lemon &amp; Raspberry Flavor 500g </t>
  </si>
  <si>
    <t>Citrus Bergamot 5000mg</t>
  </si>
  <si>
    <t>NatureBell Virgin Pumpkin Seed Oil 3,000mg Per Serving with Saw Palmetto, 240 Softgel Capsules | Cold Pressed – Rich in Omega 6 &amp; 9 Essential Fatty Acids – Prostate &amp; Bladder Supplements, Non-GMO</t>
  </si>
  <si>
    <t xml:space="preserve">Colostrum 1000mg capsules 240 count </t>
  </si>
  <si>
    <t>L-Theanine 400mg capsules 400 count</t>
  </si>
  <si>
    <t>2 Pack Magnesium Citrate 500mg, 480 Capsules | High Purity Elemental Form – Extra Strength | Essential Mineral for Heart, Muscle, &amp; Digestion Support – Non-GMO &amp; No Gluten</t>
  </si>
  <si>
    <t>Liposomal Vitamin C 2000mg capsules</t>
  </si>
  <si>
    <t>NatureBell DIM 400mg as Diindolylmethane, 180 Veggie Capsules | with Broccoli &amp; Black Pepper for Max Absorption – Hormonal* Acne Supplements, Menopause Relief – No GMOs, No Soy, Vegan Friendly</t>
  </si>
  <si>
    <t>TwinBest Magnesium Glycinate 500mg, 2 Pack, 480 Capsules – 100% Pure Magnesium Powder Source – Chelated, Easily Absorbed – Mineral Support for Muscles, Heart, &amp; Mood – Non-GMO…</t>
  </si>
  <si>
    <t>NatureBell Turkesterone Supplement 500mg | 180 Capsules - [Plus Beta Ecdysterone 500mg] - Ajuga Turkestanic Extract with Hydroxypropyl-Beta-Cyclodexrin, Highly Bioavailable, Plant Based</t>
  </si>
  <si>
    <t>Tribulus Terrestris 36,000mg with Tongkat Ali 400mg Per Serving for Men, 240 Capsules – 95% Steroidal Saponins &amp; Eurycoma Longifolia, Plant Source, Extra Highly Concentrated, Non-GMO, No Gluten</t>
  </si>
  <si>
    <t>B07Y8Y19GR</t>
  </si>
  <si>
    <t>NatureBell Apigenin 100mg with L-Theanine, 240 Capsules (50mg Apigenin Per Capsule) – Extra Strength Sleep &amp; Relaxation Supplement – Bioflavonoid, Antioxidant, &amp; Amino Acid Complex – Non-GMO</t>
  </si>
  <si>
    <t>B0C6X5CZ98</t>
  </si>
  <si>
    <t>DHEA 25mg</t>
  </si>
  <si>
    <t xml:space="preserve">B0CXGX8QTQ </t>
  </si>
  <si>
    <t>NatureBell L-Glutamine Powder Gut Health | 600 Grams, 5000mg Per Serving, 100% Pure -Unflavored -Vegan Glutamine Powder for Post Workout Recovery, Immune Support -120 Servings</t>
  </si>
  <si>
    <t>NatureBell Pure Taurine Powder, 2.2LBS(1KG), 2000mg Per Serving| L-Taurine Supplement, Essential Amino Acids, Bioavailable Free Form|Heart Health Supplement, Gluten-Free, Pet Friendly</t>
  </si>
  <si>
    <t>NatureBell Cold Pressed Black Seed Oil 3,000mg Per Serving with Vitamin D3 2,000IU, 180 Softgels | Egyptian Nigella Sativa, Odorless Black Cumin Seed, Virgin Liquid Oil Capsules – Non-GMO</t>
  </si>
  <si>
    <t>HB</t>
  </si>
  <si>
    <t>KC</t>
  </si>
  <si>
    <t>Nitric Oxide Booster 3,000mg Per Serving, 300 Capsules</t>
  </si>
  <si>
    <t>原有基础上继续整体下调0.1的bid现在placement百花齐放  集中点top和rest</t>
  </si>
  <si>
    <t>繼續調整廣告結構, 把花費往top&amp;rest多出, 目前價格還沒到final price, 廣告壓縮在1.2/unit內嘗試, KW budget降到120, rest下調到30看看銷量</t>
  </si>
  <si>
    <t>CoQ10 100mg, 240 Capsules – with Omega 3 Fatty Acid 100mg – Bioavailable Coenzyme Q10 Supplements – Heart, Energy, &amp; Brain Health Antioxidant Support – Non-GMO, One A Day</t>
  </si>
  <si>
    <t>打高了有点 小幅度下调一点力度，价格比较低 不能盲目冲</t>
  </si>
  <si>
    <t>花費1.7/unit偏高繼續下調一點廣告力度, 還是能跑完, KW budget降到120, top下調到90把廣告控制在1.5/unit內跑</t>
  </si>
  <si>
    <t>Berberine Max Supplement, 5,000mg Per Serving, 240 Veggie Capsules – 97% Pure Berberine HCL – 25:1 Root Extract – Glucose Metabolism &amp; Weight Management Support– Non-GMO</t>
  </si>
  <si>
    <t>DS的berbrine大詞流量只靠max在撐, 溢價了3塊錢銷售, 廣告花費2塊多per unit壓線, 還是得給一定的廣告力度保持DS berberine產品線的展示, PT&amp;KW天天OOB不再加碼了, 先保持原本的budget, PT能跑到7PM保持, KW跑到下午2-3PM就花完下調一點力度緩緩花費</t>
  </si>
  <si>
    <t>這周再次下調了PT budget及廣告力度, 花費降到150/day, 銷量目前沒有太大變化, 繼續觀察</t>
  </si>
  <si>
    <t>Myo-Inositol &amp; D-Chiro Inositol (40:1) 2,050mg Per Serving, 240 Veggie Capsules – with Folate, Vitamin D3, &amp; Vitex Complex – Hormonal, Ovarian, &amp; Liver Support Supplement</t>
  </si>
  <si>
    <t>主要靠採購影響銷量, 目前廣告費約1.1/unit, 廣告合格內不激進打, KW下調TOP到120, PT TOP上提到90, Rest回調到20爭取往上出</t>
  </si>
  <si>
    <t>Nattokinase 4,000 FU Per Serving, 240 Veggie Capsules – Bromelain, Turmeric Curcumin, with Black Pepper Complex – Heart Health &amp; Digestive Enzymes Supplement – Non-GMO, Vegan</t>
  </si>
  <si>
    <t>縮減廣告花費, 目前廣告花1.8/unit, KW budget縮減至100, PT回調整體base到0.7, KW上轉化還是比PT好很多, 目前日銷穩定在60-70間</t>
  </si>
  <si>
    <t>Vitamin B1 500mg with Benfotiamine, 240 Capsules – 2 in 1 Enhanced Formula – Fat &amp; Water Soluble Thiamine B1 Supplement – Third Party Tested, Non-GMO, No Gluten</t>
  </si>
  <si>
    <t>日銷約100+/day, 廣告花費目前2.1/unit偏高, 縮減KW budget到150, Page能花錢但轉化差, 上提Rest到30, 超標詞回調整體base 0.1, 控制廣告費2/unit內正常跑</t>
  </si>
  <si>
    <t>Psyllium Husk Fiber, 300 Capsules | 1500mg Per Serving, Complexed with Inulin &amp; Acacia – Natural Soluble Fiber Supplement, Plant Based, Non-GMO | Supports Digestive and Colon Health for Men and Women</t>
  </si>
  <si>
    <t>9.9低價產品</t>
  </si>
  <si>
    <t>縮減PT預算到50, 移給KW 20預算, 回調超標產品base, 目前日銷約150+, 廣告費1/unit</t>
  </si>
  <si>
    <t>NAC Supplement 1,000mg Per Serving | 240 Capsules, N-Acetyl Cysteine with Glutathione 50mg – Antioxidant Support for Immune Health, Lung, &amp; Liver Function</t>
  </si>
  <si>
    <t>primeday上涨和OOB回调后占比有一些下跌 回调了广告水平销量回暖了一些但不是非常稳定 尽量控制在OOB以内 不够花暂时没给</t>
  </si>
  <si>
    <t>銷量變化不大, 日銷約25-30, 縮減KW預算到30, 控制廣告費1/unit正常跑就好</t>
  </si>
  <si>
    <t>Bioactive Vitamin B Complex | 240 Veggie Capsules - Methylated B Vitamins &amp; Esterified Vitamin C, High Potency &amp; Easy Absorption – Immune, Energy, &amp; Metabolism Supplement – Non-GMO, Vegan</t>
  </si>
  <si>
    <t>日銷50+/day, 廣告花費偏高2.2/unit, PT產品base回調合格, 控制花費2/unit內</t>
  </si>
  <si>
    <t>DEAL SUPPLEMENT Slippery Elm Capsules, 6,000mg Per Serving – 300 Pills, Made with Organic Inner Bark Powder Extract – Natural Herb for Soothing Throat &amp; Digestive Support – Non-GMO</t>
  </si>
  <si>
    <t>兩個廣告都有超標現象, 下調力度回調合格, KW在caps詞是佔比模甚麼空間, 大詞上caps競品以低價多, 廣告回調合格不激進, 下調超標top90及兩個超標主詞slippery elm for women, slippery elm bark</t>
  </si>
  <si>
    <t>Magnesium Citrate 500mg, 240 Capsules | Easily Absorbed, Purified Trace Mineral – Muscle, Heart, &amp; Digestive Support – One a Day, Non-GMO</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</si>
  <si>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</si>
  <si>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銷量上漲, 廣告打出去花費跟著提升, 目前日均銷175, 廣告花費1.7/unit, PT 預算下調到150, 多給KW 50預算出, 回調KW超標詞</t>
  </si>
  <si>
    <t>Magnesium Glycinate 500mg, 240 Veggie Capsules | Chelated | Highly Purified Essential Trace Mineral for Muscle, Joint, Heart, &amp; Digestive Health</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</si>
  <si>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</si>
  <si>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DEAL SUPPLEMENT Oil of Oregano Softgels with Black Seed Oil, 9,000mg Per Serving, 300 Count – 30:1 Extract, Active Carvacrol &amp; Thymoquinone – Antioxidant Immune Health Support – Plant Based, Non-GMO</t>
  </si>
  <si>
    <t>Unsweetened Organic Coconut Milk Powder, 3lbs – Dairy Free Creamer Alternative – Sugar Free Raw Flavor – Rich Source of MCT Oil – Great for Coffee or Tea – Non-GMO, Plant Based, Keto</t>
  </si>
  <si>
    <t>日銷穩定30-40, 目前貨接不上, 庫存剩下12天, 關閉廣告等發貨先</t>
  </si>
  <si>
    <t>DEAL SUPPLEMENT Ultra Strength HMB Supplements 3,000mg Per Serving, 240 Capsules | Third Party Tested | Supports Muscle Growth, Retention &amp; Lean Muscle Mass | Fast Workout Recovery</t>
  </si>
  <si>
    <t>Ceylon Cinnamon 6000mg with Chromium 1000mcg, 240 Capsules | Active Inner Bark Extract, True Sri Lanka Source | Natural Cinnamon Supplements</t>
  </si>
  <si>
    <t>日銷平均40+, 下調KW預算到50, PT預算到30,</t>
  </si>
  <si>
    <t>Citric Acid 6 Pounds | Fine Granular Powder, Food Grade, Bulk Supply – Potent Anhydrous Form – Versatile Flavor Enhancer, Preservative, Cleaning, &amp; Homemade Bath Bombs – Additive Free, Non-GMO</t>
  </si>
  <si>
    <t>10月整体销量比较好 大哥位Milliard也合并了listing这周redeem了deal，没什么比较好的操作空间 click share少的可怜 头部的两个大哥评论太多权重很稳定也</t>
  </si>
  <si>
    <t>日均銷20-30, 目前廣告費0.8/unit, 縮減KW預算到30, 正常跑就好</t>
  </si>
  <si>
    <t>Omega 3 Fish Oil Supplements, 3,000mg Per Serving, 240 Softgels – EPA 1,200mg + DHA 900mg – Burpless Pills, Lemon Flavored, Wild Caught – Brain &amp; Heart Support – Mercury Free, Non-GMO</t>
  </si>
  <si>
    <t>Organic Mushroom Powder Supplement, 12oz – 10 in 1 Active Blend – Turkey Tail, Lions Mane, Cordyceps, Chaga, with More – Supports Immune, Energy, &amp; Brain Health – Non-GMO, Vegan</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</si>
  <si>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</si>
  <si>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Glutathione Supplement 1000mg Per Serving, 98% Purity | Plus Vitamin C 500mg, Active Reduced Form (GSH) | 60 Capsules - Intracellular Antioxidant, Detoxification* Support, Immune &amp; Skin Whitening</t>
  </si>
  <si>
    <t>DEAL SUPPLEMENT Odorless Aged Garlic Pills, 6,000mg Per Serving, 500 Softgels – 24:1 Garlic Oil Extract – Fresh Allium Sativum Bulb Source – Heart &amp; Immune Antioxidant Supplements – Non-GMO</t>
  </si>
  <si>
    <t>Lions Mane Mushroom Supplement, 7,500mg Per Serving, 240 Capsules – Active Fruiting Body &amp; Mycelium 10:1 Extract – Natural Brain Nootropic &amp; Immune System Booster – Non-GMO</t>
  </si>
  <si>
    <t>Whole milk powder 3lb</t>
  </si>
  <si>
    <t>PPU比較高, 廣告花很多了但對銷量效果一般</t>
  </si>
  <si>
    <t>DEAL SUPPLEMENT Vitamin E Supplements, 1,000 IU Per Serving, 240 Softgels – Extra Strength Antioxidant Protection – Bioavailable Stable Form – Skin, Heart, Brain, &amp; Immune Support – Non-GMO</t>
  </si>
  <si>
    <t>NAD+ 1000mg</t>
  </si>
  <si>
    <t>新品推廣, 目前日均銷58, 廣告花費2.1/unit</t>
  </si>
  <si>
    <t>DEAL SUPPLEMENT Vitamin D3 K2 Softgel, 250 Count, 2-1 Complex, Vitamin D3 5000 IU &amp; Vitamin K2 MK7, Promotes Heart, Bone &amp; Teeth Health – Very Easy to Swallow</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</si>
  <si>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</si>
  <si>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Vitamin B3 Nicotinamide 1,000mg Per Serving – 500 Capsules, Flush Free Niacin, Essential B3 Vitamin Supplement – Supports Healthy Skin &amp; Energy Production – Non-GMO</t>
  </si>
  <si>
    <t>Bitter Melon 15,000mg Per Serving | 300 Capsules, with Berberine HCL | 15:1 Wild Bitter Melon Fruit Extract | Third Party Tested | Plant Based, Non-GMO &amp; No Gluten</t>
  </si>
  <si>
    <t>Organic Fiber Powder Supplement, 2lbs – with Psyllium Husk, Chia Seed, Inulin, &amp; Acacia – Daily Fiber for Adults – Rich in Prebiotics for Gut &amp; Digestive Health – Unflavored, Non-GMO</t>
  </si>
  <si>
    <t>Allulose Sweetener 2 Pounds – Natural Sugar Subsitutes, No Aftertaste - Keto Friendly, Vegan, Zero Net Carb, Zero Calorie, Great for Cooking &amp; Baking</t>
  </si>
  <si>
    <t>DEAL SUPPLEMENT Methyl B-12 Vitamins 5000 mcg, 240 Chewable Tablets | Active Form - Strawberry Flavored - Energy Support &amp; Brain Health Function - Vegetarian &amp; GMO Free</t>
  </si>
  <si>
    <t>DEAL SUPPLEMENT D Mannose Veggie Capsules, 2,000mg Per Serving, 240 Pills – Fast Acting Water-Soluble Form – Extra Strength Urinary Tract (UTI) Health Support – Non-GMO, Vegan Friendly</t>
  </si>
  <si>
    <t>R Alpha Lipoic Acid 600mg with Benfotiamine 300mg Per Serving, 120 Veggie Capsules – 200mg R-ALA Per Capsule – Antioxidant Supplement for Energy &amp; Nervous System Support</t>
  </si>
  <si>
    <t>L Methylfolate 15mg Per Serving, 240 Veggie Capsules – Active Folic Acid Form (5-MTHF), Bioavailable Methylated Folate – Prenatal, Energy, &amp; Brain Support Supplement – Non-GMO</t>
  </si>
  <si>
    <t>应该是涨价丢了Buybox又降价拿回来了 现在每天出单10几个 继续上调广告保持budget 找找量 too low</t>
  </si>
  <si>
    <t>Organic Fresh Ginger Powder, 3lbs – Finely Ground for Easy Mixing, Raw Ginger Spice Flavor, Indian Origin – Great for Ginger Chews, Tea, Candy, &amp; Juice – Non-GMO, Filler Free</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</si>
  <si>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</si>
  <si>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DIM Supplement 300mg, 240 Veggie Caps, 4 Months Supply, Diindolylmethane DIM Plus Black Pepper Extract, Estrogen Balance, Supports Acne &amp; PCOS Relief</t>
  </si>
  <si>
    <t>Vitamin B2 400mg (Riboflavin) | with Magnesium Glycinate 400mg, 240 Capsules – 2 in 1 Support Healthy Nervous System, Mood, Blood &amp; Energy Production, Non-GMO</t>
  </si>
  <si>
    <t>Eagleshine Vitamins Antarctic Krill Oil, 1,000mg Per Serving, 240 Softgels – Mercury Free, No Fishy Taste – Rich in Omega-3s, EPA, DHA, Astaxanthin, &amp; Phospholipids – Non-GMO, No Gluten</t>
  </si>
  <si>
    <t>产品10月涨价并且遭遇跟卖，10月底11月初size被改 primeday deal也多卖了一些 第一时间解决了size的问题 整体水平没有较大变动</t>
  </si>
  <si>
    <t>Vitamin D3 10,000 IU + K2 MK7 200 mcg, Infused with Virgin Coconut Oil, 250 Softgels, Double Strength Vitamin D &amp; K, Promotes Heart, Bone &amp; Teeth Health - Very Easy to Swallow</t>
  </si>
  <si>
    <t>Mushroom Supplement, 8,000mg Per Serving, 240 Capsules – 10 in 1 Defense Formula</t>
  </si>
  <si>
    <t>DEAL SUPPLEMENT Premium K Complete - High Potency Vitamin K1, K2 MK-7 &amp; MK-4 Complex, 200 Coconut Oil Infused Softgels - Full Spectrum Triple Vitamin K, Optimal Bone &amp; Heart Health Support</t>
  </si>
  <si>
    <t>DEAL SUPPLEMENT Sustainably US Grown, Organic Barley Grass Juice Powder, 10oz – Raw Cold Pressed Source – Greens Superfood Booster – Retains Vitamins, Minerals, Antioxidants, &amp; Chlorophyll – Non-GMO</t>
  </si>
  <si>
    <t>DEAL SUPPLEMENT Unflavored Pea Protein Powder, 5lbs – Premium North American Grown Peas – Easily Digested Isolate Form – Great for Shakes, Bars, or Snacks – 27g Protein Serving, Soy Free, Vegan</t>
  </si>
  <si>
    <t>5-HTP 200mg Per Serving, 240 Capsules, 98% African Derived Griffonia Seed Extract | 4 in 1 Formula Plus Active L-Theanine, L-Tryptophan &amp; GABA, Complete Support for Positive Mood, Relaxation</t>
  </si>
  <si>
    <t>Bromelain Supplement 2,000mg Per Serving, 240 Capsules – Natural Proteolytic Enzymes from Fresh Pineapple – Supports Nutrient Digestion</t>
  </si>
  <si>
    <t>整体水平没有变化只是primeday多出了一些</t>
  </si>
  <si>
    <t>Ginkgo Biloba 500mg Per Serving, 300 Capsules, 5 Month Supply – Grown in Northern Asia – Extra Strength, Non-GMO, No Gluten</t>
  </si>
  <si>
    <t>Magnesium Citrate 400mg Per Serving, 300 Veggie Capsules – Chelated for Easy Absorption – Purified Trace Mineral – Supports Muscle, Heart, &amp; Digestive Health – Non-GMO</t>
  </si>
  <si>
    <t>Kava Kava Supplement 750mg, 180 Capsules, 3 Months Supply, Kava Kava Root Extract, Promotes Stress &amp; Anxiety Relief, Mental Calmness and Restful Sleep</t>
  </si>
  <si>
    <t>Vitamin D3K2 5,000IU with coconut oil</t>
  </si>
  <si>
    <t>DEAL SUPPLEMENT Alpha GPC 600mg Per Serving, 240 Capsules – Bioavailable Choline Replenishment –Nootropic Brain Health Supplements for Memory and Focus – Non-GMO, Gluten Free</t>
  </si>
  <si>
    <t>Tongkat Ali Extract 300:1 for Men, 180 Capsules, 1100mg Per Serving (with Horny Goat Weed) | Longjack Eurycoma Longifolia, Indonesia Origin - Extra Strength Men's Health Supplement</t>
  </si>
  <si>
    <t>click share和热度都有下跌，热度下跌明显,现在不是promote的最佳timing 和NB差不多处境但是</t>
  </si>
  <si>
    <t>Vitamin K2 Supplement 600mcg, 180 Virgin Coconut Oil Softgels – Full Spectrum MK-7 &amp; MK-4 Forms, High Absorption, Triple Strength K Vitamins – Bone, Joint, &amp; Immune Support – Non-GMO</t>
  </si>
  <si>
    <t>DEAL SUPPLEMENT Citicoline CDP Choline, 1,000mg Per Serving, 120 Capsules – Extra Strength Choline Supplements – Nootropic B Vitamin Properties – Promotes Brain Health, Memory, &amp; Focus – Non-GMO</t>
  </si>
  <si>
    <t>Organic Peruvian Maca Root Powder, 3lbs</t>
  </si>
  <si>
    <t>Organic Lions Mane Mushroom Powder Supplement, 1,500mg Per Serving, 1lb – Active Fruiting Body &amp; Mycelium Extract – Natural Brain Nootropic &amp; Immune System Booster – Non-GMO</t>
  </si>
  <si>
    <t>Moringa 9,000mg capsules 240 count</t>
  </si>
  <si>
    <t>Dihydroberberine 100mg</t>
  </si>
  <si>
    <t xml:space="preserve">Vitamin D3K2 2000IU with coconut oil </t>
  </si>
  <si>
    <t>Golden Monk Fruit Sweetener, 3Lbs Granular | 1:1 Brown Sugar Substitute, No Aftertaste, Diet Keto Friendly, Vegetarian, Zero Net Carb, Non-GMO, Baking, Taste Just Like Sugar</t>
  </si>
  <si>
    <t>Black Seed Oil 3000mg with Vitamin D3 2000IU Per Serving, 240 Softgels, Cold-Pressed Nigella Sativa, Naturally Occurring Thymoquinone (TQ), Non-GMO | No Gluten | Black Cumin Seed Liquid Capsules</t>
  </si>
  <si>
    <t>B08WHGBYD3</t>
  </si>
  <si>
    <t>primeday加上涨价有小幅度下跌</t>
  </si>
  <si>
    <t>TUDCA 1000mg, 60 Capsules – Ultra Strength Bile Salt Supplement, 99% Pure, Genuine Bitter Taste – Replenishes Bile Acid, Natural Liver Support – Non-GMO, Third Party Tested</t>
  </si>
  <si>
    <t>B0971TW2RS</t>
  </si>
  <si>
    <t>Alpha Lipoic Acid 1,000mg, 180 Veggie Capsules – 50/50 R-ALA &amp; S-ALA for Max Bioavailability – Antioxidant Supplement – Energy &amp; Nervous System Support – Non-GMO</t>
  </si>
  <si>
    <t>Zinc + Quercetin 500mg with Vitamin C, 240 Capsules, 4-1 Zinc 50mg Complex with 95% Quercetin Supplement for Ultimate Immune Support - Premium Quercetin with Zinc, 4 Months Supply</t>
  </si>
  <si>
    <t>sandhus也涨价了，prime多出了一些 靠自己卖 能做的不多 占个位置 sandhus一多半占比</t>
  </si>
  <si>
    <t>Magnesium Citrate Powder 500mg, 3lbs – Unflavored, Easily Absorbed – Purified Trace Mineral for Muscle, Heart, &amp; Digestive Support – One a Day, Non-GMO, Filler Free</t>
  </si>
  <si>
    <t>Organic Beet Root Powder 3lb</t>
  </si>
  <si>
    <t>Berberine 500mg with Yohimbine</t>
  </si>
  <si>
    <t>2 Pack of Tongkat Ali Extract 300:1 Enhanced with Horny Goat, 1100mg Per Serving, 180 Capsules, 2-1 Formula, Indonesia Origin Eurycoma Longifolia (Longjack), Max Strength Tongkat Ali for Men</t>
  </si>
  <si>
    <t>Ultra Strength CLA 3000mg | 240 Softgels, Active Conjugated Linoleic Acid from Non-GMO Safflower Oil, Non-Stimulating, Supports Weight Management | Lean Muscle Mass</t>
  </si>
  <si>
    <t>Apigenin, 100mg Per Serving, 240 Capsules – Plant Extract from Chamomile Flower – Active Bioflavonoids &amp; Antioxidants – Sleep &amp; Relaxation Supplement</t>
  </si>
  <si>
    <t>Quercetin 1000mg Per Serving (2 Pack) | 300 Capsules, High Bioavailable Flavonoids, Third Party Tested, Supports Healthy Immune System, Non-GMO, No Gluten</t>
  </si>
  <si>
    <t>DEAL SUPPLEMENT Lutein and Zeaxanthin Supplements, 40mg Per Serving, 300 Softgels – Plus Astaxanthin, Omega-3s, &amp; Phospholipids – Essential Eye Vitamins &amp; Vision Health Support – Non-GMO</t>
  </si>
  <si>
    <t>2 Pack Magnesium Glycinate 500mg, 480 Veggie Capsules | Chelated for Easy Absorption | Highly Purified Essential Trace Mineral for Muscle, Joint, Heart, &amp; Digestive Health</t>
  </si>
  <si>
    <t>Red Yeast Rice 1,200mg Per Serving with CoQ10 100mg, 300 Capsules – Heart Health Supplement &amp; Antioxidant Support – Pure Monascus Purpureus Powder Source – Citrinin Free, Non-GMO</t>
  </si>
  <si>
    <t>Allulose Sweetener Powder 4lb</t>
  </si>
  <si>
    <t>Multi Collagen Protein Powder,1Lb - Type I, II, III, V, X Collagen Peptides with Biotin 10000mcg, Vitamin C &amp; Hyaluronic Acid - Unflavored - Keto &amp; Paleo Friendly, Great for Hair, Skin, Nails &amp; Joints</t>
  </si>
  <si>
    <t>Korean Red Panax Ginseng Root Extract, 7,500mg Per Serving, 240 Softgels – 150mg Active Ginsenosides, 5:1 Max Strength Extract – Energy &amp; Immune Health Supplement – Non-GMO</t>
  </si>
  <si>
    <t>Tongkat Ali Extract 300:1 400mg &amp; Maca Root 400mg | 300 Capsules, Ultra Strength Longjack (Eurycoma Longifolia) + Peru Maca – Non-GMO, Herbal Supplement for Men Health, Performance, &amp; Energy</t>
  </si>
  <si>
    <t>DEAL SUPPLEMENT Folic Acid 1000 mcg (1 mg), 500 Coconut Oil Softgels | Bioavailable Prenatal Vitamins (Vitamin B9) – 1,667 mcg DFE – Easy to Swallow, Non-GMO, &amp; No Gluten</t>
  </si>
  <si>
    <t>Eagle Shine Vitamins St. John's Wort Extract 1000mg - 240 Capsules, Retains 3000mcg Active Hypericins | Premium North American Source</t>
  </si>
  <si>
    <t>Multi Collagen Pills with Hyaluronic Acid, Vitamin C &amp; Biotin 5000mcg, 300 Capsules - Type I, II, III, V, X Collagen Supplements for Women or Men - Hair, Skin, Nail, &amp; Joint Health - Unflavored, Keto</t>
  </si>
  <si>
    <t>DEAL SUPPLEMENT Rhodiola Rosea with Ashwagandha 5,000mg Per Serving, 240 Veggie Capsules – Max Strength 10:1 Root Extract – Adaptogenic Supplements for Relaxation, Energy, &amp; Brain Health – Non-GMO</t>
  </si>
  <si>
    <t>Creatine Monohydrate Powder 600 Grams (1.32lb), Unflavored | Pure | Micronized Creatine Powder, 5000mg(5g) Per Serving, 4 Month Supply, Vegan | Keto, Non-GMO, No Filler, No Additives - 120 Servings</t>
  </si>
  <si>
    <t>Cayenne Pepper 5lb</t>
  </si>
  <si>
    <t>Mullein Leaf 20,000mg, 240 Veggie Capsules – 20:1 Max Strength Leaf Extract – Natural Soothing Herb for Lungs – Supports Respiratory &amp; Immune Health – Non-GMO, Vegan</t>
  </si>
  <si>
    <t>DEAL SUPPLEMENT High Potency Vitamin A 25000 IU, 500 Coconut Oil Softgels | Easily Absorbed, Natural Fish Liver Oil Source – Vitamins for Eye, Immune, &amp; Skin Health – Easy to Swallow, Non-GMO</t>
  </si>
  <si>
    <t>Magnesium Complex Supplement 500mg, 240 Veggie Capsules – 10 in 1 Blend with Glycinate, Citrate, Malate, &amp; More – Chelated for Easy Absorption – Muscle, Joint, &amp; Relaxation Support</t>
  </si>
  <si>
    <t>CoQ10 200mg &amp; PQQ 200mcg, 240 Veggie Capsules – 2 in 1 Coenzyme Q10 Supplement for Better Absorption – Antioxidant Support for Energy, Brain, &amp; Heart Health – Non-GMO</t>
  </si>
  <si>
    <t>DEAL SUPPLEMENT Vitamin D3 50,000 IU + K2 MK7 200 mcg,240 Softgels | Virgin Coconut Oil, Max Strength Vitamin D &amp; K, Promotes Heart, Bone, &amp; Teeth Health – One Softgel Weekly, Easy to Swallow</t>
  </si>
  <si>
    <t>2 Pack Creatine Monohydrate Powder 600 Grams (21.2oz), Unflavored | Pure | Micronized Creatine Powder, 5000mg Per Serving, 4 Month Supply, Vegan | Keto, Non-GMO, No Filler, No Additives - 120 Servings</t>
  </si>
  <si>
    <t>Eagleshine Vitamins Phosphatidylserine Supplement, 400mg Per Serving, 240 Capsules – Soy Free Sunflower Lecithin Source – Retains 20% Active PS – Nootropic Brain Health Support – Non-GMO</t>
  </si>
  <si>
    <t>DEAL SUPPLEMENT 2 Pack of Ultra Strength HMB Supplements 1000mg Per Serving, 600 Capsules | Third Party Tested | Supports Muscle Growth, Retention &amp; Lean Muscle Mass | Fast Workout Recover</t>
  </si>
  <si>
    <t>DHA Supplements | 240 Softgels, Burpless, Lemon Flavor, DHA 1000mg + EPA 500mg, Wild Caught Fish, Rich in Omega-3s, Mercury Free, Non-GMO, Support Brain Heart &amp; Joint Health</t>
  </si>
  <si>
    <t>Eagle Shine Vitamins 2 Pack Antarctic Krill Oil, 1,000mg Per Serving, 480 Softgels – Mercury Free, No Fishy Taste – Rich in Omega-3s, EPA, DHA, Astaxanthin, &amp; Phospholipids – Non-GMO, No Gluten</t>
  </si>
  <si>
    <t>Essential Amino Acids (EAA) 2000mg Per Serving, 300 Capsules – Unflavored - 9 in 1, All BCAAs (Branched-Chain Aminos) – Lean Muscle Support &amp; Natural Pre Workout Supplement</t>
  </si>
  <si>
    <t>Ultra Strength HMB Supplements 1000mg Per Serving, 300 Capsules | Third Party Tested | Supports Muscle Growth, Retention &amp; Lean Muscle Mass | Fast Workout Recovery</t>
  </si>
  <si>
    <t>DEAL SUPPLEMENT Quercetin 1,000mg Per Serving, 300 Capsules – Healthy Immune Support Supplements, High Bioavailable Flavonoids, Natural Antioxidant – Non-GMO, Soy Free, No Gluten</t>
  </si>
  <si>
    <t>Max Strength Magnesium Glycinate 500mg Per Serving, 240 Capsules | Chelated, Highly Purified, Essential Mineral | Magnesium Supplement for Muscle, Joint, &amp; Heart Health</t>
  </si>
  <si>
    <t>Irish Sea Moss 7,000mg Per Serving, 240 Veggie Capsules</t>
  </si>
  <si>
    <t>Vitamin K2 (MK-7) 200mcg, 240 Virgin Coconut Oil Softgels | Premium Menaquinone-7 Form, Easily Absorbed Vitamin K Supplement – Bone, Joint, &amp; Immune Support – Non-GMO</t>
  </si>
  <si>
    <t>Organic Lemon Powder, 1lb – Real Freeze-Dried Lemon Source – Rich in Essential Vitamin C – Natural Immune Support – Raw Lemon Juice Flavor &amp; Aroma – Non-GMO, Filler Free, No Sugar</t>
  </si>
  <si>
    <t>Organic Matcha Green Tea Powder, 2lbs (907g) | Zero Sugar, First Harvest | Culinary Grade, Cafe Mix, Keto Friendly, Genuine Japanese Source, Non-GMO, Vegetarian</t>
  </si>
  <si>
    <t>Eagleshine Vitamins 2 Pack NAC Supplement (N-Acetyl Cysteine) 1,000mg Per Serving with Reduced Glutathione, 480 Total Capsules – Antioxidant Support for Immune Health, Lung, &amp; Liver Function</t>
  </si>
  <si>
    <t>Magnesium Glycinate 500mg Per Capsule (1000mg Per Serving) Plus Vitamin C, 240 Capsules – 100% Chelated for Absorption – Essential Mineral Supplement for Muscle, Mood, Sleep, &amp; Heart Health</t>
  </si>
  <si>
    <t>primeday的销量照比平时多出700左右 产品的销量和占比水平没有较大变化 主要流量来自于mg,mg 500,mg 1000  3个主词 强相关词1000mg主词下调 top上拉120% mg和mg500上调base</t>
  </si>
  <si>
    <t>Creatine Monohydrate Powder 300 Grams (60 Servings), Unflavored | Pure | Micronized Creatine Powder, 5000mg(5g) Per Serving, 2 Month Supply, Vegan | Keto, Non-GMO, No Filler, No Additives</t>
  </si>
  <si>
    <t>2 Pack Deal Supplement Vitamin D3 K2 Softgel, 250 Count, 2-1 Complex, Vitamin D3 5000 IU &amp; Vitamin K2 MK7, Promotes Heart, Bone &amp; Teeth Health – Very Easy to Swallow</t>
  </si>
  <si>
    <t>Hyaluronic Acid Supplements 1,500mg – 240 Capsules, with MSM &amp; Vitamin C – Pure 95% | Non-GMO + Plant Based HA – Supports Healthy Joints, Bones, Connective Tissue, &amp; Skin Hydration</t>
  </si>
  <si>
    <t>DEAL SUPPLEMENT Psyllium Husk Powder 3 lbs, 9,000mg Per Serving – Unflavored, Plant Based, Soluble Dietary Fiber – Great for Baking &amp; Cooking – Keto Friendly, Gluten Free, Non-GMO</t>
  </si>
  <si>
    <t>Zinc 50mg with Selenium 200mcg + Copper, 240 Capsules, 8 Month Supply, 3 in 1 Mineral Formula, Zinc Picolinate Complex Supplement, Supports Healthy Immune System for Adults and Kid</t>
  </si>
  <si>
    <t>Benfotiamine 600mg Per Serving, 180 Veggie Capsules (300mg Per Cap), Fat Soluble Vitamin B1 Thiamine Supplement – Supports Energy &amp; Nervous System Health – 3rd Party Tested, Non-GMO, Gluten Free</t>
  </si>
  <si>
    <t>Magnesium Glycinate 400mg | Elemental Magnesium - 300 Capsules | Chelated for Easy Absorption | Highly Purified Essential Trace Mineral for Muscle, Joint, Heart, &amp; Immune Support</t>
  </si>
  <si>
    <t>Unscented Magnesium Flakes, 10lbs</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</si>
  <si>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</si>
  <si>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</si>
  <si>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</si>
  <si>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</si>
  <si>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</si>
  <si>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</si>
  <si>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</si>
  <si>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</si>
  <si>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</si>
  <si>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</si>
  <si>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</si>
  <si>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</si>
  <si>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</si>
  <si>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</si>
  <si>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</si>
  <si>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</si>
  <si>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</si>
  <si>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</si>
  <si>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</si>
  <si>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</si>
  <si>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</si>
  <si>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</si>
  <si>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</si>
  <si>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</si>
  <si>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</si>
  <si>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</si>
  <si>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MI</t>
  </si>
  <si>
    <t>NB</t>
  </si>
  <si>
    <t>DS</t>
  </si>
  <si>
    <t>Total</t>
  </si>
  <si>
    <t>$ Ad Sales</t>
  </si>
  <si>
    <t>$ Spend</t>
  </si>
  <si>
    <t>Acos</t>
  </si>
  <si>
    <t>%</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</si>
  <si>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</si>
  <si>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</si>
  <si>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</si>
  <si>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</si>
  <si>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</si>
  <si>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</si>
  <si>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</si>
  <si>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</si>
  <si>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</si>
  <si>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</si>
  <si>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</si>
  <si>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</si>
  <si>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</si>
  <si>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</si>
  <si>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</si>
  <si>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</si>
  <si>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</si>
  <si>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</si>
  <si>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</si>
  <si>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</si>
  <si>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</si>
  <si>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</si>
  <si>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</si>
  <si>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</si>
  <si>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</si>
  <si>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</si>
  <si>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B085176YLP</t>
  </si>
  <si>
    <t>B0BWH9Y7PZ</t>
  </si>
  <si>
    <t>B0C6VXPZTS</t>
  </si>
  <si>
    <t>B0C6W3MPRS</t>
  </si>
  <si>
    <t>B0C6WK3P6H</t>
  </si>
  <si>
    <t>B0C6WRVJQV</t>
  </si>
  <si>
    <t>B0C6WZJ2K6</t>
  </si>
  <si>
    <t>B0C8QZLF18</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</si>
  <si>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</si>
  <si>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</si>
  <si>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</si>
  <si>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</si>
  <si>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</si>
  <si>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</si>
  <si>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</si>
  <si>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</si>
  <si>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</si>
  <si>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</si>
  <si>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</si>
  <si>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</si>
  <si>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</si>
  <si>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</si>
  <si>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</si>
  <si>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</si>
  <si>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</si>
  <si>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</si>
  <si>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</si>
  <si>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</si>
  <si>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</si>
  <si>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</si>
  <si>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</si>
  <si>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</si>
  <si>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</si>
  <si>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</si>
  <si>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</si>
  <si>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</si>
  <si>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</si>
  <si>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</si>
  <si>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</si>
  <si>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</si>
  <si>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</si>
  <si>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</si>
  <si>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</si>
  <si>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</si>
  <si>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</si>
  <si>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</si>
  <si>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</si>
  <si>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</si>
  <si>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</si>
  <si>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</si>
  <si>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</si>
  <si>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</si>
  <si>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</si>
  <si>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Asin</t>
  </si>
  <si>
    <t>Brand</t>
  </si>
  <si>
    <t>B01JNNAGEY</t>
  </si>
  <si>
    <t>B09TG497BW</t>
  </si>
  <si>
    <t>B07L44PJYM</t>
  </si>
  <si>
    <t>B0B239F6JW</t>
  </si>
  <si>
    <t>B0BCMY5TBJ</t>
  </si>
  <si>
    <t>B0CG7M7PRM</t>
  </si>
  <si>
    <t>B01N91404L</t>
  </si>
  <si>
    <t>B07CRQ7NJ5</t>
  </si>
  <si>
    <t>B01DPW5MJI</t>
  </si>
  <si>
    <t>B01N02YD5I</t>
  </si>
  <si>
    <t>B08C9JP3L2</t>
  </si>
  <si>
    <t>B08MX453B9</t>
  </si>
  <si>
    <t>B08C77PT4J</t>
  </si>
  <si>
    <t>B07L47VZ1Z</t>
  </si>
  <si>
    <t>B07P3HRXK4</t>
  </si>
  <si>
    <t>B0B43XFX6P</t>
  </si>
  <si>
    <t>B0CG2L2N1J</t>
  </si>
  <si>
    <t>B0BSP38B2S</t>
  </si>
  <si>
    <t>B0C2SCGYD4</t>
  </si>
  <si>
    <t>B07R8FQG58</t>
  </si>
  <si>
    <t>B087CMLT8J</t>
  </si>
  <si>
    <t>B076XMGV8M</t>
  </si>
  <si>
    <t>B08QDRP99J</t>
  </si>
  <si>
    <t>B08QDZLP2G</t>
  </si>
  <si>
    <t>B07G8GGRNT</t>
  </si>
  <si>
    <t>B0BSJ4RLWX</t>
  </si>
  <si>
    <t>B0923BYLMS</t>
  </si>
  <si>
    <t>B0BFJVZYN5</t>
  </si>
  <si>
    <t>B0BJ1BRV7Z</t>
  </si>
  <si>
    <t>Name</t>
  </si>
  <si>
    <t>Units 28 Days</t>
  </si>
  <si>
    <t>Daily Units</t>
  </si>
  <si>
    <t>Actual Ad Spend</t>
  </si>
  <si>
    <t>Expected Budget</t>
  </si>
  <si>
    <t>1.2X</t>
  </si>
  <si>
    <t>Responsible</t>
  </si>
  <si>
    <t>Cost Per Unit</t>
  </si>
  <si>
    <t xml:space="preserve">Comments </t>
  </si>
  <si>
    <t xml:space="preserve">Review </t>
  </si>
  <si>
    <t>Micro Ingredients</t>
  </si>
  <si>
    <t>NatureBell</t>
  </si>
  <si>
    <t>Deal Supplement</t>
  </si>
  <si>
    <t>PT&amp;KW天天OOB不再加碼了, 先保持原本的budget, PT能跑到7PM保持, KW跑到下午2-3PM就花完下調一點力度緩緩花費</t>
  </si>
  <si>
    <t>廣告花費時間延長, 約2.1/unit, KW能到8-9PM, 小幅度下調整體base在page出單很差, top110; PT小幅下調budget到80, top降到110爭取在2/unit內跑</t>
  </si>
  <si>
    <t>magneisum flakes主要是在低價競品上搶量快速, NOW近期也賣起來了8塊多PT出單變差了, 回調超標PT, budget降到40</t>
  </si>
  <si>
    <t>近期Ancient Minerals(B005F1ATJQ)小size缺貨掉量我們位子拿回來了, 主要跑KW花費在預算內2/unit, 小幅下調超標top120, 在主詞magnesium flakes拿到足夠IS了</t>
  </si>
  <si>
    <t>銷量及花費上漲, lutein 40mg占比上升到8%左右, KW還是天天OOB但已經壓線, 下調廣告力度rest降到15及其他花錢不出單base, 主詞小幅下調到1.3附近, 保持top90爭取廣告跑到7PM後; PT持續OOB下調不加碼, 下調top到60及整體base, 先保持carlyle 1.3bid拿到8%IS目前</t>
  </si>
  <si>
    <t>lutein近期熱度上漲, 廣告一下就OOB, 花費還是偏高, KC回調KW整體base到0.9讓廣告跑久一點; 02/14花費及銷量有往下走趨勢, carlyle的IS掉了, PT很能出3PM就OOB, 縮減rest&amp;page花費, 下調rest到0及超逼base, top提到70往上花</t>
  </si>
  <si>
    <t>廣告結構已經調整到top主要出單, 2/unit合格內正常走</t>
  </si>
  <si>
    <t>PT每天下午就OOB, 目前不是季節花費2.3/unit有點高不加碼, 下調top到60緩緩花費先; KW budget先降到50, 保持top/rest, 先下調兩個主詞cayenne pepper, cayenne pepper powder的base0.1</t>
  </si>
  <si>
    <t>花費已經降到1.8/unit銷量沒有太大變化, 正常跑</t>
  </si>
  <si>
    <t>控制廣告花費, 合併後效果還是比較一般, 合格內跑跑, PT budget降到30; KW縮減page花費往上走, 下調兩個主詞mushroom powder, mushroom coffee及其他超標詞, 上調top到110往上花</t>
  </si>
  <si>
    <t>近期日銷小幅度上漲但不多, KW繼續下調page花費有點多, 下調超標主詞, budget降到70控制花費</t>
  </si>
  <si>
    <t>有採購, 平時銷量大約就30-40內, 花費有點高縮減廣告花費, 主要跑KW下午就OOB, 保持budget50, 下調top&amp;rest各10%及其他超標詞; PT下調budget到30, top降到70, rest下調到20</t>
  </si>
  <si>
    <t>KW廣告3PM就OOB, 還是會有採購, top下調到80繼續縮減廣告力度</t>
  </si>
  <si>
    <t>頭部低價NOW還是比較穩定, zazee新品也跌了NOW價格太低了, 廣告效果一般PT&amp;KW還是超標, 回調合格內跑</t>
  </si>
  <si>
    <t>SOLD OUT</t>
  </si>
  <si>
    <t>持續下調廣告花費, 這周廣告費降了銷量沒有太大變化, 之前有熱度, 給了就能花, KW&amp;PT天天下午就OOB, 繼續縮減廣告力度讓廣告跑完到7PM後, KW下調超標top; PT rest降到0也能花錢</t>
  </si>
  <si>
    <t>KW花費到3PM, 繼續下調top到70及超標主詞, rest小幅上提20跑跑, budget降到40, 加詞</t>
  </si>
  <si>
    <t>換了SKU還是賣20+, 廣告花費過高也是給了就能花, 頭部競品穩定搶不到量, 下調廣告合格預算內跑, KW budget降到50, top小幅降到60, rest上調20保持主詞有IS位子, 下調超標詞</t>
  </si>
  <si>
    <t>銷量起伏大, 老SKU偶爾還是被打開, 回調超標廣告預算內正常跑, 頭部brand競品穩定</t>
  </si>
  <si>
    <t>繼續下調廣告花費, PT budget降到40, top保持80, 下調rest到0及超標base; KW budget降到40縮減一點花費, 下調超標主詞niacinamide出單不好</t>
  </si>
  <si>
    <t>廣告花費降到2/unit的區間, 銷量沒有太大變化, 合格內正常跑</t>
  </si>
  <si>
    <t>廣告力度給比較高, 在主詞coconut milk powde已經拿到7%占比是詞裡單價最高的ASIN, 廣告也拿到18%IS效果一般, 下調廣告力度2/unit內跑, KW下調budget到50, top降到70, organic詞裡大部分都是低價品liquid; PT先保持top60, 下調第二花錢的KOS出單很差及IS超過20%的base控制花費, budget給了能花完</t>
  </si>
  <si>
    <t>庫存接不上, 暫時關閉廣告等貨</t>
  </si>
  <si>
    <t>銷量及廣告費上漲, 但花費有點高, 目前評論還是不多PT超標回調合格, KW花到4-5PM會OOB, 下調top到130緩緩花費; PT下午就OOB回調合格不加碼, 下調花前top到110及超標主詞base</t>
  </si>
  <si>
    <t>銷量穩定50+, 花費降到2.3/unit還是高了一些, 繼續縮減廣告花費, KW budget降到60, top下調到120看看能跑到幾點; PT top降到100緩緩花費</t>
  </si>
  <si>
    <t>日銷穩定40+, 逐步下調廣告花費, KW budget降到80, 下調top&amp;rest各10%; PT budget下調到40及主詞base縮減rest花費, top上提到70</t>
  </si>
  <si>
    <t>vitamin e 1000iu主詞三個brand都拿到佔比, 總共已經拿到近30%, 能做的不多, DS花費還是比較高, KW budget降到60, rest下調到10, top小幅下調到105看看變化</t>
  </si>
  <si>
    <t>下調廣告花費一天就60budget, PT下調budget到30及主詞nutricost base0.82; KW下調top到80</t>
  </si>
  <si>
    <t>花費降到2/unit內銷量沒有變化, KW&amp;PT會OOB但都能花到8PM後正常跑</t>
  </si>
  <si>
    <t>頭部主要就MI, DS打了廣告效果一般本身評論也不是很多, 暫時關閉PT看看銷量; KW下調rest到0把花費往top走, top上調到90</t>
  </si>
  <si>
    <t>花費降到2.1/unit, 整體budget給的不高, KW下調超標及花錢不出單base, 保持top正常跑</t>
  </si>
  <si>
    <t>日銷穩定40-50, 花費近3/unit下調廣告, KW budget降到50, 小幅下調主詞base及top降到90, 平時廣告3PM會OOB</t>
  </si>
  <si>
    <t>廣告還是能到2.7/unit, KW還是常常下午就OOB, top下調到80緩緩花費; PT花不多, budget降到30, 下調top正常跑完廣告</t>
  </si>
  <si>
    <t>主要是受到1月有幾天listing影響沒消量, 廣告攤下來多了, 實際花費約1.5/unit合格範圍正常跑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</si>
</sst>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quot;$&quot;* #,##0.0_);_(&quot;$&quot;* \(#,##0.0\);_(&quot;$&quot;* &quot;-&quot;??_);_(@_)"/>
    <numFmt numFmtId="170" formatCode="&quot;$&quot;#,##0.00"/>
  </numFmts>
  <fonts count="18">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
      <b/>
      <sz val="11"/>
      <color rgb="FFFFFFFF"/>
      <name val="Aptos Narrow"/>
      <family val="2"/>
    </font>
    <font>
      <sz val="11"/>
      <color rgb="FF000000"/>
      <name val="Aptos Narrow"/>
      <family val="2"/>
    </font>
    <font>
      <sz val="11"/>
      <color rgb="FF242424"/>
      <name val="Aptos Narrow"/>
      <charset val="1"/>
    </font>
    <font>
      <sz val="11"/>
      <color theme="4"/>
      <name val="Calibri"/>
      <family val="2"/>
      <scheme val="minor"/>
    </font>
    <font>
      <sz val="11"/>
      <color rgb="FF000000"/>
      <name val="Calibri"/>
      <family val="2"/>
    </font>
  </fonts>
  <fills count="15">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4EA72E"/>
        <bgColor rgb="FF4EA72E"/>
      </patternFill>
    </fill>
    <fill>
      <patternFill patternType="solid">
        <fgColor rgb="FFDAF2D0"/>
        <bgColor rgb="FFDAF2D0"/>
      </patternFill>
    </fill>
    <fill>
      <patternFill patternType="solid">
        <fgColor rgb="FFFFFF00"/>
        <bgColor indexed="64"/>
      </patternFill>
    </fill>
  </fills>
  <borders count="48">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thin">
        <color rgb="FF4472C4"/>
      </left>
      <right style="medium">
        <color indexed="64"/>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thin">
        <color rgb="FF4472C4"/>
      </left>
      <right style="medium">
        <color indexed="64"/>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style="thin">
        <color rgb="FF4472C4"/>
      </left>
      <right style="medium">
        <color indexed="64"/>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indexed="64"/>
      </right>
      <top style="medium">
        <color indexed="64"/>
      </top>
      <bottom/>
      <diagonal/>
    </border>
    <border>
      <left/>
      <right style="medium">
        <color indexed="64"/>
      </right>
      <top style="thin">
        <color rgb="FF4472C4"/>
      </top>
      <bottom/>
      <diagonal/>
    </border>
    <border>
      <left/>
      <right style="medium">
        <color indexed="64"/>
      </right>
      <top style="thin">
        <color rgb="FF4472C4"/>
      </top>
      <bottom style="thin">
        <color rgb="FF4472C4"/>
      </bottom>
      <diagonal/>
    </border>
    <border>
      <left/>
      <right style="medium">
        <color indexed="64"/>
      </right>
      <top style="thin">
        <color rgb="FF4472C4"/>
      </top>
      <bottom style="medium">
        <color indexed="64"/>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rgb="FF8ED973"/>
      </left>
      <right/>
      <top style="thin">
        <color rgb="FF8ED973"/>
      </top>
      <bottom style="thin">
        <color rgb="FF8ED973"/>
      </bottom>
      <diagonal/>
    </border>
    <border>
      <left/>
      <right style="thin">
        <color rgb="FF8ED973"/>
      </right>
      <top style="thin">
        <color rgb="FF8ED973"/>
      </top>
      <bottom style="thin">
        <color rgb="FF8ED973"/>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86">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164" fontId="0" fillId="0" borderId="0" xfId="2" applyNumberFormat="1" applyFont="1" applyAlignment="1">
      <alignment horizontal="left"/>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43" fontId="0" fillId="0" borderId="0" xfId="1" applyNumberFormat="1" applyFont="1"/>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0" fillId="0" borderId="0" xfId="0" applyFont="1"/>
    <xf numFmtId="0" fontId="7" fillId="0" borderId="0" xfId="0" applyFont="1" applyAlignment="1">
      <alignment vertical="justify"/>
    </xf>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2" xfId="0" applyFont="1" applyFill="1" applyBorder="1"/>
    <xf numFmtId="8" fontId="9" fillId="10" borderId="13" xfId="0" applyNumberFormat="1" applyFont="1" applyFill="1" applyBorder="1"/>
    <xf numFmtId="0" fontId="8" fillId="11" borderId="15" xfId="0" applyFont="1" applyFill="1" applyBorder="1"/>
    <xf numFmtId="8" fontId="9" fillId="11" borderId="16"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3" xfId="0" applyFont="1" applyFill="1" applyBorder="1"/>
    <xf numFmtId="0" fontId="9" fillId="11" borderId="16" xfId="0" applyFont="1" applyFill="1" applyBorder="1"/>
    <xf numFmtId="0" fontId="8" fillId="10" borderId="18" xfId="0" applyFont="1" applyFill="1" applyBorder="1"/>
    <xf numFmtId="10" fontId="9" fillId="10" borderId="7" xfId="0" applyNumberFormat="1" applyFont="1" applyFill="1" applyBorder="1"/>
    <xf numFmtId="0" fontId="8" fillId="0" borderId="19" xfId="0" applyFont="1" applyBorder="1"/>
    <xf numFmtId="10" fontId="9" fillId="0" borderId="10" xfId="0" applyNumberFormat="1" applyFont="1" applyBorder="1"/>
    <xf numFmtId="0" fontId="8" fillId="10" borderId="20" xfId="0" applyFont="1" applyFill="1" applyBorder="1"/>
    <xf numFmtId="10" fontId="9" fillId="10" borderId="13" xfId="0" applyNumberFormat="1" applyFont="1" applyFill="1" applyBorder="1"/>
    <xf numFmtId="0" fontId="8" fillId="11" borderId="21" xfId="0" applyFont="1" applyFill="1" applyBorder="1"/>
    <xf numFmtId="10" fontId="9" fillId="11" borderId="16"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22" xfId="0" applyFont="1" applyFill="1" applyBorder="1"/>
    <xf numFmtId="3" fontId="0" fillId="0" borderId="0" xfId="0" applyNumberFormat="1"/>
    <xf numFmtId="3" fontId="9" fillId="10" borderId="23" xfId="0" applyNumberFormat="1" applyFont="1" applyFill="1" applyBorder="1"/>
    <xf numFmtId="0" fontId="8" fillId="0" borderId="24" xfId="0" applyFont="1" applyBorder="1"/>
    <xf numFmtId="3" fontId="9" fillId="0" borderId="25" xfId="0" applyNumberFormat="1" applyFont="1" applyBorder="1"/>
    <xf numFmtId="0" fontId="8" fillId="10" borderId="24" xfId="0" applyFont="1" applyFill="1" applyBorder="1"/>
    <xf numFmtId="3" fontId="9" fillId="10" borderId="25" xfId="0" applyNumberFormat="1" applyFont="1" applyFill="1" applyBorder="1"/>
    <xf numFmtId="0" fontId="8" fillId="11" borderId="24" xfId="0" applyFont="1" applyFill="1" applyBorder="1"/>
    <xf numFmtId="3" fontId="9" fillId="11" borderId="25" xfId="0" applyNumberFormat="1" applyFont="1" applyFill="1" applyBorder="1"/>
    <xf numFmtId="0" fontId="7" fillId="0" borderId="26" xfId="0" applyFont="1" applyBorder="1"/>
    <xf numFmtId="0" fontId="7" fillId="0" borderId="27" xfId="0" applyFont="1" applyBorder="1"/>
    <xf numFmtId="9" fontId="7" fillId="0" borderId="27" xfId="0" applyNumberFormat="1" applyFont="1" applyBorder="1"/>
    <xf numFmtId="8" fontId="9" fillId="10" borderId="8" xfId="0" applyNumberFormat="1" applyFont="1" applyFill="1" applyBorder="1"/>
    <xf numFmtId="8" fontId="9" fillId="0" borderId="11" xfId="0" applyNumberFormat="1" applyFont="1" applyBorder="1"/>
    <xf numFmtId="8" fontId="9" fillId="10" borderId="14" xfId="0" applyNumberFormat="1" applyFont="1" applyFill="1" applyBorder="1"/>
    <xf numFmtId="8" fontId="9" fillId="11" borderId="17" xfId="0" applyNumberFormat="1" applyFont="1" applyFill="1" applyBorder="1"/>
    <xf numFmtId="8" fontId="9" fillId="10" borderId="2" xfId="0" applyNumberFormat="1" applyFont="1" applyFill="1" applyBorder="1"/>
    <xf numFmtId="8" fontId="9" fillId="0" borderId="9" xfId="0" applyNumberFormat="1" applyFont="1" applyBorder="1"/>
    <xf numFmtId="8" fontId="9" fillId="10" borderId="12" xfId="0" applyNumberFormat="1" applyFont="1" applyFill="1" applyBorder="1"/>
    <xf numFmtId="8" fontId="9" fillId="11" borderId="15" xfId="0" applyNumberFormat="1" applyFont="1" applyFill="1" applyBorder="1"/>
    <xf numFmtId="10" fontId="9" fillId="10" borderId="2" xfId="0" applyNumberFormat="1" applyFont="1" applyFill="1" applyBorder="1"/>
    <xf numFmtId="10" fontId="9" fillId="10" borderId="8" xfId="0" applyNumberFormat="1" applyFont="1" applyFill="1" applyBorder="1"/>
    <xf numFmtId="10" fontId="9" fillId="0" borderId="9" xfId="0" applyNumberFormat="1" applyFont="1" applyBorder="1"/>
    <xf numFmtId="10" fontId="9" fillId="0" borderId="11" xfId="0" applyNumberFormat="1" applyFont="1" applyBorder="1"/>
    <xf numFmtId="10" fontId="9" fillId="10" borderId="12" xfId="0" applyNumberFormat="1" applyFont="1" applyFill="1" applyBorder="1"/>
    <xf numFmtId="10" fontId="9" fillId="10" borderId="14" xfId="0" applyNumberFormat="1" applyFont="1" applyFill="1" applyBorder="1"/>
    <xf numFmtId="10" fontId="9" fillId="11" borderId="15" xfId="0" applyNumberFormat="1" applyFont="1" applyFill="1" applyBorder="1"/>
    <xf numFmtId="10" fontId="9" fillId="11" borderId="17" xfId="0" applyNumberFormat="1" applyFont="1" applyFill="1" applyBorder="1"/>
    <xf numFmtId="3" fontId="9" fillId="10" borderId="32" xfId="0" applyNumberFormat="1" applyFont="1" applyFill="1" applyBorder="1"/>
    <xf numFmtId="3" fontId="9" fillId="0" borderId="33" xfId="0" applyNumberFormat="1" applyFont="1" applyBorder="1"/>
    <xf numFmtId="3" fontId="9" fillId="10" borderId="33" xfId="0" applyNumberFormat="1" applyFont="1" applyFill="1" applyBorder="1"/>
    <xf numFmtId="3" fontId="9" fillId="11" borderId="33" xfId="0" applyNumberFormat="1" applyFont="1" applyFill="1" applyBorder="1"/>
    <xf numFmtId="9" fontId="7" fillId="0" borderId="34" xfId="0" applyNumberFormat="1" applyFont="1" applyBorder="1"/>
    <xf numFmtId="3" fontId="9" fillId="10" borderId="35" xfId="0" applyNumberFormat="1" applyFont="1" applyFill="1" applyBorder="1"/>
    <xf numFmtId="3" fontId="9" fillId="0" borderId="36" xfId="0" applyNumberFormat="1" applyFont="1" applyBorder="1"/>
    <xf numFmtId="3" fontId="9" fillId="10" borderId="36" xfId="0" applyNumberFormat="1" applyFont="1" applyFill="1" applyBorder="1"/>
    <xf numFmtId="3" fontId="9" fillId="11" borderId="36" xfId="0" applyNumberFormat="1" applyFont="1" applyFill="1" applyBorder="1"/>
    <xf numFmtId="9" fontId="7" fillId="0" borderId="37" xfId="0" applyNumberFormat="1" applyFont="1" applyBorder="1"/>
    <xf numFmtId="3" fontId="9" fillId="10" borderId="38" xfId="0" applyNumberFormat="1" applyFont="1" applyFill="1" applyBorder="1"/>
    <xf numFmtId="3" fontId="9" fillId="10" borderId="39" xfId="0" applyNumberFormat="1" applyFont="1" applyFill="1" applyBorder="1"/>
    <xf numFmtId="3" fontId="9" fillId="10" borderId="40" xfId="0" applyNumberFormat="1" applyFont="1" applyFill="1" applyBorder="1"/>
    <xf numFmtId="3" fontId="9" fillId="0" borderId="41" xfId="0" applyNumberFormat="1" applyFont="1" applyBorder="1"/>
    <xf numFmtId="3" fontId="9" fillId="0" borderId="42" xfId="0" applyNumberFormat="1" applyFont="1" applyBorder="1"/>
    <xf numFmtId="3" fontId="9" fillId="10" borderId="41" xfId="0" applyNumberFormat="1" applyFont="1" applyFill="1" applyBorder="1"/>
    <xf numFmtId="3" fontId="9" fillId="10" borderId="42" xfId="0" applyNumberFormat="1" applyFont="1" applyFill="1" applyBorder="1"/>
    <xf numFmtId="3" fontId="9" fillId="11" borderId="41" xfId="0" applyNumberFormat="1" applyFont="1" applyFill="1" applyBorder="1"/>
    <xf numFmtId="3" fontId="9" fillId="11" borderId="42" xfId="0" applyNumberFormat="1" applyFont="1" applyFill="1" applyBorder="1"/>
    <xf numFmtId="9" fontId="7" fillId="0" borderId="43" xfId="0" applyNumberFormat="1" applyFont="1" applyBorder="1"/>
    <xf numFmtId="9" fontId="7" fillId="0" borderId="44" xfId="0" applyNumberFormat="1" applyFont="1" applyBorder="1"/>
    <xf numFmtId="9" fontId="7" fillId="0" borderId="45" xfId="0" applyNumberFormat="1" applyFont="1" applyBorder="1"/>
    <xf numFmtId="44" fontId="9" fillId="10" borderId="8" xfId="2" applyFont="1" applyFill="1" applyBorder="1"/>
    <xf numFmtId="43" fontId="9" fillId="10" borderId="8" xfId="3" applyFont="1" applyFill="1" applyBorder="1"/>
    <xf numFmtId="44" fontId="9" fillId="0" borderId="11" xfId="2" applyFont="1" applyBorder="1"/>
    <xf numFmtId="44" fontId="9" fillId="10" borderId="14" xfId="2" applyFont="1" applyFill="1" applyBorder="1"/>
    <xf numFmtId="44" fontId="9" fillId="11" borderId="17" xfId="2" applyFont="1" applyFill="1" applyBorder="1"/>
    <xf numFmtId="169" fontId="9" fillId="0" borderId="11" xfId="2" applyNumberFormat="1" applyFont="1" applyBorder="1"/>
    <xf numFmtId="169" fontId="9" fillId="10" borderId="14" xfId="2" applyNumberFormat="1" applyFont="1" applyFill="1" applyBorder="1"/>
    <xf numFmtId="169" fontId="9" fillId="11" borderId="17" xfId="2" applyNumberFormat="1" applyFont="1" applyFill="1" applyBorder="1"/>
    <xf numFmtId="10" fontId="9" fillId="10" borderId="28" xfId="1" applyNumberFormat="1" applyFont="1" applyFill="1" applyBorder="1"/>
    <xf numFmtId="10" fontId="9" fillId="0" borderId="29" xfId="1" applyNumberFormat="1" applyFont="1" applyBorder="1"/>
    <xf numFmtId="10" fontId="9" fillId="10" borderId="30" xfId="1" applyNumberFormat="1" applyFont="1" applyFill="1" applyBorder="1"/>
    <xf numFmtId="10" fontId="9" fillId="11" borderId="31" xfId="1" applyNumberFormat="1" applyFont="1" applyFill="1" applyBorder="1"/>
    <xf numFmtId="9" fontId="7" fillId="0" borderId="0" xfId="0" applyNumberFormat="1" applyFont="1"/>
    <xf numFmtId="164" fontId="0" fillId="0" borderId="0" xfId="0" applyNumberFormat="1"/>
    <xf numFmtId="167" fontId="0" fillId="0" borderId="0" xfId="3" applyNumberFormat="1" applyFont="1" applyAlignment="1">
      <alignment horizontal="center"/>
    </xf>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10" fontId="0" fillId="0" borderId="0" xfId="0" applyNumberFormat="1"/>
    <xf numFmtId="0" fontId="13" fillId="12" borderId="46" xfId="0" applyFont="1" applyFill="1" applyBorder="1"/>
    <xf numFmtId="0" fontId="13" fillId="12" borderId="47" xfId="0" applyFont="1" applyFill="1" applyBorder="1"/>
    <xf numFmtId="0" fontId="14" fillId="13" borderId="46" xfId="0" applyFont="1" applyFill="1" applyBorder="1"/>
    <xf numFmtId="0" fontId="14" fillId="13" borderId="47" xfId="0" applyFont="1" applyFill="1" applyBorder="1"/>
    <xf numFmtId="0" fontId="14" fillId="0" borderId="46" xfId="0" applyFont="1" applyBorder="1"/>
    <xf numFmtId="0" fontId="14" fillId="0" borderId="47" xfId="0" applyFont="1" applyBorder="1"/>
    <xf numFmtId="167" fontId="0" fillId="0" borderId="0" xfId="1" applyNumberFormat="1" applyFont="1"/>
    <xf numFmtId="0" fontId="0" fillId="0" borderId="0" xfId="1" applyNumberFormat="1" applyFont="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170" fontId="2" fillId="2" borderId="0" xfId="0" applyNumberFormat="1" applyFont="1" applyFill="1" applyAlignment="1">
      <alignment horizontal="center"/>
    </xf>
    <xf numFmtId="170" fontId="0" fillId="0" borderId="0" xfId="0" applyNumberFormat="1"/>
    <xf numFmtId="0" fontId="4" fillId="0" borderId="0" xfId="0" applyFont="1"/>
    <xf numFmtId="0" fontId="15" fillId="0" borderId="0" xfId="0" applyFont="1"/>
    <xf numFmtId="0" fontId="12" fillId="2" borderId="0" xfId="0" applyFont="1" applyFill="1" applyAlignment="1">
      <alignment horizontal="center"/>
    </xf>
    <xf numFmtId="0" fontId="4" fillId="0" borderId="0" xfId="0" applyFont="1" applyAlignment="1">
      <alignment horizontal="left" vertical="top"/>
    </xf>
    <xf numFmtId="9" fontId="0" fillId="0" borderId="0" xfId="0" applyNumberFormat="1"/>
    <xf numFmtId="44" fontId="7" fillId="0" borderId="0" xfId="0" applyNumberFormat="1" applyFont="1"/>
    <xf numFmtId="0" fontId="4" fillId="14" borderId="0" xfId="0" applyFont="1" applyFill="1"/>
    <xf numFmtId="0" fontId="16" fillId="0" borderId="0" xfId="0" applyFont="1"/>
    <xf numFmtId="164" fontId="16" fillId="0" borderId="0" xfId="2" applyNumberFormat="1" applyFont="1"/>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xf numFmtId="6" fontId="17" fillId="0" borderId="0" xfId="0" applyNumberFormat="1" applyFont="1" applyFill="1" applyBorder="1" applyAlignment="1"/>
  </cellXfs>
  <cellStyles count="4">
    <cellStyle name="Comma" xfId="3" builtinId="3"/>
    <cellStyle name="Currency" xfId="2" builtinId="4"/>
    <cellStyle name="Normal" xfId="0" builtinId="0"/>
    <cellStyle name="Percent" xfId="1" builtinId="5"/>
  </cellStyles>
  <dxfs count="4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TCOS'!$B$36:$Z$36</c:f>
              <c:strCache>
                <c:ptCount val="25"/>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strCache>
            </c:strRef>
          </c:cat>
          <c:val>
            <c:numRef>
              <c:f>'ACOS &amp; TCOS'!$B$37:$Z$37</c:f>
              <c:numCache>
                <c:formatCode>#,##0</c:formatCode>
                <c:ptCount val="25"/>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TCOS'!$B$36:$Z$36</c:f>
              <c:strCache>
                <c:ptCount val="25"/>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strCache>
            </c:strRef>
          </c:cat>
          <c:val>
            <c:numRef>
              <c:f>'ACOS &amp; TCOS'!$B$38:$Z$38</c:f>
              <c:numCache>
                <c:formatCode>#,##0</c:formatCode>
                <c:ptCount val="25"/>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TCOS'!$B$36:$Z$36</c:f>
              <c:strCache>
                <c:ptCount val="25"/>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strCache>
            </c:strRef>
          </c:cat>
          <c:val>
            <c:numRef>
              <c:f>'ACOS &amp; TCOS'!$B$39:$Z$39</c:f>
              <c:numCache>
                <c:formatCode>#,##0</c:formatCode>
                <c:ptCount val="25"/>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TCOS'!$B$36:$Z$36</c:f>
              <c:strCache>
                <c:ptCount val="25"/>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strCache>
            </c:strRef>
          </c:cat>
          <c:val>
            <c:numRef>
              <c:f>'ACOS &amp; TCOS'!$B$40:$Z$40</c:f>
              <c:numCache>
                <c:formatCode>#,##0</c:formatCode>
                <c:ptCount val="25"/>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201524076747006E-2"/>
          <c:y val="8.5358780667105671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CVR!$A$432:$M$432</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Jan</c:v>
                </c:pt>
              </c:strCache>
            </c:strRef>
          </c:cat>
          <c:val>
            <c:numRef>
              <c:f>CVR!$A$433:$M$433</c:f>
              <c:numCache>
                <c:formatCode>0.00%</c:formatCode>
                <c:ptCount val="13"/>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755837</xdr:colOff>
      <xdr:row>46</xdr:row>
      <xdr:rowOff>172568</xdr:rowOff>
    </xdr:from>
    <xdr:to>
      <xdr:col>24</xdr:col>
      <xdr:colOff>427503</xdr:colOff>
      <xdr:row>97</xdr:row>
      <xdr:rowOff>137831</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207308</xdr:colOff>
      <xdr:row>438</xdr:row>
      <xdr:rowOff>57148</xdr:rowOff>
    </xdr:from>
    <xdr:to>
      <xdr:col>11</xdr:col>
      <xdr:colOff>1333500</xdr:colOff>
      <xdr:row>470</xdr:row>
      <xdr:rowOff>145676</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507"/>
  <sheetViews>
    <sheetView zoomScale="85" zoomScaleNormal="85" workbookViewId="0">
      <pane xSplit="2" ySplit="2" topLeftCell="M222" activePane="bottomRight" state="frozen"/>
      <selection pane="bottomRight" activeCell="R247" sqref="R247"/>
      <selection pane="bottomLeft" activeCell="A3" sqref="A3"/>
      <selection pane="topRight" activeCell="C1" sqref="C1"/>
    </sheetView>
  </sheetViews>
  <sheetFormatPr defaultRowHeight="15" customHeight="1"/>
  <cols>
    <col min="1" max="1" width="67.28515625" customWidth="1"/>
    <col min="2" max="2" width="14.28515625" customWidth="1"/>
    <col min="3" max="3" width="17.140625" customWidth="1"/>
    <col min="4" max="4" width="16.28515625" customWidth="1"/>
    <col min="5" max="5" width="1.140625" customWidth="1"/>
    <col min="6" max="6" width="13.85546875" bestFit="1" customWidth="1"/>
    <col min="7" max="8" width="14.85546875" customWidth="1"/>
    <col min="9" max="9" width="12" customWidth="1"/>
    <col min="10" max="11" width="1" customWidth="1"/>
    <col min="12" max="12" width="12.42578125" customWidth="1"/>
    <col min="14" max="14" width="17.7109375" customWidth="1"/>
    <col min="15" max="15" width="1" customWidth="1"/>
    <col min="16" max="16" width="13.28515625" style="5" bestFit="1" customWidth="1"/>
    <col min="17" max="17" width="13.28515625" style="5" customWidth="1"/>
    <col min="18" max="19" width="1" customWidth="1"/>
    <col min="20" max="20" width="14.28515625" style="5" customWidth="1"/>
    <col min="21" max="23" width="1" customWidth="1"/>
    <col min="24" max="24" width="12.140625" style="152" customWidth="1"/>
    <col min="25" max="25" width="10.28515625" customWidth="1"/>
    <col min="26" max="26" width="6.85546875" customWidth="1"/>
    <col min="27" max="27" width="7.140625" customWidth="1"/>
    <col min="28" max="28" width="9.5703125" customWidth="1"/>
    <col min="29" max="29" width="15.85546875" customWidth="1"/>
    <col min="30" max="30" width="15.42578125" customWidth="1"/>
    <col min="31" max="31" width="9.7109375" customWidth="1"/>
    <col min="34" max="34" width="9.7109375" customWidth="1"/>
    <col min="35" max="37" width="9.140625" style="172"/>
  </cols>
  <sheetData>
    <row r="1" spans="1:43" ht="14.45" customHeight="1">
      <c r="B1" s="182">
        <v>45627</v>
      </c>
      <c r="C1" s="181"/>
      <c r="D1" s="2"/>
      <c r="F1" s="182">
        <v>45658</v>
      </c>
      <c r="G1" s="181"/>
      <c r="H1" s="2"/>
      <c r="L1" s="183"/>
      <c r="M1" s="183"/>
      <c r="N1" s="1"/>
      <c r="P1" s="184" t="s">
        <v>0</v>
      </c>
      <c r="Q1" s="184"/>
      <c r="R1" s="1"/>
      <c r="T1" s="10" t="s">
        <v>1</v>
      </c>
      <c r="U1" s="1"/>
      <c r="X1" s="181" t="s">
        <v>2</v>
      </c>
      <c r="Y1" s="181"/>
      <c r="AC1" s="181" t="s">
        <v>3</v>
      </c>
      <c r="AD1" s="181"/>
      <c r="AL1" t="s">
        <v>4</v>
      </c>
      <c r="AM1" s="159" t="s">
        <v>5</v>
      </c>
      <c r="AN1" s="160" t="s">
        <v>6</v>
      </c>
      <c r="AO1" t="s">
        <v>7</v>
      </c>
      <c r="AP1" s="159" t="s">
        <v>5</v>
      </c>
      <c r="AQ1" s="160" t="s">
        <v>6</v>
      </c>
    </row>
    <row r="2" spans="1:43">
      <c r="A2" s="3" t="s">
        <v>8</v>
      </c>
      <c r="B2" s="3" t="s">
        <v>9</v>
      </c>
      <c r="C2" s="3" t="s">
        <v>10</v>
      </c>
      <c r="D2" s="3" t="s">
        <v>11</v>
      </c>
      <c r="F2" s="3" t="s">
        <v>9</v>
      </c>
      <c r="G2" s="3" t="s">
        <v>10</v>
      </c>
      <c r="H2" s="3" t="s">
        <v>12</v>
      </c>
      <c r="I2" t="s">
        <v>13</v>
      </c>
      <c r="L2" t="s">
        <v>14</v>
      </c>
      <c r="M2" t="s">
        <v>15</v>
      </c>
      <c r="N2" t="s">
        <v>16</v>
      </c>
      <c r="P2" t="s">
        <v>4</v>
      </c>
      <c r="Q2" t="s">
        <v>7</v>
      </c>
      <c r="T2" s="5" t="s">
        <v>17</v>
      </c>
      <c r="X2" s="152" t="s">
        <v>18</v>
      </c>
      <c r="Y2" t="s">
        <v>15</v>
      </c>
      <c r="Z2" t="s">
        <v>19</v>
      </c>
      <c r="AA2" t="s">
        <v>20</v>
      </c>
      <c r="AB2" t="s">
        <v>21</v>
      </c>
      <c r="AC2" t="s">
        <v>4</v>
      </c>
      <c r="AD2" t="s">
        <v>7</v>
      </c>
      <c r="AE2" t="s">
        <v>15</v>
      </c>
      <c r="AF2" t="s">
        <v>22</v>
      </c>
      <c r="AM2" s="161" t="s">
        <v>23</v>
      </c>
      <c r="AN2" s="162">
        <v>39458</v>
      </c>
      <c r="AP2" s="161" t="s">
        <v>23</v>
      </c>
      <c r="AQ2" s="162">
        <v>66907</v>
      </c>
    </row>
    <row r="3" spans="1:43" ht="13.9" customHeight="1">
      <c r="A3" t="s">
        <v>24</v>
      </c>
      <c r="B3" t="s">
        <v>25</v>
      </c>
      <c r="C3" s="30">
        <v>15702</v>
      </c>
      <c r="D3">
        <v>15274</v>
      </c>
      <c r="F3" t="s">
        <v>25</v>
      </c>
      <c r="G3" s="30">
        <v>16650</v>
      </c>
      <c r="H3" s="30">
        <v>16493</v>
      </c>
      <c r="I3" t="b">
        <f>IF(B3=F3,TRUE,FALSE)</f>
        <v>1</v>
      </c>
      <c r="L3">
        <f>G3-C3</f>
        <v>948</v>
      </c>
      <c r="M3" s="4">
        <f>G3/C3-1</f>
        <v>6.0374474589224292E-2</v>
      </c>
      <c r="N3" s="165">
        <f>H3-D3</f>
        <v>1219</v>
      </c>
      <c r="P3" s="5">
        <v>24110.079999999998</v>
      </c>
      <c r="Q3" s="5">
        <v>32408.639999999999</v>
      </c>
      <c r="T3" s="11">
        <v>245870.66999999998</v>
      </c>
      <c r="X3" s="152">
        <f>Q3-P3</f>
        <v>8298.5600000000013</v>
      </c>
      <c r="Y3" s="4">
        <f>IF(P3=0,0,Q3/P3-1)</f>
        <v>0.34419462730940764</v>
      </c>
      <c r="Z3">
        <v>1.5785046484221552</v>
      </c>
      <c r="AA3">
        <f>Q3/H3</f>
        <v>1.964993633662766</v>
      </c>
      <c r="AB3">
        <f>AA3-Z3</f>
        <v>0.38648898524061082</v>
      </c>
      <c r="AC3" s="18">
        <v>527496.63</v>
      </c>
      <c r="AD3" s="18">
        <v>567942.29</v>
      </c>
      <c r="AE3" s="4">
        <f>AD3/AC3-1</f>
        <v>7.6674726812946625E-2</v>
      </c>
      <c r="AF3" s="150">
        <f>(L3*2)-X3</f>
        <v>-6402.5600000000013</v>
      </c>
      <c r="AG3" t="s">
        <v>26</v>
      </c>
      <c r="AI3" s="172" t="s">
        <v>27</v>
      </c>
      <c r="AJ3" s="172">
        <f>Q3/AD3</f>
        <v>5.7063262536762312E-2</v>
      </c>
      <c r="AM3" s="161" t="s">
        <v>28</v>
      </c>
      <c r="AN3" s="162">
        <v>37797</v>
      </c>
      <c r="AP3" s="161" t="s">
        <v>28</v>
      </c>
      <c r="AQ3" s="162">
        <v>46566</v>
      </c>
    </row>
    <row r="4" spans="1:43" ht="13.9" customHeight="1">
      <c r="A4" t="s">
        <v>29</v>
      </c>
      <c r="B4" t="s">
        <v>30</v>
      </c>
      <c r="C4" s="30">
        <v>4480</v>
      </c>
      <c r="D4">
        <v>4455</v>
      </c>
      <c r="F4" t="s">
        <v>30</v>
      </c>
      <c r="G4" s="30">
        <v>4828</v>
      </c>
      <c r="H4" s="30">
        <v>4799</v>
      </c>
      <c r="I4" t="b">
        <f>IF(B4=F4,TRUE,FALSE)</f>
        <v>1</v>
      </c>
      <c r="L4">
        <f>G4-C4</f>
        <v>348</v>
      </c>
      <c r="M4" s="4">
        <f>G4/C4-1</f>
        <v>7.7678571428571486E-2</v>
      </c>
      <c r="N4" s="165">
        <f>H4-D4</f>
        <v>344</v>
      </c>
      <c r="P4" s="5">
        <v>7435.15</v>
      </c>
      <c r="Q4" s="5">
        <v>7820.98</v>
      </c>
      <c r="T4" s="5">
        <v>81607.17</v>
      </c>
      <c r="X4" s="152">
        <f>Q4-P4</f>
        <v>385.82999999999993</v>
      </c>
      <c r="Y4" s="4">
        <f>IF(P4=0,0,Q4/P4-1)</f>
        <v>5.1892698869558718E-2</v>
      </c>
      <c r="Z4">
        <v>1.6689450056116721</v>
      </c>
      <c r="AA4">
        <f>Q4/H4</f>
        <v>1.6297103563242341</v>
      </c>
      <c r="AB4">
        <f>AA4-Z4</f>
        <v>-3.9234649287438028E-2</v>
      </c>
      <c r="AC4" s="18">
        <v>139573.22</v>
      </c>
      <c r="AD4" s="18">
        <v>146187.72</v>
      </c>
      <c r="AE4" s="4">
        <f>AD4/AC4-1</f>
        <v>4.7390896333838306E-2</v>
      </c>
      <c r="AF4" s="150">
        <f>(L4*2)-X4</f>
        <v>310.17000000000007</v>
      </c>
      <c r="AG4" t="s">
        <v>31</v>
      </c>
      <c r="AI4" s="172" t="s">
        <v>32</v>
      </c>
      <c r="AJ4" s="172">
        <f>Q4/AD4</f>
        <v>5.3499568910439256E-2</v>
      </c>
      <c r="AM4" s="163" t="s">
        <v>33</v>
      </c>
      <c r="AN4" s="164">
        <v>15222</v>
      </c>
      <c r="AP4" s="163" t="s">
        <v>25</v>
      </c>
      <c r="AQ4" s="164">
        <v>16493</v>
      </c>
    </row>
    <row r="5" spans="1:43" ht="13.9" customHeight="1">
      <c r="A5" t="s">
        <v>34</v>
      </c>
      <c r="B5" t="s">
        <v>35</v>
      </c>
      <c r="C5" s="30">
        <v>4021</v>
      </c>
      <c r="D5">
        <v>3973</v>
      </c>
      <c r="F5" t="s">
        <v>35</v>
      </c>
      <c r="G5" s="30">
        <v>3844</v>
      </c>
      <c r="H5" s="30">
        <v>3815</v>
      </c>
      <c r="I5" t="b">
        <f>IF(B5=F5,TRUE,FALSE)</f>
        <v>1</v>
      </c>
      <c r="L5">
        <f>G5-C5</f>
        <v>-177</v>
      </c>
      <c r="M5" s="4">
        <f>G5/C5-1</f>
        <v>-4.4018900770952496E-2</v>
      </c>
      <c r="N5" s="165">
        <f>H5-D5</f>
        <v>-158</v>
      </c>
      <c r="P5" s="5">
        <v>3749.48</v>
      </c>
      <c r="Q5" s="5">
        <v>6079.51</v>
      </c>
      <c r="T5" s="5">
        <v>30513.039999999997</v>
      </c>
      <c r="X5" s="152">
        <f>Q5-P5</f>
        <v>2330.0300000000002</v>
      </c>
      <c r="Y5" s="4">
        <f>IF(P5=0,0,Q5/P5-1)</f>
        <v>0.62142750461397323</v>
      </c>
      <c r="Z5">
        <v>0.94374024666498868</v>
      </c>
      <c r="AA5">
        <f>Q5/H5</f>
        <v>1.5935806028833552</v>
      </c>
      <c r="AB5">
        <f>AA5-Z5</f>
        <v>0.64984035621836655</v>
      </c>
      <c r="AC5" s="18">
        <v>98204.87</v>
      </c>
      <c r="AD5" s="18">
        <v>99742.3</v>
      </c>
      <c r="AE5" s="4">
        <f>AD5/AC5-1</f>
        <v>1.5655333589871923E-2</v>
      </c>
      <c r="AF5" s="150">
        <f>(L5*2)-X5</f>
        <v>-2684.03</v>
      </c>
      <c r="AG5" t="s">
        <v>36</v>
      </c>
      <c r="AI5" s="172" t="s">
        <v>37</v>
      </c>
      <c r="AJ5" s="172">
        <f>Q5/AD5</f>
        <v>6.0952173751758279E-2</v>
      </c>
      <c r="AM5" s="161" t="s">
        <v>38</v>
      </c>
      <c r="AN5" s="162">
        <v>4767</v>
      </c>
      <c r="AP5" s="161" t="s">
        <v>39</v>
      </c>
      <c r="AQ5" s="162">
        <v>5358</v>
      </c>
    </row>
    <row r="6" spans="1:43">
      <c r="A6" t="s">
        <v>40</v>
      </c>
      <c r="B6" t="s">
        <v>41</v>
      </c>
      <c r="C6" s="30">
        <v>3082</v>
      </c>
      <c r="D6">
        <v>3082</v>
      </c>
      <c r="F6" t="s">
        <v>41</v>
      </c>
      <c r="G6" s="30">
        <v>2425</v>
      </c>
      <c r="H6" s="30">
        <v>2424</v>
      </c>
      <c r="I6" t="b">
        <f>IF(B6=F6,TRUE,FALSE)</f>
        <v>1</v>
      </c>
      <c r="L6" s="88">
        <f>G6-C6</f>
        <v>-657</v>
      </c>
      <c r="M6" s="4">
        <f>G6/C6-1</f>
        <v>-0.21317326411421156</v>
      </c>
      <c r="N6" s="165">
        <f>H6-D6</f>
        <v>-658</v>
      </c>
      <c r="P6" s="5">
        <v>2756.52</v>
      </c>
      <c r="Q6" s="5">
        <v>3933.95</v>
      </c>
      <c r="T6" s="5">
        <v>23834.560000000001</v>
      </c>
      <c r="X6" s="152">
        <f>Q6-P6</f>
        <v>1177.4299999999998</v>
      </c>
      <c r="Y6" s="4">
        <f>IF(P6=0,0,Q6/P6-1)</f>
        <v>0.42714364488558032</v>
      </c>
      <c r="Z6">
        <v>0.89439325113562618</v>
      </c>
      <c r="AA6">
        <f>Q6/H6</f>
        <v>1.6229166666666666</v>
      </c>
      <c r="AB6">
        <f>AA6-Z6</f>
        <v>0.72852341553104039</v>
      </c>
      <c r="AC6" s="18">
        <v>34820.729999999996</v>
      </c>
      <c r="AD6" s="18">
        <v>42222.53</v>
      </c>
      <c r="AE6" s="4">
        <f>AD6/AC6-1</f>
        <v>0.21256877727721402</v>
      </c>
      <c r="AF6" s="150">
        <f>(L6*2)-X6</f>
        <v>-2491.4299999999998</v>
      </c>
      <c r="AG6" t="s">
        <v>42</v>
      </c>
      <c r="AI6" s="172" t="s">
        <v>43</v>
      </c>
      <c r="AJ6" s="172">
        <f>Q6/AD6</f>
        <v>9.3171820826463969E-2</v>
      </c>
      <c r="AM6" s="163" t="s">
        <v>44</v>
      </c>
      <c r="AN6" s="164">
        <v>3233</v>
      </c>
      <c r="AP6" s="163" t="s">
        <v>45</v>
      </c>
      <c r="AQ6" s="164">
        <v>3413</v>
      </c>
    </row>
    <row r="7" spans="1:43" ht="13.9" customHeight="1">
      <c r="A7" t="s">
        <v>46</v>
      </c>
      <c r="B7" t="s">
        <v>47</v>
      </c>
      <c r="C7" s="30">
        <v>2488</v>
      </c>
      <c r="D7">
        <v>2487</v>
      </c>
      <c r="F7" t="s">
        <v>47</v>
      </c>
      <c r="G7" s="30">
        <v>2496</v>
      </c>
      <c r="H7" s="30">
        <v>2492</v>
      </c>
      <c r="I7" t="b">
        <f>IF(B7=F7,TRUE,FALSE)</f>
        <v>1</v>
      </c>
      <c r="L7">
        <f>G7-C7</f>
        <v>8</v>
      </c>
      <c r="M7" s="4">
        <f>G7/C7-1</f>
        <v>3.215434083601254E-3</v>
      </c>
      <c r="N7" s="165">
        <f>H7-D7</f>
        <v>5</v>
      </c>
      <c r="P7" s="5">
        <v>2088.3200000000002</v>
      </c>
      <c r="Q7" s="5">
        <v>4437.2</v>
      </c>
      <c r="T7" s="5">
        <v>26581.61</v>
      </c>
      <c r="X7" s="152">
        <f>Q7-P7</f>
        <v>2348.8799999999997</v>
      </c>
      <c r="Y7" s="4">
        <f>IF(P7=0,0,Q7/P7-1)</f>
        <v>1.1247701501685561</v>
      </c>
      <c r="Z7">
        <v>0.8396944109368718</v>
      </c>
      <c r="AA7">
        <f>Q7/H7</f>
        <v>1.7805778491171749</v>
      </c>
      <c r="AB7">
        <f>AA7-Z7</f>
        <v>0.94088343818030307</v>
      </c>
      <c r="AC7" s="18">
        <v>45778.13</v>
      </c>
      <c r="AD7" s="18">
        <v>63752.04</v>
      </c>
      <c r="AE7" s="4">
        <f>AD7/AC7-1</f>
        <v>0.39263093533964799</v>
      </c>
      <c r="AF7" s="150">
        <f>(L7*2)-X7</f>
        <v>-2332.8799999999997</v>
      </c>
      <c r="AG7" t="s">
        <v>48</v>
      </c>
      <c r="AI7" s="172" t="s">
        <v>49</v>
      </c>
      <c r="AJ7" s="172">
        <f>Q7/AD7</f>
        <v>6.9600910025781129E-2</v>
      </c>
      <c r="AM7" s="163" t="s">
        <v>50</v>
      </c>
      <c r="AN7" s="164">
        <v>6363</v>
      </c>
      <c r="AP7" s="163" t="s">
        <v>51</v>
      </c>
      <c r="AQ7" s="164">
        <v>5205</v>
      </c>
    </row>
    <row r="8" spans="1:43" ht="14.45" customHeight="1">
      <c r="A8" t="s">
        <v>52</v>
      </c>
      <c r="B8" t="s">
        <v>53</v>
      </c>
      <c r="C8" s="30">
        <v>6452</v>
      </c>
      <c r="D8">
        <v>6415</v>
      </c>
      <c r="F8" t="s">
        <v>53</v>
      </c>
      <c r="G8" s="30">
        <v>5684</v>
      </c>
      <c r="H8" s="30">
        <v>5664</v>
      </c>
      <c r="I8" t="b">
        <f>IF(B8=F8,TRUE,FALSE)</f>
        <v>1</v>
      </c>
      <c r="L8">
        <f>G8-C8</f>
        <v>-768</v>
      </c>
      <c r="M8" s="4">
        <f>G8/C8-1</f>
        <v>-0.11903285802851826</v>
      </c>
      <c r="N8" s="165">
        <f>H8-D8</f>
        <v>-751</v>
      </c>
      <c r="P8" s="5">
        <v>7265.78</v>
      </c>
      <c r="Q8" s="5">
        <v>7983.6</v>
      </c>
      <c r="T8" s="5">
        <v>45715.770000000004</v>
      </c>
      <c r="X8" s="152">
        <f>Q8-P8</f>
        <v>717.82000000000062</v>
      </c>
      <c r="Y8" s="4">
        <f>IF(P8=0,0,Q8/P8-1)</f>
        <v>9.8794623564159689E-2</v>
      </c>
      <c r="Z8">
        <v>1.1326235385814496</v>
      </c>
      <c r="AA8">
        <f>Q8/H8</f>
        <v>1.4095338983050849</v>
      </c>
      <c r="AB8">
        <f>AA8-Z8</f>
        <v>0.27691035972363531</v>
      </c>
      <c r="AC8" s="18">
        <v>174058.51</v>
      </c>
      <c r="AD8" s="18">
        <v>151599.47</v>
      </c>
      <c r="AE8" s="4">
        <f>AD8/AC8-1</f>
        <v>-0.12903155381486375</v>
      </c>
      <c r="AF8" s="150">
        <f>(L8*2)-X8</f>
        <v>-2253.8200000000006</v>
      </c>
      <c r="AG8" t="s">
        <v>54</v>
      </c>
      <c r="AI8" s="172" t="s">
        <v>55</v>
      </c>
      <c r="AJ8" s="172">
        <f>Q8/AD8</f>
        <v>5.2662453239447342E-2</v>
      </c>
      <c r="AM8" s="163" t="s">
        <v>56</v>
      </c>
      <c r="AN8" s="164">
        <v>1800</v>
      </c>
      <c r="AP8" s="163" t="s">
        <v>57</v>
      </c>
      <c r="AQ8" s="164">
        <v>2246</v>
      </c>
    </row>
    <row r="9" spans="1:43" ht="13.9" customHeight="1">
      <c r="A9" t="s">
        <v>58</v>
      </c>
      <c r="B9" t="s">
        <v>59</v>
      </c>
      <c r="C9" s="30">
        <v>2453</v>
      </c>
      <c r="D9">
        <v>2445</v>
      </c>
      <c r="F9" t="s">
        <v>59</v>
      </c>
      <c r="G9" s="30">
        <v>1831</v>
      </c>
      <c r="H9" s="30">
        <v>1829</v>
      </c>
      <c r="I9" t="b">
        <f>IF(B9=F9,TRUE,FALSE)</f>
        <v>1</v>
      </c>
      <c r="L9">
        <f>G9-C9</f>
        <v>-622</v>
      </c>
      <c r="M9" s="4">
        <f>G9/C9-1</f>
        <v>-0.25356706074194868</v>
      </c>
      <c r="N9" s="165">
        <f>H9-D9</f>
        <v>-616</v>
      </c>
      <c r="P9" s="5">
        <v>3752.96</v>
      </c>
      <c r="Q9" s="5">
        <v>4710.41</v>
      </c>
      <c r="T9" s="5">
        <v>24146.76</v>
      </c>
      <c r="X9" s="152">
        <f>Q9-P9</f>
        <v>957.44999999999982</v>
      </c>
      <c r="Y9" s="4">
        <f>IF(P9=0,0,Q9/P9-1)</f>
        <v>0.25511862636425642</v>
      </c>
      <c r="Z9">
        <v>1.5349529652351739</v>
      </c>
      <c r="AA9">
        <f>Q9/H9</f>
        <v>2.5754018589393111</v>
      </c>
      <c r="AB9">
        <f>AA9-Z9</f>
        <v>1.0404488937041372</v>
      </c>
      <c r="AC9" s="18">
        <v>47179.23</v>
      </c>
      <c r="AD9" s="18">
        <v>52489.599999999999</v>
      </c>
      <c r="AE9" s="4">
        <f>AD9/AC9-1</f>
        <v>0.11255736899478852</v>
      </c>
      <c r="AF9" s="150">
        <f>(L9*2)-X9</f>
        <v>-2201.4499999999998</v>
      </c>
      <c r="AG9" t="s">
        <v>60</v>
      </c>
      <c r="AI9" s="172" t="s">
        <v>61</v>
      </c>
      <c r="AJ9" s="172">
        <f>Q9/AD9</f>
        <v>8.9739872279461078E-2</v>
      </c>
      <c r="AM9" s="163" t="s">
        <v>57</v>
      </c>
      <c r="AN9" s="164">
        <v>2263</v>
      </c>
      <c r="AP9" s="163" t="s">
        <v>62</v>
      </c>
      <c r="AQ9" s="164">
        <v>2850</v>
      </c>
    </row>
    <row r="10" spans="1:43" ht="13.9" customHeight="1">
      <c r="A10" t="s">
        <v>63</v>
      </c>
      <c r="B10" t="s">
        <v>64</v>
      </c>
      <c r="C10" s="30">
        <v>4257</v>
      </c>
      <c r="D10">
        <v>4223</v>
      </c>
      <c r="F10" t="s">
        <v>64</v>
      </c>
      <c r="G10" s="30">
        <v>5007</v>
      </c>
      <c r="H10" s="30">
        <v>4981</v>
      </c>
      <c r="I10" t="b">
        <f>IF(B10=F10,TRUE,FALSE)</f>
        <v>1</v>
      </c>
      <c r="L10">
        <f>G10-C10</f>
        <v>750</v>
      </c>
      <c r="M10" s="4">
        <f>G10/C10-1</f>
        <v>0.17618040873854834</v>
      </c>
      <c r="N10" s="165">
        <f>H10-D10</f>
        <v>758</v>
      </c>
      <c r="P10" s="5">
        <v>6675.82</v>
      </c>
      <c r="Q10" s="5">
        <v>10215.879999999999</v>
      </c>
      <c r="T10" s="5">
        <v>90379.520000000004</v>
      </c>
      <c r="X10" s="152">
        <f>Q10-P10</f>
        <v>3540.0599999999995</v>
      </c>
      <c r="Y10" s="4">
        <f>IF(P10=0,0,Q10/P10-1)</f>
        <v>0.53028092429094853</v>
      </c>
      <c r="Z10">
        <v>1.5808240587260241</v>
      </c>
      <c r="AA10">
        <f>Q10/H10</f>
        <v>2.0509696848022485</v>
      </c>
      <c r="AB10">
        <f>AA10-Z10</f>
        <v>0.47014562607622445</v>
      </c>
      <c r="AC10" s="18">
        <v>106162.25</v>
      </c>
      <c r="AD10" s="18">
        <v>130287.7</v>
      </c>
      <c r="AE10" s="4">
        <f>AD10/AC10-1</f>
        <v>0.22725074120037969</v>
      </c>
      <c r="AF10" s="150">
        <f>(L10*2)-X10</f>
        <v>-2040.0599999999995</v>
      </c>
      <c r="AG10" t="s">
        <v>65</v>
      </c>
      <c r="AI10" s="172" t="s">
        <v>66</v>
      </c>
      <c r="AJ10" s="172">
        <f>Q10/AD10</f>
        <v>7.841016458192139E-2</v>
      </c>
      <c r="AM10" s="161" t="s">
        <v>67</v>
      </c>
      <c r="AN10" s="162">
        <v>8920</v>
      </c>
      <c r="AP10" s="161" t="s">
        <v>67</v>
      </c>
      <c r="AQ10" s="162">
        <v>11376</v>
      </c>
    </row>
    <row r="11" spans="1:43" ht="13.9" customHeight="1">
      <c r="A11" t="s">
        <v>68</v>
      </c>
      <c r="B11" t="s">
        <v>69</v>
      </c>
      <c r="C11" s="30">
        <v>1719</v>
      </c>
      <c r="D11">
        <v>1709</v>
      </c>
      <c r="F11" t="s">
        <v>69</v>
      </c>
      <c r="G11" s="30">
        <v>1862</v>
      </c>
      <c r="H11" s="30">
        <v>1855</v>
      </c>
      <c r="I11" t="b">
        <f>IF(B11=F11,TRUE,FALSE)</f>
        <v>1</v>
      </c>
      <c r="L11">
        <f>G11-C11</f>
        <v>143</v>
      </c>
      <c r="M11" s="4">
        <f>G11/C11-1</f>
        <v>8.3187899941826737E-2</v>
      </c>
      <c r="N11" s="165">
        <f>H11-D11</f>
        <v>146</v>
      </c>
      <c r="P11" s="5">
        <v>1757.17</v>
      </c>
      <c r="Q11" s="5">
        <v>3918.54</v>
      </c>
      <c r="T11" s="5">
        <v>25400.61</v>
      </c>
      <c r="X11" s="152">
        <f>Q11-P11</f>
        <v>2161.37</v>
      </c>
      <c r="Y11" s="4">
        <f>IF(P11=0,0,Q11/P11-1)</f>
        <v>1.2300289670322164</v>
      </c>
      <c r="Z11">
        <v>1.0281860737273261</v>
      </c>
      <c r="AA11">
        <f>Q11/H11</f>
        <v>2.112420485175202</v>
      </c>
      <c r="AB11">
        <f>AA11-Z11</f>
        <v>1.0842344114478759</v>
      </c>
      <c r="AC11" s="18">
        <v>53594.82</v>
      </c>
      <c r="AD11" s="18">
        <v>63255.39</v>
      </c>
      <c r="AE11" s="4">
        <f>AD11/AC11-1</f>
        <v>0.18025193479519097</v>
      </c>
      <c r="AF11" s="150">
        <f>(L11*2)-X11</f>
        <v>-1875.37</v>
      </c>
      <c r="AG11" t="s">
        <v>70</v>
      </c>
      <c r="AI11" s="172" t="s">
        <v>71</v>
      </c>
      <c r="AJ11" s="172">
        <f>Q11/AD11</f>
        <v>6.194792254067203E-2</v>
      </c>
      <c r="AM11" s="163" t="s">
        <v>39</v>
      </c>
      <c r="AN11" s="164">
        <v>4519</v>
      </c>
      <c r="AP11" s="163" t="s">
        <v>72</v>
      </c>
      <c r="AQ11" s="164">
        <v>5291</v>
      </c>
    </row>
    <row r="12" spans="1:43" ht="13.9" customHeight="1">
      <c r="A12" t="s">
        <v>73</v>
      </c>
      <c r="B12" t="s">
        <v>74</v>
      </c>
      <c r="C12" s="30">
        <v>18868</v>
      </c>
      <c r="D12">
        <v>18632</v>
      </c>
      <c r="F12" t="s">
        <v>74</v>
      </c>
      <c r="G12" s="30">
        <v>19668</v>
      </c>
      <c r="H12" s="30">
        <v>19553</v>
      </c>
      <c r="I12" t="b">
        <f>IF(B12=F12,TRUE,FALSE)</f>
        <v>1</v>
      </c>
      <c r="L12">
        <f>G12-C12</f>
        <v>800</v>
      </c>
      <c r="M12" s="4">
        <f>G12/C12-1</f>
        <v>4.2399830400678296E-2</v>
      </c>
      <c r="N12" s="165">
        <f>H12-D12</f>
        <v>921</v>
      </c>
      <c r="P12" s="5">
        <v>11780.64</v>
      </c>
      <c r="Q12" s="5">
        <v>18711.54</v>
      </c>
      <c r="T12" s="11">
        <v>116241.51</v>
      </c>
      <c r="X12" s="152">
        <f>Q12-P12</f>
        <v>6930.9000000000015</v>
      </c>
      <c r="Y12" s="4">
        <f>IF(P12=0,0,Q12/P12-1)</f>
        <v>0.58832966629996353</v>
      </c>
      <c r="Z12">
        <v>0.63227994847574065</v>
      </c>
      <c r="AA12">
        <f>Q12/H12</f>
        <v>0.95696517158492311</v>
      </c>
      <c r="AB12">
        <f>AA12-Z12</f>
        <v>0.32468522310918246</v>
      </c>
      <c r="AC12" s="18">
        <v>507873.51</v>
      </c>
      <c r="AD12" s="18">
        <v>547210.14</v>
      </c>
      <c r="AE12" s="4">
        <f>AD12/AC12-1</f>
        <v>7.7453596664255997E-2</v>
      </c>
      <c r="AF12" s="150">
        <f>(L12*2)-X12</f>
        <v>-5330.9000000000015</v>
      </c>
      <c r="AG12" t="s">
        <v>75</v>
      </c>
      <c r="AI12" s="172" t="s">
        <v>76</v>
      </c>
      <c r="AJ12" s="172">
        <f>Q12/AD12</f>
        <v>3.4194432142649986E-2</v>
      </c>
      <c r="AM12" s="163" t="s">
        <v>77</v>
      </c>
      <c r="AN12" s="164">
        <v>8538</v>
      </c>
      <c r="AP12" s="163" t="s">
        <v>77</v>
      </c>
      <c r="AQ12" s="164">
        <v>10801</v>
      </c>
    </row>
    <row r="13" spans="1:43" ht="13.9" customHeight="1">
      <c r="A13" t="s">
        <v>78</v>
      </c>
      <c r="B13" t="s">
        <v>79</v>
      </c>
      <c r="C13" s="30">
        <v>2944</v>
      </c>
      <c r="D13">
        <v>2895</v>
      </c>
      <c r="F13" t="s">
        <v>79</v>
      </c>
      <c r="G13" s="30">
        <v>1869</v>
      </c>
      <c r="H13" s="30">
        <v>1845</v>
      </c>
      <c r="I13" t="b">
        <f>IF(B13=F13,TRUE,FALSE)</f>
        <v>1</v>
      </c>
      <c r="L13">
        <f>G13-C13</f>
        <v>-1075</v>
      </c>
      <c r="M13" s="4">
        <f>G13/C13-1</f>
        <v>-0.36514945652173914</v>
      </c>
      <c r="N13" s="165">
        <f>H13-D13</f>
        <v>-1050</v>
      </c>
      <c r="P13" s="5">
        <v>3069.82</v>
      </c>
      <c r="Q13" s="5">
        <v>2843.07</v>
      </c>
      <c r="T13" s="5">
        <v>14397.39</v>
      </c>
      <c r="X13" s="152">
        <f>Q13-P13</f>
        <v>-226.75</v>
      </c>
      <c r="Y13" s="4">
        <f>IF(P13=0,0,Q13/P13-1)</f>
        <v>-7.3864265657269779E-2</v>
      </c>
      <c r="Z13">
        <v>1.0603868739205526</v>
      </c>
      <c r="AA13">
        <f>Q13/H13</f>
        <v>1.5409593495934961</v>
      </c>
      <c r="AB13">
        <f>AA13-Z13</f>
        <v>0.48057247567294348</v>
      </c>
      <c r="AC13" s="18">
        <v>101322.29</v>
      </c>
      <c r="AD13" s="18">
        <v>69729.77</v>
      </c>
      <c r="AE13" s="4">
        <f>AD13/AC13-1</f>
        <v>-0.31180226976709657</v>
      </c>
      <c r="AF13" s="150">
        <f>(L13*2)-X13</f>
        <v>-1923.25</v>
      </c>
      <c r="AG13" t="s">
        <v>80</v>
      </c>
      <c r="AI13" s="172" t="s">
        <v>81</v>
      </c>
      <c r="AJ13" s="172">
        <f>Q13/AD13</f>
        <v>4.0772685755309387E-2</v>
      </c>
      <c r="AM13" s="163" t="s">
        <v>82</v>
      </c>
      <c r="AN13" s="164">
        <v>930</v>
      </c>
      <c r="AP13" s="163" t="s">
        <v>83</v>
      </c>
      <c r="AQ13" s="164">
        <v>1064</v>
      </c>
    </row>
    <row r="14" spans="1:43" ht="13.9" customHeight="1">
      <c r="A14" t="s">
        <v>84</v>
      </c>
      <c r="B14" t="s">
        <v>38</v>
      </c>
      <c r="C14" s="30">
        <v>4869</v>
      </c>
      <c r="D14">
        <v>4767</v>
      </c>
      <c r="F14" t="s">
        <v>38</v>
      </c>
      <c r="G14" s="30">
        <v>4885</v>
      </c>
      <c r="H14" s="30">
        <v>4859</v>
      </c>
      <c r="I14" t="b">
        <f>IF(B14=F14,TRUE,FALSE)</f>
        <v>1</v>
      </c>
      <c r="L14" s="27">
        <f>G14-C14</f>
        <v>16</v>
      </c>
      <c r="M14" s="4">
        <f>G14/C14-1</f>
        <v>3.286095707537573E-3</v>
      </c>
      <c r="N14" s="165">
        <f>H14-D14</f>
        <v>92</v>
      </c>
      <c r="P14" s="5">
        <v>6476.45</v>
      </c>
      <c r="Q14" s="5">
        <v>8546.09</v>
      </c>
      <c r="T14" s="5">
        <v>50158.93</v>
      </c>
      <c r="X14" s="152">
        <f>Q14-P14</f>
        <v>2069.6400000000003</v>
      </c>
      <c r="Y14" s="4">
        <f>IF(P14=0,0,Q14/P14-1)</f>
        <v>0.31956395865018661</v>
      </c>
      <c r="Z14">
        <v>1.3586007971470526</v>
      </c>
      <c r="AA14">
        <f>Q14/H14</f>
        <v>1.758816628935995</v>
      </c>
      <c r="AB14">
        <f>AA14-Z14</f>
        <v>0.40021583178894238</v>
      </c>
      <c r="AC14" s="18">
        <v>183034.67</v>
      </c>
      <c r="AD14" s="18">
        <v>189793.78</v>
      </c>
      <c r="AE14" s="4">
        <f>AD14/AC14-1</f>
        <v>3.6928031175732956E-2</v>
      </c>
      <c r="AF14" s="150">
        <f>(L14*2)-X14</f>
        <v>-2037.6400000000003</v>
      </c>
      <c r="AG14" t="s">
        <v>85</v>
      </c>
      <c r="AI14" s="172" t="s">
        <v>86</v>
      </c>
      <c r="AJ14" s="172">
        <f>Q14/AD14</f>
        <v>4.5028293340277012E-2</v>
      </c>
      <c r="AM14" s="163" t="s">
        <v>87</v>
      </c>
      <c r="AN14" s="164">
        <v>2988</v>
      </c>
      <c r="AP14" s="163" t="s">
        <v>35</v>
      </c>
      <c r="AQ14" s="164">
        <v>3815</v>
      </c>
    </row>
    <row r="15" spans="1:43" ht="13.9" customHeight="1">
      <c r="A15" t="s">
        <v>88</v>
      </c>
      <c r="B15" t="s">
        <v>89</v>
      </c>
      <c r="C15" s="30">
        <v>3194</v>
      </c>
      <c r="D15">
        <v>3130</v>
      </c>
      <c r="F15" t="s">
        <v>89</v>
      </c>
      <c r="G15" s="30">
        <v>3351</v>
      </c>
      <c r="H15" s="30">
        <v>3321</v>
      </c>
      <c r="I15" t="b">
        <f>IF(B15=F15,TRUE,FALSE)</f>
        <v>1</v>
      </c>
      <c r="L15" s="27">
        <f>G15-C15</f>
        <v>157</v>
      </c>
      <c r="M15" s="4">
        <f>G15/C15-1</f>
        <v>4.9154664996869046E-2</v>
      </c>
      <c r="N15" s="165">
        <f>H15-D15</f>
        <v>191</v>
      </c>
      <c r="P15" s="5">
        <v>3141.61</v>
      </c>
      <c r="Q15" s="5">
        <v>5004.8599999999997</v>
      </c>
      <c r="T15" s="5">
        <v>32995.22</v>
      </c>
      <c r="X15" s="152">
        <f>Q15-P15</f>
        <v>1863.2499999999995</v>
      </c>
      <c r="Y15" s="4">
        <f>IF(P15=0,0,Q15/P15-1)</f>
        <v>0.59308762067856913</v>
      </c>
      <c r="Z15">
        <v>1.0037092651757189</v>
      </c>
      <c r="AA15">
        <f>Q15/H15</f>
        <v>1.5070340258958144</v>
      </c>
      <c r="AB15">
        <f>AA15-Z15</f>
        <v>0.50332476072009547</v>
      </c>
      <c r="AC15" s="18">
        <v>114779.16</v>
      </c>
      <c r="AD15" s="18">
        <v>129919.83</v>
      </c>
      <c r="AE15" s="4">
        <f>AD15/AC15-1</f>
        <v>0.13191131560816438</v>
      </c>
      <c r="AF15" s="150">
        <f>(L15*2)-X15</f>
        <v>-1549.2499999999995</v>
      </c>
      <c r="AG15" t="s">
        <v>90</v>
      </c>
      <c r="AI15" s="172" t="s">
        <v>91</v>
      </c>
      <c r="AJ15" s="172">
        <f>Q15/AD15</f>
        <v>3.852267971717635E-2</v>
      </c>
      <c r="AM15" s="161" t="s">
        <v>92</v>
      </c>
      <c r="AN15" s="162">
        <v>5029</v>
      </c>
      <c r="AP15" s="161" t="s">
        <v>93</v>
      </c>
      <c r="AQ15" s="162">
        <v>5125</v>
      </c>
    </row>
    <row r="16" spans="1:43" ht="13.9" customHeight="1">
      <c r="A16" t="s">
        <v>94</v>
      </c>
      <c r="B16" t="s">
        <v>95</v>
      </c>
      <c r="C16" s="30">
        <v>2658</v>
      </c>
      <c r="D16">
        <v>2651</v>
      </c>
      <c r="F16" t="s">
        <v>95</v>
      </c>
      <c r="G16" s="30">
        <v>2306</v>
      </c>
      <c r="H16" s="30">
        <v>2305</v>
      </c>
      <c r="I16" t="b">
        <f>IF(B16=F16,TRUE,FALSE)</f>
        <v>1</v>
      </c>
      <c r="L16">
        <f>G16-C16</f>
        <v>-352</v>
      </c>
      <c r="M16" s="4">
        <f>G16/C16-1</f>
        <v>-0.13243039879608731</v>
      </c>
      <c r="N16" s="165">
        <f>H16-D16</f>
        <v>-346</v>
      </c>
      <c r="P16" s="5">
        <v>1281.77</v>
      </c>
      <c r="Q16" s="5">
        <v>2118.27</v>
      </c>
      <c r="T16" s="5">
        <v>12161.029999999999</v>
      </c>
      <c r="X16" s="152">
        <f>Q16-P16</f>
        <v>836.5</v>
      </c>
      <c r="Y16" s="4">
        <f>IF(P16=0,0,Q16/P16-1)</f>
        <v>0.65261318333242313</v>
      </c>
      <c r="Z16">
        <v>0.48350433798566578</v>
      </c>
      <c r="AA16">
        <f>Q16/H16</f>
        <v>0.91898915401301517</v>
      </c>
      <c r="AB16">
        <f>AA16-Z16</f>
        <v>0.4354848160273494</v>
      </c>
      <c r="AC16" s="18">
        <v>39173.089999999997</v>
      </c>
      <c r="AD16" s="18">
        <v>37537.99</v>
      </c>
      <c r="AE16" s="4">
        <f>AD16/AC16-1</f>
        <v>-4.1740388618819679E-2</v>
      </c>
      <c r="AF16" s="150">
        <f>(L16*2)-X16</f>
        <v>-1540.5</v>
      </c>
      <c r="AG16" t="s">
        <v>96</v>
      </c>
      <c r="AI16" s="172" t="s">
        <v>97</v>
      </c>
      <c r="AJ16" s="172">
        <f>Q16/AD16</f>
        <v>5.6430032614958874E-2</v>
      </c>
      <c r="AM16" s="161" t="s">
        <v>98</v>
      </c>
      <c r="AN16" s="162">
        <v>2118</v>
      </c>
      <c r="AP16" s="161" t="s">
        <v>99</v>
      </c>
      <c r="AQ16" s="162">
        <v>3017</v>
      </c>
    </row>
    <row r="17" spans="1:43" ht="14.25" customHeight="1">
      <c r="A17" t="s">
        <v>100</v>
      </c>
      <c r="B17" t="s">
        <v>101</v>
      </c>
      <c r="C17" s="30">
        <v>1647</v>
      </c>
      <c r="D17">
        <v>1611</v>
      </c>
      <c r="F17" t="s">
        <v>101</v>
      </c>
      <c r="G17" s="30">
        <v>1820</v>
      </c>
      <c r="H17" s="30">
        <v>1805</v>
      </c>
      <c r="I17" t="b">
        <f>IF(B17=F17,TRUE,FALSE)</f>
        <v>1</v>
      </c>
      <c r="L17">
        <f>G17-C17</f>
        <v>173</v>
      </c>
      <c r="M17" s="4">
        <f>G17/C17-1</f>
        <v>0.10503946569520339</v>
      </c>
      <c r="N17" s="165">
        <f>H17-D17</f>
        <v>194</v>
      </c>
      <c r="P17" s="5">
        <v>2846.3</v>
      </c>
      <c r="Q17" s="5">
        <v>4733.29</v>
      </c>
      <c r="T17" s="5">
        <v>16348.710000000001</v>
      </c>
      <c r="X17" s="152">
        <f>Q17-P17</f>
        <v>1886.9899999999998</v>
      </c>
      <c r="Y17" s="4">
        <f>IF(P17=0,0,Q17/P17-1)</f>
        <v>0.66296244246917047</v>
      </c>
      <c r="Z17">
        <v>1.7667908131595285</v>
      </c>
      <c r="AA17">
        <f>Q17/H17</f>
        <v>2.6223213296398891</v>
      </c>
      <c r="AB17">
        <f>AA17-Z17</f>
        <v>0.8555305164803606</v>
      </c>
      <c r="AC17" s="18">
        <v>41083.56</v>
      </c>
      <c r="AD17" s="18">
        <v>45456.57</v>
      </c>
      <c r="AE17" s="4">
        <f>AD17/AC17-1</f>
        <v>0.10644184681171742</v>
      </c>
      <c r="AF17" s="150">
        <f>(L17*2)-X17</f>
        <v>-1540.9899999999998</v>
      </c>
      <c r="AG17" t="s">
        <v>102</v>
      </c>
      <c r="AI17" s="172" t="s">
        <v>103</v>
      </c>
      <c r="AJ17" s="172">
        <f>Q17/AD17</f>
        <v>0.10412774215036462</v>
      </c>
      <c r="AM17" s="163" t="s">
        <v>104</v>
      </c>
      <c r="AN17" s="164">
        <v>3983</v>
      </c>
      <c r="AP17" s="163" t="s">
        <v>105</v>
      </c>
      <c r="AQ17" s="164">
        <v>4932</v>
      </c>
    </row>
    <row r="18" spans="1:43" ht="13.9" customHeight="1">
      <c r="A18" t="s">
        <v>106</v>
      </c>
      <c r="B18" t="s">
        <v>107</v>
      </c>
      <c r="C18" s="30">
        <v>1717</v>
      </c>
      <c r="D18">
        <v>1705</v>
      </c>
      <c r="F18" t="s">
        <v>107</v>
      </c>
      <c r="G18" s="30">
        <v>2977</v>
      </c>
      <c r="H18" s="30">
        <v>2967</v>
      </c>
      <c r="I18" t="b">
        <f>IF(B18=F18,TRUE,FALSE)</f>
        <v>1</v>
      </c>
      <c r="L18">
        <f>G18-C18</f>
        <v>1260</v>
      </c>
      <c r="M18" s="4">
        <f>G18/C18-1</f>
        <v>0.73383808969132214</v>
      </c>
      <c r="N18" s="165">
        <f>H18-D18</f>
        <v>1262</v>
      </c>
      <c r="P18" s="5">
        <v>1499.66</v>
      </c>
      <c r="Q18" s="5">
        <v>6307.51</v>
      </c>
      <c r="T18" s="5">
        <v>34744.689999999995</v>
      </c>
      <c r="X18" s="152">
        <f>Q18-P18</f>
        <v>4807.8500000000004</v>
      </c>
      <c r="Y18" s="4">
        <f>IF(P18=0,0,Q18/P18-1)</f>
        <v>3.2059600176039904</v>
      </c>
      <c r="Z18">
        <v>0.87956598240469208</v>
      </c>
      <c r="AA18">
        <f>Q18/H18</f>
        <v>2.1258881024603977</v>
      </c>
      <c r="AB18">
        <f>AA18-Z18</f>
        <v>1.2463221200557055</v>
      </c>
      <c r="AC18" s="18">
        <v>48083.47</v>
      </c>
      <c r="AD18" s="18">
        <v>89161.15</v>
      </c>
      <c r="AE18" s="4">
        <f>AD18/AC18-1</f>
        <v>0.85429940892369016</v>
      </c>
      <c r="AF18" s="150">
        <f>(L18*2)-X18</f>
        <v>-2287.8500000000004</v>
      </c>
      <c r="AG18" t="s">
        <v>108</v>
      </c>
      <c r="AI18" s="172" t="s">
        <v>109</v>
      </c>
      <c r="AJ18" s="172">
        <f>Q18/AD18</f>
        <v>7.0742806704489569E-2</v>
      </c>
      <c r="AM18" s="161" t="s">
        <v>25</v>
      </c>
      <c r="AN18" s="162">
        <v>15274</v>
      </c>
      <c r="AP18" s="161" t="s">
        <v>33</v>
      </c>
      <c r="AQ18" s="162">
        <v>23395</v>
      </c>
    </row>
    <row r="19" spans="1:43" ht="13.9" customHeight="1">
      <c r="A19" t="s">
        <v>110</v>
      </c>
      <c r="B19" t="s">
        <v>111</v>
      </c>
      <c r="C19" s="30">
        <v>2597</v>
      </c>
      <c r="D19">
        <v>2569</v>
      </c>
      <c r="F19" t="s">
        <v>111</v>
      </c>
      <c r="G19" s="30">
        <v>3471</v>
      </c>
      <c r="H19" s="30">
        <v>3454</v>
      </c>
      <c r="I19" t="b">
        <f>IF(B19=F19,TRUE,FALSE)</f>
        <v>1</v>
      </c>
      <c r="L19">
        <f>G19-C19</f>
        <v>874</v>
      </c>
      <c r="M19" s="4">
        <f>G19/C19-1</f>
        <v>0.33654216403542558</v>
      </c>
      <c r="N19" s="165">
        <f>H19-D19</f>
        <v>885</v>
      </c>
      <c r="P19" s="5">
        <v>3255.67</v>
      </c>
      <c r="Q19" s="5">
        <v>6310.28</v>
      </c>
      <c r="T19" s="5">
        <v>33669.85</v>
      </c>
      <c r="X19" s="152">
        <f>Q19-P19</f>
        <v>3054.6099999999997</v>
      </c>
      <c r="Y19" s="4">
        <f>IF(P19=0,0,Q19/P19-1)</f>
        <v>0.93824312660681208</v>
      </c>
      <c r="Z19">
        <v>1.2672907746204749</v>
      </c>
      <c r="AA19">
        <f>Q19/H19</f>
        <v>1.8269484655471915</v>
      </c>
      <c r="AB19">
        <f>AA19-Z19</f>
        <v>0.55965769092671658</v>
      </c>
      <c r="AC19" s="18">
        <v>77780.149999999994</v>
      </c>
      <c r="AD19" s="18">
        <v>103926.5</v>
      </c>
      <c r="AE19" s="4">
        <f>AD19/AC19-1</f>
        <v>0.33615710435117463</v>
      </c>
      <c r="AF19" s="150">
        <f>(L19*2)-X19</f>
        <v>-1306.6099999999997</v>
      </c>
      <c r="AG19" t="s">
        <v>112</v>
      </c>
      <c r="AI19" s="172" t="s">
        <v>113</v>
      </c>
      <c r="AJ19" s="172">
        <f>Q19/AD19</f>
        <v>6.0718680990892601E-2</v>
      </c>
      <c r="AM19" s="161" t="s">
        <v>53</v>
      </c>
      <c r="AN19" s="162">
        <v>6415</v>
      </c>
      <c r="AP19" s="161" t="s">
        <v>114</v>
      </c>
      <c r="AQ19" s="162">
        <v>7570</v>
      </c>
    </row>
    <row r="20" spans="1:43" ht="13.9" customHeight="1">
      <c r="A20" t="s">
        <v>115</v>
      </c>
      <c r="B20" t="s">
        <v>116</v>
      </c>
      <c r="C20" s="30">
        <v>1622</v>
      </c>
      <c r="D20">
        <v>1602</v>
      </c>
      <c r="F20" t="s">
        <v>116</v>
      </c>
      <c r="G20" s="30">
        <v>2424</v>
      </c>
      <c r="H20" s="30">
        <v>2402</v>
      </c>
      <c r="I20" t="b">
        <f>IF(B20=F20,TRUE,FALSE)</f>
        <v>1</v>
      </c>
      <c r="L20">
        <f>G20-C20</f>
        <v>802</v>
      </c>
      <c r="M20" s="4">
        <f>G20/C20-1</f>
        <v>0.49445129469790383</v>
      </c>
      <c r="N20" s="165">
        <f>H20-D20</f>
        <v>800</v>
      </c>
      <c r="P20" s="5">
        <v>2462.8000000000002</v>
      </c>
      <c r="Q20" s="5">
        <v>5246.19</v>
      </c>
      <c r="T20" s="5">
        <v>23365.129999999997</v>
      </c>
      <c r="X20" s="152">
        <f>Q20-P20</f>
        <v>2783.3899999999994</v>
      </c>
      <c r="Y20" s="4">
        <f>IF(P20=0,0,Q20/P20-1)</f>
        <v>1.1301729738509012</v>
      </c>
      <c r="Z20">
        <v>1.5373283395755306</v>
      </c>
      <c r="AA20">
        <f>Q20/H20</f>
        <v>2.1840924229808492</v>
      </c>
      <c r="AB20">
        <f>AA20-Z20</f>
        <v>0.64676408340531855</v>
      </c>
      <c r="AC20" s="18">
        <v>38775.050000000003</v>
      </c>
      <c r="AD20" s="18">
        <v>58006.9</v>
      </c>
      <c r="AE20" s="4">
        <f>AD20/AC20-1</f>
        <v>0.49598517603458925</v>
      </c>
      <c r="AF20" s="150">
        <f>(L20*2)-X20</f>
        <v>-1179.3899999999994</v>
      </c>
      <c r="AG20" t="s">
        <v>117</v>
      </c>
      <c r="AI20" s="172" t="s">
        <v>118</v>
      </c>
      <c r="AJ20" s="172">
        <f>Q20/AD20</f>
        <v>9.0440792388491703E-2</v>
      </c>
      <c r="AM20" s="163" t="s">
        <v>119</v>
      </c>
      <c r="AN20" s="164">
        <v>5911</v>
      </c>
      <c r="AP20" s="163" t="s">
        <v>120</v>
      </c>
      <c r="AQ20" s="164">
        <v>8091</v>
      </c>
    </row>
    <row r="21" spans="1:43" ht="13.9" customHeight="1">
      <c r="A21" t="s">
        <v>121</v>
      </c>
      <c r="B21" t="s">
        <v>122</v>
      </c>
      <c r="C21" s="30">
        <v>1070</v>
      </c>
      <c r="D21">
        <v>1069</v>
      </c>
      <c r="F21" t="s">
        <v>122</v>
      </c>
      <c r="G21" s="30">
        <v>1407</v>
      </c>
      <c r="H21" s="30">
        <v>1406</v>
      </c>
      <c r="I21" t="b">
        <f>IF(B21=F21,TRUE,FALSE)</f>
        <v>1</v>
      </c>
      <c r="L21">
        <f>G21-C21</f>
        <v>337</v>
      </c>
      <c r="M21" s="4">
        <f>G21/C21-1</f>
        <v>0.31495327102803738</v>
      </c>
      <c r="N21" s="165">
        <f>H21-D21</f>
        <v>337</v>
      </c>
      <c r="P21" s="5">
        <v>1740.45</v>
      </c>
      <c r="Q21" s="5">
        <v>3544.32</v>
      </c>
      <c r="T21" s="5">
        <v>19532.21</v>
      </c>
      <c r="X21" s="152">
        <f>Q21-P21</f>
        <v>1803.8700000000001</v>
      </c>
      <c r="Y21" s="4">
        <f>IF(P21=0,0,Q21/P21-1)</f>
        <v>1.0364388520210293</v>
      </c>
      <c r="Z21">
        <v>1.6281103835360151</v>
      </c>
      <c r="AA21">
        <f>Q21/H21</f>
        <v>2.5208534850640114</v>
      </c>
      <c r="AB21">
        <f>AA21-Z21</f>
        <v>0.8927431015279963</v>
      </c>
      <c r="AC21" s="18">
        <v>24478.05</v>
      </c>
      <c r="AD21" s="18">
        <v>33107.74</v>
      </c>
      <c r="AE21" s="4">
        <f>AD21/AC21-1</f>
        <v>0.35254809921541952</v>
      </c>
      <c r="AF21" s="150">
        <f>(L21*2)-X21</f>
        <v>-1129.8700000000001</v>
      </c>
      <c r="AG21" s="172" t="s">
        <v>123</v>
      </c>
      <c r="AI21" s="172" t="s">
        <v>124</v>
      </c>
      <c r="AJ21" s="172">
        <f>Q21/AD21</f>
        <v>0.10705412087928685</v>
      </c>
      <c r="AM21" s="161" t="s">
        <v>125</v>
      </c>
      <c r="AN21" s="162">
        <v>3602</v>
      </c>
      <c r="AP21" s="161" t="s">
        <v>126</v>
      </c>
      <c r="AQ21" s="162">
        <v>4507</v>
      </c>
    </row>
    <row r="22" spans="1:43" ht="13.9" customHeight="1">
      <c r="A22" t="s">
        <v>127</v>
      </c>
      <c r="B22" t="s">
        <v>128</v>
      </c>
      <c r="C22" s="30">
        <v>4406</v>
      </c>
      <c r="D22">
        <v>4385</v>
      </c>
      <c r="F22" t="s">
        <v>128</v>
      </c>
      <c r="G22" s="30">
        <v>5683</v>
      </c>
      <c r="H22" s="30">
        <v>5674</v>
      </c>
      <c r="I22" t="b">
        <f>IF(B22=F22,TRUE,FALSE)</f>
        <v>1</v>
      </c>
      <c r="L22">
        <f>G22-C22</f>
        <v>1277</v>
      </c>
      <c r="M22" s="4">
        <f>G22/C22-1</f>
        <v>0.28983204720835221</v>
      </c>
      <c r="N22" s="165">
        <f>H22-D22</f>
        <v>1289</v>
      </c>
      <c r="P22" s="5">
        <v>839.01</v>
      </c>
      <c r="Q22" s="5">
        <v>4469.12</v>
      </c>
      <c r="T22" s="5">
        <v>43349.29</v>
      </c>
      <c r="X22" s="152">
        <f>Q22-P22</f>
        <v>3630.1099999999997</v>
      </c>
      <c r="Y22" s="4">
        <f>IF(P22=0,0,Q22/P22-1)</f>
        <v>4.3266588002526785</v>
      </c>
      <c r="Z22">
        <v>0.19133637400228051</v>
      </c>
      <c r="AA22">
        <f>Q22/H22</f>
        <v>0.78764892492069083</v>
      </c>
      <c r="AB22">
        <f>AA22-Z22</f>
        <v>0.59631255091841029</v>
      </c>
      <c r="AC22" s="18">
        <v>131563.46</v>
      </c>
      <c r="AD22" s="18">
        <v>169222.08</v>
      </c>
      <c r="AE22" s="4">
        <f>AD22/AC22-1</f>
        <v>0.28623920349920873</v>
      </c>
      <c r="AF22" s="150">
        <f>(L22*2)-X22</f>
        <v>-1076.1099999999997</v>
      </c>
      <c r="AG22" t="s">
        <v>129</v>
      </c>
      <c r="AI22" s="172" t="s">
        <v>130</v>
      </c>
      <c r="AJ22" s="172">
        <f>Q22/AD22</f>
        <v>2.6409792386430899E-2</v>
      </c>
      <c r="AM22" s="163" t="s">
        <v>131</v>
      </c>
      <c r="AN22" s="164">
        <v>12705</v>
      </c>
      <c r="AP22" s="163" t="s">
        <v>131</v>
      </c>
      <c r="AQ22" s="164">
        <v>13328</v>
      </c>
    </row>
    <row r="23" spans="1:43" ht="13.9" customHeight="1">
      <c r="A23" t="s">
        <v>132</v>
      </c>
      <c r="B23" t="s">
        <v>133</v>
      </c>
      <c r="C23" s="30">
        <v>3170</v>
      </c>
      <c r="D23">
        <v>3134</v>
      </c>
      <c r="F23" t="s">
        <v>133</v>
      </c>
      <c r="G23" s="30">
        <v>3964</v>
      </c>
      <c r="H23" s="30">
        <v>3946</v>
      </c>
      <c r="I23" t="b">
        <f>IF(B23=F23,TRUE,FALSE)</f>
        <v>1</v>
      </c>
      <c r="L23">
        <f>G23-C23</f>
        <v>794</v>
      </c>
      <c r="M23" s="4">
        <f>G23/C23-1</f>
        <v>0.2504731861198739</v>
      </c>
      <c r="N23" s="165">
        <f>H23-D23</f>
        <v>812</v>
      </c>
      <c r="P23" s="5">
        <v>5610.34</v>
      </c>
      <c r="Q23" s="5">
        <v>8474.01</v>
      </c>
      <c r="T23" s="5">
        <v>42375.11</v>
      </c>
      <c r="X23" s="152">
        <f>Q23-P23</f>
        <v>2863.67</v>
      </c>
      <c r="Y23" s="4">
        <f>IF(P23=0,0,Q23/P23-1)</f>
        <v>0.51042717553659855</v>
      </c>
      <c r="Z23">
        <v>1.7901531589023612</v>
      </c>
      <c r="AA23">
        <f>Q23/H23</f>
        <v>2.1474936644703497</v>
      </c>
      <c r="AB23">
        <f>AA23-Z23</f>
        <v>0.35734050556798858</v>
      </c>
      <c r="AC23" s="18">
        <v>106934.91</v>
      </c>
      <c r="AD23" s="18">
        <v>134388.59</v>
      </c>
      <c r="AE23" s="4">
        <f>AD23/AC23-1</f>
        <v>0.25673262361187743</v>
      </c>
      <c r="AF23" s="150">
        <f>(L23*2)-X23</f>
        <v>-1275.67</v>
      </c>
      <c r="AG23" t="s">
        <v>134</v>
      </c>
      <c r="AI23" s="172" t="s">
        <v>135</v>
      </c>
      <c r="AJ23" s="172">
        <f>Q23/AD23</f>
        <v>6.3056022836462527E-2</v>
      </c>
      <c r="AM23" s="161" t="s">
        <v>136</v>
      </c>
      <c r="AN23" s="162">
        <v>5250</v>
      </c>
      <c r="AP23" s="161" t="s">
        <v>136</v>
      </c>
      <c r="AQ23" s="162">
        <v>7176</v>
      </c>
    </row>
    <row r="24" spans="1:43" ht="13.9" customHeight="1">
      <c r="A24" t="s">
        <v>137</v>
      </c>
      <c r="B24" t="s">
        <v>138</v>
      </c>
      <c r="C24" s="30">
        <v>1179</v>
      </c>
      <c r="D24">
        <v>1162</v>
      </c>
      <c r="F24" t="s">
        <v>138</v>
      </c>
      <c r="G24" s="30">
        <v>1859</v>
      </c>
      <c r="H24" s="30">
        <v>1850</v>
      </c>
      <c r="I24" t="b">
        <f>IF(B24=F24,TRUE,FALSE)</f>
        <v>1</v>
      </c>
      <c r="L24">
        <f>G24-C24</f>
        <v>680</v>
      </c>
      <c r="M24" s="4">
        <f>G24/C24-1</f>
        <v>0.57675996607294322</v>
      </c>
      <c r="N24" s="165">
        <f>H24-D24</f>
        <v>688</v>
      </c>
      <c r="P24" s="5">
        <v>1849.6</v>
      </c>
      <c r="Q24" s="5">
        <v>4284.91</v>
      </c>
      <c r="T24" s="5">
        <v>24303.49</v>
      </c>
      <c r="X24" s="152">
        <f>Q24-P24</f>
        <v>2435.31</v>
      </c>
      <c r="Y24" s="4">
        <f>IF(P24=0,0,Q24/P24-1)</f>
        <v>1.3166684688581314</v>
      </c>
      <c r="Z24">
        <v>1.5917383820998279</v>
      </c>
      <c r="AA24">
        <f>Q24/H24</f>
        <v>2.3161675675675677</v>
      </c>
      <c r="AB24">
        <f>AA24-Z24</f>
        <v>0.72442918546773982</v>
      </c>
      <c r="AC24" s="18">
        <v>35143.21</v>
      </c>
      <c r="AD24" s="18">
        <v>55751.41</v>
      </c>
      <c r="AE24" s="4">
        <f>AD24/AC24-1</f>
        <v>0.58640630722122444</v>
      </c>
      <c r="AF24" s="150">
        <f>(L24*2)-X24</f>
        <v>-1075.31</v>
      </c>
      <c r="AG24" t="s">
        <v>139</v>
      </c>
      <c r="AI24" s="172" t="s">
        <v>140</v>
      </c>
      <c r="AJ24" s="172">
        <f>Q24/AD24</f>
        <v>7.6857428359211E-2</v>
      </c>
      <c r="AM24" s="161" t="s">
        <v>93</v>
      </c>
      <c r="AN24" s="162">
        <v>4994</v>
      </c>
      <c r="AP24" s="161" t="s">
        <v>128</v>
      </c>
      <c r="AQ24" s="162">
        <v>5674</v>
      </c>
    </row>
    <row r="25" spans="1:43" ht="13.9" customHeight="1">
      <c r="A25" t="s">
        <v>141</v>
      </c>
      <c r="B25" t="s">
        <v>142</v>
      </c>
      <c r="C25" s="30">
        <v>1362</v>
      </c>
      <c r="D25">
        <v>1358</v>
      </c>
      <c r="F25" t="s">
        <v>142</v>
      </c>
      <c r="G25" s="30">
        <v>1844</v>
      </c>
      <c r="H25" s="30">
        <v>1834</v>
      </c>
      <c r="I25" t="b">
        <f>IF(B25=F25,TRUE,FALSE)</f>
        <v>1</v>
      </c>
      <c r="L25">
        <f>G25-C25</f>
        <v>482</v>
      </c>
      <c r="M25" s="4">
        <f>G25/C25-1</f>
        <v>0.35389133627019098</v>
      </c>
      <c r="N25" s="165">
        <f>H25-D25</f>
        <v>476</v>
      </c>
      <c r="P25" s="5">
        <v>1900.88</v>
      </c>
      <c r="Q25" s="5">
        <v>3843.49</v>
      </c>
      <c r="T25" s="5">
        <v>17424.53</v>
      </c>
      <c r="X25" s="152">
        <f>Q25-P25</f>
        <v>1942.6099999999997</v>
      </c>
      <c r="Y25" s="4">
        <f>IF(P25=0,0,Q25/P25-1)</f>
        <v>1.021952990194015</v>
      </c>
      <c r="Z25">
        <v>1.3997643593519884</v>
      </c>
      <c r="AA25">
        <f>Q25/H25</f>
        <v>2.0956870229007634</v>
      </c>
      <c r="AB25">
        <f>AA25-Z25</f>
        <v>0.69592266354877497</v>
      </c>
      <c r="AC25" s="18">
        <v>27171.9</v>
      </c>
      <c r="AD25" s="18">
        <v>36787.800000000003</v>
      </c>
      <c r="AE25" s="4">
        <f>AD25/AC25-1</f>
        <v>0.35389133627019098</v>
      </c>
      <c r="AF25" s="150">
        <f>(L25*2)-X25</f>
        <v>-978.60999999999967</v>
      </c>
      <c r="AG25" t="s">
        <v>143</v>
      </c>
      <c r="AI25" s="172" t="s">
        <v>144</v>
      </c>
      <c r="AJ25" s="172">
        <f>Q25/AD25</f>
        <v>0.10447729953952124</v>
      </c>
      <c r="AM25" s="163" t="s">
        <v>145</v>
      </c>
      <c r="AN25" s="164">
        <v>4269</v>
      </c>
      <c r="AP25" s="163" t="s">
        <v>145</v>
      </c>
      <c r="AQ25" s="164">
        <v>5052</v>
      </c>
    </row>
    <row r="26" spans="1:43" ht="13.9" customHeight="1">
      <c r="A26" t="s">
        <v>146</v>
      </c>
      <c r="B26" t="s">
        <v>147</v>
      </c>
      <c r="C26" s="30">
        <v>874</v>
      </c>
      <c r="D26">
        <v>864</v>
      </c>
      <c r="F26" t="s">
        <v>147</v>
      </c>
      <c r="G26" s="30">
        <v>1170</v>
      </c>
      <c r="H26" s="30">
        <v>1157</v>
      </c>
      <c r="I26" t="b">
        <f>IF(B26=F26,TRUE,FALSE)</f>
        <v>1</v>
      </c>
      <c r="L26">
        <f>G26-C26</f>
        <v>296</v>
      </c>
      <c r="M26" s="4">
        <f>G26/C26-1</f>
        <v>0.33867276887871856</v>
      </c>
      <c r="N26" s="165">
        <f>H26-D26</f>
        <v>293</v>
      </c>
      <c r="P26" s="5">
        <v>702.17</v>
      </c>
      <c r="Q26" s="5">
        <v>2193.5500000000002</v>
      </c>
      <c r="T26" s="5">
        <v>8947.130000000001</v>
      </c>
      <c r="X26" s="152">
        <f>Q26-P26</f>
        <v>1491.38</v>
      </c>
      <c r="Y26" s="4">
        <f>IF(P26=0,0,Q26/P26-1)</f>
        <v>2.1239585855277214</v>
      </c>
      <c r="Z26">
        <v>0.81269675925925922</v>
      </c>
      <c r="AA26">
        <f>Q26/H26</f>
        <v>1.895894554883319</v>
      </c>
      <c r="AB26">
        <f>AA26-Z26</f>
        <v>1.0831977956240597</v>
      </c>
      <c r="AC26" s="18">
        <v>25308.27</v>
      </c>
      <c r="AD26" s="18">
        <v>33918.300000000003</v>
      </c>
      <c r="AE26" s="4">
        <f>AD26/AC26-1</f>
        <v>0.34020618556701043</v>
      </c>
      <c r="AF26" s="150">
        <f>(L26*2)-X26</f>
        <v>-899.38000000000011</v>
      </c>
      <c r="AG26" t="s">
        <v>148</v>
      </c>
      <c r="AI26" s="172" t="s">
        <v>149</v>
      </c>
      <c r="AJ26" s="172">
        <f>Q26/AD26</f>
        <v>6.46715784694398E-2</v>
      </c>
      <c r="AM26" s="161" t="s">
        <v>150</v>
      </c>
      <c r="AN26" s="162">
        <v>2936</v>
      </c>
      <c r="AP26" s="161" t="s">
        <v>151</v>
      </c>
      <c r="AQ26" s="162">
        <v>3472</v>
      </c>
    </row>
    <row r="27" spans="1:43" ht="13.9" customHeight="1">
      <c r="A27" t="s">
        <v>152</v>
      </c>
      <c r="B27" t="s">
        <v>120</v>
      </c>
      <c r="C27" s="30">
        <v>5173</v>
      </c>
      <c r="D27">
        <v>5125</v>
      </c>
      <c r="F27" t="s">
        <v>120</v>
      </c>
      <c r="G27" s="30">
        <v>8115</v>
      </c>
      <c r="H27" s="30">
        <v>8091</v>
      </c>
      <c r="I27" t="b">
        <f>IF(B27=F27,TRUE,FALSE)</f>
        <v>1</v>
      </c>
      <c r="L27">
        <f>G27-C27</f>
        <v>2942</v>
      </c>
      <c r="M27" s="4">
        <f>G27/C27-1</f>
        <v>0.56872221148269864</v>
      </c>
      <c r="N27" s="165">
        <f>H27-D27</f>
        <v>2966</v>
      </c>
      <c r="P27" s="5">
        <v>3870.52</v>
      </c>
      <c r="Q27" s="5">
        <v>10916.65</v>
      </c>
      <c r="T27" s="5">
        <v>47681.240000000005</v>
      </c>
      <c r="X27" s="152">
        <f>Q27-P27</f>
        <v>7046.1299999999992</v>
      </c>
      <c r="Y27" s="4">
        <f>IF(P27=0,0,Q27/P27-1)</f>
        <v>1.8204608166344571</v>
      </c>
      <c r="Z27">
        <v>0.75522341463414633</v>
      </c>
      <c r="AA27">
        <f>Q27/H27</f>
        <v>1.3492337164750958</v>
      </c>
      <c r="AB27">
        <f>AA27-Z27</f>
        <v>0.5940103018409495</v>
      </c>
      <c r="AC27" s="18">
        <v>126748.1</v>
      </c>
      <c r="AD27" s="18">
        <v>202008.83</v>
      </c>
      <c r="AE27" s="4">
        <f>AD27/AC27-1</f>
        <v>0.59378191862442109</v>
      </c>
      <c r="AF27" s="150">
        <f>(L27*2)-X27</f>
        <v>-1162.1299999999992</v>
      </c>
      <c r="AG27" t="s">
        <v>153</v>
      </c>
      <c r="AI27" s="172" t="s">
        <v>154</v>
      </c>
      <c r="AJ27" s="172">
        <f>Q27/AD27</f>
        <v>5.4040459518526991E-2</v>
      </c>
      <c r="AM27" s="161" t="s">
        <v>155</v>
      </c>
      <c r="AN27" s="162">
        <v>21688</v>
      </c>
      <c r="AP27" s="161" t="s">
        <v>74</v>
      </c>
      <c r="AQ27" s="162">
        <v>19553</v>
      </c>
    </row>
    <row r="28" spans="1:43" ht="13.9" customHeight="1">
      <c r="A28" t="s">
        <v>156</v>
      </c>
      <c r="B28" t="s">
        <v>45</v>
      </c>
      <c r="C28" s="30">
        <v>2975</v>
      </c>
      <c r="D28">
        <v>2965</v>
      </c>
      <c r="F28" t="s">
        <v>45</v>
      </c>
      <c r="G28" s="30">
        <v>3430</v>
      </c>
      <c r="H28" s="30">
        <v>3413</v>
      </c>
      <c r="I28" t="b">
        <f>IF(B28=F28,TRUE,FALSE)</f>
        <v>1</v>
      </c>
      <c r="L28">
        <f>G28-C28</f>
        <v>455</v>
      </c>
      <c r="M28" s="4">
        <f>G28/C28-1</f>
        <v>0.15294117647058814</v>
      </c>
      <c r="N28" s="165">
        <f>H28-D28</f>
        <v>448</v>
      </c>
      <c r="P28" s="5">
        <v>5040.84</v>
      </c>
      <c r="Q28" s="5">
        <v>6591.63</v>
      </c>
      <c r="T28" s="5">
        <v>57916.58</v>
      </c>
      <c r="X28" s="152">
        <f>Q28-P28</f>
        <v>1550.79</v>
      </c>
      <c r="Y28" s="4">
        <f>IF(P28=0,0,Q28/P28-1)</f>
        <v>0.30764515437903195</v>
      </c>
      <c r="Z28">
        <v>1.7001146711635751</v>
      </c>
      <c r="AA28">
        <f>Q28/H28</f>
        <v>1.9313302080281278</v>
      </c>
      <c r="AB28">
        <f>AA28-Z28</f>
        <v>0.23121553686455276</v>
      </c>
      <c r="AC28" s="18">
        <v>73978.070000000007</v>
      </c>
      <c r="AD28" s="18">
        <v>85715.700000000012</v>
      </c>
      <c r="AE28" s="4">
        <f>AD28/AC28-1</f>
        <v>0.15866364180628123</v>
      </c>
      <c r="AF28" s="150">
        <f>(L28*2)-X28</f>
        <v>-640.79</v>
      </c>
      <c r="AJ28" s="172">
        <f>Q28/AD28</f>
        <v>7.6901081132161306E-2</v>
      </c>
      <c r="AM28" s="163" t="s">
        <v>126</v>
      </c>
      <c r="AN28" s="164">
        <v>3644</v>
      </c>
      <c r="AP28" s="163" t="s">
        <v>30</v>
      </c>
      <c r="AQ28" s="164">
        <v>4799</v>
      </c>
    </row>
    <row r="29" spans="1:43" ht="13.9" customHeight="1">
      <c r="A29" t="s">
        <v>157</v>
      </c>
      <c r="B29" t="s">
        <v>151</v>
      </c>
      <c r="C29" s="30">
        <v>3061</v>
      </c>
      <c r="D29">
        <v>3028</v>
      </c>
      <c r="F29" t="s">
        <v>151</v>
      </c>
      <c r="G29" s="30">
        <v>3497</v>
      </c>
      <c r="H29" s="30">
        <v>3472</v>
      </c>
      <c r="I29" t="b">
        <f>IF(B29=F29,TRUE,FALSE)</f>
        <v>1</v>
      </c>
      <c r="L29">
        <f>G29-C29</f>
        <v>436</v>
      </c>
      <c r="M29" s="4">
        <f>G29/C29-1</f>
        <v>0.14243711205488396</v>
      </c>
      <c r="N29" s="165">
        <f>H29-D29</f>
        <v>444</v>
      </c>
      <c r="P29" s="5">
        <v>2966.2</v>
      </c>
      <c r="Q29" s="5">
        <v>4640.71</v>
      </c>
      <c r="T29" s="5">
        <v>24038.079999999998</v>
      </c>
      <c r="X29" s="152">
        <f>Q29-P29</f>
        <v>1674.5100000000002</v>
      </c>
      <c r="Y29" s="4">
        <f>IF(P29=0,0,Q29/P29-1)</f>
        <v>0.56453037556469576</v>
      </c>
      <c r="Z29">
        <v>0.97959048877146626</v>
      </c>
      <c r="AA29">
        <f>Q29/H29</f>
        <v>1.3366100230414746</v>
      </c>
      <c r="AB29">
        <f>AA29-Z29</f>
        <v>0.35701953427000832</v>
      </c>
      <c r="AC29" s="18">
        <v>63116.94</v>
      </c>
      <c r="AD29" s="18">
        <v>76553.8</v>
      </c>
      <c r="AE29" s="4">
        <f>AD29/AC29-1</f>
        <v>0.212888330771422</v>
      </c>
      <c r="AF29" s="150">
        <f>(L29*2)-X29</f>
        <v>-802.51000000000022</v>
      </c>
      <c r="AJ29" s="172">
        <f>Q29/AD29</f>
        <v>6.0620243541143613E-2</v>
      </c>
      <c r="AM29" s="163" t="s">
        <v>158</v>
      </c>
      <c r="AN29" s="164">
        <v>3223</v>
      </c>
      <c r="AP29" s="163" t="s">
        <v>159</v>
      </c>
      <c r="AQ29" s="164">
        <v>3892</v>
      </c>
    </row>
    <row r="30" spans="1:43" ht="13.9" customHeight="1">
      <c r="A30" t="s">
        <v>160</v>
      </c>
      <c r="B30" t="s">
        <v>161</v>
      </c>
      <c r="C30" s="30">
        <v>1038</v>
      </c>
      <c r="D30">
        <v>1026</v>
      </c>
      <c r="F30" t="s">
        <v>161</v>
      </c>
      <c r="G30" s="30">
        <v>1033</v>
      </c>
      <c r="H30" s="30">
        <v>1032</v>
      </c>
      <c r="I30" t="b">
        <f>IF(B30=F30,TRUE,FALSE)</f>
        <v>1</v>
      </c>
      <c r="L30">
        <f>G30-C30</f>
        <v>-5</v>
      </c>
      <c r="M30" s="4">
        <f>G30/C30-1</f>
        <v>-4.816955684007751E-3</v>
      </c>
      <c r="N30" s="165">
        <f>H30-D30</f>
        <v>6</v>
      </c>
      <c r="P30" s="5">
        <v>561.16</v>
      </c>
      <c r="Q30" s="5">
        <v>1335.32</v>
      </c>
      <c r="T30" s="5">
        <v>7361.9500000000007</v>
      </c>
      <c r="X30" s="152">
        <f>Q30-P30</f>
        <v>774.16</v>
      </c>
      <c r="Y30" s="4">
        <f>IF(P30=0,0,Q30/P30-1)</f>
        <v>1.3795708888730487</v>
      </c>
      <c r="Z30">
        <v>0.54693957115009739</v>
      </c>
      <c r="AA30">
        <f>Q30/H30</f>
        <v>1.2939147286821704</v>
      </c>
      <c r="AB30">
        <f>AA30-Z30</f>
        <v>0.746975157532073</v>
      </c>
      <c r="AC30" s="18">
        <v>24212.300000000003</v>
      </c>
      <c r="AD30" s="18">
        <v>24773.030000000002</v>
      </c>
      <c r="AE30" s="4">
        <f>AD30/AC30-1</f>
        <v>2.3158890316079095E-2</v>
      </c>
      <c r="AF30" s="150">
        <f>(L30*2)-X30</f>
        <v>-784.16</v>
      </c>
      <c r="AJ30" s="172">
        <f>Q30/AD30</f>
        <v>5.390216699370242E-2</v>
      </c>
      <c r="AM30" s="161" t="s">
        <v>162</v>
      </c>
      <c r="AN30" s="162">
        <v>1823</v>
      </c>
      <c r="AP30" s="161" t="s">
        <v>163</v>
      </c>
      <c r="AQ30" s="162">
        <v>2309</v>
      </c>
    </row>
    <row r="31" spans="1:43" ht="13.9" customHeight="1">
      <c r="A31" t="s">
        <v>164</v>
      </c>
      <c r="B31" t="s">
        <v>165</v>
      </c>
      <c r="C31" s="30">
        <v>1071</v>
      </c>
      <c r="D31">
        <v>1064</v>
      </c>
      <c r="F31" t="s">
        <v>165</v>
      </c>
      <c r="G31" s="30">
        <v>1897</v>
      </c>
      <c r="H31" s="30">
        <v>1894</v>
      </c>
      <c r="I31" t="b">
        <f>IF(B31=F31,TRUE,FALSE)</f>
        <v>1</v>
      </c>
      <c r="L31">
        <f>G31-C31</f>
        <v>826</v>
      </c>
      <c r="M31" s="4">
        <f>G31/C31-1</f>
        <v>0.7712418300653594</v>
      </c>
      <c r="N31" s="165">
        <f>H31-D31</f>
        <v>830</v>
      </c>
      <c r="P31" s="5">
        <v>1225.1600000000001</v>
      </c>
      <c r="Q31" s="5">
        <v>3637.39</v>
      </c>
      <c r="T31" s="5">
        <v>27119.66</v>
      </c>
      <c r="X31" s="152">
        <f>Q31-P31</f>
        <v>2412.2299999999996</v>
      </c>
      <c r="Y31" s="4">
        <f>IF(P31=0,0,Q31/P31-1)</f>
        <v>1.9689101831597502</v>
      </c>
      <c r="Z31">
        <v>1.1514661654135339</v>
      </c>
      <c r="AA31">
        <f>Q31/H31</f>
        <v>1.9204804646251319</v>
      </c>
      <c r="AB31">
        <f>AA31-Z31</f>
        <v>0.76901429921159803</v>
      </c>
      <c r="AC31" s="18">
        <v>28863.45</v>
      </c>
      <c r="AD31" s="18">
        <v>54965.04</v>
      </c>
      <c r="AE31" s="4">
        <f>AD31/AC31-1</f>
        <v>0.90431289398876435</v>
      </c>
      <c r="AF31" s="150">
        <f>(L31*2)-X31</f>
        <v>-760.22999999999956</v>
      </c>
      <c r="AJ31" s="172">
        <f>Q31/AD31</f>
        <v>6.6176427780276326E-2</v>
      </c>
      <c r="AM31" s="163" t="s">
        <v>166</v>
      </c>
      <c r="AN31" s="164">
        <v>4817</v>
      </c>
      <c r="AP31" s="163" t="s">
        <v>104</v>
      </c>
      <c r="AQ31" s="164">
        <v>5624</v>
      </c>
    </row>
    <row r="32" spans="1:43" ht="13.9" customHeight="1">
      <c r="A32" t="s">
        <v>167</v>
      </c>
      <c r="B32" t="s">
        <v>168</v>
      </c>
      <c r="C32" s="30">
        <v>1421</v>
      </c>
      <c r="D32">
        <v>1414</v>
      </c>
      <c r="F32" t="s">
        <v>168</v>
      </c>
      <c r="G32" s="30">
        <v>1556</v>
      </c>
      <c r="H32" s="30">
        <v>1551</v>
      </c>
      <c r="I32" t="b">
        <f>IF(B32=F32,TRUE,FALSE)</f>
        <v>1</v>
      </c>
      <c r="L32">
        <f>G32-C32</f>
        <v>135</v>
      </c>
      <c r="M32" s="4">
        <f>G32/C32-1</f>
        <v>9.5003518648838936E-2</v>
      </c>
      <c r="N32" s="165">
        <f>H32-D32</f>
        <v>137</v>
      </c>
      <c r="P32" s="5">
        <v>2279.1799999999998</v>
      </c>
      <c r="Q32" s="5">
        <v>3269.69</v>
      </c>
      <c r="T32" s="5">
        <v>13690.01</v>
      </c>
      <c r="X32" s="152">
        <f>Q32-P32</f>
        <v>990.51000000000022</v>
      </c>
      <c r="Y32" s="4">
        <f>IF(P32=0,0,Q32/P32-1)</f>
        <v>0.43459051062224141</v>
      </c>
      <c r="Z32">
        <v>1.6118670438472418</v>
      </c>
      <c r="AA32">
        <f>Q32/H32</f>
        <v>2.1081173436492584</v>
      </c>
      <c r="AB32">
        <f>AA32-Z32</f>
        <v>0.49625029980201663</v>
      </c>
      <c r="AC32" s="18">
        <v>25175.8</v>
      </c>
      <c r="AD32" s="18">
        <v>31084.45</v>
      </c>
      <c r="AE32" s="4">
        <f>AD32/AC32-1</f>
        <v>0.2346956203973658</v>
      </c>
      <c r="AF32" s="150">
        <f>(L32*2)-X32</f>
        <v>-720.51000000000022</v>
      </c>
      <c r="AJ32" s="172">
        <f>Q32/AD32</f>
        <v>0.10518732034827703</v>
      </c>
      <c r="AM32" s="163" t="s">
        <v>169</v>
      </c>
      <c r="AN32" s="164">
        <v>2324</v>
      </c>
      <c r="AP32" s="163" t="s">
        <v>170</v>
      </c>
      <c r="AQ32" s="164">
        <v>2846</v>
      </c>
    </row>
    <row r="33" spans="1:43" ht="13.9" customHeight="1">
      <c r="A33" t="s">
        <v>171</v>
      </c>
      <c r="B33" t="s">
        <v>172</v>
      </c>
      <c r="C33" s="30">
        <v>986</v>
      </c>
      <c r="D33">
        <v>986</v>
      </c>
      <c r="F33" t="s">
        <v>172</v>
      </c>
      <c r="G33" s="30">
        <v>1173</v>
      </c>
      <c r="H33" s="30">
        <v>1172</v>
      </c>
      <c r="I33" t="b">
        <f>IF(B33=F33,TRUE,FALSE)</f>
        <v>1</v>
      </c>
      <c r="L33" s="27">
        <f>G33-C33</f>
        <v>187</v>
      </c>
      <c r="M33" s="4">
        <f>G33/C33-1</f>
        <v>0.18965517241379315</v>
      </c>
      <c r="N33" s="165">
        <f>H33-D33</f>
        <v>186</v>
      </c>
      <c r="P33" s="5">
        <v>1356.24</v>
      </c>
      <c r="Q33" s="5">
        <v>2434.7600000000002</v>
      </c>
      <c r="T33" s="5">
        <v>10199.48</v>
      </c>
      <c r="X33" s="152">
        <f>Q33-P33</f>
        <v>1078.5200000000002</v>
      </c>
      <c r="Y33" s="4">
        <f>IF(P33=0,0,Q33/P33-1)</f>
        <v>0.79522798324780286</v>
      </c>
      <c r="Z33">
        <v>1.3754969574036511</v>
      </c>
      <c r="AA33">
        <f>Q33/H33</f>
        <v>2.077440273037543</v>
      </c>
      <c r="AB33">
        <f>AA33-Z33</f>
        <v>0.7019433156338919</v>
      </c>
      <c r="AC33" s="18">
        <v>11304.14</v>
      </c>
      <c r="AD33" s="18">
        <v>18756.27</v>
      </c>
      <c r="AE33" s="4">
        <f>AD33/AC33-1</f>
        <v>0.65923900447092842</v>
      </c>
      <c r="AF33" s="150">
        <f>(L33*2)-X33</f>
        <v>-704.52000000000021</v>
      </c>
      <c r="AJ33" s="172">
        <f>Q33/AD33</f>
        <v>0.12981045804949493</v>
      </c>
      <c r="AM33" s="161" t="s">
        <v>159</v>
      </c>
      <c r="AN33" s="162">
        <v>2427</v>
      </c>
      <c r="AP33" s="161" t="s">
        <v>92</v>
      </c>
      <c r="AQ33" s="162">
        <v>3415</v>
      </c>
    </row>
    <row r="34" spans="1:43" ht="13.9" customHeight="1">
      <c r="A34" t="s">
        <v>173</v>
      </c>
      <c r="B34" t="s">
        <v>174</v>
      </c>
      <c r="C34" s="30">
        <v>1985</v>
      </c>
      <c r="D34">
        <v>1976</v>
      </c>
      <c r="F34" t="s">
        <v>174</v>
      </c>
      <c r="G34" s="30">
        <v>1568</v>
      </c>
      <c r="H34" s="30">
        <v>1563</v>
      </c>
      <c r="I34" t="b">
        <f>IF(B34=F34,TRUE,FALSE)</f>
        <v>1</v>
      </c>
      <c r="L34">
        <f>G34-C34</f>
        <v>-417</v>
      </c>
      <c r="M34" s="4">
        <f>G34/C34-1</f>
        <v>-0.21007556675062977</v>
      </c>
      <c r="N34" s="165">
        <f>H34-D34</f>
        <v>-413</v>
      </c>
      <c r="P34" s="5">
        <v>3810.99</v>
      </c>
      <c r="Q34" s="5">
        <v>3647.54</v>
      </c>
      <c r="T34" s="5">
        <v>19494.939999999999</v>
      </c>
      <c r="X34" s="152">
        <f>Q34-P34</f>
        <v>-163.44999999999982</v>
      </c>
      <c r="Y34" s="4">
        <f>IF(P34=0,0,Q34/P34-1)</f>
        <v>-4.2889118050690178E-2</v>
      </c>
      <c r="Z34">
        <v>1.9286386639676112</v>
      </c>
      <c r="AA34">
        <f>Q34/H34</f>
        <v>2.3336788227767116</v>
      </c>
      <c r="AB34">
        <f>AA34-Z34</f>
        <v>0.40504015880910038</v>
      </c>
      <c r="AC34" s="18">
        <v>46312.17</v>
      </c>
      <c r="AD34" s="18">
        <v>39182.28</v>
      </c>
      <c r="AE34" s="4">
        <f>AD34/AC34-1</f>
        <v>-0.15395283788256953</v>
      </c>
      <c r="AF34" s="150">
        <f>(L34*2)-X34</f>
        <v>-670.55000000000018</v>
      </c>
      <c r="AJ34" s="172">
        <f>Q34/AD34</f>
        <v>9.3091570985659844E-2</v>
      </c>
      <c r="AM34" s="161" t="s">
        <v>175</v>
      </c>
      <c r="AN34" s="162">
        <v>899</v>
      </c>
      <c r="AP34" s="161" t="s">
        <v>176</v>
      </c>
      <c r="AQ34" s="162">
        <v>1068</v>
      </c>
    </row>
    <row r="35" spans="1:43" ht="13.9" customHeight="1">
      <c r="A35" t="s">
        <v>177</v>
      </c>
      <c r="B35" t="s">
        <v>178</v>
      </c>
      <c r="C35" s="30">
        <v>275</v>
      </c>
      <c r="D35">
        <v>275</v>
      </c>
      <c r="F35" t="s">
        <v>178</v>
      </c>
      <c r="G35" s="30">
        <v>622</v>
      </c>
      <c r="H35" s="30">
        <v>621</v>
      </c>
      <c r="I35" t="b">
        <f>IF(B35=F35,TRUE,FALSE)</f>
        <v>1</v>
      </c>
      <c r="L35">
        <f>G35-C35</f>
        <v>347</v>
      </c>
      <c r="M35" s="4">
        <f>G35/C35-1</f>
        <v>1.2618181818181817</v>
      </c>
      <c r="N35" s="165">
        <f>H35-D35</f>
        <v>346</v>
      </c>
      <c r="P35" s="5">
        <v>283.36</v>
      </c>
      <c r="Q35" s="5">
        <v>1638.58</v>
      </c>
      <c r="T35" s="5">
        <v>12215.98</v>
      </c>
      <c r="X35" s="152">
        <f>Q35-P35</f>
        <v>1355.2199999999998</v>
      </c>
      <c r="Y35" s="4">
        <f>IF(P35=0,0,Q35/P35-1)</f>
        <v>4.7826792772444939</v>
      </c>
      <c r="Z35">
        <v>1.0304</v>
      </c>
      <c r="AA35">
        <f>Q35/H35</f>
        <v>2.6386151368760062</v>
      </c>
      <c r="AB35">
        <f>AA35-Z35</f>
        <v>1.6082151368760063</v>
      </c>
      <c r="AC35" s="18">
        <v>12922.25</v>
      </c>
      <c r="AD35" s="18">
        <v>28917.59</v>
      </c>
      <c r="AE35" s="4">
        <f>AD35/AC35-1</f>
        <v>1.2378138482075491</v>
      </c>
      <c r="AF35" s="150">
        <f>(L35*2)-X35</f>
        <v>-661.2199999999998</v>
      </c>
      <c r="AJ35" s="172">
        <f>Q35/AD35</f>
        <v>5.6663781456200185E-2</v>
      </c>
      <c r="AM35" s="161" t="s">
        <v>179</v>
      </c>
      <c r="AN35" s="162">
        <v>2735</v>
      </c>
      <c r="AP35" s="161" t="s">
        <v>150</v>
      </c>
      <c r="AQ35" s="162">
        <v>3462</v>
      </c>
    </row>
    <row r="36" spans="1:43" ht="13.9" customHeight="1">
      <c r="A36" t="s">
        <v>180</v>
      </c>
      <c r="B36" t="s">
        <v>181</v>
      </c>
      <c r="C36" s="30">
        <v>1213</v>
      </c>
      <c r="D36">
        <v>1198</v>
      </c>
      <c r="F36" t="s">
        <v>181</v>
      </c>
      <c r="G36" s="30">
        <v>1394</v>
      </c>
      <c r="H36" s="30">
        <v>1384</v>
      </c>
      <c r="I36" t="b">
        <f>IF(B36=F36,TRUE,FALSE)</f>
        <v>1</v>
      </c>
      <c r="L36">
        <f>G36-C36</f>
        <v>181</v>
      </c>
      <c r="M36" s="4">
        <f>G36/C36-1</f>
        <v>0.14921681780708984</v>
      </c>
      <c r="N36" s="165">
        <f>H36-D36</f>
        <v>186</v>
      </c>
      <c r="P36" s="5">
        <v>1353.63</v>
      </c>
      <c r="Q36" s="5">
        <v>2370.62</v>
      </c>
      <c r="T36" s="5">
        <v>17823.120000000003</v>
      </c>
      <c r="X36" s="152">
        <f>Q36-P36</f>
        <v>1016.9899999999998</v>
      </c>
      <c r="Y36" s="4">
        <f>IF(P36=0,0,Q36/P36-1)</f>
        <v>0.75130574824730512</v>
      </c>
      <c r="Z36">
        <v>1.1299081803005009</v>
      </c>
      <c r="AA36">
        <f>Q36/H36</f>
        <v>1.7128757225433526</v>
      </c>
      <c r="AB36">
        <f>AA36-Z36</f>
        <v>0.58296754224285174</v>
      </c>
      <c r="AC36" s="18">
        <v>26559.5</v>
      </c>
      <c r="AD36" s="18">
        <v>32025.07</v>
      </c>
      <c r="AE36" s="4">
        <f>AD36/AC36-1</f>
        <v>0.20578587699316619</v>
      </c>
      <c r="AF36" s="150">
        <f>(L36*2)-X36</f>
        <v>-654.98999999999978</v>
      </c>
      <c r="AJ36" s="172">
        <f>Q36/AD36</f>
        <v>7.4023881915012205E-2</v>
      </c>
      <c r="AM36" s="161" t="s">
        <v>35</v>
      </c>
      <c r="AN36" s="162">
        <v>3973</v>
      </c>
      <c r="AP36" s="161" t="s">
        <v>182</v>
      </c>
      <c r="AQ36" s="162">
        <v>2938</v>
      </c>
    </row>
    <row r="37" spans="1:43" ht="13.9" customHeight="1">
      <c r="A37" t="s">
        <v>183</v>
      </c>
      <c r="B37" t="s">
        <v>184</v>
      </c>
      <c r="C37" s="30">
        <v>8490</v>
      </c>
      <c r="D37">
        <v>8346</v>
      </c>
      <c r="F37" t="s">
        <v>184</v>
      </c>
      <c r="G37" s="30">
        <v>9436</v>
      </c>
      <c r="H37" s="30">
        <v>9374</v>
      </c>
      <c r="I37" t="b">
        <f>IF(B37=F37,TRUE,FALSE)</f>
        <v>1</v>
      </c>
      <c r="L37">
        <f>G37-C37</f>
        <v>946</v>
      </c>
      <c r="M37" s="4">
        <f>G37/C37-1</f>
        <v>0.11142520612485285</v>
      </c>
      <c r="N37" s="165">
        <f>H37-D37</f>
        <v>1028</v>
      </c>
      <c r="P37" s="5">
        <v>10028.299999999999</v>
      </c>
      <c r="Q37" s="5">
        <v>13851.32</v>
      </c>
      <c r="T37" s="5">
        <v>79544.11</v>
      </c>
      <c r="X37" s="152">
        <f>Q37-P37</f>
        <v>3823.0200000000004</v>
      </c>
      <c r="Y37" s="4">
        <f>IF(P37=0,0,Q37/P37-1)</f>
        <v>0.38122313851799405</v>
      </c>
      <c r="Z37">
        <v>1.2015696141864365</v>
      </c>
      <c r="AA37">
        <f>Q37/H37</f>
        <v>1.4776317473863878</v>
      </c>
      <c r="AB37">
        <f>AA37-Z37</f>
        <v>0.27606213319995132</v>
      </c>
      <c r="AC37" s="18">
        <v>267264.40000000002</v>
      </c>
      <c r="AD37" s="18">
        <v>319778.88</v>
      </c>
      <c r="AE37" s="4">
        <f>AD37/AC37-1</f>
        <v>0.19648887019745231</v>
      </c>
      <c r="AF37" s="150">
        <f>(L37*2)-X37</f>
        <v>-1931.0200000000004</v>
      </c>
      <c r="AJ37" s="172">
        <f>Q37/AD37</f>
        <v>4.3315305876360566E-2</v>
      </c>
      <c r="AM37" s="163" t="s">
        <v>114</v>
      </c>
      <c r="AN37" s="164">
        <v>5007</v>
      </c>
      <c r="AP37" s="163" t="s">
        <v>119</v>
      </c>
      <c r="AQ37" s="164">
        <v>6802</v>
      </c>
    </row>
    <row r="38" spans="1:43" ht="13.9" customHeight="1">
      <c r="A38" t="s">
        <v>185</v>
      </c>
      <c r="B38" t="s">
        <v>163</v>
      </c>
      <c r="C38" s="30">
        <v>1838</v>
      </c>
      <c r="D38">
        <v>1822</v>
      </c>
      <c r="F38" t="s">
        <v>163</v>
      </c>
      <c r="G38" s="30">
        <v>2321</v>
      </c>
      <c r="H38" s="30">
        <v>2309</v>
      </c>
      <c r="I38" t="b">
        <f>IF(B38=F38,TRUE,FALSE)</f>
        <v>1</v>
      </c>
      <c r="L38">
        <f>G38-C38</f>
        <v>483</v>
      </c>
      <c r="M38" s="4">
        <f>G38/C38-1</f>
        <v>0.2627856365614798</v>
      </c>
      <c r="N38" s="165">
        <f>H38-D38</f>
        <v>487</v>
      </c>
      <c r="P38" s="5">
        <v>3144.91</v>
      </c>
      <c r="Q38" s="5">
        <v>4723.3900000000003</v>
      </c>
      <c r="T38" s="5">
        <v>26450.91</v>
      </c>
      <c r="X38" s="152">
        <f>Q38-P38</f>
        <v>1578.4800000000005</v>
      </c>
      <c r="Y38" s="4">
        <f>IF(P38=0,0,Q38/P38-1)</f>
        <v>0.50191579409267684</v>
      </c>
      <c r="Z38">
        <v>1.7260757409440175</v>
      </c>
      <c r="AA38">
        <f>Q38/H38</f>
        <v>2.0456431355565181</v>
      </c>
      <c r="AB38">
        <f>AA38-Z38</f>
        <v>0.31956739461250061</v>
      </c>
      <c r="AC38" s="18">
        <v>53921.98</v>
      </c>
      <c r="AD38" s="18">
        <v>69513.95</v>
      </c>
      <c r="AE38" s="4">
        <f>AD38/AC38-1</f>
        <v>0.28915796489668955</v>
      </c>
      <c r="AF38" s="150">
        <f>(L38*2)-X38</f>
        <v>-612.48000000000047</v>
      </c>
      <c r="AJ38" s="172">
        <f>Q38/AD38</f>
        <v>6.7948807397651842E-2</v>
      </c>
      <c r="AM38" s="163" t="s">
        <v>79</v>
      </c>
      <c r="AN38" s="164">
        <v>2895</v>
      </c>
      <c r="AP38" s="163" t="s">
        <v>186</v>
      </c>
      <c r="AQ38" s="164">
        <v>3599</v>
      </c>
    </row>
    <row r="39" spans="1:43" ht="13.9" customHeight="1">
      <c r="A39" t="s">
        <v>187</v>
      </c>
      <c r="B39" t="s">
        <v>188</v>
      </c>
      <c r="C39" s="30">
        <v>2301</v>
      </c>
      <c r="D39">
        <v>2272</v>
      </c>
      <c r="F39" t="s">
        <v>188</v>
      </c>
      <c r="G39" s="30">
        <v>2594</v>
      </c>
      <c r="H39" s="30">
        <v>2585</v>
      </c>
      <c r="I39" t="b">
        <f>IF(B39=F39,TRUE,FALSE)</f>
        <v>1</v>
      </c>
      <c r="L39">
        <f>G39-C39</f>
        <v>293</v>
      </c>
      <c r="M39" s="4">
        <f>G39/C39-1</f>
        <v>0.12733594089526301</v>
      </c>
      <c r="N39" s="165">
        <f>H39-D39</f>
        <v>313</v>
      </c>
      <c r="P39" s="5">
        <v>2120.2199999999998</v>
      </c>
      <c r="Q39" s="5">
        <v>3308.47</v>
      </c>
      <c r="T39" s="5">
        <v>25567.360000000001</v>
      </c>
      <c r="X39" s="152">
        <f>Q39-P39</f>
        <v>1188.25</v>
      </c>
      <c r="Y39" s="4">
        <f>IF(P39=0,0,Q39/P39-1)</f>
        <v>0.56043712444934957</v>
      </c>
      <c r="Z39">
        <v>0.93319542253521115</v>
      </c>
      <c r="AA39">
        <f>Q39/H39</f>
        <v>1.2798723404255319</v>
      </c>
      <c r="AB39">
        <f>AA39-Z39</f>
        <v>0.34667691789032073</v>
      </c>
      <c r="AC39" s="18">
        <v>57385</v>
      </c>
      <c r="AD39" s="18">
        <v>64720.299999999996</v>
      </c>
      <c r="AE39" s="4">
        <f>AD39/AC39-1</f>
        <v>0.12782608695652176</v>
      </c>
      <c r="AF39" s="150">
        <f>(L39*2)-X39</f>
        <v>-602.25</v>
      </c>
      <c r="AJ39" s="172">
        <f>Q39/AD39</f>
        <v>5.1119509643805731E-2</v>
      </c>
      <c r="AM39" s="161" t="s">
        <v>189</v>
      </c>
      <c r="AN39" s="162">
        <v>2802</v>
      </c>
      <c r="AP39" s="161" t="s">
        <v>190</v>
      </c>
      <c r="AQ39" s="162">
        <v>4447</v>
      </c>
    </row>
    <row r="40" spans="1:43" ht="13.9" customHeight="1">
      <c r="A40" t="s">
        <v>191</v>
      </c>
      <c r="B40" t="s">
        <v>192</v>
      </c>
      <c r="C40" s="30">
        <v>1721</v>
      </c>
      <c r="D40">
        <v>1710</v>
      </c>
      <c r="F40" t="s">
        <v>192</v>
      </c>
      <c r="G40" s="30">
        <v>301</v>
      </c>
      <c r="H40" s="30">
        <v>301</v>
      </c>
      <c r="I40" t="b">
        <f>IF(B40=F40,TRUE,FALSE)</f>
        <v>1</v>
      </c>
      <c r="L40">
        <f>G40-C40</f>
        <v>-1420</v>
      </c>
      <c r="M40" s="4">
        <f>G40/C40-1</f>
        <v>-0.82510168506682158</v>
      </c>
      <c r="N40" s="165">
        <f>H40-D40</f>
        <v>-1409</v>
      </c>
      <c r="P40" s="5">
        <v>2239.9</v>
      </c>
      <c r="Q40" s="5">
        <v>0</v>
      </c>
      <c r="T40" s="5">
        <v>0</v>
      </c>
      <c r="X40" s="152">
        <f>Q40-P40</f>
        <v>-2239.9</v>
      </c>
      <c r="Y40" s="4">
        <f>IF(P40=0,0,Q40/P40-1)</f>
        <v>-1</v>
      </c>
      <c r="Z40">
        <v>1.3098830409356725</v>
      </c>
      <c r="AA40">
        <f>Q40/H40</f>
        <v>0</v>
      </c>
      <c r="AB40">
        <f>AA40-Z40</f>
        <v>-1.3098830409356725</v>
      </c>
      <c r="AC40" s="18">
        <v>33606.79</v>
      </c>
      <c r="AD40" s="18">
        <v>6016.99</v>
      </c>
      <c r="AE40" s="4">
        <f>AD40/AC40-1</f>
        <v>-0.82095909784897636</v>
      </c>
      <c r="AF40" s="150">
        <f>(L40*2)-X40</f>
        <v>-600.09999999999991</v>
      </c>
      <c r="AG40" t="s">
        <v>193</v>
      </c>
      <c r="AI40" s="172" t="s">
        <v>194</v>
      </c>
      <c r="AJ40" s="172">
        <f>Q40/AD40</f>
        <v>0</v>
      </c>
      <c r="AM40" s="163" t="s">
        <v>195</v>
      </c>
      <c r="AN40" s="164">
        <v>907</v>
      </c>
      <c r="AP40" s="163" t="s">
        <v>196</v>
      </c>
      <c r="AQ40" s="164">
        <v>1036</v>
      </c>
    </row>
    <row r="41" spans="1:43" ht="13.9" customHeight="1">
      <c r="A41" t="s">
        <v>197</v>
      </c>
      <c r="B41" t="s">
        <v>198</v>
      </c>
      <c r="C41" s="30">
        <v>804</v>
      </c>
      <c r="D41">
        <v>798</v>
      </c>
      <c r="F41" t="s">
        <v>198</v>
      </c>
      <c r="G41" s="30">
        <v>516</v>
      </c>
      <c r="H41" s="30">
        <v>514</v>
      </c>
      <c r="I41" t="b">
        <f>IF(B41=F41,TRUE,FALSE)</f>
        <v>1</v>
      </c>
      <c r="L41">
        <f>G41-C41</f>
        <v>-288</v>
      </c>
      <c r="M41" s="4">
        <f>G41/C41-1</f>
        <v>-0.35820895522388063</v>
      </c>
      <c r="N41" s="165">
        <f>H41-D41</f>
        <v>-284</v>
      </c>
      <c r="P41" s="5">
        <v>2172.5100000000002</v>
      </c>
      <c r="Q41" s="5">
        <v>1288.1500000000001</v>
      </c>
      <c r="T41" s="5">
        <v>13485.21</v>
      </c>
      <c r="X41" s="152">
        <f>Q41-P41</f>
        <v>-884.36000000000013</v>
      </c>
      <c r="Y41" s="4">
        <f>IF(P41=0,0,Q41/P41-1)</f>
        <v>-0.40706832189495101</v>
      </c>
      <c r="Z41">
        <v>2.7224436090225566</v>
      </c>
      <c r="AA41">
        <f>Q41/H41</f>
        <v>2.5061284046692607</v>
      </c>
      <c r="AB41">
        <f>AA41-Z41</f>
        <v>-0.21631520435329588</v>
      </c>
      <c r="AC41" s="18">
        <v>24111.96</v>
      </c>
      <c r="AD41" s="18">
        <v>15474.84</v>
      </c>
      <c r="AE41" s="4">
        <f>AD41/AC41-1</f>
        <v>-0.35820895522388052</v>
      </c>
      <c r="AF41" s="150">
        <f>(L41*2)-X41</f>
        <v>308.36000000000013</v>
      </c>
      <c r="AJ41" s="172">
        <f>Q41/AD41</f>
        <v>8.3241571479898996E-2</v>
      </c>
      <c r="AM41" s="161" t="s">
        <v>199</v>
      </c>
      <c r="AN41" s="162">
        <v>996</v>
      </c>
      <c r="AP41" s="161" t="s">
        <v>200</v>
      </c>
      <c r="AQ41" s="162">
        <v>1442</v>
      </c>
    </row>
    <row r="42" spans="1:43" ht="13.9" customHeight="1">
      <c r="A42" t="s">
        <v>201</v>
      </c>
      <c r="B42" t="s">
        <v>202</v>
      </c>
      <c r="C42" s="30">
        <v>451</v>
      </c>
      <c r="D42">
        <v>451</v>
      </c>
      <c r="F42" t="s">
        <v>202</v>
      </c>
      <c r="G42" s="30">
        <v>519</v>
      </c>
      <c r="H42" s="30">
        <v>519</v>
      </c>
      <c r="I42" t="b">
        <f>IF(B42=F42,TRUE,FALSE)</f>
        <v>1</v>
      </c>
      <c r="L42">
        <f>G42-C42</f>
        <v>68</v>
      </c>
      <c r="M42" s="4">
        <f>G42/C42-1</f>
        <v>0.1507760532150777</v>
      </c>
      <c r="N42" s="165">
        <f>H42-D42</f>
        <v>68</v>
      </c>
      <c r="P42" s="5">
        <v>1245.04</v>
      </c>
      <c r="Q42" s="5">
        <v>1923.2</v>
      </c>
      <c r="T42" s="5">
        <v>8458.26</v>
      </c>
      <c r="X42" s="152">
        <f>Q42-P42</f>
        <v>678.16000000000008</v>
      </c>
      <c r="Y42" s="4">
        <f>IF(P42=0,0,Q42/P42-1)</f>
        <v>0.54468932725053021</v>
      </c>
      <c r="Z42">
        <v>2.7606208425720622</v>
      </c>
      <c r="AA42">
        <f>Q42/H42</f>
        <v>3.705587668593449</v>
      </c>
      <c r="AB42">
        <f>AA42-Z42</f>
        <v>0.94496682602138682</v>
      </c>
      <c r="AC42" s="18">
        <v>12172.49</v>
      </c>
      <c r="AD42" s="18">
        <v>13980.82</v>
      </c>
      <c r="AE42" s="4">
        <f>AD42/AC42-1</f>
        <v>0.14855875831485577</v>
      </c>
      <c r="AF42" s="150">
        <f>(L42*2)-X42</f>
        <v>-542.16000000000008</v>
      </c>
      <c r="AJ42" s="172">
        <f>Q42/AD42</f>
        <v>0.13755988561472074</v>
      </c>
      <c r="AM42" s="163" t="s">
        <v>69</v>
      </c>
      <c r="AN42" s="164">
        <v>1709</v>
      </c>
      <c r="AP42" s="163" t="s">
        <v>203</v>
      </c>
      <c r="AQ42" s="164">
        <v>2091</v>
      </c>
    </row>
    <row r="43" spans="1:43" ht="13.9" customHeight="1">
      <c r="A43" t="s">
        <v>204</v>
      </c>
      <c r="B43" t="s">
        <v>205</v>
      </c>
      <c r="C43" s="30">
        <v>1819</v>
      </c>
      <c r="D43">
        <v>1808</v>
      </c>
      <c r="F43" t="s">
        <v>205</v>
      </c>
      <c r="G43" s="30">
        <v>1732</v>
      </c>
      <c r="H43" s="30">
        <v>1713</v>
      </c>
      <c r="I43" t="b">
        <f>IF(B43=F43,TRUE,FALSE)</f>
        <v>1</v>
      </c>
      <c r="L43">
        <f>G43-C43</f>
        <v>-87</v>
      </c>
      <c r="M43" s="4">
        <f>G43/C43-1</f>
        <v>-4.7828477185266616E-2</v>
      </c>
      <c r="N43" s="165">
        <f>H43-D43</f>
        <v>-95</v>
      </c>
      <c r="P43" s="5">
        <v>3837.4</v>
      </c>
      <c r="Q43" s="5">
        <v>4187.26</v>
      </c>
      <c r="T43" s="5">
        <v>25203.11</v>
      </c>
      <c r="X43" s="152">
        <f>Q43-P43</f>
        <v>349.86000000000013</v>
      </c>
      <c r="Y43" s="4">
        <f>IF(P43=0,0,Q43/P43-1)</f>
        <v>9.1171105435972288E-2</v>
      </c>
      <c r="Z43">
        <v>2.1224557522123892</v>
      </c>
      <c r="AA43">
        <f>Q43/H43</f>
        <v>2.4444016345592527</v>
      </c>
      <c r="AB43">
        <f>AA43-Z43</f>
        <v>0.3219458823468635</v>
      </c>
      <c r="AC43" s="18">
        <v>40962.910000000003</v>
      </c>
      <c r="AD43" s="18">
        <v>40411.620000000003</v>
      </c>
      <c r="AE43" s="4">
        <f>AD43/AC43-1</f>
        <v>-1.3458272373715663E-2</v>
      </c>
      <c r="AF43" s="150">
        <f>(L43*2)-X43</f>
        <v>-523.86000000000013</v>
      </c>
      <c r="AJ43" s="172">
        <f>Q43/AD43</f>
        <v>0.10361524729768319</v>
      </c>
      <c r="AM43" s="161" t="s">
        <v>206</v>
      </c>
      <c r="AN43" s="162">
        <v>1444</v>
      </c>
      <c r="AP43" s="161" t="s">
        <v>207</v>
      </c>
      <c r="AQ43" s="162">
        <v>1781</v>
      </c>
    </row>
    <row r="44" spans="1:43" ht="13.9" customHeight="1">
      <c r="A44" t="s">
        <v>208</v>
      </c>
      <c r="B44" t="s">
        <v>209</v>
      </c>
      <c r="C44" s="30">
        <v>276</v>
      </c>
      <c r="D44">
        <v>271</v>
      </c>
      <c r="F44" t="s">
        <v>209</v>
      </c>
      <c r="G44" s="30">
        <v>424</v>
      </c>
      <c r="H44" s="30">
        <v>424</v>
      </c>
      <c r="I44" t="b">
        <f>IF(B44=F44,TRUE,FALSE)</f>
        <v>1</v>
      </c>
      <c r="L44">
        <f>G44-C44</f>
        <v>148</v>
      </c>
      <c r="M44" s="4">
        <f>G44/C44-1</f>
        <v>0.53623188405797095</v>
      </c>
      <c r="N44" s="165">
        <f>H44-D44</f>
        <v>153</v>
      </c>
      <c r="P44" s="5">
        <v>0</v>
      </c>
      <c r="Q44" s="5">
        <v>811.8</v>
      </c>
      <c r="T44" s="5">
        <v>4582.05</v>
      </c>
      <c r="X44" s="152">
        <f>Q44-P44</f>
        <v>811.8</v>
      </c>
      <c r="Y44" s="4">
        <f>IF(P44=0,0,Q44/P44-1)</f>
        <v>0</v>
      </c>
      <c r="Z44">
        <v>0</v>
      </c>
      <c r="AA44">
        <f>Q44/H44</f>
        <v>1.9146226415094338</v>
      </c>
      <c r="AB44">
        <f>AA44-Z44</f>
        <v>1.9146226415094338</v>
      </c>
      <c r="AC44" s="18">
        <v>5506.2</v>
      </c>
      <c r="AD44" s="18">
        <v>8823.9599999999991</v>
      </c>
      <c r="AE44" s="4">
        <f>AD44/AC44-1</f>
        <v>0.60254985289310214</v>
      </c>
      <c r="AF44" s="150">
        <f>(L44*2)-X44</f>
        <v>-515.79999999999995</v>
      </c>
      <c r="AJ44" s="172">
        <f>Q44/AD44</f>
        <v>9.1999510423891318E-2</v>
      </c>
      <c r="AM44" s="163" t="s">
        <v>210</v>
      </c>
      <c r="AN44" s="164">
        <v>2359</v>
      </c>
      <c r="AP44" s="163" t="s">
        <v>98</v>
      </c>
      <c r="AQ44" s="164">
        <v>2445</v>
      </c>
    </row>
    <row r="45" spans="1:43">
      <c r="A45" t="s">
        <v>211</v>
      </c>
      <c r="B45" t="s">
        <v>212</v>
      </c>
      <c r="C45" s="30">
        <v>1321</v>
      </c>
      <c r="D45">
        <v>1306</v>
      </c>
      <c r="F45" t="s">
        <v>212</v>
      </c>
      <c r="G45" s="30">
        <v>1460</v>
      </c>
      <c r="H45" s="30">
        <v>1452</v>
      </c>
      <c r="I45" t="b">
        <f>IF(B45=F45,TRUE,FALSE)</f>
        <v>1</v>
      </c>
      <c r="L45">
        <f>G45-C45</f>
        <v>139</v>
      </c>
      <c r="M45" s="4">
        <f>G45/C45-1</f>
        <v>0.10522331566994692</v>
      </c>
      <c r="N45" s="165">
        <f>H45-D45</f>
        <v>146</v>
      </c>
      <c r="O45" s="5"/>
      <c r="P45" s="5">
        <v>2359.35</v>
      </c>
      <c r="Q45" s="5">
        <v>3151.9</v>
      </c>
      <c r="R45" s="5"/>
      <c r="S45" s="5"/>
      <c r="T45" s="5">
        <v>17214.379999999997</v>
      </c>
      <c r="U45" s="5"/>
      <c r="V45" s="5"/>
      <c r="W45" s="5"/>
      <c r="X45" s="152">
        <f>Q45-P45</f>
        <v>792.55000000000018</v>
      </c>
      <c r="Y45" s="4">
        <f>IF(P45=0,0,Q45/P45-1)</f>
        <v>0.33591879119248946</v>
      </c>
      <c r="Z45">
        <v>1.8065467075038284</v>
      </c>
      <c r="AA45">
        <f>Q45/H45</f>
        <v>2.1707300275482093</v>
      </c>
      <c r="AB45">
        <f>AA45-Z45</f>
        <v>0.36418332004438092</v>
      </c>
      <c r="AC45" s="18">
        <v>38040.49</v>
      </c>
      <c r="AD45" s="18">
        <v>43785.4</v>
      </c>
      <c r="AE45" s="4">
        <f>AD45/AC45-1</f>
        <v>0.15102092533508382</v>
      </c>
      <c r="AF45" s="150">
        <f>(L45*2)-X45</f>
        <v>-514.55000000000018</v>
      </c>
      <c r="AJ45" s="172">
        <f>Q45/AD45</f>
        <v>7.1985182275370332E-2</v>
      </c>
      <c r="AM45" s="163" t="s">
        <v>174</v>
      </c>
      <c r="AN45" s="164">
        <v>1976</v>
      </c>
      <c r="AP45" s="163" t="s">
        <v>213</v>
      </c>
      <c r="AQ45" s="164">
        <v>3088</v>
      </c>
    </row>
    <row r="46" spans="1:43">
      <c r="A46" t="s">
        <v>214</v>
      </c>
      <c r="B46" t="s">
        <v>215</v>
      </c>
      <c r="C46" s="30">
        <v>1213</v>
      </c>
      <c r="D46">
        <v>1188</v>
      </c>
      <c r="F46" t="s">
        <v>215</v>
      </c>
      <c r="G46" s="30">
        <v>1231</v>
      </c>
      <c r="H46" s="30">
        <v>1226</v>
      </c>
      <c r="I46" t="b">
        <f>IF(B46=F46,TRUE,FALSE)</f>
        <v>1</v>
      </c>
      <c r="L46">
        <f>G46-C46</f>
        <v>18</v>
      </c>
      <c r="M46" s="4">
        <f>G46/C46-1</f>
        <v>1.483924154987637E-2</v>
      </c>
      <c r="N46" s="165">
        <f>H46-D46</f>
        <v>38</v>
      </c>
      <c r="P46" s="5">
        <v>2352.34</v>
      </c>
      <c r="Q46" s="5">
        <v>2902.63</v>
      </c>
      <c r="T46" s="5">
        <v>18650.510000000002</v>
      </c>
      <c r="X46" s="152">
        <f>Q46-P46</f>
        <v>550.29</v>
      </c>
      <c r="Y46" s="4">
        <f>IF(P46=0,0,Q46/P46-1)</f>
        <v>0.233933019886581</v>
      </c>
      <c r="Z46">
        <v>1.9800841750841751</v>
      </c>
      <c r="AA46">
        <f>Q46/H46</f>
        <v>2.3675611745513869</v>
      </c>
      <c r="AB46">
        <f>AA46-Z46</f>
        <v>0.38747699946721181</v>
      </c>
      <c r="AC46" s="18">
        <v>33923.879999999997</v>
      </c>
      <c r="AD46" s="18">
        <v>34455.69</v>
      </c>
      <c r="AE46" s="4">
        <f>AD46/AC46-1</f>
        <v>1.5676567656765839E-2</v>
      </c>
      <c r="AF46" s="150">
        <f>(L46*2)-X46</f>
        <v>-514.29</v>
      </c>
      <c r="AM46" s="163" t="s">
        <v>216</v>
      </c>
      <c r="AN46" s="164">
        <v>1580</v>
      </c>
      <c r="AP46" s="163" t="s">
        <v>217</v>
      </c>
      <c r="AQ46" s="164">
        <v>1963</v>
      </c>
    </row>
    <row r="47" spans="1:43">
      <c r="A47" t="s">
        <v>218</v>
      </c>
      <c r="B47" t="s">
        <v>219</v>
      </c>
      <c r="C47" s="30">
        <v>1750</v>
      </c>
      <c r="D47">
        <v>1726</v>
      </c>
      <c r="F47" t="s">
        <v>219</v>
      </c>
      <c r="G47" s="30">
        <v>1873</v>
      </c>
      <c r="H47" s="30">
        <v>1869</v>
      </c>
      <c r="I47" t="b">
        <f>IF(B47=F47,TRUE,FALSE)</f>
        <v>1</v>
      </c>
      <c r="L47">
        <f>G47-C47</f>
        <v>123</v>
      </c>
      <c r="M47" s="4">
        <f>G47/C47-1</f>
        <v>7.0285714285714285E-2</v>
      </c>
      <c r="N47" s="165">
        <f>H47-D47</f>
        <v>143</v>
      </c>
      <c r="P47" s="5">
        <v>2948.16</v>
      </c>
      <c r="Q47" s="5">
        <v>3705.93</v>
      </c>
      <c r="T47" s="5">
        <v>26171.08</v>
      </c>
      <c r="X47" s="152">
        <f>Q47-P47</f>
        <v>757.77</v>
      </c>
      <c r="Y47" s="4">
        <f>IF(P47=0,0,Q47/P47-1)</f>
        <v>0.25703150439596234</v>
      </c>
      <c r="Z47">
        <v>1.7080880648899188</v>
      </c>
      <c r="AA47">
        <f>Q47/H47</f>
        <v>1.9828410914927768</v>
      </c>
      <c r="AB47">
        <f>AA47-Z47</f>
        <v>0.27475302660285794</v>
      </c>
      <c r="AC47" s="18">
        <v>50732.5</v>
      </c>
      <c r="AD47" s="18">
        <v>54298.27</v>
      </c>
      <c r="AE47" s="4">
        <f>AD47/AC47-1</f>
        <v>7.0285714285714285E-2</v>
      </c>
      <c r="AF47" s="150">
        <f>(L47*2)-X47</f>
        <v>-511.77</v>
      </c>
      <c r="AM47" s="163" t="s">
        <v>151</v>
      </c>
      <c r="AN47" s="164">
        <v>3028</v>
      </c>
      <c r="AP47" s="163" t="s">
        <v>220</v>
      </c>
      <c r="AQ47" s="164">
        <v>2347</v>
      </c>
    </row>
    <row r="48" spans="1:43">
      <c r="A48" t="s">
        <v>221</v>
      </c>
      <c r="B48" t="s">
        <v>222</v>
      </c>
      <c r="C48" s="30">
        <v>904</v>
      </c>
      <c r="D48">
        <v>900</v>
      </c>
      <c r="F48" t="s">
        <v>222</v>
      </c>
      <c r="G48" s="30">
        <v>915</v>
      </c>
      <c r="H48" s="30">
        <v>912</v>
      </c>
      <c r="I48" t="b">
        <f>IF(B48=F48,TRUE,FALSE)</f>
        <v>1</v>
      </c>
      <c r="L48">
        <f>G48-C48</f>
        <v>11</v>
      </c>
      <c r="M48" s="4">
        <f>G48/C48-1</f>
        <v>1.2168141592920456E-2</v>
      </c>
      <c r="N48" s="165">
        <f>H48-D48</f>
        <v>12</v>
      </c>
      <c r="P48" s="5">
        <v>1618.92</v>
      </c>
      <c r="Q48" s="5">
        <v>2144.59</v>
      </c>
      <c r="T48" s="5">
        <v>13793.86</v>
      </c>
      <c r="X48" s="152">
        <f>Q48-P48</f>
        <v>525.67000000000007</v>
      </c>
      <c r="Y48" s="4">
        <f>IF(P48=0,0,Q48/P48-1)</f>
        <v>0.32470412373681223</v>
      </c>
      <c r="Z48">
        <v>1.7988000000000002</v>
      </c>
      <c r="AA48">
        <f>Q48/H48</f>
        <v>2.3515241228070178</v>
      </c>
      <c r="AB48">
        <f>AA48-Z48</f>
        <v>0.55272412280701766</v>
      </c>
      <c r="AC48" s="18">
        <v>20924.990000000002</v>
      </c>
      <c r="AD48" s="18">
        <v>21902.87</v>
      </c>
      <c r="AE48" s="4">
        <f>AD48/AC48-1</f>
        <v>4.6732638820854655E-2</v>
      </c>
      <c r="AF48" s="150">
        <f>(L48*2)-X48</f>
        <v>-503.67000000000007</v>
      </c>
      <c r="AM48" s="163" t="s">
        <v>223</v>
      </c>
      <c r="AN48" s="164">
        <v>1667</v>
      </c>
      <c r="AP48" s="163" t="s">
        <v>165</v>
      </c>
      <c r="AQ48" s="164">
        <v>1894</v>
      </c>
    </row>
    <row r="49" spans="1:43">
      <c r="A49" t="s">
        <v>224</v>
      </c>
      <c r="B49" s="29" t="s">
        <v>225</v>
      </c>
      <c r="C49" s="30">
        <v>915</v>
      </c>
      <c r="D49">
        <v>912</v>
      </c>
      <c r="F49" s="29" t="s">
        <v>225</v>
      </c>
      <c r="G49" s="30">
        <v>1230</v>
      </c>
      <c r="H49" s="30">
        <v>1230</v>
      </c>
      <c r="I49" t="b">
        <f>IF(B49=F49,TRUE,FALSE)</f>
        <v>1</v>
      </c>
      <c r="L49" s="27">
        <f>G49-C49</f>
        <v>315</v>
      </c>
      <c r="M49" s="4">
        <f>G49/C49-1</f>
        <v>0.34426229508196715</v>
      </c>
      <c r="N49" s="165">
        <f>H49-D49</f>
        <v>318</v>
      </c>
      <c r="P49" s="5">
        <v>2574.71</v>
      </c>
      <c r="Q49" s="5">
        <v>3705.34</v>
      </c>
      <c r="T49" s="5">
        <v>21714.27</v>
      </c>
      <c r="X49" s="152">
        <f>Q49-P49</f>
        <v>1130.6300000000001</v>
      </c>
      <c r="Y49" s="4">
        <f>IF(P49=0,0,Q49/P49-1)</f>
        <v>0.43912906696288134</v>
      </c>
      <c r="Z49">
        <v>2.8231469298245613</v>
      </c>
      <c r="AA49">
        <f>Q49/H49</f>
        <v>3.0124715447154471</v>
      </c>
      <c r="AB49">
        <f>AA49-Z49</f>
        <v>0.18932461489088581</v>
      </c>
      <c r="AC49" s="18">
        <v>18978.86</v>
      </c>
      <c r="AD49" s="18">
        <v>31309.73</v>
      </c>
      <c r="AE49" s="4">
        <f>AD49/AC49-1</f>
        <v>0.64971605249208841</v>
      </c>
      <c r="AF49" s="150">
        <f>(L49*2)-X49</f>
        <v>-500.63000000000011</v>
      </c>
      <c r="AM49" s="161" t="s">
        <v>133</v>
      </c>
      <c r="AN49" s="162">
        <v>3134</v>
      </c>
      <c r="AP49" s="161" t="s">
        <v>87</v>
      </c>
      <c r="AQ49" s="162">
        <v>3318</v>
      </c>
    </row>
    <row r="50" spans="1:43">
      <c r="A50" t="s">
        <v>226</v>
      </c>
      <c r="B50" t="s">
        <v>176</v>
      </c>
      <c r="C50" s="30">
        <v>850</v>
      </c>
      <c r="D50">
        <v>828</v>
      </c>
      <c r="F50" t="s">
        <v>176</v>
      </c>
      <c r="G50" s="30">
        <v>1079</v>
      </c>
      <c r="H50" s="30">
        <v>1068</v>
      </c>
      <c r="I50" t="b">
        <f>IF(B50=F50,TRUE,FALSE)</f>
        <v>1</v>
      </c>
      <c r="L50">
        <f>G50-C50</f>
        <v>229</v>
      </c>
      <c r="M50" s="4">
        <f>G50/C50-1</f>
        <v>0.26941176470588246</v>
      </c>
      <c r="N50" s="165">
        <f>H50-D50</f>
        <v>240</v>
      </c>
      <c r="P50" s="5">
        <v>1174.96</v>
      </c>
      <c r="Q50" s="5">
        <v>2130.64</v>
      </c>
      <c r="T50" s="5">
        <v>13946.630000000001</v>
      </c>
      <c r="X50" s="152">
        <f>Q50-P50</f>
        <v>955.67999999999984</v>
      </c>
      <c r="Y50" s="4">
        <f>IF(P50=0,0,Q50/P50-1)</f>
        <v>0.81337237012323804</v>
      </c>
      <c r="Z50">
        <v>1.4190338164251208</v>
      </c>
      <c r="AA50">
        <f>Q50/H50</f>
        <v>1.9949812734082395</v>
      </c>
      <c r="AB50">
        <f>AA50-Z50</f>
        <v>0.57594745698311867</v>
      </c>
      <c r="AC50" s="18">
        <v>25491.5</v>
      </c>
      <c r="AD50" s="18">
        <v>32359.21</v>
      </c>
      <c r="AE50" s="4">
        <f>AD50/AC50-1</f>
        <v>0.26941176470588224</v>
      </c>
      <c r="AF50" s="150">
        <f>(L50*2)-X50</f>
        <v>-497.67999999999984</v>
      </c>
      <c r="AM50" s="161" t="s">
        <v>220</v>
      </c>
      <c r="AN50" s="162">
        <v>2241</v>
      </c>
      <c r="AP50" s="161" t="s">
        <v>162</v>
      </c>
      <c r="AQ50" s="162">
        <v>2553</v>
      </c>
    </row>
    <row r="51" spans="1:43">
      <c r="A51" t="s">
        <v>227</v>
      </c>
      <c r="B51" t="s">
        <v>228</v>
      </c>
      <c r="C51" s="30">
        <v>253</v>
      </c>
      <c r="D51">
        <v>250</v>
      </c>
      <c r="F51" t="s">
        <v>228</v>
      </c>
      <c r="G51" s="30">
        <v>6</v>
      </c>
      <c r="H51" s="30">
        <v>6</v>
      </c>
      <c r="I51" t="b">
        <f>IF(B51=F51,TRUE,FALSE)</f>
        <v>1</v>
      </c>
      <c r="L51">
        <f>G51-C51</f>
        <v>-247</v>
      </c>
      <c r="M51" s="4">
        <f>G51/C51-1</f>
        <v>-0.97628458498023718</v>
      </c>
      <c r="N51" s="165">
        <f>H51-D51</f>
        <v>-244</v>
      </c>
      <c r="P51" s="5">
        <v>544.35</v>
      </c>
      <c r="Q51" s="5">
        <v>9.64</v>
      </c>
      <c r="T51" s="5">
        <v>2258.94</v>
      </c>
      <c r="X51" s="152">
        <f>Q51-P51</f>
        <v>-534.71</v>
      </c>
      <c r="Y51" s="4">
        <f>IF(P51=0,0,Q51/P51-1)</f>
        <v>-0.98229080554790116</v>
      </c>
      <c r="Z51">
        <v>2.1774</v>
      </c>
      <c r="AA51">
        <f>Q51/H51</f>
        <v>1.6066666666666667</v>
      </c>
      <c r="AB51">
        <f>AA51-Z51</f>
        <v>-0.57073333333333331</v>
      </c>
      <c r="AC51" s="18">
        <v>4794.3500000000004</v>
      </c>
      <c r="AD51" s="18">
        <v>113.7</v>
      </c>
      <c r="AE51" s="4">
        <f>AD51/AC51-1</f>
        <v>-0.97628458498023718</v>
      </c>
      <c r="AF51" s="150">
        <f>(L51*2)-X51</f>
        <v>40.710000000000036</v>
      </c>
      <c r="AM51" s="163" t="s">
        <v>229</v>
      </c>
      <c r="AN51" s="164">
        <v>1243</v>
      </c>
      <c r="AP51" s="163" t="s">
        <v>188</v>
      </c>
      <c r="AQ51" s="164">
        <v>2585</v>
      </c>
    </row>
    <row r="52" spans="1:43">
      <c r="A52" t="s">
        <v>230</v>
      </c>
      <c r="B52" t="s">
        <v>231</v>
      </c>
      <c r="C52" s="30">
        <v>1349</v>
      </c>
      <c r="D52">
        <v>1344</v>
      </c>
      <c r="F52" t="s">
        <v>231</v>
      </c>
      <c r="G52" s="30">
        <v>1220</v>
      </c>
      <c r="H52" s="30">
        <v>1214</v>
      </c>
      <c r="I52" t="b">
        <f>IF(B52=F52,TRUE,FALSE)</f>
        <v>1</v>
      </c>
      <c r="L52">
        <f>G52-C52</f>
        <v>-129</v>
      </c>
      <c r="M52" s="4">
        <f>G52/C52-1</f>
        <v>-9.5626389918458066E-2</v>
      </c>
      <c r="N52" s="165">
        <f>H52-D52</f>
        <v>-130</v>
      </c>
      <c r="P52" s="5">
        <v>2790.92</v>
      </c>
      <c r="Q52" s="5">
        <v>3021.04</v>
      </c>
      <c r="T52" s="5">
        <v>17691.080000000002</v>
      </c>
      <c r="X52" s="152">
        <f>Q52-P52</f>
        <v>230.11999999999989</v>
      </c>
      <c r="Y52" s="4">
        <f>IF(P52=0,0,Q52/P52-1)</f>
        <v>8.2453097903200323E-2</v>
      </c>
      <c r="Z52">
        <v>2.0765773809523811</v>
      </c>
      <c r="AA52">
        <f>Q52/H52</f>
        <v>2.4885008237232289</v>
      </c>
      <c r="AB52">
        <f>AA52-Z52</f>
        <v>0.4119234427708478</v>
      </c>
      <c r="AC52" s="18">
        <v>29636.01</v>
      </c>
      <c r="AD52" s="18">
        <v>28230.97</v>
      </c>
      <c r="AE52" s="4">
        <f>AD52/AC52-1</f>
        <v>-4.740989087262415E-2</v>
      </c>
      <c r="AF52" s="150">
        <f>(L52*2)-X52</f>
        <v>-488.11999999999989</v>
      </c>
      <c r="AM52" s="161" t="s">
        <v>232</v>
      </c>
      <c r="AN52" s="162">
        <v>1394</v>
      </c>
      <c r="AP52" s="161" t="s">
        <v>233</v>
      </c>
      <c r="AQ52" s="162">
        <v>1703</v>
      </c>
    </row>
    <row r="53" spans="1:43">
      <c r="A53" t="s">
        <v>234</v>
      </c>
      <c r="B53" t="s">
        <v>235</v>
      </c>
      <c r="C53" s="30">
        <v>1551</v>
      </c>
      <c r="D53">
        <v>1542</v>
      </c>
      <c r="F53" t="s">
        <v>235</v>
      </c>
      <c r="G53" s="30">
        <v>2070</v>
      </c>
      <c r="H53" s="30">
        <v>2063</v>
      </c>
      <c r="I53" t="b">
        <f>IF(B53=F53,TRUE,FALSE)</f>
        <v>1</v>
      </c>
      <c r="L53">
        <f>G53-C53</f>
        <v>519</v>
      </c>
      <c r="M53" s="4">
        <f>G53/C53-1</f>
        <v>0.33462282398452614</v>
      </c>
      <c r="N53" s="165">
        <f>H53-D53</f>
        <v>521</v>
      </c>
      <c r="P53" s="5">
        <v>3294.52</v>
      </c>
      <c r="Q53" s="5">
        <v>4769.6899999999996</v>
      </c>
      <c r="T53" s="5">
        <v>32060</v>
      </c>
      <c r="X53" s="152">
        <f>Q53-P53</f>
        <v>1475.1699999999996</v>
      </c>
      <c r="Y53" s="4">
        <f>IF(P53=0,0,Q53/P53-1)</f>
        <v>0.44776477301701001</v>
      </c>
      <c r="Z53">
        <v>2.1365239948119323</v>
      </c>
      <c r="AA53">
        <f>Q53/H53</f>
        <v>2.3120164808531265</v>
      </c>
      <c r="AB53">
        <f>AA53-Z53</f>
        <v>0.17549248604119416</v>
      </c>
      <c r="AC53" s="18">
        <v>41799.449999999997</v>
      </c>
      <c r="AD53" s="18">
        <v>55759.55</v>
      </c>
      <c r="AE53" s="4">
        <f>AD53/AC53-1</f>
        <v>0.33397807865892992</v>
      </c>
      <c r="AF53" s="150">
        <f>(L53*2)-X53</f>
        <v>-437.16999999999962</v>
      </c>
      <c r="AM53" s="163" t="s">
        <v>236</v>
      </c>
      <c r="AN53" s="164">
        <v>2857</v>
      </c>
      <c r="AP53" s="163" t="s">
        <v>237</v>
      </c>
      <c r="AQ53" s="164">
        <v>3552</v>
      </c>
    </row>
    <row r="54" spans="1:43">
      <c r="A54" t="s">
        <v>238</v>
      </c>
      <c r="B54" t="s">
        <v>239</v>
      </c>
      <c r="C54" s="30">
        <v>1492</v>
      </c>
      <c r="D54">
        <v>1477</v>
      </c>
      <c r="F54" t="s">
        <v>239</v>
      </c>
      <c r="G54" s="30">
        <v>1476</v>
      </c>
      <c r="H54" s="30">
        <v>1468</v>
      </c>
      <c r="I54" t="b">
        <f>IF(B54=F54,TRUE,FALSE)</f>
        <v>1</v>
      </c>
      <c r="L54">
        <f>G54-C54</f>
        <v>-16</v>
      </c>
      <c r="M54" s="4">
        <f>G54/C54-1</f>
        <v>-1.072386058981234E-2</v>
      </c>
      <c r="N54" s="165">
        <f>H54-D54</f>
        <v>-9</v>
      </c>
      <c r="O54" s="5"/>
      <c r="P54" s="5">
        <v>1584.68</v>
      </c>
      <c r="Q54" s="5">
        <v>1989.29</v>
      </c>
      <c r="R54" s="5"/>
      <c r="S54" s="5"/>
      <c r="T54" s="5">
        <v>14914.69</v>
      </c>
      <c r="U54" s="5"/>
      <c r="V54" s="5"/>
      <c r="W54" s="5"/>
      <c r="X54" s="152">
        <f>Q54-P54</f>
        <v>404.6099999999999</v>
      </c>
      <c r="Y54" s="4">
        <f>IF(P54=0,0,Q54/P54-1)</f>
        <v>0.25532599641567999</v>
      </c>
      <c r="Z54">
        <v>1.0729045362220717</v>
      </c>
      <c r="AA54">
        <f>Q54/H54</f>
        <v>1.3551021798365122</v>
      </c>
      <c r="AB54">
        <f>AA54-Z54</f>
        <v>0.28219764361444044</v>
      </c>
      <c r="AC54" s="18">
        <v>40209.4</v>
      </c>
      <c r="AD54" s="18">
        <v>39751.25</v>
      </c>
      <c r="AE54" s="4">
        <f>AD54/AC54-1</f>
        <v>-1.1394101876675666E-2</v>
      </c>
      <c r="AF54" s="150">
        <f>(L54*2)-X54</f>
        <v>-436.6099999999999</v>
      </c>
      <c r="AM54" s="163" t="s">
        <v>240</v>
      </c>
      <c r="AN54" s="164">
        <v>1473</v>
      </c>
      <c r="AP54" s="163" t="s">
        <v>240</v>
      </c>
      <c r="AQ54" s="164">
        <v>1747</v>
      </c>
    </row>
    <row r="55" spans="1:43">
      <c r="A55" t="s">
        <v>241</v>
      </c>
      <c r="B55" t="s">
        <v>159</v>
      </c>
      <c r="C55" s="30">
        <v>2459</v>
      </c>
      <c r="D55">
        <v>2427</v>
      </c>
      <c r="F55" t="s">
        <v>159</v>
      </c>
      <c r="G55" s="30">
        <v>3909</v>
      </c>
      <c r="H55" s="30">
        <v>3892</v>
      </c>
      <c r="I55" t="b">
        <f>IF(B55=F55,TRUE,FALSE)</f>
        <v>1</v>
      </c>
      <c r="L55">
        <f>G55-C55</f>
        <v>1450</v>
      </c>
      <c r="M55" s="4">
        <f>G55/C55-1</f>
        <v>0.58967059780398534</v>
      </c>
      <c r="N55" s="165">
        <f>H55-D55</f>
        <v>1465</v>
      </c>
      <c r="P55" s="5">
        <v>3028.31</v>
      </c>
      <c r="Q55" s="5">
        <v>6362.19</v>
      </c>
      <c r="T55" s="5">
        <v>36877.409999999996</v>
      </c>
      <c r="X55" s="152">
        <f>Q55-P55</f>
        <v>3333.8799999999997</v>
      </c>
      <c r="Y55" s="4">
        <f>IF(P55=0,0,Q55/P55-1)</f>
        <v>1.1009044648665425</v>
      </c>
      <c r="Z55">
        <v>1.2477585496497734</v>
      </c>
      <c r="AA55">
        <f>Q55/H55</f>
        <v>1.6346839671120246</v>
      </c>
      <c r="AB55">
        <f>AA55-Z55</f>
        <v>0.38692541746225118</v>
      </c>
      <c r="AC55" s="18">
        <v>68701.100000000006</v>
      </c>
      <c r="AD55" s="18">
        <v>109251.55</v>
      </c>
      <c r="AE55" s="4">
        <f>AD55/AC55-1</f>
        <v>0.59024455212507498</v>
      </c>
      <c r="AF55" s="150">
        <f>(L55*2)-X55</f>
        <v>-433.87999999999965</v>
      </c>
      <c r="AM55" s="161" t="s">
        <v>184</v>
      </c>
      <c r="AN55" s="162">
        <v>8346</v>
      </c>
      <c r="AP55" s="161" t="s">
        <v>242</v>
      </c>
      <c r="AQ55" s="162">
        <v>9468</v>
      </c>
    </row>
    <row r="56" spans="1:43">
      <c r="A56" t="s">
        <v>243</v>
      </c>
      <c r="B56" t="s">
        <v>244</v>
      </c>
      <c r="C56" s="30">
        <v>1507</v>
      </c>
      <c r="D56">
        <v>1493</v>
      </c>
      <c r="F56" t="s">
        <v>244</v>
      </c>
      <c r="G56" s="30">
        <v>2246</v>
      </c>
      <c r="H56" s="30">
        <v>2240</v>
      </c>
      <c r="I56" t="b">
        <f>IF(B56=F56,TRUE,FALSE)</f>
        <v>1</v>
      </c>
      <c r="L56">
        <f>G56-C56</f>
        <v>739</v>
      </c>
      <c r="M56" s="4">
        <f>G56/C56-1</f>
        <v>0.49037823490378241</v>
      </c>
      <c r="N56" s="165">
        <f>H56-D56</f>
        <v>747</v>
      </c>
      <c r="P56" s="5">
        <v>1956.34</v>
      </c>
      <c r="Q56" s="5">
        <v>3865.95</v>
      </c>
      <c r="T56" s="5">
        <v>28119.65</v>
      </c>
      <c r="X56" s="152">
        <f>Q56-P56</f>
        <v>1909.61</v>
      </c>
      <c r="Y56" s="4">
        <f>IF(P56=0,0,Q56/P56-1)</f>
        <v>0.97611355899281316</v>
      </c>
      <c r="Z56">
        <v>1.3103415941058272</v>
      </c>
      <c r="AA56">
        <f>Q56/H56</f>
        <v>1.7258705357142856</v>
      </c>
      <c r="AB56">
        <f>AA56-Z56</f>
        <v>0.41552894160845844</v>
      </c>
      <c r="AC56" s="18">
        <v>40673.93</v>
      </c>
      <c r="AD56" s="18">
        <v>60619.54</v>
      </c>
      <c r="AE56" s="4">
        <f>AD56/AC56-1</f>
        <v>0.49037823490378241</v>
      </c>
      <c r="AF56" s="150">
        <f>(L56*2)-X56</f>
        <v>-431.6099999999999</v>
      </c>
      <c r="AM56" s="161" t="s">
        <v>30</v>
      </c>
      <c r="AN56" s="162">
        <v>4455</v>
      </c>
      <c r="AP56" s="161" t="s">
        <v>245</v>
      </c>
      <c r="AQ56" s="162">
        <v>4964</v>
      </c>
    </row>
    <row r="57" spans="1:43">
      <c r="A57" t="s">
        <v>246</v>
      </c>
      <c r="B57" t="s">
        <v>200</v>
      </c>
      <c r="C57" s="30">
        <v>1400</v>
      </c>
      <c r="D57">
        <v>1381</v>
      </c>
      <c r="F57" t="s">
        <v>200</v>
      </c>
      <c r="G57" s="30">
        <v>1455</v>
      </c>
      <c r="H57" s="30">
        <v>1442</v>
      </c>
      <c r="I57" t="b">
        <f>IF(B57=F57,TRUE,FALSE)</f>
        <v>1</v>
      </c>
      <c r="L57">
        <f>G57-C57</f>
        <v>55</v>
      </c>
      <c r="M57" s="4">
        <f>G57/C57-1</f>
        <v>3.9285714285714368E-2</v>
      </c>
      <c r="N57" s="165">
        <f>H57-D57</f>
        <v>61</v>
      </c>
      <c r="P57" s="5">
        <v>1687.36</v>
      </c>
      <c r="Q57" s="5">
        <v>2209.62</v>
      </c>
      <c r="T57" s="5">
        <v>11114.59</v>
      </c>
      <c r="X57" s="152">
        <f>Q57-P57</f>
        <v>522.26</v>
      </c>
      <c r="Y57" s="4">
        <f>IF(P57=0,0,Q57/P57-1)</f>
        <v>0.30951308553005874</v>
      </c>
      <c r="Z57">
        <v>1.2218392469225199</v>
      </c>
      <c r="AA57">
        <f>Q57/H57</f>
        <v>1.5323300970873786</v>
      </c>
      <c r="AB57">
        <f>AA57-Z57</f>
        <v>0.31049085016485867</v>
      </c>
      <c r="AC57" s="18">
        <v>37730</v>
      </c>
      <c r="AD57" s="18">
        <v>38784.54</v>
      </c>
      <c r="AE57" s="4">
        <f>AD57/AC57-1</f>
        <v>2.7949642194540214E-2</v>
      </c>
      <c r="AF57" s="150">
        <f>(L57*2)-X57</f>
        <v>-412.26</v>
      </c>
      <c r="AM57" s="161" t="s">
        <v>247</v>
      </c>
      <c r="AN57" s="162">
        <v>1542</v>
      </c>
      <c r="AP57" s="161" t="s">
        <v>69</v>
      </c>
      <c r="AQ57" s="162">
        <v>1855</v>
      </c>
    </row>
    <row r="58" spans="1:43">
      <c r="A58" s="29" t="s">
        <v>248</v>
      </c>
      <c r="B58" t="s">
        <v>249</v>
      </c>
      <c r="C58" s="30">
        <v>954</v>
      </c>
      <c r="D58">
        <v>951</v>
      </c>
      <c r="F58" t="s">
        <v>249</v>
      </c>
      <c r="G58" s="30">
        <v>1485</v>
      </c>
      <c r="H58" s="30">
        <v>1485</v>
      </c>
      <c r="I58" t="b">
        <f>IF(B58=F58,TRUE,FALSE)</f>
        <v>1</v>
      </c>
      <c r="L58" s="27">
        <f>G58-C58</f>
        <v>531</v>
      </c>
      <c r="M58" s="4">
        <f>G58/C58-1</f>
        <v>0.55660377358490565</v>
      </c>
      <c r="N58" s="165">
        <f>H58-D58</f>
        <v>534</v>
      </c>
      <c r="P58" s="5">
        <v>2231.91</v>
      </c>
      <c r="Q58" s="5">
        <v>3689.1</v>
      </c>
      <c r="T58" s="5">
        <v>17959.04</v>
      </c>
      <c r="X58" s="152">
        <f>Q58-P58</f>
        <v>1457.19</v>
      </c>
      <c r="Y58" s="4">
        <f>IF(P58=0,0,Q58/P58-1)</f>
        <v>0.65288922940441152</v>
      </c>
      <c r="Z58">
        <v>2.3469085173501574</v>
      </c>
      <c r="AA58">
        <f>Q58/H58</f>
        <v>2.4842424242424244</v>
      </c>
      <c r="AB58">
        <f>AA58-Z58</f>
        <v>0.13733390689226699</v>
      </c>
      <c r="AC58" s="18">
        <v>19862.87</v>
      </c>
      <c r="AD58" s="18">
        <v>35749.410000000003</v>
      </c>
      <c r="AE58" s="4">
        <f>AD58/AC58-1</f>
        <v>0.79981090345957084</v>
      </c>
      <c r="AF58" s="150">
        <f>(L58*2)-X58</f>
        <v>-395.19000000000005</v>
      </c>
      <c r="AM58" s="163" t="s">
        <v>250</v>
      </c>
      <c r="AN58" s="164">
        <v>2813</v>
      </c>
      <c r="AP58" s="163" t="s">
        <v>251</v>
      </c>
      <c r="AQ58" s="164">
        <v>3472</v>
      </c>
    </row>
    <row r="59" spans="1:43">
      <c r="A59" t="s">
        <v>252</v>
      </c>
      <c r="B59" t="s">
        <v>253</v>
      </c>
      <c r="C59" s="30">
        <v>408</v>
      </c>
      <c r="D59">
        <v>405</v>
      </c>
      <c r="F59" t="s">
        <v>253</v>
      </c>
      <c r="G59" s="30">
        <v>217</v>
      </c>
      <c r="H59" s="30">
        <v>217</v>
      </c>
      <c r="I59" t="b">
        <f>IF(B59=F59,TRUE,FALSE)</f>
        <v>1</v>
      </c>
      <c r="L59">
        <f>G59-C59</f>
        <v>-191</v>
      </c>
      <c r="M59" s="4">
        <f>G59/C59-1</f>
        <v>-0.46813725490196079</v>
      </c>
      <c r="N59" s="165">
        <f>H59-D59</f>
        <v>-188</v>
      </c>
      <c r="P59" s="5">
        <v>168.09</v>
      </c>
      <c r="Q59" s="5">
        <v>121.77</v>
      </c>
      <c r="T59" s="5">
        <v>1380.9</v>
      </c>
      <c r="X59" s="152">
        <f>Q59-P59</f>
        <v>-46.320000000000007</v>
      </c>
      <c r="Y59" s="4">
        <f>IF(P59=0,0,Q59/P59-1)</f>
        <v>-0.27556666071747282</v>
      </c>
      <c r="Z59">
        <v>0.41503703703703704</v>
      </c>
      <c r="AA59">
        <f>Q59/H59</f>
        <v>0.56115207373271891</v>
      </c>
      <c r="AB59">
        <f>AA59-Z59</f>
        <v>0.14611503669568188</v>
      </c>
      <c r="AC59" s="18">
        <v>8955.6</v>
      </c>
      <c r="AD59" s="18">
        <v>4741.2</v>
      </c>
      <c r="AE59" s="4">
        <f>AD59/AC59-1</f>
        <v>-0.47058823529411764</v>
      </c>
      <c r="AF59" s="150">
        <f>(L59*2)-X59</f>
        <v>-335.68</v>
      </c>
      <c r="AM59" s="163" t="s">
        <v>254</v>
      </c>
      <c r="AN59" s="164">
        <v>1265</v>
      </c>
      <c r="AP59" s="163" t="s">
        <v>255</v>
      </c>
      <c r="AQ59" s="164">
        <v>1607</v>
      </c>
    </row>
    <row r="60" spans="1:43">
      <c r="A60" t="s">
        <v>256</v>
      </c>
      <c r="B60" t="s">
        <v>257</v>
      </c>
      <c r="C60" s="30">
        <v>1731</v>
      </c>
      <c r="D60">
        <v>1722</v>
      </c>
      <c r="F60" t="s">
        <v>257</v>
      </c>
      <c r="G60" s="30">
        <v>2180</v>
      </c>
      <c r="H60" s="30">
        <v>2177</v>
      </c>
      <c r="I60" t="b">
        <f>IF(B60=F60,TRUE,FALSE)</f>
        <v>1</v>
      </c>
      <c r="L60">
        <f>G60-C60</f>
        <v>449</v>
      </c>
      <c r="M60" s="4">
        <f>G60/C60-1</f>
        <v>0.25938763720392832</v>
      </c>
      <c r="N60" s="165">
        <f>H60-D60</f>
        <v>455</v>
      </c>
      <c r="P60" s="5">
        <v>1663.96</v>
      </c>
      <c r="Q60" s="5">
        <v>2924.87</v>
      </c>
      <c r="T60" s="5">
        <v>33137.880000000005</v>
      </c>
      <c r="X60" s="152">
        <f>Q60-P60</f>
        <v>1260.9099999999999</v>
      </c>
      <c r="Y60" s="4">
        <f>IF(P60=0,0,Q60/P60-1)</f>
        <v>0.75777662924589517</v>
      </c>
      <c r="Z60">
        <v>0.96629500580720096</v>
      </c>
      <c r="AA60">
        <f>Q60/H60</f>
        <v>1.3435323840146991</v>
      </c>
      <c r="AB60">
        <f>AA60-Z60</f>
        <v>0.37723737820749814</v>
      </c>
      <c r="AC60" s="18">
        <v>42114.17</v>
      </c>
      <c r="AD60" s="18">
        <v>57270.2</v>
      </c>
      <c r="AE60" s="4">
        <f>AD60/AC60-1</f>
        <v>0.35987958447239965</v>
      </c>
      <c r="AF60" s="150">
        <f>(L60*2)-X60</f>
        <v>-362.90999999999985</v>
      </c>
      <c r="AM60" s="161" t="s">
        <v>72</v>
      </c>
      <c r="AN60" s="162">
        <v>4128</v>
      </c>
      <c r="AP60" s="161" t="s">
        <v>258</v>
      </c>
      <c r="AQ60" s="162">
        <v>3323</v>
      </c>
    </row>
    <row r="61" spans="1:43">
      <c r="A61" t="s">
        <v>259</v>
      </c>
      <c r="B61" t="s">
        <v>260</v>
      </c>
      <c r="C61" s="30">
        <v>1847</v>
      </c>
      <c r="D61">
        <v>1816</v>
      </c>
      <c r="F61" t="s">
        <v>260</v>
      </c>
      <c r="G61" s="30">
        <v>2036</v>
      </c>
      <c r="H61" s="30">
        <v>2027</v>
      </c>
      <c r="I61" t="b">
        <f>IF(B61=F61,TRUE,FALSE)</f>
        <v>1</v>
      </c>
      <c r="L61">
        <f>G61-C61</f>
        <v>189</v>
      </c>
      <c r="M61" s="4">
        <f>G61/C61-1</f>
        <v>0.10232809962100697</v>
      </c>
      <c r="N61" s="165">
        <f>H61-D61</f>
        <v>211</v>
      </c>
      <c r="P61" s="5">
        <v>1517.21</v>
      </c>
      <c r="Q61" s="5">
        <v>2251.8000000000002</v>
      </c>
      <c r="T61" s="5">
        <v>15321.16</v>
      </c>
      <c r="X61" s="152">
        <f>Q61-P61</f>
        <v>734.59000000000015</v>
      </c>
      <c r="Y61" s="4">
        <f>IF(P61=0,0,Q61/P61-1)</f>
        <v>0.48417160445818319</v>
      </c>
      <c r="Z61">
        <v>0.83546806167400878</v>
      </c>
      <c r="AA61">
        <f>Q61/H61</f>
        <v>1.110902812037494</v>
      </c>
      <c r="AB61">
        <f>AA61-Z61</f>
        <v>0.27543475036348519</v>
      </c>
      <c r="AC61" s="18">
        <v>55315.65</v>
      </c>
      <c r="AD61" s="18">
        <v>60948.25</v>
      </c>
      <c r="AE61" s="4">
        <f>AD61/AC61-1</f>
        <v>0.10182651745030569</v>
      </c>
      <c r="AF61" s="150">
        <f>(L61*2)-X61</f>
        <v>-356.59000000000015</v>
      </c>
      <c r="AM61" s="161" t="s">
        <v>260</v>
      </c>
      <c r="AN61" s="162">
        <v>1816</v>
      </c>
      <c r="AP61" s="161" t="s">
        <v>261</v>
      </c>
      <c r="AQ61" s="162">
        <v>2294</v>
      </c>
    </row>
    <row r="62" spans="1:43">
      <c r="A62" t="s">
        <v>262</v>
      </c>
      <c r="B62" t="s">
        <v>263</v>
      </c>
      <c r="C62" s="30">
        <v>1082</v>
      </c>
      <c r="D62">
        <v>1067</v>
      </c>
      <c r="F62" t="s">
        <v>263</v>
      </c>
      <c r="G62" s="30">
        <v>1242</v>
      </c>
      <c r="H62" s="30">
        <v>1237</v>
      </c>
      <c r="I62" t="b">
        <f>IF(B62=F62,TRUE,FALSE)</f>
        <v>1</v>
      </c>
      <c r="L62">
        <f>G62-C62</f>
        <v>160</v>
      </c>
      <c r="M62" s="4">
        <f>G62/C62-1</f>
        <v>0.14787430683918679</v>
      </c>
      <c r="N62" s="165">
        <f>H62-D62</f>
        <v>170</v>
      </c>
      <c r="O62" s="5"/>
      <c r="P62" s="5">
        <v>1067.03</v>
      </c>
      <c r="Q62" s="5">
        <v>1735.19</v>
      </c>
      <c r="R62" s="5"/>
      <c r="S62" s="5"/>
      <c r="T62" s="5">
        <v>9386.16</v>
      </c>
      <c r="U62" s="5"/>
      <c r="V62" s="5"/>
      <c r="W62" s="5"/>
      <c r="X62" s="152">
        <f>Q62-P62</f>
        <v>668.16000000000008</v>
      </c>
      <c r="Y62" s="4">
        <f>IF(P62=0,0,Q62/P62-1)</f>
        <v>0.62618670515355723</v>
      </c>
      <c r="Z62">
        <v>1.0000281162136833</v>
      </c>
      <c r="AA62">
        <f>Q62/H62</f>
        <v>1.4027405012126113</v>
      </c>
      <c r="AB62">
        <f>AA62-Z62</f>
        <v>0.40271238499892803</v>
      </c>
      <c r="AC62" s="18">
        <v>25913.9</v>
      </c>
      <c r="AD62" s="18">
        <v>29745.9</v>
      </c>
      <c r="AE62" s="4">
        <f>AD62/AC62-1</f>
        <v>0.14787430683918679</v>
      </c>
      <c r="AF62" s="150">
        <f>(L62*2)-X62</f>
        <v>-348.16000000000008</v>
      </c>
      <c r="AM62" s="161" t="s">
        <v>264</v>
      </c>
      <c r="AN62" s="162">
        <v>1770</v>
      </c>
      <c r="AP62" s="161" t="s">
        <v>235</v>
      </c>
      <c r="AQ62" s="162">
        <v>2063</v>
      </c>
    </row>
    <row r="63" spans="1:43">
      <c r="A63" t="s">
        <v>265</v>
      </c>
      <c r="B63" t="s">
        <v>266</v>
      </c>
      <c r="C63" s="30">
        <v>552</v>
      </c>
      <c r="D63">
        <v>552</v>
      </c>
      <c r="F63" t="s">
        <v>266</v>
      </c>
      <c r="G63" s="30">
        <v>664</v>
      </c>
      <c r="H63" s="30">
        <v>659</v>
      </c>
      <c r="I63" t="b">
        <f>IF(B63=F63,TRUE,FALSE)</f>
        <v>1</v>
      </c>
      <c r="L63">
        <f>G63-C63</f>
        <v>112</v>
      </c>
      <c r="M63" s="4">
        <f>G63/C63-1</f>
        <v>0.20289855072463769</v>
      </c>
      <c r="N63" s="165">
        <f>H63-D63</f>
        <v>107</v>
      </c>
      <c r="P63" s="5">
        <v>1174.56</v>
      </c>
      <c r="Q63" s="5">
        <v>1743.29</v>
      </c>
      <c r="T63" s="5">
        <v>9222.7100000000009</v>
      </c>
      <c r="X63" s="152">
        <f>Q63-P63</f>
        <v>568.73</v>
      </c>
      <c r="Y63" s="4">
        <f>IF(P63=0,0,Q63/P63-1)</f>
        <v>0.48420685192753044</v>
      </c>
      <c r="Z63">
        <v>2.1278260869565218</v>
      </c>
      <c r="AA63">
        <f>Q63/H63</f>
        <v>2.6453566009104703</v>
      </c>
      <c r="AB63">
        <f>AA63-Z63</f>
        <v>0.51753051395394856</v>
      </c>
      <c r="AC63" s="18">
        <v>10441.450000000001</v>
      </c>
      <c r="AD63" s="18">
        <v>12544.900000000001</v>
      </c>
      <c r="AE63" s="4">
        <f>AD63/AC63-1</f>
        <v>0.20145190562613435</v>
      </c>
      <c r="AF63" s="150">
        <f>(L63*2)-X63</f>
        <v>-344.73</v>
      </c>
      <c r="AM63" s="163" t="s">
        <v>267</v>
      </c>
      <c r="AN63" s="164">
        <v>1761</v>
      </c>
      <c r="AP63" s="163" t="s">
        <v>223</v>
      </c>
      <c r="AQ63" s="164">
        <v>2078</v>
      </c>
    </row>
    <row r="64" spans="1:43">
      <c r="A64" t="s">
        <v>268</v>
      </c>
      <c r="B64" t="s">
        <v>269</v>
      </c>
      <c r="C64" s="30">
        <v>1032</v>
      </c>
      <c r="D64">
        <v>1004</v>
      </c>
      <c r="F64" t="s">
        <v>269</v>
      </c>
      <c r="G64" s="30">
        <v>1189</v>
      </c>
      <c r="H64" s="30">
        <v>1173</v>
      </c>
      <c r="I64" t="b">
        <f>IF(B64=F64,TRUE,FALSE)</f>
        <v>1</v>
      </c>
      <c r="L64">
        <f>G64-C64</f>
        <v>157</v>
      </c>
      <c r="M64" s="4">
        <f>G64/C64-1</f>
        <v>0.15213178294573648</v>
      </c>
      <c r="N64" s="165">
        <f>H64-D64</f>
        <v>169</v>
      </c>
      <c r="P64" s="5">
        <v>2102.4699999999998</v>
      </c>
      <c r="Q64" s="5">
        <v>2759.4</v>
      </c>
      <c r="T64" s="5">
        <v>12080.550000000001</v>
      </c>
      <c r="X64" s="152">
        <f>Q64-P64</f>
        <v>656.93000000000029</v>
      </c>
      <c r="Y64" s="4">
        <f>IF(P64=0,0,Q64/P64-1)</f>
        <v>0.31245630139787983</v>
      </c>
      <c r="Z64">
        <v>2.0940936254980076</v>
      </c>
      <c r="AA64">
        <f>Q64/H64</f>
        <v>2.3524296675191816</v>
      </c>
      <c r="AB64">
        <f>AA64-Z64</f>
        <v>0.25833604202117399</v>
      </c>
      <c r="AC64" s="18">
        <v>41269.68</v>
      </c>
      <c r="AD64" s="18">
        <v>47548.11</v>
      </c>
      <c r="AE64" s="4">
        <f>AD64/AC64-1</f>
        <v>0.15213178294573648</v>
      </c>
      <c r="AF64" s="150">
        <f>(L64*2)-X64</f>
        <v>-342.93000000000029</v>
      </c>
      <c r="AM64" s="161" t="s">
        <v>217</v>
      </c>
      <c r="AN64" s="162">
        <v>1692</v>
      </c>
      <c r="AP64" s="161" t="s">
        <v>270</v>
      </c>
      <c r="AQ64" s="162">
        <v>1997</v>
      </c>
    </row>
    <row r="65" spans="1:43">
      <c r="A65" t="s">
        <v>271</v>
      </c>
      <c r="B65" t="s">
        <v>162</v>
      </c>
      <c r="C65" s="30">
        <v>1851</v>
      </c>
      <c r="D65">
        <v>1823</v>
      </c>
      <c r="F65" t="s">
        <v>162</v>
      </c>
      <c r="G65" s="30">
        <v>2572</v>
      </c>
      <c r="H65" s="30">
        <v>2553</v>
      </c>
      <c r="I65" t="b">
        <f>IF(B65=F65,TRUE,FALSE)</f>
        <v>1</v>
      </c>
      <c r="L65">
        <f>G65-C65</f>
        <v>721</v>
      </c>
      <c r="M65" s="4">
        <f>G65/C65-1</f>
        <v>0.38951917882225828</v>
      </c>
      <c r="N65" s="165">
        <f>H65-D65</f>
        <v>730</v>
      </c>
      <c r="P65" s="5">
        <v>2683.72</v>
      </c>
      <c r="Q65" s="5">
        <v>4463.3500000000004</v>
      </c>
      <c r="T65" s="5">
        <v>33323.82</v>
      </c>
      <c r="X65" s="152">
        <f>Q65-P65</f>
        <v>1779.6300000000006</v>
      </c>
      <c r="Y65" s="4">
        <f>IF(P65=0,0,Q65/P65-1)</f>
        <v>0.66312059380263233</v>
      </c>
      <c r="Z65">
        <v>1.4721448162369719</v>
      </c>
      <c r="AA65">
        <f>Q65/H65</f>
        <v>1.7482765374069724</v>
      </c>
      <c r="AB65">
        <f>AA65-Z65</f>
        <v>0.27613172117000051</v>
      </c>
      <c r="AC65" s="18">
        <v>53374.35</v>
      </c>
      <c r="AD65" s="18">
        <v>74376.179999999993</v>
      </c>
      <c r="AE65" s="4">
        <f>AD65/AC65-1</f>
        <v>0.39348170047972464</v>
      </c>
      <c r="AF65" s="150">
        <f>(L65*2)-X65</f>
        <v>-337.63000000000056</v>
      </c>
      <c r="AM65" s="163" t="s">
        <v>64</v>
      </c>
      <c r="AN65" s="164">
        <v>4223</v>
      </c>
      <c r="AP65" s="163" t="s">
        <v>125</v>
      </c>
      <c r="AQ65" s="164">
        <v>3973</v>
      </c>
    </row>
    <row r="66" spans="1:43">
      <c r="A66" t="s">
        <v>272</v>
      </c>
      <c r="B66" t="s">
        <v>273</v>
      </c>
      <c r="C66" s="30">
        <v>1623</v>
      </c>
      <c r="D66">
        <v>1608</v>
      </c>
      <c r="F66" t="s">
        <v>273</v>
      </c>
      <c r="G66" s="30">
        <v>2589</v>
      </c>
      <c r="H66" s="30">
        <v>2577</v>
      </c>
      <c r="I66" t="b">
        <f>IF(B66=F66,TRUE,FALSE)</f>
        <v>1</v>
      </c>
      <c r="L66">
        <f>G66-C66</f>
        <v>966</v>
      </c>
      <c r="M66" s="4">
        <f>G66/C66-1</f>
        <v>0.59519408502772642</v>
      </c>
      <c r="N66" s="165">
        <f>H66-D66</f>
        <v>969</v>
      </c>
      <c r="P66" s="5">
        <v>2202.29</v>
      </c>
      <c r="Q66" s="5">
        <v>4457.82</v>
      </c>
      <c r="T66" s="5">
        <v>30475.85</v>
      </c>
      <c r="X66" s="152">
        <f>Q66-P66</f>
        <v>2255.5299999999997</v>
      </c>
      <c r="Y66" s="4">
        <f>IF(P66=0,0,Q66/P66-1)</f>
        <v>1.024174836193235</v>
      </c>
      <c r="Z66">
        <v>1.3695833333333334</v>
      </c>
      <c r="AA66">
        <f>Q66/H66</f>
        <v>1.7298486612339929</v>
      </c>
      <c r="AB66">
        <f>AA66-Z66</f>
        <v>0.36026532790065957</v>
      </c>
      <c r="AC66" s="18">
        <v>48608.85</v>
      </c>
      <c r="AD66" s="18">
        <v>77360.850000000006</v>
      </c>
      <c r="AE66" s="4">
        <f>AD66/AC66-1</f>
        <v>0.59149722735674692</v>
      </c>
      <c r="AF66" s="150">
        <f>(L66*2)-X66</f>
        <v>-323.52999999999975</v>
      </c>
      <c r="AM66" s="161" t="s">
        <v>51</v>
      </c>
      <c r="AN66" s="162">
        <v>4250</v>
      </c>
      <c r="AP66" s="161" t="s">
        <v>53</v>
      </c>
      <c r="AQ66" s="162">
        <v>5664</v>
      </c>
    </row>
    <row r="67" spans="1:43">
      <c r="A67" t="s">
        <v>274</v>
      </c>
      <c r="B67" t="s">
        <v>275</v>
      </c>
      <c r="C67" s="30">
        <v>1604</v>
      </c>
      <c r="D67">
        <v>1588</v>
      </c>
      <c r="F67" t="s">
        <v>275</v>
      </c>
      <c r="G67" s="30">
        <v>1941</v>
      </c>
      <c r="H67" s="30">
        <v>1928</v>
      </c>
      <c r="I67" t="b">
        <f>IF(B67=F67,TRUE,FALSE)</f>
        <v>1</v>
      </c>
      <c r="L67">
        <f>G67-C67</f>
        <v>337</v>
      </c>
      <c r="M67" s="4">
        <f>G67/C67-1</f>
        <v>0.21009975062344144</v>
      </c>
      <c r="N67" s="165">
        <f>H67-D67</f>
        <v>340</v>
      </c>
      <c r="P67" s="5">
        <v>1939.15</v>
      </c>
      <c r="Q67" s="5">
        <v>2899.98</v>
      </c>
      <c r="T67" s="5">
        <v>12047.830000000002</v>
      </c>
      <c r="X67" s="152">
        <f>Q67-P67</f>
        <v>960.82999999999993</v>
      </c>
      <c r="Y67" s="4">
        <f>IF(P67=0,0,Q67/P67-1)</f>
        <v>0.49549029213830798</v>
      </c>
      <c r="Z67">
        <v>1.2211272040302268</v>
      </c>
      <c r="AA67">
        <f>Q67/H67</f>
        <v>1.5041390041493776</v>
      </c>
      <c r="AB67">
        <f>AA67-Z67</f>
        <v>0.28301180011915084</v>
      </c>
      <c r="AC67" s="18">
        <v>31959.9</v>
      </c>
      <c r="AD67" s="18">
        <v>38722.949999999997</v>
      </c>
      <c r="AE67" s="4">
        <f>AD67/AC67-1</f>
        <v>0.21161048689138573</v>
      </c>
      <c r="AF67" s="150">
        <f>(L67*2)-X67</f>
        <v>-286.82999999999993</v>
      </c>
      <c r="AM67" s="161" t="s">
        <v>276</v>
      </c>
      <c r="AN67" s="162">
        <v>2236</v>
      </c>
      <c r="AP67" s="161" t="s">
        <v>189</v>
      </c>
      <c r="AQ67" s="162">
        <v>3077</v>
      </c>
    </row>
    <row r="68" spans="1:43">
      <c r="A68" t="s">
        <v>277</v>
      </c>
      <c r="B68" t="s">
        <v>278</v>
      </c>
      <c r="C68" s="30">
        <v>782</v>
      </c>
      <c r="D68">
        <v>776</v>
      </c>
      <c r="F68" t="s">
        <v>278</v>
      </c>
      <c r="G68" s="30">
        <v>1280</v>
      </c>
      <c r="H68" s="30">
        <v>1279</v>
      </c>
      <c r="I68" t="b">
        <f>IF(B68=F68,TRUE,FALSE)</f>
        <v>1</v>
      </c>
      <c r="L68">
        <f>G68-C68</f>
        <v>498</v>
      </c>
      <c r="M68" s="4">
        <f>G68/C68-1</f>
        <v>0.63682864450127874</v>
      </c>
      <c r="N68" s="165">
        <f>H68-D68</f>
        <v>503</v>
      </c>
      <c r="P68" s="5">
        <v>1580.19</v>
      </c>
      <c r="Q68" s="5">
        <v>2851.06</v>
      </c>
      <c r="T68" s="5">
        <v>18198.400000000001</v>
      </c>
      <c r="X68" s="152">
        <f>Q68-P68</f>
        <v>1270.8699999999999</v>
      </c>
      <c r="Y68" s="4">
        <f>IF(P68=0,0,Q68/P68-1)</f>
        <v>0.80425138749137748</v>
      </c>
      <c r="Z68">
        <v>2.0363273195876288</v>
      </c>
      <c r="AA68">
        <f>Q68/H68</f>
        <v>2.2291321344800625</v>
      </c>
      <c r="AB68">
        <f>AA68-Z68</f>
        <v>0.19280481489243373</v>
      </c>
      <c r="AC68" s="18">
        <v>17218.169999999998</v>
      </c>
      <c r="AD68" s="18">
        <v>30029.200000000001</v>
      </c>
      <c r="AE68" s="4">
        <f>AD68/AC68-1</f>
        <v>0.74404132378760357</v>
      </c>
      <c r="AF68" s="150">
        <f>(L68*2)-X68</f>
        <v>-274.86999999999989</v>
      </c>
      <c r="AM68" s="163" t="s">
        <v>258</v>
      </c>
      <c r="AN68" s="164">
        <v>2525</v>
      </c>
      <c r="AP68" s="163" t="s">
        <v>169</v>
      </c>
      <c r="AQ68" s="164">
        <v>3472</v>
      </c>
    </row>
    <row r="69" spans="1:43">
      <c r="A69" t="s">
        <v>279</v>
      </c>
      <c r="B69" t="s">
        <v>280</v>
      </c>
      <c r="C69" s="30">
        <v>1054</v>
      </c>
      <c r="D69">
        <v>1043</v>
      </c>
      <c r="F69" t="s">
        <v>280</v>
      </c>
      <c r="G69" s="30">
        <v>918</v>
      </c>
      <c r="H69" s="30">
        <v>911</v>
      </c>
      <c r="I69" t="b">
        <f>IF(B69=F69,TRUE,FALSE)</f>
        <v>1</v>
      </c>
      <c r="L69">
        <f>G69-C69</f>
        <v>-136</v>
      </c>
      <c r="M69" s="4">
        <f>G69/C69-1</f>
        <v>-0.12903225806451613</v>
      </c>
      <c r="N69" s="165">
        <f>H69-D69</f>
        <v>-132</v>
      </c>
      <c r="P69" s="5">
        <v>1590.62</v>
      </c>
      <c r="Q69" s="5">
        <v>1172.6500000000001</v>
      </c>
      <c r="T69" s="5">
        <v>7331.72</v>
      </c>
      <c r="X69" s="152">
        <f>Q69-P69</f>
        <v>-417.9699999999998</v>
      </c>
      <c r="Y69" s="4">
        <f>IF(P69=0,0,Q69/P69-1)</f>
        <v>-0.26277174938074455</v>
      </c>
      <c r="Z69">
        <v>1.5250431447746884</v>
      </c>
      <c r="AA69">
        <f>Q69/H69</f>
        <v>1.287211855104281</v>
      </c>
      <c r="AB69">
        <f>AA69-Z69</f>
        <v>-0.23783128967040734</v>
      </c>
      <c r="AC69" s="18">
        <v>38987.46</v>
      </c>
      <c r="AD69" s="18">
        <v>33956.82</v>
      </c>
      <c r="AE69" s="4">
        <f>AD69/AC69-1</f>
        <v>-0.12903225806451613</v>
      </c>
      <c r="AF69" s="150">
        <f>(L69*2)-X69</f>
        <v>145.9699999999998</v>
      </c>
      <c r="AM69" s="161" t="s">
        <v>281</v>
      </c>
      <c r="AN69" s="162">
        <v>1240</v>
      </c>
      <c r="AP69" s="161" t="s">
        <v>282</v>
      </c>
      <c r="AQ69" s="162">
        <v>1493</v>
      </c>
    </row>
    <row r="70" spans="1:43">
      <c r="A70" t="s">
        <v>283</v>
      </c>
      <c r="B70" t="s">
        <v>284</v>
      </c>
      <c r="C70" s="30">
        <v>1083</v>
      </c>
      <c r="D70">
        <v>1080</v>
      </c>
      <c r="F70" t="s">
        <v>284</v>
      </c>
      <c r="G70" s="30">
        <v>1300</v>
      </c>
      <c r="H70" s="30">
        <v>1291</v>
      </c>
      <c r="I70" t="b">
        <f>IF(B70=F70,TRUE,FALSE)</f>
        <v>1</v>
      </c>
      <c r="L70">
        <f>G70-C70</f>
        <v>217</v>
      </c>
      <c r="M70" s="4">
        <f>G70/C70-1</f>
        <v>0.20036934441366583</v>
      </c>
      <c r="N70" s="165">
        <f>H70-D70</f>
        <v>211</v>
      </c>
      <c r="P70" s="5">
        <v>1166.18</v>
      </c>
      <c r="Q70" s="5">
        <v>1842.15</v>
      </c>
      <c r="T70" s="5">
        <v>14156.39</v>
      </c>
      <c r="X70" s="152">
        <f>Q70-P70</f>
        <v>675.97</v>
      </c>
      <c r="Y70" s="4">
        <f>IF(P70=0,0,Q70/P70-1)</f>
        <v>0.57964465176902369</v>
      </c>
      <c r="Z70">
        <v>1.0797962962962964</v>
      </c>
      <c r="AA70">
        <f>Q70/H70</f>
        <v>1.4269171185127809</v>
      </c>
      <c r="AB70">
        <f>AA70-Z70</f>
        <v>0.34712082221648455</v>
      </c>
      <c r="AC70" s="18">
        <v>31110.14</v>
      </c>
      <c r="AD70" s="18">
        <v>37687</v>
      </c>
      <c r="AE70" s="4">
        <f>AD70/AC70-1</f>
        <v>0.21140567030556601</v>
      </c>
      <c r="AF70" s="150">
        <f>(L70*2)-X70</f>
        <v>-241.97000000000003</v>
      </c>
      <c r="AM70" s="163" t="s">
        <v>45</v>
      </c>
      <c r="AN70" s="164">
        <v>2965</v>
      </c>
      <c r="AP70" s="163" t="s">
        <v>285</v>
      </c>
      <c r="AQ70" s="164">
        <v>2283</v>
      </c>
    </row>
    <row r="71" spans="1:43">
      <c r="A71" t="s">
        <v>286</v>
      </c>
      <c r="B71" t="s">
        <v>287</v>
      </c>
      <c r="C71" s="31">
        <v>127</v>
      </c>
      <c r="D71">
        <v>126</v>
      </c>
      <c r="F71" t="s">
        <v>287</v>
      </c>
      <c r="G71" s="31">
        <v>230</v>
      </c>
      <c r="H71" s="30">
        <v>229</v>
      </c>
      <c r="I71" t="b">
        <f>IF(B71=F71,TRUE,FALSE)</f>
        <v>1</v>
      </c>
      <c r="L71">
        <f>G71-C71</f>
        <v>103</v>
      </c>
      <c r="M71" s="4">
        <f>G71/C71-1</f>
        <v>0.81102362204724399</v>
      </c>
      <c r="N71" s="165">
        <f>H71-D71</f>
        <v>103</v>
      </c>
      <c r="P71" s="5">
        <v>612.39</v>
      </c>
      <c r="Q71" s="5">
        <v>1055.68</v>
      </c>
      <c r="T71" s="5">
        <v>6194.24</v>
      </c>
      <c r="X71" s="152">
        <f>Q71-P71</f>
        <v>443.29000000000008</v>
      </c>
      <c r="Y71" s="4">
        <f>IF(P71=0,0,Q71/P71-1)</f>
        <v>0.72386877643331871</v>
      </c>
      <c r="Z71">
        <v>4.8602380952380955</v>
      </c>
      <c r="AA71">
        <f>Q71/H71</f>
        <v>4.6099563318777292</v>
      </c>
      <c r="AB71">
        <f>AA71-Z71</f>
        <v>-0.25028176336036623</v>
      </c>
      <c r="AC71" s="18">
        <v>2533.65</v>
      </c>
      <c r="AD71" s="18">
        <v>4588.5</v>
      </c>
      <c r="AE71" s="4">
        <f>AD71/AC71-1</f>
        <v>0.81102362204724399</v>
      </c>
      <c r="AF71" s="150">
        <f>(L71*2)-X71</f>
        <v>-237.29000000000008</v>
      </c>
      <c r="AM71" s="161" t="s">
        <v>288</v>
      </c>
      <c r="AN71" s="162">
        <v>1517</v>
      </c>
      <c r="AP71" s="161" t="s">
        <v>275</v>
      </c>
      <c r="AQ71" s="162">
        <v>1928</v>
      </c>
    </row>
    <row r="72" spans="1:43">
      <c r="A72" t="s">
        <v>289</v>
      </c>
      <c r="B72" t="s">
        <v>290</v>
      </c>
      <c r="C72" s="30">
        <v>817</v>
      </c>
      <c r="D72">
        <v>815</v>
      </c>
      <c r="F72" t="s">
        <v>290</v>
      </c>
      <c r="G72" s="30">
        <v>97</v>
      </c>
      <c r="H72" s="30">
        <v>97</v>
      </c>
      <c r="I72" t="b">
        <f>IF(B72=F72,TRUE,FALSE)</f>
        <v>1</v>
      </c>
      <c r="L72">
        <f>G72-C72</f>
        <v>-720</v>
      </c>
      <c r="M72" s="4">
        <f>G72/C72-1</f>
        <v>-0.88127294981640147</v>
      </c>
      <c r="N72" s="165">
        <f>H72-D72</f>
        <v>-718</v>
      </c>
      <c r="P72" s="5">
        <v>1429.49</v>
      </c>
      <c r="Q72" s="5">
        <v>223.04</v>
      </c>
      <c r="T72" s="5">
        <v>1041.22</v>
      </c>
      <c r="X72" s="152">
        <f>Q72-P72</f>
        <v>-1206.45</v>
      </c>
      <c r="Y72" s="4">
        <f>IF(P72=0,0,Q72/P72-1)</f>
        <v>-0.8439723257945142</v>
      </c>
      <c r="Z72">
        <v>1.7539754601226993</v>
      </c>
      <c r="AA72">
        <f>Q72/H72</f>
        <v>2.299381443298969</v>
      </c>
      <c r="AB72">
        <f>AA72-Z72</f>
        <v>0.54540598317626965</v>
      </c>
      <c r="AC72" s="18">
        <v>12246.829999999998</v>
      </c>
      <c r="AD72" s="18">
        <v>1648.03</v>
      </c>
      <c r="AE72" s="4">
        <f>AD72/AC72-1</f>
        <v>-0.86543211590264579</v>
      </c>
      <c r="AF72" s="150">
        <f>(L72*2)-X72</f>
        <v>-233.54999999999995</v>
      </c>
      <c r="AM72" s="163" t="s">
        <v>291</v>
      </c>
      <c r="AN72" s="164">
        <v>879</v>
      </c>
      <c r="AP72" s="163" t="s">
        <v>292</v>
      </c>
      <c r="AQ72" s="164">
        <v>1036</v>
      </c>
    </row>
    <row r="73" spans="1:43">
      <c r="A73" t="s">
        <v>293</v>
      </c>
      <c r="B73" t="s">
        <v>294</v>
      </c>
      <c r="C73" s="30">
        <v>971</v>
      </c>
      <c r="D73">
        <v>963</v>
      </c>
      <c r="F73" t="s">
        <v>294</v>
      </c>
      <c r="G73" s="30">
        <v>1230</v>
      </c>
      <c r="H73" s="30">
        <v>1223</v>
      </c>
      <c r="I73" t="b">
        <f>IF(B73=F73,TRUE,FALSE)</f>
        <v>1</v>
      </c>
      <c r="L73">
        <f>G73-C73</f>
        <v>259</v>
      </c>
      <c r="M73" s="4">
        <f>G73/C73-1</f>
        <v>0.26673532440782699</v>
      </c>
      <c r="N73" s="165">
        <f>H73-D73</f>
        <v>260</v>
      </c>
      <c r="P73" s="5">
        <v>1305.0899999999999</v>
      </c>
      <c r="Q73" s="5">
        <v>2034.16</v>
      </c>
      <c r="T73" s="5">
        <v>13849.56</v>
      </c>
      <c r="X73" s="152">
        <f>Q73-P73</f>
        <v>729.07000000000016</v>
      </c>
      <c r="Y73" s="4">
        <f>IF(P73=0,0,Q73/P73-1)</f>
        <v>0.55863580289481973</v>
      </c>
      <c r="Z73">
        <v>1.355233644859813</v>
      </c>
      <c r="AA73">
        <f>Q73/H73</f>
        <v>1.6632542927228129</v>
      </c>
      <c r="AB73">
        <f>AA73-Z73</f>
        <v>0.30802064786299987</v>
      </c>
      <c r="AC73" s="18">
        <v>29007.97</v>
      </c>
      <c r="AD73" s="18">
        <v>36827.72</v>
      </c>
      <c r="AE73" s="4">
        <f>AD73/AC73-1</f>
        <v>0.26957246577406146</v>
      </c>
      <c r="AF73" s="150">
        <f>(L73*2)-X73</f>
        <v>-211.07000000000016</v>
      </c>
      <c r="AM73" s="161" t="s">
        <v>192</v>
      </c>
      <c r="AN73" s="162">
        <v>1710</v>
      </c>
      <c r="AP73" s="161" t="s">
        <v>257</v>
      </c>
      <c r="AQ73" s="162">
        <v>2177</v>
      </c>
    </row>
    <row r="74" spans="1:43">
      <c r="A74" t="s">
        <v>295</v>
      </c>
      <c r="B74" t="s">
        <v>216</v>
      </c>
      <c r="C74" s="30">
        <v>1600</v>
      </c>
      <c r="D74">
        <v>1580</v>
      </c>
      <c r="F74" t="s">
        <v>216</v>
      </c>
      <c r="G74" s="30">
        <v>2352</v>
      </c>
      <c r="H74" s="30">
        <v>2329</v>
      </c>
      <c r="I74" t="b">
        <f>IF(B74=F74,TRUE,FALSE)</f>
        <v>1</v>
      </c>
      <c r="L74">
        <f>G74-C74</f>
        <v>752</v>
      </c>
      <c r="M74" s="4">
        <f>G74/C74-1</f>
        <v>0.47</v>
      </c>
      <c r="N74" s="165">
        <f>H74-D74</f>
        <v>749</v>
      </c>
      <c r="P74" s="5">
        <v>3209.67</v>
      </c>
      <c r="Q74" s="5">
        <v>4923.53</v>
      </c>
      <c r="T74" s="5">
        <v>26950.09</v>
      </c>
      <c r="X74" s="152">
        <f>Q74-P74</f>
        <v>1713.8599999999997</v>
      </c>
      <c r="Y74" s="4">
        <f>IF(P74=0,0,Q74/P74-1)</f>
        <v>0.53396766645792226</v>
      </c>
      <c r="Z74">
        <v>2.0314367088607597</v>
      </c>
      <c r="AA74">
        <f>Q74/H74</f>
        <v>2.1140103048518677</v>
      </c>
      <c r="AB74">
        <f>AA74-Z74</f>
        <v>8.2573595991108029E-2</v>
      </c>
      <c r="AC74" s="18">
        <v>47894.03</v>
      </c>
      <c r="AD74" s="18">
        <v>70506.490000000005</v>
      </c>
      <c r="AE74" s="4">
        <f>AD74/AC74-1</f>
        <v>0.47213525360050101</v>
      </c>
      <c r="AF74" s="150">
        <f>(L74*2)-X74</f>
        <v>-209.85999999999967</v>
      </c>
      <c r="AM74" s="161" t="s">
        <v>296</v>
      </c>
      <c r="AN74" s="162">
        <v>3666</v>
      </c>
      <c r="AP74" s="161" t="s">
        <v>297</v>
      </c>
      <c r="AQ74" s="162">
        <v>4286</v>
      </c>
    </row>
    <row r="75" spans="1:43">
      <c r="A75" t="s">
        <v>298</v>
      </c>
      <c r="B75" t="s">
        <v>299</v>
      </c>
      <c r="C75" s="30">
        <v>1989</v>
      </c>
      <c r="D75">
        <v>1980</v>
      </c>
      <c r="F75" t="s">
        <v>299</v>
      </c>
      <c r="G75" s="30">
        <v>2132</v>
      </c>
      <c r="H75" s="30">
        <v>2129</v>
      </c>
      <c r="I75" t="b">
        <f>IF(B75=F75,TRUE,FALSE)</f>
        <v>1</v>
      </c>
      <c r="L75">
        <f>G75-C75</f>
        <v>143</v>
      </c>
      <c r="M75" s="4">
        <f>G75/C75-1</f>
        <v>7.1895424836601274E-2</v>
      </c>
      <c r="N75" s="165">
        <f>H75-D75</f>
        <v>149</v>
      </c>
      <c r="P75" s="5">
        <v>2935.23</v>
      </c>
      <c r="Q75" s="5">
        <v>3418.83</v>
      </c>
      <c r="T75" s="5">
        <v>21059.870000000003</v>
      </c>
      <c r="X75" s="152">
        <f>Q75-P75</f>
        <v>483.59999999999991</v>
      </c>
      <c r="Y75" s="4">
        <f>IF(P75=0,0,Q75/P75-1)</f>
        <v>0.16475710591674253</v>
      </c>
      <c r="Z75">
        <v>1.4824393939393941</v>
      </c>
      <c r="AA75">
        <f>Q75/H75</f>
        <v>1.6058384217942696</v>
      </c>
      <c r="AB75">
        <f>AA75-Z75</f>
        <v>0.12339902785487555</v>
      </c>
      <c r="AC75" s="18">
        <v>39640.649999999994</v>
      </c>
      <c r="AD75" s="18">
        <v>45901.439999999995</v>
      </c>
      <c r="AE75" s="4">
        <f>AD75/AC75-1</f>
        <v>0.1579386311778439</v>
      </c>
      <c r="AF75" s="150">
        <f>(L75*2)-X75</f>
        <v>-197.59999999999991</v>
      </c>
      <c r="AM75" s="163" t="s">
        <v>235</v>
      </c>
      <c r="AN75" s="164">
        <v>1542</v>
      </c>
      <c r="AP75" s="163" t="s">
        <v>300</v>
      </c>
      <c r="AQ75" s="164">
        <v>1784</v>
      </c>
    </row>
    <row r="76" spans="1:43">
      <c r="A76" t="s">
        <v>301</v>
      </c>
      <c r="B76" t="s">
        <v>195</v>
      </c>
      <c r="C76" s="30">
        <v>916</v>
      </c>
      <c r="D76">
        <v>907</v>
      </c>
      <c r="F76" t="s">
        <v>195</v>
      </c>
      <c r="G76" s="30">
        <v>1187</v>
      </c>
      <c r="H76" s="30">
        <v>1179</v>
      </c>
      <c r="I76" t="b">
        <f>IF(B76=F76,TRUE,FALSE)</f>
        <v>1</v>
      </c>
      <c r="L76">
        <f>G76-C76</f>
        <v>271</v>
      </c>
      <c r="M76" s="4">
        <f>G76/C76-1</f>
        <v>0.29585152838427953</v>
      </c>
      <c r="N76" s="165">
        <f>H76-D76</f>
        <v>272</v>
      </c>
      <c r="P76" s="5">
        <v>534.79</v>
      </c>
      <c r="Q76" s="5">
        <v>1265.76</v>
      </c>
      <c r="T76" s="5">
        <v>10926.67</v>
      </c>
      <c r="X76" s="152">
        <f>Q76-P76</f>
        <v>730.97</v>
      </c>
      <c r="Y76" s="4">
        <f>IF(P76=0,0,Q76/P76-1)</f>
        <v>1.3668355803212475</v>
      </c>
      <c r="Z76">
        <v>0.58962513781697901</v>
      </c>
      <c r="AA76">
        <f>Q76/H76</f>
        <v>1.073587786259542</v>
      </c>
      <c r="AB76">
        <f>AA76-Z76</f>
        <v>0.48396264844256298</v>
      </c>
      <c r="AC76" s="18">
        <v>14646.84</v>
      </c>
      <c r="AD76" s="18">
        <v>20167.13</v>
      </c>
      <c r="AE76" s="4">
        <f>AD76/AC76-1</f>
        <v>0.37689289976541018</v>
      </c>
      <c r="AF76" s="150">
        <f>(L76*2)-X76</f>
        <v>-188.97000000000003</v>
      </c>
      <c r="AM76" s="163" t="s">
        <v>205</v>
      </c>
      <c r="AN76" s="164">
        <v>1808</v>
      </c>
      <c r="AP76" s="163" t="s">
        <v>244</v>
      </c>
      <c r="AQ76" s="164">
        <v>2240</v>
      </c>
    </row>
    <row r="77" spans="1:43">
      <c r="A77" t="s">
        <v>302</v>
      </c>
      <c r="B77" t="s">
        <v>303</v>
      </c>
      <c r="C77" s="30">
        <v>502</v>
      </c>
      <c r="D77">
        <v>501</v>
      </c>
      <c r="F77" t="s">
        <v>303</v>
      </c>
      <c r="G77" s="30">
        <v>495</v>
      </c>
      <c r="H77" s="30">
        <v>495</v>
      </c>
      <c r="I77" t="b">
        <f>IF(B77=F77,TRUE,FALSE)</f>
        <v>1</v>
      </c>
      <c r="L77">
        <f>G77-C77</f>
        <v>-7</v>
      </c>
      <c r="M77" s="4">
        <f>G77/C77-1</f>
        <v>-1.3944223107569709E-2</v>
      </c>
      <c r="N77" s="165">
        <f>H77-D77</f>
        <v>-6</v>
      </c>
      <c r="P77" s="5">
        <v>1092.1300000000001</v>
      </c>
      <c r="Q77" s="5">
        <v>1266.27</v>
      </c>
      <c r="T77" s="5">
        <v>6348.59</v>
      </c>
      <c r="X77" s="152">
        <f>Q77-P77</f>
        <v>174.13999999999987</v>
      </c>
      <c r="Y77" s="4">
        <f>IF(P77=0,0,Q77/P77-1)</f>
        <v>0.15944988234001434</v>
      </c>
      <c r="Z77">
        <v>2.1799001996007985</v>
      </c>
      <c r="AA77">
        <f>Q77/H77</f>
        <v>2.558121212121212</v>
      </c>
      <c r="AB77">
        <f>AA77-Z77</f>
        <v>0.37822101252041351</v>
      </c>
      <c r="AC77" s="18">
        <v>10009.59</v>
      </c>
      <c r="AD77" s="18">
        <v>10132.89</v>
      </c>
      <c r="AE77" s="4">
        <f>AD77/AC77-1</f>
        <v>1.231818685880226E-2</v>
      </c>
      <c r="AF77" s="150">
        <f>(L77*2)-X77</f>
        <v>-188.13999999999987</v>
      </c>
      <c r="AM77" s="163" t="s">
        <v>304</v>
      </c>
      <c r="AN77" s="164">
        <v>1385</v>
      </c>
      <c r="AP77" s="163" t="s">
        <v>232</v>
      </c>
      <c r="AQ77" s="164">
        <v>1609</v>
      </c>
    </row>
    <row r="78" spans="1:43">
      <c r="A78" t="s">
        <v>305</v>
      </c>
      <c r="B78" t="s">
        <v>306</v>
      </c>
      <c r="C78" s="30">
        <v>1419</v>
      </c>
      <c r="D78">
        <v>1398</v>
      </c>
      <c r="F78" t="s">
        <v>306</v>
      </c>
      <c r="G78" s="30">
        <v>1725</v>
      </c>
      <c r="H78" s="30">
        <v>1717</v>
      </c>
      <c r="I78" t="b">
        <f>IF(B78=F78,TRUE,FALSE)</f>
        <v>1</v>
      </c>
      <c r="L78">
        <f>G78-C78</f>
        <v>306</v>
      </c>
      <c r="M78" s="4">
        <f>G78/C78-1</f>
        <v>0.21564482029598309</v>
      </c>
      <c r="N78" s="165">
        <f>H78-D78</f>
        <v>319</v>
      </c>
      <c r="P78" s="5">
        <v>1928.17</v>
      </c>
      <c r="Q78" s="5">
        <v>2719.83</v>
      </c>
      <c r="T78" s="5">
        <v>19855.239999999998</v>
      </c>
      <c r="X78" s="152">
        <f>Q78-P78</f>
        <v>791.65999999999985</v>
      </c>
      <c r="Y78" s="4">
        <f>IF(P78=0,0,Q78/P78-1)</f>
        <v>0.41057583096926087</v>
      </c>
      <c r="Z78">
        <v>1.3792346208869815</v>
      </c>
      <c r="AA78">
        <f>Q78/H78</f>
        <v>1.5840594059405939</v>
      </c>
      <c r="AB78">
        <f>AA78-Z78</f>
        <v>0.20482478505361246</v>
      </c>
      <c r="AC78" s="18">
        <v>38188.15</v>
      </c>
      <c r="AD78" s="18">
        <v>46407.9</v>
      </c>
      <c r="AE78" s="4">
        <f>AD78/AC78-1</f>
        <v>0.21524347212420603</v>
      </c>
      <c r="AF78" s="150">
        <f>(L78*2)-X78</f>
        <v>-179.65999999999985</v>
      </c>
      <c r="AM78" s="161" t="s">
        <v>299</v>
      </c>
      <c r="AN78" s="162">
        <v>1980</v>
      </c>
      <c r="AP78" s="161" t="s">
        <v>276</v>
      </c>
      <c r="AQ78" s="162">
        <v>2377</v>
      </c>
    </row>
    <row r="79" spans="1:43">
      <c r="A79" t="s">
        <v>307</v>
      </c>
      <c r="B79" t="s">
        <v>276</v>
      </c>
      <c r="C79" s="30">
        <v>2258</v>
      </c>
      <c r="D79">
        <v>2236</v>
      </c>
      <c r="F79" t="s">
        <v>276</v>
      </c>
      <c r="G79" s="30">
        <v>2389</v>
      </c>
      <c r="H79" s="30">
        <v>2377</v>
      </c>
      <c r="I79" t="b">
        <f>IF(B79=F79,TRUE,FALSE)</f>
        <v>1</v>
      </c>
      <c r="L79">
        <f>G79-C79</f>
        <v>131</v>
      </c>
      <c r="M79" s="4">
        <f>G79/C79-1</f>
        <v>5.8015943312666129E-2</v>
      </c>
      <c r="N79" s="165">
        <f>H79-D79</f>
        <v>141</v>
      </c>
      <c r="P79" s="5">
        <v>1987.15</v>
      </c>
      <c r="Q79" s="5">
        <v>2429.1</v>
      </c>
      <c r="T79" s="5">
        <v>14960.670000000002</v>
      </c>
      <c r="X79" s="152">
        <f>Q79-P79</f>
        <v>441.94999999999982</v>
      </c>
      <c r="Y79" s="4">
        <f>IF(P79=0,0,Q79/P79-1)</f>
        <v>0.22240394534886643</v>
      </c>
      <c r="Z79">
        <v>0.88870751341681575</v>
      </c>
      <c r="AA79">
        <f>Q79/H79</f>
        <v>1.0219183845183004</v>
      </c>
      <c r="AB79">
        <f>AA79-Z79</f>
        <v>0.13321087110148466</v>
      </c>
      <c r="AC79" s="18">
        <v>67627.100000000006</v>
      </c>
      <c r="AD79" s="18">
        <v>71520.600000000006</v>
      </c>
      <c r="AE79" s="4">
        <f>AD79/AC79-1</f>
        <v>5.7573073516386186E-2</v>
      </c>
      <c r="AF79" s="150">
        <f>(L79*2)-X79</f>
        <v>-179.94999999999982</v>
      </c>
      <c r="AM79" s="163" t="s">
        <v>308</v>
      </c>
      <c r="AN79" s="164">
        <v>1593</v>
      </c>
      <c r="AP79" s="163" t="s">
        <v>309</v>
      </c>
      <c r="AQ79" s="164">
        <v>1806</v>
      </c>
    </row>
    <row r="80" spans="1:43">
      <c r="A80" t="s">
        <v>310</v>
      </c>
      <c r="B80" t="s">
        <v>311</v>
      </c>
      <c r="C80" s="30">
        <v>906</v>
      </c>
      <c r="D80">
        <v>898</v>
      </c>
      <c r="F80" t="s">
        <v>311</v>
      </c>
      <c r="G80" s="30">
        <v>1031</v>
      </c>
      <c r="H80" s="30">
        <v>1026</v>
      </c>
      <c r="I80" t="b">
        <f>IF(B80=F80,TRUE,FALSE)</f>
        <v>1</v>
      </c>
      <c r="L80">
        <f>G80-C80</f>
        <v>125</v>
      </c>
      <c r="M80" s="4">
        <f>G80/C80-1</f>
        <v>0.13796909492273723</v>
      </c>
      <c r="N80" s="165">
        <f>H80-D80</f>
        <v>128</v>
      </c>
      <c r="P80" s="5">
        <v>1636.08</v>
      </c>
      <c r="Q80" s="5">
        <v>2046.21</v>
      </c>
      <c r="T80" s="5">
        <v>19122.45</v>
      </c>
      <c r="X80" s="152">
        <f>Q80-P80</f>
        <v>410.13000000000011</v>
      </c>
      <c r="Y80" s="4">
        <f>IF(P80=0,0,Q80/P80-1)</f>
        <v>0.25067845093149477</v>
      </c>
      <c r="Z80">
        <v>1.8219153674832962</v>
      </c>
      <c r="AA80">
        <f>Q80/H80</f>
        <v>1.9943567251461989</v>
      </c>
      <c r="AB80">
        <f>AA80-Z80</f>
        <v>0.17244135766290269</v>
      </c>
      <c r="AC80" s="18">
        <v>20570.099999999999</v>
      </c>
      <c r="AD80" s="18">
        <v>24733.69</v>
      </c>
      <c r="AE80" s="4">
        <f>AD80/AC80-1</f>
        <v>0.20240980841123779</v>
      </c>
      <c r="AF80" s="150">
        <f>(L80*2)-X80</f>
        <v>-160.13000000000011</v>
      </c>
      <c r="AM80" s="161" t="s">
        <v>239</v>
      </c>
      <c r="AN80" s="162">
        <v>1477</v>
      </c>
      <c r="AP80" s="161" t="s">
        <v>312</v>
      </c>
      <c r="AQ80" s="162">
        <v>1751</v>
      </c>
    </row>
    <row r="81" spans="1:43">
      <c r="A81" t="s">
        <v>313</v>
      </c>
      <c r="B81" t="s">
        <v>314</v>
      </c>
      <c r="C81" s="30">
        <v>1817</v>
      </c>
      <c r="D81">
        <v>1804</v>
      </c>
      <c r="F81" t="s">
        <v>314</v>
      </c>
      <c r="G81" s="30">
        <v>2174</v>
      </c>
      <c r="H81" s="30">
        <v>2167</v>
      </c>
      <c r="I81" t="b">
        <f>IF(B81=F81,TRUE,FALSE)</f>
        <v>1</v>
      </c>
      <c r="L81">
        <f>G81-C81</f>
        <v>357</v>
      </c>
      <c r="M81" s="4">
        <f>G81/C81-1</f>
        <v>0.19647771051183271</v>
      </c>
      <c r="N81" s="165">
        <f>H81-D81</f>
        <v>363</v>
      </c>
      <c r="P81" s="5">
        <v>1843.21</v>
      </c>
      <c r="Q81" s="5">
        <v>2713.17</v>
      </c>
      <c r="T81" s="5">
        <v>16134.26</v>
      </c>
      <c r="X81" s="152">
        <f>Q81-P81</f>
        <v>869.96</v>
      </c>
      <c r="Y81" s="4">
        <f>IF(P81=0,0,Q81/P81-1)</f>
        <v>0.47198094628392862</v>
      </c>
      <c r="Z81">
        <v>1.0217350332594235</v>
      </c>
      <c r="AA81">
        <f>Q81/H81</f>
        <v>1.2520396862021228</v>
      </c>
      <c r="AB81">
        <f>AA81-Z81</f>
        <v>0.23030465294269931</v>
      </c>
      <c r="AC81" s="18">
        <v>54389.2</v>
      </c>
      <c r="AD81" s="18">
        <v>65111.3</v>
      </c>
      <c r="AE81" s="4">
        <f>AD81/AC81-1</f>
        <v>0.19713656387665202</v>
      </c>
      <c r="AF81" s="150">
        <f>(L81*2)-X81</f>
        <v>-155.96000000000004</v>
      </c>
      <c r="AM81" s="163" t="s">
        <v>186</v>
      </c>
      <c r="AN81" s="164">
        <v>3246</v>
      </c>
      <c r="AP81" s="163" t="s">
        <v>315</v>
      </c>
      <c r="AQ81" s="164">
        <v>2451</v>
      </c>
    </row>
    <row r="82" spans="1:43">
      <c r="A82" t="s">
        <v>316</v>
      </c>
      <c r="B82" t="s">
        <v>217</v>
      </c>
      <c r="C82" s="30">
        <v>1714</v>
      </c>
      <c r="D82">
        <v>1692</v>
      </c>
      <c r="F82" t="s">
        <v>217</v>
      </c>
      <c r="G82" s="30">
        <v>2008</v>
      </c>
      <c r="H82" s="30">
        <v>1963</v>
      </c>
      <c r="I82" t="b">
        <f>IF(B82=F82,TRUE,FALSE)</f>
        <v>1</v>
      </c>
      <c r="L82">
        <f>G82-C82</f>
        <v>294</v>
      </c>
      <c r="M82" s="4">
        <f>G82/C82-1</f>
        <v>0.17152858809801641</v>
      </c>
      <c r="N82" s="165">
        <f>H82-D82</f>
        <v>271</v>
      </c>
      <c r="P82" s="5">
        <v>1959.17</v>
      </c>
      <c r="Q82" s="5">
        <v>2697.85</v>
      </c>
      <c r="T82" s="5">
        <v>17379.96</v>
      </c>
      <c r="X82" s="152">
        <f>Q82-P82</f>
        <v>738.67999999999984</v>
      </c>
      <c r="Y82" s="4">
        <f>IF(P82=0,0,Q82/P82-1)</f>
        <v>0.37703721473889451</v>
      </c>
      <c r="Z82">
        <v>1.1579018912529551</v>
      </c>
      <c r="AA82">
        <f>Q82/H82</f>
        <v>1.3743504839531329</v>
      </c>
      <c r="AB82">
        <f>AA82-Z82</f>
        <v>0.2164485927001778</v>
      </c>
      <c r="AC82" s="18">
        <v>34262.86</v>
      </c>
      <c r="AD82" s="18">
        <v>40099.94</v>
      </c>
      <c r="AE82" s="4">
        <f>AD82/AC82-1</f>
        <v>0.17036172695449237</v>
      </c>
      <c r="AF82" s="150">
        <f>(L82*2)-X82</f>
        <v>-150.67999999999984</v>
      </c>
      <c r="AM82" s="163" t="s">
        <v>163</v>
      </c>
      <c r="AN82" s="164">
        <v>1822</v>
      </c>
      <c r="AP82" s="163" t="s">
        <v>56</v>
      </c>
      <c r="AQ82" s="164">
        <v>2251</v>
      </c>
    </row>
    <row r="83" spans="1:43">
      <c r="A83" t="s">
        <v>317</v>
      </c>
      <c r="B83" t="s">
        <v>318</v>
      </c>
      <c r="C83" s="30">
        <v>515</v>
      </c>
      <c r="D83">
        <v>512</v>
      </c>
      <c r="F83" t="s">
        <v>318</v>
      </c>
      <c r="G83" s="30">
        <v>699</v>
      </c>
      <c r="H83" s="30">
        <v>695</v>
      </c>
      <c r="I83" t="b">
        <f>IF(B83=F83,TRUE,FALSE)</f>
        <v>1</v>
      </c>
      <c r="L83">
        <f>G83-C83</f>
        <v>184</v>
      </c>
      <c r="M83" s="4">
        <f>G83/C83-1</f>
        <v>0.35728155339805823</v>
      </c>
      <c r="N83" s="165">
        <f>H83-D83</f>
        <v>183</v>
      </c>
      <c r="P83" s="5">
        <v>1087.3599999999999</v>
      </c>
      <c r="Q83" s="5">
        <v>1605.87</v>
      </c>
      <c r="T83" s="5">
        <v>5441.71</v>
      </c>
      <c r="X83" s="152">
        <f>Q83-P83</f>
        <v>518.51</v>
      </c>
      <c r="Y83" s="4">
        <f>IF(P83=0,0,Q83/P83-1)</f>
        <v>0.47685219246615662</v>
      </c>
      <c r="Z83">
        <v>2.1237499999999998</v>
      </c>
      <c r="AA83">
        <f>Q83/H83</f>
        <v>2.3106043165467622</v>
      </c>
      <c r="AB83">
        <f>AA83-Z83</f>
        <v>0.18685431654676243</v>
      </c>
      <c r="AC83" s="18">
        <v>5144.8500000000004</v>
      </c>
      <c r="AD83" s="18">
        <v>6983.01</v>
      </c>
      <c r="AE83" s="4">
        <f>AD83/AC83-1</f>
        <v>0.35728155339805823</v>
      </c>
      <c r="AF83" s="150">
        <f>(L83*2)-X83</f>
        <v>-150.51</v>
      </c>
      <c r="AM83" s="163" t="s">
        <v>319</v>
      </c>
      <c r="AN83" s="164">
        <v>1613</v>
      </c>
      <c r="AP83" s="163" t="s">
        <v>79</v>
      </c>
      <c r="AQ83" s="164">
        <v>1845</v>
      </c>
    </row>
    <row r="84" spans="1:43">
      <c r="A84" t="s">
        <v>320</v>
      </c>
      <c r="B84" t="s">
        <v>321</v>
      </c>
      <c r="C84" s="30">
        <v>1018</v>
      </c>
      <c r="D84">
        <v>1005</v>
      </c>
      <c r="F84" t="s">
        <v>321</v>
      </c>
      <c r="G84" s="30">
        <v>1309</v>
      </c>
      <c r="H84" s="30">
        <v>1308</v>
      </c>
      <c r="I84" t="b">
        <f>IF(B84=F84,TRUE,FALSE)</f>
        <v>1</v>
      </c>
      <c r="L84">
        <f>G84-C84</f>
        <v>291</v>
      </c>
      <c r="M84" s="4">
        <f>G84/C84-1</f>
        <v>0.28585461689587421</v>
      </c>
      <c r="N84" s="165">
        <f>H84-D84</f>
        <v>303</v>
      </c>
      <c r="P84" s="5">
        <v>1849.99</v>
      </c>
      <c r="Q84" s="5">
        <v>2578.4499999999998</v>
      </c>
      <c r="T84" s="5">
        <v>13437.35</v>
      </c>
      <c r="X84" s="152">
        <f>Q84-P84</f>
        <v>728.45999999999981</v>
      </c>
      <c r="Y84" s="4">
        <f>IF(P84=0,0,Q84/P84-1)</f>
        <v>0.39376429061778695</v>
      </c>
      <c r="Z84">
        <v>1.8407860696517413</v>
      </c>
      <c r="AA84">
        <f>Q84/H84</f>
        <v>1.9712920489296635</v>
      </c>
      <c r="AB84">
        <f>AA84-Z84</f>
        <v>0.13050597927792218</v>
      </c>
      <c r="AC84" s="18">
        <v>30529.82</v>
      </c>
      <c r="AD84" s="18">
        <v>39256.910000000003</v>
      </c>
      <c r="AE84" s="4">
        <f>AD84/AC84-1</f>
        <v>0.28585461689587444</v>
      </c>
      <c r="AF84" s="150">
        <f>(L84*2)-X84</f>
        <v>-146.45999999999981</v>
      </c>
      <c r="AM84" s="163" t="s">
        <v>219</v>
      </c>
      <c r="AN84" s="164">
        <v>1726</v>
      </c>
      <c r="AP84" s="163" t="s">
        <v>314</v>
      </c>
      <c r="AQ84" s="164">
        <v>2167</v>
      </c>
    </row>
    <row r="85" spans="1:43">
      <c r="A85" s="39" t="s">
        <v>322</v>
      </c>
      <c r="B85" s="39" t="s">
        <v>323</v>
      </c>
      <c r="C85" s="30">
        <v>72</v>
      </c>
      <c r="D85">
        <v>72</v>
      </c>
      <c r="F85" s="39" t="s">
        <v>323</v>
      </c>
      <c r="G85" s="30">
        <v>557</v>
      </c>
      <c r="H85" s="30">
        <v>556</v>
      </c>
      <c r="I85" t="b">
        <f>IF(B85=F85,TRUE,FALSE)</f>
        <v>1</v>
      </c>
      <c r="L85" s="27">
        <f>G85-C85</f>
        <v>485</v>
      </c>
      <c r="M85" s="4">
        <f>G85/C85-1</f>
        <v>6.7361111111111107</v>
      </c>
      <c r="N85" s="165">
        <f>H85-D85</f>
        <v>484</v>
      </c>
      <c r="P85" s="5">
        <v>263.11</v>
      </c>
      <c r="Q85" s="5">
        <v>1366.23</v>
      </c>
      <c r="T85" s="5">
        <v>8324.4699999999993</v>
      </c>
      <c r="X85" s="152">
        <f>Q85-P85</f>
        <v>1103.1199999999999</v>
      </c>
      <c r="Y85" s="4">
        <f>IF(P85=0,0,Q85/P85-1)</f>
        <v>4.1926190566683132</v>
      </c>
      <c r="Z85">
        <v>3.6543055555555557</v>
      </c>
      <c r="AA85">
        <f>Q85/H85</f>
        <v>2.457248201438849</v>
      </c>
      <c r="AB85">
        <f>AA85-Z85</f>
        <v>-1.1970573541167067</v>
      </c>
      <c r="AC85" s="18">
        <v>611.58000000000004</v>
      </c>
      <c r="AD85" s="18">
        <v>6772.43</v>
      </c>
      <c r="AE85" s="4">
        <f>AD85/AC85-1</f>
        <v>10.073661663232937</v>
      </c>
      <c r="AF85" s="150">
        <f>(L85*2)-X85</f>
        <v>-133.11999999999989</v>
      </c>
      <c r="AM85" s="161" t="s">
        <v>59</v>
      </c>
      <c r="AN85" s="162">
        <v>2445</v>
      </c>
      <c r="AP85" s="161" t="s">
        <v>324</v>
      </c>
      <c r="AQ85" s="162">
        <v>3414</v>
      </c>
    </row>
    <row r="86" spans="1:43">
      <c r="A86" t="s">
        <v>325</v>
      </c>
      <c r="B86" t="s">
        <v>326</v>
      </c>
      <c r="C86" s="30">
        <v>1086</v>
      </c>
      <c r="D86">
        <v>1066</v>
      </c>
      <c r="F86" t="s">
        <v>326</v>
      </c>
      <c r="G86" s="30">
        <v>1215</v>
      </c>
      <c r="H86" s="30">
        <v>1210</v>
      </c>
      <c r="I86" t="b">
        <f>IF(B86=F86,TRUE,FALSE)</f>
        <v>1</v>
      </c>
      <c r="L86">
        <f>G86-C86</f>
        <v>129</v>
      </c>
      <c r="M86" s="4">
        <f>G86/C86-1</f>
        <v>0.11878453038674031</v>
      </c>
      <c r="N86" s="165">
        <f>H86-D86</f>
        <v>144</v>
      </c>
      <c r="P86" s="5">
        <v>944.83</v>
      </c>
      <c r="Q86" s="5">
        <v>1333.24</v>
      </c>
      <c r="T86" s="5">
        <v>10735.65</v>
      </c>
      <c r="X86" s="152">
        <f>Q86-P86</f>
        <v>388.40999999999997</v>
      </c>
      <c r="Y86" s="4">
        <f>IF(P86=0,0,Q86/P86-1)</f>
        <v>0.41108982568292696</v>
      </c>
      <c r="Z86">
        <v>0.88633208255159479</v>
      </c>
      <c r="AA86">
        <f>Q86/H86</f>
        <v>1.1018512396694216</v>
      </c>
      <c r="AB86">
        <f>AA86-Z86</f>
        <v>0.21551915711782677</v>
      </c>
      <c r="AC86" s="18">
        <v>30265.14</v>
      </c>
      <c r="AD86" s="18">
        <v>36437.85</v>
      </c>
      <c r="AE86" s="4">
        <f>AD86/AC86-1</f>
        <v>0.20395445056589856</v>
      </c>
      <c r="AF86" s="150">
        <f>(L86*2)-X86</f>
        <v>-130.40999999999997</v>
      </c>
      <c r="AM86" s="161" t="s">
        <v>327</v>
      </c>
      <c r="AN86" s="162">
        <v>1601</v>
      </c>
      <c r="AP86" s="161" t="s">
        <v>327</v>
      </c>
      <c r="AQ86" s="162">
        <v>1903</v>
      </c>
    </row>
    <row r="87" spans="1:43">
      <c r="A87" t="s">
        <v>328</v>
      </c>
      <c r="B87" t="s">
        <v>329</v>
      </c>
      <c r="C87" s="30">
        <v>368</v>
      </c>
      <c r="D87">
        <v>364</v>
      </c>
      <c r="F87" t="s">
        <v>329</v>
      </c>
      <c r="G87" s="30">
        <v>518</v>
      </c>
      <c r="H87" s="30">
        <v>515</v>
      </c>
      <c r="I87" t="b">
        <f>IF(B87=F87,TRUE,FALSE)</f>
        <v>1</v>
      </c>
      <c r="L87">
        <f>G87-C87</f>
        <v>150</v>
      </c>
      <c r="M87" s="4">
        <f>G87/C87-1</f>
        <v>0.40760869565217384</v>
      </c>
      <c r="N87" s="165">
        <f>H87-D87</f>
        <v>151</v>
      </c>
      <c r="P87" s="5">
        <v>462.98</v>
      </c>
      <c r="Q87" s="5">
        <v>876.78</v>
      </c>
      <c r="T87" s="5">
        <v>4887.2700000000004</v>
      </c>
      <c r="X87" s="152">
        <f>Q87-P87</f>
        <v>413.79999999999995</v>
      </c>
      <c r="Y87" s="4">
        <f>IF(P87=0,0,Q87/P87-1)</f>
        <v>0.89377510907598579</v>
      </c>
      <c r="Z87">
        <v>1.2719230769230769</v>
      </c>
      <c r="AA87">
        <f>Q87/H87</f>
        <v>1.7024854368932039</v>
      </c>
      <c r="AB87">
        <f>AA87-Z87</f>
        <v>0.43056235997012693</v>
      </c>
      <c r="AC87" s="18">
        <v>7356.32</v>
      </c>
      <c r="AD87" s="18">
        <v>10334.83</v>
      </c>
      <c r="AE87" s="4">
        <f>AD87/AC87-1</f>
        <v>0.40489130434782616</v>
      </c>
      <c r="AF87" s="150">
        <f>(L87*2)-X87</f>
        <v>-113.79999999999995</v>
      </c>
      <c r="AM87" s="163" t="s">
        <v>275</v>
      </c>
      <c r="AN87" s="164">
        <v>1588</v>
      </c>
      <c r="AP87" s="163" t="s">
        <v>142</v>
      </c>
      <c r="AQ87" s="164">
        <v>1834</v>
      </c>
    </row>
    <row r="88" spans="1:43">
      <c r="A88" t="s">
        <v>330</v>
      </c>
      <c r="B88" t="s">
        <v>331</v>
      </c>
      <c r="C88" s="30">
        <v>1474</v>
      </c>
      <c r="D88">
        <v>1460</v>
      </c>
      <c r="F88" t="s">
        <v>331</v>
      </c>
      <c r="G88" s="30">
        <v>2210</v>
      </c>
      <c r="H88" s="30">
        <v>2204</v>
      </c>
      <c r="I88" t="b">
        <f>IF(B88=F88,TRUE,FALSE)</f>
        <v>1</v>
      </c>
      <c r="L88">
        <f>G88-C88</f>
        <v>736</v>
      </c>
      <c r="M88" s="4">
        <f>G88/C88-1</f>
        <v>0.49932157394843957</v>
      </c>
      <c r="N88" s="165">
        <f>H88-D88</f>
        <v>744</v>
      </c>
      <c r="P88" s="5">
        <v>2991.12</v>
      </c>
      <c r="Q88" s="5">
        <v>4575.7299999999996</v>
      </c>
      <c r="T88" s="5">
        <v>26372.410000000003</v>
      </c>
      <c r="X88" s="152">
        <f>Q88-P88</f>
        <v>1584.6099999999997</v>
      </c>
      <c r="Y88" s="4">
        <f>IF(P88=0,0,Q88/P88-1)</f>
        <v>0.52977145684559623</v>
      </c>
      <c r="Z88">
        <v>2.0487123287671234</v>
      </c>
      <c r="AA88">
        <f>Q88/H88</f>
        <v>2.0761025408348455</v>
      </c>
      <c r="AB88">
        <f>AA88-Z88</f>
        <v>2.7390212067722075E-2</v>
      </c>
      <c r="AC88" s="18">
        <v>41257.259999999995</v>
      </c>
      <c r="AD88" s="18">
        <v>61857.9</v>
      </c>
      <c r="AE88" s="4">
        <f>AD88/AC88-1</f>
        <v>0.49932157394843979</v>
      </c>
      <c r="AF88" s="150">
        <f>(L88*2)-X88</f>
        <v>-112.60999999999967</v>
      </c>
      <c r="AM88" s="161" t="s">
        <v>324</v>
      </c>
      <c r="AN88" s="162">
        <v>3041</v>
      </c>
      <c r="AP88" s="161" t="s">
        <v>332</v>
      </c>
      <c r="AQ88" s="162">
        <v>3607</v>
      </c>
    </row>
    <row r="89" spans="1:43">
      <c r="A89" t="s">
        <v>333</v>
      </c>
      <c r="B89" t="s">
        <v>334</v>
      </c>
      <c r="C89" s="30">
        <v>1664</v>
      </c>
      <c r="D89">
        <v>1653</v>
      </c>
      <c r="F89" t="s">
        <v>334</v>
      </c>
      <c r="G89" s="30">
        <v>2036</v>
      </c>
      <c r="H89" s="30">
        <v>1994</v>
      </c>
      <c r="I89" t="b">
        <f>IF(B89=F89,TRUE,FALSE)</f>
        <v>1</v>
      </c>
      <c r="L89">
        <f>G89-C89</f>
        <v>372</v>
      </c>
      <c r="M89" s="4">
        <f>G89/C89-1</f>
        <v>0.22355769230769229</v>
      </c>
      <c r="N89" s="165">
        <f>H89-D89</f>
        <v>341</v>
      </c>
      <c r="P89" s="5">
        <v>2521.17</v>
      </c>
      <c r="Q89" s="5">
        <v>3357.44</v>
      </c>
      <c r="T89" s="5">
        <v>21669.45</v>
      </c>
      <c r="X89" s="152">
        <f>Q89-P89</f>
        <v>836.27</v>
      </c>
      <c r="Y89" s="4">
        <f>IF(P89=0,0,Q89/P89-1)</f>
        <v>0.33169917141644545</v>
      </c>
      <c r="Z89">
        <v>1.5252087114337569</v>
      </c>
      <c r="AA89">
        <f>Q89/H89</f>
        <v>1.6837713139418256</v>
      </c>
      <c r="AB89">
        <f>AA89-Z89</f>
        <v>0.15856260250806864</v>
      </c>
      <c r="AC89" s="18">
        <v>41491.85</v>
      </c>
      <c r="AD89" s="18">
        <v>50798.2</v>
      </c>
      <c r="AE89" s="4">
        <f>AD89/AC89-1</f>
        <v>0.22429344558027653</v>
      </c>
      <c r="AF89" s="150">
        <f>(L89*2)-X89</f>
        <v>-92.269999999999982</v>
      </c>
      <c r="AM89" s="163" t="s">
        <v>335</v>
      </c>
      <c r="AN89" s="164">
        <v>2151</v>
      </c>
      <c r="AP89" s="163" t="s">
        <v>95</v>
      </c>
      <c r="AQ89" s="164">
        <v>2305</v>
      </c>
    </row>
    <row r="90" spans="1:43">
      <c r="A90" t="s">
        <v>336</v>
      </c>
      <c r="B90" t="s">
        <v>337</v>
      </c>
      <c r="C90" s="30">
        <v>391</v>
      </c>
      <c r="D90">
        <v>387</v>
      </c>
      <c r="F90" t="s">
        <v>337</v>
      </c>
      <c r="G90" s="30">
        <v>559</v>
      </c>
      <c r="H90" s="30">
        <v>558</v>
      </c>
      <c r="I90" t="b">
        <f>IF(B90=F90,TRUE,FALSE)</f>
        <v>1</v>
      </c>
      <c r="L90">
        <f>G90-C90</f>
        <v>168</v>
      </c>
      <c r="M90" s="4">
        <f>G90/C90-1</f>
        <v>0.42966751918158574</v>
      </c>
      <c r="N90" s="165">
        <f>H90-D90</f>
        <v>171</v>
      </c>
      <c r="P90" s="5">
        <v>669.55</v>
      </c>
      <c r="Q90" s="5">
        <v>1098.49</v>
      </c>
      <c r="T90" s="5">
        <v>6120.63</v>
      </c>
      <c r="X90" s="152">
        <f>Q90-P90</f>
        <v>428.94000000000005</v>
      </c>
      <c r="Y90" s="4">
        <f>IF(P90=0,0,Q90/P90-1)</f>
        <v>0.64063923530729605</v>
      </c>
      <c r="Z90">
        <v>1.7301033591731265</v>
      </c>
      <c r="AA90">
        <f>Q90/H90</f>
        <v>1.9686200716845879</v>
      </c>
      <c r="AB90">
        <f>AA90-Z90</f>
        <v>0.23851671251146134</v>
      </c>
      <c r="AC90" s="18">
        <v>7800.45</v>
      </c>
      <c r="AD90" s="18">
        <v>11152.05</v>
      </c>
      <c r="AE90" s="4">
        <f>AD90/AC90-1</f>
        <v>0.42966751918158552</v>
      </c>
      <c r="AF90" s="150">
        <f>(L90*2)-X90</f>
        <v>-92.940000000000055</v>
      </c>
      <c r="AM90" s="161" t="s">
        <v>203</v>
      </c>
      <c r="AN90" s="162">
        <v>1471</v>
      </c>
      <c r="AP90" s="161" t="s">
        <v>338</v>
      </c>
      <c r="AQ90" s="162">
        <v>1800</v>
      </c>
    </row>
    <row r="91" spans="1:43">
      <c r="A91" t="s">
        <v>339</v>
      </c>
      <c r="B91" t="s">
        <v>232</v>
      </c>
      <c r="C91" s="30">
        <v>1407</v>
      </c>
      <c r="D91">
        <v>1394</v>
      </c>
      <c r="F91" t="s">
        <v>232</v>
      </c>
      <c r="G91" s="30">
        <v>1616</v>
      </c>
      <c r="H91" s="30">
        <v>1609</v>
      </c>
      <c r="I91" t="b">
        <f>IF(B91=F91,TRUE,FALSE)</f>
        <v>1</v>
      </c>
      <c r="L91">
        <f>G91-C91</f>
        <v>209</v>
      </c>
      <c r="M91" s="4">
        <f>G91/C91-1</f>
        <v>0.14854299928926795</v>
      </c>
      <c r="N91" s="165">
        <f>H91-D91</f>
        <v>215</v>
      </c>
      <c r="P91" s="5">
        <v>2743.66</v>
      </c>
      <c r="Q91" s="5">
        <v>3254.54</v>
      </c>
      <c r="T91" s="5">
        <v>22452.050000000003</v>
      </c>
      <c r="X91" s="152">
        <f>Q91-P91</f>
        <v>510.88000000000011</v>
      </c>
      <c r="Y91" s="4">
        <f>IF(P91=0,0,Q91/P91-1)</f>
        <v>0.18620382992061701</v>
      </c>
      <c r="Z91">
        <v>1.9681922525107602</v>
      </c>
      <c r="AA91">
        <f>Q91/H91</f>
        <v>2.0227097576134243</v>
      </c>
      <c r="AB91">
        <f>AA91-Z91</f>
        <v>5.4517505102664066E-2</v>
      </c>
      <c r="AC91" s="18">
        <v>41253.129999999997</v>
      </c>
      <c r="AD91" s="18">
        <v>51599.87</v>
      </c>
      <c r="AE91" s="4">
        <f>AD91/AC91-1</f>
        <v>0.25081102936916566</v>
      </c>
      <c r="AF91" s="150">
        <f>(L91*2)-X91</f>
        <v>-92.880000000000109</v>
      </c>
      <c r="AM91" s="163" t="s">
        <v>340</v>
      </c>
      <c r="AN91" s="164">
        <v>1580</v>
      </c>
      <c r="AP91" s="163" t="s">
        <v>341</v>
      </c>
      <c r="AQ91" s="164">
        <v>1887</v>
      </c>
    </row>
    <row r="92" spans="1:43">
      <c r="A92" s="59" t="s">
        <v>342</v>
      </c>
      <c r="B92" s="39" t="s">
        <v>343</v>
      </c>
      <c r="C92" s="30">
        <v>0</v>
      </c>
      <c r="D92" t="s">
        <v>344</v>
      </c>
      <c r="F92" s="39" t="s">
        <v>343</v>
      </c>
      <c r="G92" s="30">
        <v>403</v>
      </c>
      <c r="H92" s="30">
        <v>403</v>
      </c>
      <c r="I92" t="b">
        <f>IF(B92=F92,TRUE,FALSE)</f>
        <v>1</v>
      </c>
      <c r="L92" s="27">
        <f>G92-C92</f>
        <v>403</v>
      </c>
      <c r="M92" s="4" t="e">
        <f>G92/C92-1</f>
        <v>#DIV/0!</v>
      </c>
      <c r="N92" s="165" t="e">
        <f>H92-D92</f>
        <v>#VALUE!</v>
      </c>
      <c r="P92" s="5">
        <v>0</v>
      </c>
      <c r="Q92" s="5">
        <v>893.01</v>
      </c>
      <c r="T92" s="5">
        <v>5939.8700000000008</v>
      </c>
      <c r="X92" s="152">
        <f>Q92-P92</f>
        <v>893.01</v>
      </c>
      <c r="Y92" s="4">
        <f>IF(P92=0,0,Q92/P92-1)</f>
        <v>0</v>
      </c>
      <c r="Z92" t="e">
        <v>#VALUE!</v>
      </c>
      <c r="AA92">
        <f>Q92/H92</f>
        <v>2.21590570719603</v>
      </c>
      <c r="AB92" t="e">
        <f>AA92-Z92</f>
        <v>#VALUE!</v>
      </c>
      <c r="AC92" s="18">
        <v>0</v>
      </c>
      <c r="AD92" s="18">
        <v>4016.28</v>
      </c>
      <c r="AE92" s="4" t="e">
        <f>AD92/AC92-1</f>
        <v>#DIV/0!</v>
      </c>
      <c r="AF92" s="150">
        <f>(L92*2)-X92</f>
        <v>-87.009999999999991</v>
      </c>
      <c r="AM92" s="161" t="s">
        <v>345</v>
      </c>
      <c r="AN92" s="162">
        <v>2164</v>
      </c>
      <c r="AP92" s="161" t="s">
        <v>346</v>
      </c>
      <c r="AQ92" s="162">
        <v>2544</v>
      </c>
    </row>
    <row r="93" spans="1:43">
      <c r="A93" t="s">
        <v>347</v>
      </c>
      <c r="B93" t="s">
        <v>348</v>
      </c>
      <c r="C93" s="30">
        <v>927</v>
      </c>
      <c r="D93">
        <v>915</v>
      </c>
      <c r="F93" t="s">
        <v>348</v>
      </c>
      <c r="G93" s="30">
        <v>1084</v>
      </c>
      <c r="H93" s="30">
        <v>1075</v>
      </c>
      <c r="I93" t="b">
        <f>IF(B93=F93,TRUE,FALSE)</f>
        <v>1</v>
      </c>
      <c r="L93">
        <f>G93-C93</f>
        <v>157</v>
      </c>
      <c r="M93" s="4">
        <f>G93/C93-1</f>
        <v>0.16936353829557715</v>
      </c>
      <c r="N93" s="165">
        <f>H93-D93</f>
        <v>160</v>
      </c>
      <c r="P93" s="5">
        <v>1794.2</v>
      </c>
      <c r="Q93" s="5">
        <v>2186.7199999999998</v>
      </c>
      <c r="T93" s="5">
        <v>14732.849999999999</v>
      </c>
      <c r="X93" s="152">
        <f>Q93-P93</f>
        <v>392.51999999999975</v>
      </c>
      <c r="Y93" s="4">
        <f>IF(P93=0,0,Q93/P93-1)</f>
        <v>0.21877159736930096</v>
      </c>
      <c r="Z93">
        <v>1.9608743169398908</v>
      </c>
      <c r="AA93">
        <f>Q93/H93</f>
        <v>2.0341581395348833</v>
      </c>
      <c r="AB93">
        <f>AA93-Z93</f>
        <v>7.3283822594992554E-2</v>
      </c>
      <c r="AC93" s="18">
        <v>23193.17</v>
      </c>
      <c r="AD93" s="18">
        <v>27091.629999999997</v>
      </c>
      <c r="AE93" s="4">
        <f>AD93/AC93-1</f>
        <v>0.16808655306713138</v>
      </c>
      <c r="AF93" s="150">
        <f>(L93*2)-X93</f>
        <v>-78.519999999999754</v>
      </c>
      <c r="AM93" s="161" t="s">
        <v>244</v>
      </c>
      <c r="AN93" s="162">
        <v>1493</v>
      </c>
      <c r="AP93" s="161" t="s">
        <v>101</v>
      </c>
      <c r="AQ93" s="162">
        <v>1805</v>
      </c>
    </row>
    <row r="94" spans="1:43">
      <c r="A94" t="s">
        <v>349</v>
      </c>
      <c r="B94" t="s">
        <v>350</v>
      </c>
      <c r="C94" s="30">
        <v>731</v>
      </c>
      <c r="D94">
        <v>720</v>
      </c>
      <c r="F94" t="s">
        <v>350</v>
      </c>
      <c r="G94" s="30">
        <v>865</v>
      </c>
      <c r="H94" s="30">
        <v>858</v>
      </c>
      <c r="I94" t="b">
        <f>IF(B94=F94,TRUE,FALSE)</f>
        <v>1</v>
      </c>
      <c r="L94">
        <f>G94-C94</f>
        <v>134</v>
      </c>
      <c r="M94" s="4">
        <f>G94/C94-1</f>
        <v>0.1833105335157319</v>
      </c>
      <c r="N94" s="165">
        <f>H94-D94</f>
        <v>138</v>
      </c>
      <c r="P94" s="5">
        <v>1013.3</v>
      </c>
      <c r="Q94" s="5">
        <v>1356.34</v>
      </c>
      <c r="T94" s="5">
        <v>9673.7300000000014</v>
      </c>
      <c r="X94" s="152">
        <f>Q94-P94</f>
        <v>343.03999999999996</v>
      </c>
      <c r="Y94" s="4">
        <f>IF(P94=0,0,Q94/P94-1)</f>
        <v>0.33853745188986473</v>
      </c>
      <c r="Z94">
        <v>1.4073611111111111</v>
      </c>
      <c r="AA94">
        <f>Q94/H94</f>
        <v>1.5808158508158507</v>
      </c>
      <c r="AB94">
        <f>AA94-Z94</f>
        <v>0.17345473970473968</v>
      </c>
      <c r="AC94" s="18">
        <v>18238.45</v>
      </c>
      <c r="AD94" s="18">
        <v>21581.75</v>
      </c>
      <c r="AE94" s="4">
        <f>AD94/AC94-1</f>
        <v>0.1833105335157319</v>
      </c>
      <c r="AF94" s="150">
        <f>(L94*2)-X94</f>
        <v>-75.039999999999964</v>
      </c>
      <c r="AM94" s="163" t="s">
        <v>351</v>
      </c>
      <c r="AN94" s="164">
        <v>1444</v>
      </c>
      <c r="AP94" s="163" t="s">
        <v>306</v>
      </c>
      <c r="AQ94" s="164">
        <v>1717</v>
      </c>
    </row>
    <row r="95" spans="1:43">
      <c r="A95" t="s">
        <v>352</v>
      </c>
      <c r="B95" t="s">
        <v>353</v>
      </c>
      <c r="C95" s="30">
        <v>39</v>
      </c>
      <c r="D95">
        <v>39</v>
      </c>
      <c r="F95" t="s">
        <v>353</v>
      </c>
      <c r="G95" s="30">
        <v>1</v>
      </c>
      <c r="H95" s="30">
        <v>1</v>
      </c>
      <c r="I95" t="b">
        <f>IF(B95=F95,TRUE,FALSE)</f>
        <v>1</v>
      </c>
      <c r="L95">
        <f>G95-C95</f>
        <v>-38</v>
      </c>
      <c r="M95" s="4">
        <f>G95/C95-1</f>
        <v>-0.97435897435897434</v>
      </c>
      <c r="N95" s="165">
        <f>H95-D95</f>
        <v>-38</v>
      </c>
      <c r="P95" s="5">
        <v>109.14</v>
      </c>
      <c r="Q95" s="5">
        <v>0</v>
      </c>
      <c r="T95" s="5">
        <v>342.25</v>
      </c>
      <c r="X95" s="152">
        <f>Q95-P95</f>
        <v>-109.14</v>
      </c>
      <c r="Y95" s="4">
        <f>IF(P95=0,0,Q95/P95-1)</f>
        <v>-1</v>
      </c>
      <c r="Z95">
        <v>2.7984615384615386</v>
      </c>
      <c r="AA95">
        <f>Q95/H95</f>
        <v>0</v>
      </c>
      <c r="AB95">
        <f>AA95-Z95</f>
        <v>-2.7984615384615386</v>
      </c>
      <c r="AC95" s="18">
        <v>856.05</v>
      </c>
      <c r="AD95" s="18">
        <v>21.95</v>
      </c>
      <c r="AE95" s="4">
        <f>AD95/AC95-1</f>
        <v>-0.97435897435897434</v>
      </c>
      <c r="AF95" s="150">
        <f>(L95*2)-X95</f>
        <v>33.14</v>
      </c>
      <c r="AM95" s="161" t="s">
        <v>354</v>
      </c>
      <c r="AN95" s="162">
        <v>1241</v>
      </c>
      <c r="AP95" s="161" t="s">
        <v>267</v>
      </c>
      <c r="AQ95" s="162">
        <v>1528</v>
      </c>
    </row>
    <row r="96" spans="1:43">
      <c r="A96" t="s">
        <v>355</v>
      </c>
      <c r="B96" t="s">
        <v>356</v>
      </c>
      <c r="C96" s="30">
        <v>1441</v>
      </c>
      <c r="D96">
        <v>1423</v>
      </c>
      <c r="F96" t="s">
        <v>356</v>
      </c>
      <c r="G96" s="30">
        <v>1588</v>
      </c>
      <c r="H96" s="30">
        <v>1575</v>
      </c>
      <c r="I96" t="b">
        <f>IF(B96=F96,TRUE,FALSE)</f>
        <v>1</v>
      </c>
      <c r="L96">
        <f>G96-C96</f>
        <v>147</v>
      </c>
      <c r="M96" s="4">
        <f>G96/C96-1</f>
        <v>0.10201249132546852</v>
      </c>
      <c r="N96" s="165">
        <f>H96-D96</f>
        <v>152</v>
      </c>
      <c r="P96" s="5">
        <v>1517.46</v>
      </c>
      <c r="Q96" s="5">
        <v>1880.76</v>
      </c>
      <c r="T96" s="5">
        <v>13945.369999999999</v>
      </c>
      <c r="X96" s="152">
        <f>Q96-P96</f>
        <v>363.29999999999995</v>
      </c>
      <c r="Y96" s="4">
        <f>IF(P96=0,0,Q96/P96-1)</f>
        <v>0.23941323000276782</v>
      </c>
      <c r="Z96">
        <v>1.0663808854532677</v>
      </c>
      <c r="AA96">
        <f>Q96/H96</f>
        <v>1.1941333333333333</v>
      </c>
      <c r="AB96">
        <f>AA96-Z96</f>
        <v>0.12775244788006557</v>
      </c>
      <c r="AC96" s="18">
        <v>50350.61</v>
      </c>
      <c r="AD96" s="18">
        <v>54853.62</v>
      </c>
      <c r="AE96" s="4">
        <f>AD96/AC96-1</f>
        <v>8.9433077374832193E-2</v>
      </c>
      <c r="AF96" s="150">
        <f>(L96*2)-X96</f>
        <v>-69.299999999999955</v>
      </c>
      <c r="AM96" s="163" t="s">
        <v>357</v>
      </c>
      <c r="AN96" s="164">
        <v>1655</v>
      </c>
      <c r="AP96" s="163" t="s">
        <v>358</v>
      </c>
      <c r="AQ96" s="164">
        <v>1788</v>
      </c>
    </row>
    <row r="97" spans="1:43">
      <c r="A97" t="s">
        <v>359</v>
      </c>
      <c r="B97" t="s">
        <v>312</v>
      </c>
      <c r="C97" s="30">
        <v>1078</v>
      </c>
      <c r="D97">
        <v>1074</v>
      </c>
      <c r="F97" t="s">
        <v>312</v>
      </c>
      <c r="G97" s="30">
        <v>1752</v>
      </c>
      <c r="H97" s="30">
        <v>1751</v>
      </c>
      <c r="I97" t="b">
        <f>IF(B97=F97,TRUE,FALSE)</f>
        <v>1</v>
      </c>
      <c r="L97">
        <f>G97-C97</f>
        <v>674</v>
      </c>
      <c r="M97" s="4">
        <f>G97/C97-1</f>
        <v>0.62523191094619657</v>
      </c>
      <c r="N97" s="165">
        <f>H97-D97</f>
        <v>677</v>
      </c>
      <c r="P97" s="5">
        <v>1074.67</v>
      </c>
      <c r="Q97" s="5">
        <v>2487.14</v>
      </c>
      <c r="T97" s="5">
        <v>9538.69</v>
      </c>
      <c r="X97" s="152">
        <f>Q97-P97</f>
        <v>1412.4699999999998</v>
      </c>
      <c r="Y97" s="4">
        <f>IF(P97=0,0,Q97/P97-1)</f>
        <v>1.3143290498478599</v>
      </c>
      <c r="Z97">
        <v>1.0006238361266295</v>
      </c>
      <c r="AA97">
        <f>Q97/H97</f>
        <v>1.420411193603655</v>
      </c>
      <c r="AB97">
        <f>AA97-Z97</f>
        <v>0.41978735747702545</v>
      </c>
      <c r="AC97" s="18">
        <v>20459.439999999999</v>
      </c>
      <c r="AD97" s="18">
        <v>36702.199999999997</v>
      </c>
      <c r="AE97" s="4">
        <f>AD97/AC97-1</f>
        <v>0.79390051731621192</v>
      </c>
      <c r="AF97" s="150">
        <f>(L97*2)-X97</f>
        <v>-64.4699999999998</v>
      </c>
      <c r="AM97" s="163" t="s">
        <v>105</v>
      </c>
      <c r="AN97" s="164">
        <v>4066</v>
      </c>
      <c r="AP97" s="163" t="s">
        <v>111</v>
      </c>
      <c r="AQ97" s="164">
        <v>3454</v>
      </c>
    </row>
    <row r="98" spans="1:43">
      <c r="A98" t="s">
        <v>360</v>
      </c>
      <c r="B98" t="s">
        <v>361</v>
      </c>
      <c r="C98" s="30">
        <v>203</v>
      </c>
      <c r="D98">
        <v>202</v>
      </c>
      <c r="F98" t="s">
        <v>361</v>
      </c>
      <c r="G98" s="30">
        <v>182</v>
      </c>
      <c r="H98" s="30">
        <v>181</v>
      </c>
      <c r="I98" t="b">
        <f>IF(B98=F98,TRUE,FALSE)</f>
        <v>1</v>
      </c>
      <c r="L98">
        <f>G98-C98</f>
        <v>-21</v>
      </c>
      <c r="M98" s="4">
        <f>G98/C98-1</f>
        <v>-0.10344827586206895</v>
      </c>
      <c r="N98" s="165">
        <f>H98-D98</f>
        <v>-21</v>
      </c>
      <c r="P98" s="5">
        <v>321.54000000000002</v>
      </c>
      <c r="Q98" s="5">
        <v>440.24</v>
      </c>
      <c r="T98" s="5">
        <v>1701.85</v>
      </c>
      <c r="X98" s="152">
        <f>Q98-P98</f>
        <v>118.69999999999999</v>
      </c>
      <c r="Y98" s="4">
        <f>IF(P98=0,0,Q98/P98-1)</f>
        <v>0.36916091310567878</v>
      </c>
      <c r="Z98">
        <v>1.5917821782178219</v>
      </c>
      <c r="AA98">
        <f>Q98/H98</f>
        <v>2.4322651933701658</v>
      </c>
      <c r="AB98">
        <f>AA98-Z98</f>
        <v>0.84048301515234392</v>
      </c>
      <c r="AC98" s="18">
        <v>5876.85</v>
      </c>
      <c r="AD98" s="18">
        <v>5268.9</v>
      </c>
      <c r="AE98" s="4">
        <f>AD98/AC98-1</f>
        <v>-0.10344827586206906</v>
      </c>
      <c r="AF98" s="150">
        <f>(L98*2)-X98</f>
        <v>-160.69999999999999</v>
      </c>
      <c r="AM98" s="163" t="s">
        <v>362</v>
      </c>
      <c r="AN98" s="164">
        <v>1867</v>
      </c>
      <c r="AP98" s="163" t="s">
        <v>122</v>
      </c>
      <c r="AQ98" s="164">
        <v>1406</v>
      </c>
    </row>
    <row r="99" spans="1:43">
      <c r="A99" t="s">
        <v>363</v>
      </c>
      <c r="B99" t="s">
        <v>207</v>
      </c>
      <c r="C99" s="30">
        <v>1534</v>
      </c>
      <c r="D99">
        <v>1513</v>
      </c>
      <c r="F99" t="s">
        <v>207</v>
      </c>
      <c r="G99" s="30">
        <v>1790</v>
      </c>
      <c r="H99" s="30">
        <v>1781</v>
      </c>
      <c r="I99" t="b">
        <f>IF(B99=F99,TRUE,FALSE)</f>
        <v>1</v>
      </c>
      <c r="L99">
        <f>G99-C99</f>
        <v>256</v>
      </c>
      <c r="M99" s="4">
        <f>G99/C99-1</f>
        <v>0.16688396349413304</v>
      </c>
      <c r="N99" s="165">
        <f>H99-D99</f>
        <v>268</v>
      </c>
      <c r="P99" s="5">
        <v>1593.94</v>
      </c>
      <c r="Q99" s="5">
        <v>2139.61</v>
      </c>
      <c r="T99" s="5">
        <v>19626.57</v>
      </c>
      <c r="X99" s="152">
        <f>Q99-P99</f>
        <v>545.67000000000007</v>
      </c>
      <c r="Y99" s="4">
        <f>IF(P99=0,0,Q99/P99-1)</f>
        <v>0.34234036412913915</v>
      </c>
      <c r="Z99">
        <v>1.0534963648380702</v>
      </c>
      <c r="AA99">
        <f>Q99/H99</f>
        <v>1.2013531723750703</v>
      </c>
      <c r="AB99">
        <f>AA99-Z99</f>
        <v>0.14785680753700015</v>
      </c>
      <c r="AC99" s="18">
        <v>38273.300000000003</v>
      </c>
      <c r="AD99" s="18">
        <v>46496.11</v>
      </c>
      <c r="AE99" s="4">
        <f>AD99/AC99-1</f>
        <v>0.21484455220741339</v>
      </c>
      <c r="AF99" s="150">
        <f>(L99*2)-X99</f>
        <v>-33.670000000000073</v>
      </c>
      <c r="AM99" s="161" t="s">
        <v>41</v>
      </c>
      <c r="AN99" s="162">
        <v>3082</v>
      </c>
      <c r="AP99" s="161" t="s">
        <v>319</v>
      </c>
      <c r="AQ99" s="162">
        <v>1948</v>
      </c>
    </row>
    <row r="100" spans="1:43">
      <c r="A100" t="s">
        <v>364</v>
      </c>
      <c r="B100" t="s">
        <v>365</v>
      </c>
      <c r="C100" s="30">
        <v>28</v>
      </c>
      <c r="D100">
        <v>27</v>
      </c>
      <c r="F100" t="s">
        <v>365</v>
      </c>
      <c r="G100" s="30">
        <v>2</v>
      </c>
      <c r="H100" s="30">
        <v>2</v>
      </c>
      <c r="I100" t="b">
        <f>IF(B100=F100,TRUE,FALSE)</f>
        <v>1</v>
      </c>
      <c r="L100">
        <f>G100-C100</f>
        <v>-26</v>
      </c>
      <c r="M100" s="4">
        <f>G100/C100-1</f>
        <v>-0.9285714285714286</v>
      </c>
      <c r="N100" s="165">
        <f>H100-D100</f>
        <v>-25</v>
      </c>
      <c r="P100" s="5">
        <v>19.43</v>
      </c>
      <c r="Q100" s="5">
        <v>0</v>
      </c>
      <c r="T100" s="5">
        <v>0</v>
      </c>
      <c r="X100" s="152">
        <f>Q100-P100</f>
        <v>-19.43</v>
      </c>
      <c r="Y100" s="4">
        <f>IF(P100=0,0,Q100/P100-1)</f>
        <v>-1</v>
      </c>
      <c r="Z100">
        <v>0.71962962962962962</v>
      </c>
      <c r="AA100">
        <f>Q100/H100</f>
        <v>0</v>
      </c>
      <c r="AB100">
        <f>AA100-Z100</f>
        <v>-0.71962962962962962</v>
      </c>
      <c r="AC100" s="18">
        <v>698.6</v>
      </c>
      <c r="AD100" s="18">
        <v>49.9</v>
      </c>
      <c r="AE100" s="4">
        <f>AD100/AC100-1</f>
        <v>-0.9285714285714286</v>
      </c>
      <c r="AF100" s="150">
        <f>(L100*2)-X100</f>
        <v>-32.57</v>
      </c>
      <c r="AM100" s="163" t="s">
        <v>83</v>
      </c>
      <c r="AN100" s="164">
        <v>926</v>
      </c>
      <c r="AP100" s="163" t="s">
        <v>366</v>
      </c>
      <c r="AQ100" s="164">
        <v>1125</v>
      </c>
    </row>
    <row r="101" spans="1:43">
      <c r="A101" t="s">
        <v>367</v>
      </c>
      <c r="B101" t="s">
        <v>368</v>
      </c>
      <c r="C101" s="30">
        <v>731</v>
      </c>
      <c r="D101">
        <v>726</v>
      </c>
      <c r="F101" t="s">
        <v>368</v>
      </c>
      <c r="G101" s="30">
        <v>956</v>
      </c>
      <c r="H101" s="30">
        <v>951</v>
      </c>
      <c r="I101" t="b">
        <f>IF(B101=F101,TRUE,FALSE)</f>
        <v>1</v>
      </c>
      <c r="L101">
        <f>G101-C101</f>
        <v>225</v>
      </c>
      <c r="M101" s="4">
        <f>G101/C101-1</f>
        <v>0.30779753761969908</v>
      </c>
      <c r="N101" s="165">
        <f>H101-D101</f>
        <v>225</v>
      </c>
      <c r="P101" s="5">
        <v>1592.79</v>
      </c>
      <c r="Q101" s="5">
        <v>2073.1999999999998</v>
      </c>
      <c r="T101" s="5">
        <v>13977.970000000001</v>
      </c>
      <c r="X101" s="152">
        <f>Q101-P101</f>
        <v>480.40999999999985</v>
      </c>
      <c r="Y101" s="4">
        <f>IF(P101=0,0,Q101/P101-1)</f>
        <v>0.30161540441615009</v>
      </c>
      <c r="Z101">
        <v>2.1939256198347108</v>
      </c>
      <c r="AA101">
        <f>Q101/H101</f>
        <v>2.1800210304942165</v>
      </c>
      <c r="AB101">
        <f>AA101-Z101</f>
        <v>-1.3904589340494322E-2</v>
      </c>
      <c r="AC101" s="18">
        <v>19700.45</v>
      </c>
      <c r="AD101" s="18">
        <v>25737.25</v>
      </c>
      <c r="AE101" s="4">
        <f>AD101/AC101-1</f>
        <v>0.30642954856361149</v>
      </c>
      <c r="AF101" s="150">
        <f>(L101*2)-X101</f>
        <v>-30.409999999999854</v>
      </c>
      <c r="AM101" s="161" t="s">
        <v>233</v>
      </c>
      <c r="AN101" s="162">
        <v>1643</v>
      </c>
      <c r="AP101" s="161" t="s">
        <v>369</v>
      </c>
      <c r="AQ101" s="162">
        <v>2074</v>
      </c>
    </row>
    <row r="102" spans="1:43">
      <c r="A102" t="s">
        <v>370</v>
      </c>
      <c r="B102" t="s">
        <v>371</v>
      </c>
      <c r="C102" s="30">
        <v>17</v>
      </c>
      <c r="D102">
        <v>16</v>
      </c>
      <c r="F102" t="s">
        <v>371</v>
      </c>
      <c r="G102" s="30">
        <v>2</v>
      </c>
      <c r="H102" s="30">
        <v>2</v>
      </c>
      <c r="I102" t="b">
        <f>IF(B102=F102,TRUE,FALSE)</f>
        <v>1</v>
      </c>
      <c r="L102">
        <f>G102-C102</f>
        <v>-15</v>
      </c>
      <c r="M102" s="4">
        <f>G102/C102-1</f>
        <v>-0.88235294117647056</v>
      </c>
      <c r="N102" s="165">
        <f>H102-D102</f>
        <v>-14</v>
      </c>
      <c r="P102" s="5">
        <v>20.57</v>
      </c>
      <c r="Q102" s="5">
        <v>0.93</v>
      </c>
      <c r="T102" s="5">
        <v>24.95</v>
      </c>
      <c r="X102" s="152">
        <f>Q102-P102</f>
        <v>-19.64</v>
      </c>
      <c r="Y102" s="4">
        <f>IF(P102=0,0,Q102/P102-1)</f>
        <v>-0.95478852698104033</v>
      </c>
      <c r="Z102">
        <v>1.285625</v>
      </c>
      <c r="AA102">
        <f>Q102/H102</f>
        <v>0.46500000000000002</v>
      </c>
      <c r="AB102">
        <f>AA102-Z102</f>
        <v>-0.82062499999999994</v>
      </c>
      <c r="AC102" s="18">
        <v>424.15</v>
      </c>
      <c r="AD102" s="18">
        <v>49.9</v>
      </c>
      <c r="AE102" s="4">
        <f>AD102/AC102-1</f>
        <v>-0.88235294117647056</v>
      </c>
      <c r="AF102" s="150">
        <f>(L102*2)-X102</f>
        <v>-10.36</v>
      </c>
      <c r="AM102" s="161" t="s">
        <v>372</v>
      </c>
      <c r="AN102" s="162">
        <v>1329</v>
      </c>
      <c r="AP102" s="161" t="s">
        <v>373</v>
      </c>
      <c r="AQ102" s="162">
        <v>1465</v>
      </c>
    </row>
    <row r="103" spans="1:43">
      <c r="A103" t="s">
        <v>374</v>
      </c>
      <c r="B103" t="s">
        <v>309</v>
      </c>
      <c r="C103" s="30">
        <v>1296</v>
      </c>
      <c r="D103">
        <v>1280</v>
      </c>
      <c r="F103" t="s">
        <v>309</v>
      </c>
      <c r="G103" s="30">
        <v>1815</v>
      </c>
      <c r="H103" s="30">
        <v>1806</v>
      </c>
      <c r="I103" t="b">
        <f>IF(B103=F103,TRUE,FALSE)</f>
        <v>1</v>
      </c>
      <c r="L103">
        <f>G103-C103</f>
        <v>519</v>
      </c>
      <c r="M103" s="4">
        <f>G103/C103-1</f>
        <v>0.40046296296296302</v>
      </c>
      <c r="N103" s="165">
        <f>H103-D103</f>
        <v>526</v>
      </c>
      <c r="P103" s="5">
        <v>1856.6</v>
      </c>
      <c r="Q103" s="5">
        <v>2911.24</v>
      </c>
      <c r="T103" s="5">
        <v>23706.92</v>
      </c>
      <c r="X103" s="152">
        <f>Q103-P103</f>
        <v>1054.6399999999999</v>
      </c>
      <c r="Y103" s="4">
        <f>IF(P103=0,0,Q103/P103-1)</f>
        <v>0.56804912205106106</v>
      </c>
      <c r="Z103">
        <v>1.45046875</v>
      </c>
      <c r="AA103">
        <f>Q103/H103</f>
        <v>1.6119822812846067</v>
      </c>
      <c r="AB103">
        <f>AA103-Z103</f>
        <v>0.16151353128460677</v>
      </c>
      <c r="AC103" s="18">
        <v>34979.040000000001</v>
      </c>
      <c r="AD103" s="18">
        <v>51626.85</v>
      </c>
      <c r="AE103" s="4">
        <f>AD103/AC103-1</f>
        <v>0.4759367323974586</v>
      </c>
      <c r="AF103" s="150">
        <f>(L103*2)-X103</f>
        <v>-16.639999999999873</v>
      </c>
      <c r="AM103" s="163" t="s">
        <v>170</v>
      </c>
      <c r="AN103" s="164">
        <v>2405</v>
      </c>
      <c r="AP103" s="163" t="s">
        <v>236</v>
      </c>
      <c r="AQ103" s="164">
        <v>3073</v>
      </c>
    </row>
    <row r="104" spans="1:43">
      <c r="A104" t="s">
        <v>375</v>
      </c>
      <c r="B104" t="s">
        <v>376</v>
      </c>
      <c r="C104" s="30">
        <v>712</v>
      </c>
      <c r="D104">
        <v>702</v>
      </c>
      <c r="F104" t="s">
        <v>376</v>
      </c>
      <c r="G104" s="30">
        <v>705</v>
      </c>
      <c r="H104" s="30">
        <v>699</v>
      </c>
      <c r="I104" t="b">
        <f>IF(B104=F104,TRUE,FALSE)</f>
        <v>1</v>
      </c>
      <c r="L104">
        <f>G104-C104</f>
        <v>-7</v>
      </c>
      <c r="M104" s="4">
        <f>G104/C104-1</f>
        <v>-9.8314606741572996E-3</v>
      </c>
      <c r="N104" s="165">
        <f>H104-D104</f>
        <v>-3</v>
      </c>
      <c r="P104" s="5">
        <v>949.65</v>
      </c>
      <c r="Q104" s="5">
        <v>969.51</v>
      </c>
      <c r="T104" s="5">
        <v>4913.88</v>
      </c>
      <c r="X104" s="152">
        <f>Q104-P104</f>
        <v>19.860000000000014</v>
      </c>
      <c r="Y104" s="4">
        <f>IF(P104=0,0,Q104/P104-1)</f>
        <v>2.0912967935555304E-2</v>
      </c>
      <c r="Z104">
        <v>1.3527777777777776</v>
      </c>
      <c r="AA104">
        <f>Q104/H104</f>
        <v>1.3869957081545063</v>
      </c>
      <c r="AB104">
        <f>AA104-Z104</f>
        <v>3.4217930376728711E-2</v>
      </c>
      <c r="AC104" s="18">
        <v>17052.400000000001</v>
      </c>
      <c r="AD104" s="18">
        <v>17244.560000000001</v>
      </c>
      <c r="AE104" s="4">
        <f>AD104/AC104-1</f>
        <v>1.1268795008327226E-2</v>
      </c>
      <c r="AF104" s="150">
        <f>(L104*2)-X104</f>
        <v>-33.860000000000014</v>
      </c>
      <c r="AM104" s="161" t="s">
        <v>377</v>
      </c>
      <c r="AN104" s="162">
        <v>1212</v>
      </c>
      <c r="AP104" s="161" t="s">
        <v>378</v>
      </c>
      <c r="AQ104" s="162">
        <v>1459</v>
      </c>
    </row>
    <row r="105" spans="1:43">
      <c r="A105" s="56" t="s">
        <v>379</v>
      </c>
      <c r="B105" s="39" t="s">
        <v>380</v>
      </c>
      <c r="C105" s="30">
        <v>291</v>
      </c>
      <c r="D105">
        <v>290</v>
      </c>
      <c r="F105" s="39" t="s">
        <v>380</v>
      </c>
      <c r="G105" s="30">
        <v>624</v>
      </c>
      <c r="H105" s="30">
        <v>624</v>
      </c>
      <c r="I105" t="b">
        <f>IF(B105=F105,TRUE,FALSE)</f>
        <v>1</v>
      </c>
      <c r="L105" s="27">
        <f>G105-C105</f>
        <v>333</v>
      </c>
      <c r="M105" s="4">
        <f>G105/C105-1</f>
        <v>1.1443298969072164</v>
      </c>
      <c r="N105" s="165">
        <f>H105-D105</f>
        <v>334</v>
      </c>
      <c r="P105" s="5">
        <v>1425.24</v>
      </c>
      <c r="Q105" s="5">
        <v>2103.06</v>
      </c>
      <c r="T105" s="5">
        <v>5933.71</v>
      </c>
      <c r="X105" s="152">
        <f>Q105-P105</f>
        <v>677.81999999999994</v>
      </c>
      <c r="Y105" s="4">
        <f>IF(P105=0,0,Q105/P105-1)</f>
        <v>0.47558305969520909</v>
      </c>
      <c r="Z105">
        <v>4.9146206896551723</v>
      </c>
      <c r="AA105">
        <f>Q105/H105</f>
        <v>3.3702884615384616</v>
      </c>
      <c r="AB105">
        <f>AA105-Z105</f>
        <v>-1.5443322281167107</v>
      </c>
      <c r="AC105" s="18">
        <v>3689.38</v>
      </c>
      <c r="AD105" s="18">
        <v>8701.7800000000007</v>
      </c>
      <c r="AE105" s="4">
        <f>AD105/AC105-1</f>
        <v>1.3586022583740358</v>
      </c>
      <c r="AF105" s="150">
        <f>(L105*2)-X105</f>
        <v>-11.819999999999936</v>
      </c>
      <c r="AM105" s="161" t="s">
        <v>257</v>
      </c>
      <c r="AN105" s="162">
        <v>1722</v>
      </c>
      <c r="AP105" s="161" t="s">
        <v>381</v>
      </c>
      <c r="AQ105" s="162">
        <v>2426</v>
      </c>
    </row>
    <row r="106" spans="1:43">
      <c r="A106" t="s">
        <v>382</v>
      </c>
      <c r="B106" t="s">
        <v>315</v>
      </c>
      <c r="C106" s="30">
        <v>2086</v>
      </c>
      <c r="D106">
        <v>2062</v>
      </c>
      <c r="F106" t="s">
        <v>315</v>
      </c>
      <c r="G106" s="30">
        <v>2472</v>
      </c>
      <c r="H106" s="30">
        <v>2451</v>
      </c>
      <c r="I106" t="b">
        <f>IF(B106=F106,TRUE,FALSE)</f>
        <v>1</v>
      </c>
      <c r="L106">
        <f>G106-C106</f>
        <v>386</v>
      </c>
      <c r="M106" s="4">
        <f>G106/C106-1</f>
        <v>0.18504314477468831</v>
      </c>
      <c r="N106" s="165">
        <f>H106-D106</f>
        <v>389</v>
      </c>
      <c r="P106" s="5">
        <v>3423.71</v>
      </c>
      <c r="Q106" s="5">
        <v>4205.25</v>
      </c>
      <c r="T106" s="5">
        <v>23768.48</v>
      </c>
      <c r="X106" s="152">
        <f>Q106-P106</f>
        <v>781.54</v>
      </c>
      <c r="Y106" s="4">
        <f>IF(P106=0,0,Q106/P106-1)</f>
        <v>0.22827283852896407</v>
      </c>
      <c r="Z106">
        <v>1.6603831231813773</v>
      </c>
      <c r="AA106">
        <f>Q106/H106</f>
        <v>1.7157282741738067</v>
      </c>
      <c r="AB106">
        <f>AA106-Z106</f>
        <v>5.5345150992429426E-2</v>
      </c>
      <c r="AC106" s="18">
        <v>62445.75</v>
      </c>
      <c r="AD106" s="18">
        <v>74036.399999999994</v>
      </c>
      <c r="AE106" s="4">
        <f>AD106/AC106-1</f>
        <v>0.18561151079136673</v>
      </c>
      <c r="AF106" s="150">
        <f>(L106*2)-X106</f>
        <v>-9.5399999999999636</v>
      </c>
      <c r="AM106" s="161" t="s">
        <v>261</v>
      </c>
      <c r="AN106" s="162">
        <v>2044</v>
      </c>
      <c r="AP106" s="161" t="s">
        <v>345</v>
      </c>
      <c r="AQ106" s="162">
        <v>2401</v>
      </c>
    </row>
    <row r="107" spans="1:43">
      <c r="A107" t="s">
        <v>383</v>
      </c>
      <c r="B107" t="s">
        <v>384</v>
      </c>
      <c r="C107" s="30">
        <v>2</v>
      </c>
      <c r="D107">
        <v>2</v>
      </c>
      <c r="F107" t="s">
        <v>384</v>
      </c>
      <c r="G107" s="30">
        <v>0</v>
      </c>
      <c r="H107" s="30" t="s">
        <v>344</v>
      </c>
      <c r="I107" t="b">
        <f>IF(B107=F107,TRUE,FALSE)</f>
        <v>1</v>
      </c>
      <c r="L107">
        <f>G107-C107</f>
        <v>-2</v>
      </c>
      <c r="M107" s="4">
        <f>G107/C107-1</f>
        <v>-1</v>
      </c>
      <c r="N107" s="165" t="e">
        <f>H107-D107</f>
        <v>#VALUE!</v>
      </c>
      <c r="P107" s="5">
        <v>0</v>
      </c>
      <c r="Q107" s="5">
        <v>0</v>
      </c>
      <c r="T107" s="5">
        <v>0</v>
      </c>
      <c r="X107" s="152">
        <f>Q107-P107</f>
        <v>0</v>
      </c>
      <c r="Y107" s="4">
        <f>IF(P107=0,0,Q107/P107-1)</f>
        <v>0</v>
      </c>
      <c r="Z107">
        <v>0</v>
      </c>
      <c r="AA107" t="e">
        <f>Q107/H107</f>
        <v>#VALUE!</v>
      </c>
      <c r="AB107" t="e">
        <f>AA107-Z107</f>
        <v>#VALUE!</v>
      </c>
      <c r="AC107" s="18">
        <v>59.9</v>
      </c>
      <c r="AD107" s="18">
        <v>0</v>
      </c>
      <c r="AE107" s="4">
        <f>AD107/AC107-1</f>
        <v>-1</v>
      </c>
      <c r="AF107" s="150">
        <f>(L107*2)-X107</f>
        <v>-4</v>
      </c>
      <c r="AM107" s="163" t="s">
        <v>385</v>
      </c>
      <c r="AN107" s="164">
        <v>1261</v>
      </c>
      <c r="AP107" s="163" t="s">
        <v>386</v>
      </c>
      <c r="AQ107" s="164">
        <v>1611</v>
      </c>
    </row>
    <row r="108" spans="1:43">
      <c r="A108" t="s">
        <v>387</v>
      </c>
      <c r="B108" t="s">
        <v>388</v>
      </c>
      <c r="C108" s="30">
        <v>2</v>
      </c>
      <c r="D108">
        <v>2</v>
      </c>
      <c r="F108" t="s">
        <v>388</v>
      </c>
      <c r="G108" s="30">
        <v>0</v>
      </c>
      <c r="H108" s="30" t="s">
        <v>344</v>
      </c>
      <c r="I108" t="b">
        <f>IF(B108=F108,TRUE,FALSE)</f>
        <v>1</v>
      </c>
      <c r="L108">
        <f>G108-C108</f>
        <v>-2</v>
      </c>
      <c r="M108" s="4">
        <f>G108/C108-1</f>
        <v>-1</v>
      </c>
      <c r="N108" s="165" t="e">
        <f>H108-D108</f>
        <v>#VALUE!</v>
      </c>
      <c r="P108" s="5">
        <v>0</v>
      </c>
      <c r="Q108" s="5">
        <v>0</v>
      </c>
      <c r="T108" s="5">
        <v>0</v>
      </c>
      <c r="X108" s="152">
        <f>Q108-P108</f>
        <v>0</v>
      </c>
      <c r="Y108" s="4">
        <f>IF(P108=0,0,Q108/P108-1)</f>
        <v>0</v>
      </c>
      <c r="Z108">
        <v>0</v>
      </c>
      <c r="AA108" t="e">
        <f>Q108/H108</f>
        <v>#VALUE!</v>
      </c>
      <c r="AB108" t="e">
        <f>AA108-Z108</f>
        <v>#VALUE!</v>
      </c>
      <c r="AC108" s="18">
        <v>49.98</v>
      </c>
      <c r="AD108" s="18">
        <v>0</v>
      </c>
      <c r="AE108" s="4">
        <f>AD108/AC108-1</f>
        <v>-1</v>
      </c>
      <c r="AF108" s="150">
        <f>(L108*2)-X108</f>
        <v>-4</v>
      </c>
      <c r="AM108" s="161" t="s">
        <v>389</v>
      </c>
      <c r="AN108" s="162">
        <v>1259</v>
      </c>
      <c r="AP108" s="161" t="s">
        <v>390</v>
      </c>
      <c r="AQ108" s="162">
        <v>1442</v>
      </c>
    </row>
    <row r="109" spans="1:43">
      <c r="A109" t="s">
        <v>391</v>
      </c>
      <c r="B109" t="s">
        <v>392</v>
      </c>
      <c r="C109" s="30">
        <v>1</v>
      </c>
      <c r="D109">
        <v>1</v>
      </c>
      <c r="F109" t="s">
        <v>392</v>
      </c>
      <c r="G109" s="30">
        <v>0</v>
      </c>
      <c r="H109" s="30" t="s">
        <v>344</v>
      </c>
      <c r="I109" t="b">
        <f>IF(B109=F109,TRUE,FALSE)</f>
        <v>1</v>
      </c>
      <c r="L109">
        <f>G109-C109</f>
        <v>-1</v>
      </c>
      <c r="M109" s="4">
        <f>G109/C109-1</f>
        <v>-1</v>
      </c>
      <c r="N109" s="165" t="e">
        <f>H109-D109</f>
        <v>#VALUE!</v>
      </c>
      <c r="P109" s="5">
        <v>0</v>
      </c>
      <c r="Q109" s="5">
        <v>0</v>
      </c>
      <c r="T109" s="5">
        <v>0</v>
      </c>
      <c r="X109" s="152">
        <f>Q109-P109</f>
        <v>0</v>
      </c>
      <c r="Y109" s="4">
        <f>IF(P109=0,0,Q109/P109-1)</f>
        <v>0</v>
      </c>
      <c r="Z109">
        <v>0</v>
      </c>
      <c r="AA109" t="e">
        <f>Q109/H109</f>
        <v>#VALUE!</v>
      </c>
      <c r="AB109" t="e">
        <f>AA109-Z109</f>
        <v>#VALUE!</v>
      </c>
      <c r="AC109" s="18">
        <v>21.95</v>
      </c>
      <c r="AD109" s="18">
        <v>0</v>
      </c>
      <c r="AE109" s="4">
        <f>AD109/AC109-1</f>
        <v>-1</v>
      </c>
      <c r="AF109" s="150">
        <f>(L109*2)-X109</f>
        <v>-2</v>
      </c>
      <c r="AM109" s="163" t="s">
        <v>393</v>
      </c>
      <c r="AN109" s="164">
        <v>1265</v>
      </c>
      <c r="AP109" s="163" t="s">
        <v>394</v>
      </c>
      <c r="AQ109" s="164">
        <v>1515</v>
      </c>
    </row>
    <row r="110" spans="1:43">
      <c r="A110" t="s">
        <v>395</v>
      </c>
      <c r="B110" t="s">
        <v>396</v>
      </c>
      <c r="C110" s="30">
        <v>0</v>
      </c>
      <c r="D110" t="s">
        <v>344</v>
      </c>
      <c r="F110" t="s">
        <v>396</v>
      </c>
      <c r="G110" s="30">
        <v>0</v>
      </c>
      <c r="H110" s="30" t="s">
        <v>344</v>
      </c>
      <c r="I110" t="b">
        <f>IF(B110=F110,TRUE,FALSE)</f>
        <v>1</v>
      </c>
      <c r="L110">
        <f>G110-C110</f>
        <v>0</v>
      </c>
      <c r="M110" s="4" t="e">
        <f>G110/C110-1</f>
        <v>#DIV/0!</v>
      </c>
      <c r="N110" s="165" t="e">
        <f>H110-D110</f>
        <v>#VALUE!</v>
      </c>
      <c r="P110" s="5">
        <v>0</v>
      </c>
      <c r="Q110" s="5">
        <v>0</v>
      </c>
      <c r="T110" s="5">
        <v>0</v>
      </c>
      <c r="X110" s="152">
        <f>Q110-P110</f>
        <v>0</v>
      </c>
      <c r="Y110" s="4">
        <f>IF(P110=0,0,Q110/P110-1)</f>
        <v>0</v>
      </c>
      <c r="Z110" t="e">
        <v>#VALUE!</v>
      </c>
      <c r="AA110" t="e">
        <f>Q110/H110</f>
        <v>#VALUE!</v>
      </c>
      <c r="AB110" t="e">
        <f>AA110-Z110</f>
        <v>#VALUE!</v>
      </c>
      <c r="AC110" s="18">
        <v>0</v>
      </c>
      <c r="AD110" s="18">
        <v>0</v>
      </c>
      <c r="AE110" s="4" t="e">
        <f>AD110/AC110-1</f>
        <v>#DIV/0!</v>
      </c>
      <c r="AF110" s="150">
        <f>(L110*2)-X110</f>
        <v>0</v>
      </c>
      <c r="AM110" s="161" t="s">
        <v>397</v>
      </c>
      <c r="AN110" s="162">
        <v>1241</v>
      </c>
      <c r="AP110" s="161" t="s">
        <v>398</v>
      </c>
      <c r="AQ110" s="162">
        <v>1630</v>
      </c>
    </row>
    <row r="111" spans="1:43">
      <c r="A111" t="s">
        <v>399</v>
      </c>
      <c r="B111" t="s">
        <v>400</v>
      </c>
      <c r="C111" s="30">
        <v>0</v>
      </c>
      <c r="D111" t="s">
        <v>344</v>
      </c>
      <c r="F111" t="s">
        <v>400</v>
      </c>
      <c r="G111" s="30">
        <v>0</v>
      </c>
      <c r="H111" s="30" t="s">
        <v>344</v>
      </c>
      <c r="I111" t="b">
        <f>IF(B111=F111,TRUE,FALSE)</f>
        <v>1</v>
      </c>
      <c r="L111">
        <f>G111-C111</f>
        <v>0</v>
      </c>
      <c r="M111" s="4" t="e">
        <f>G111/C111-1</f>
        <v>#DIV/0!</v>
      </c>
      <c r="N111" s="165" t="e">
        <f>H111-D111</f>
        <v>#VALUE!</v>
      </c>
      <c r="P111" s="5">
        <v>0</v>
      </c>
      <c r="Q111" s="5">
        <v>0</v>
      </c>
      <c r="T111" s="5">
        <v>0</v>
      </c>
      <c r="X111" s="152">
        <f>Q111-P111</f>
        <v>0</v>
      </c>
      <c r="Y111" s="4">
        <f>IF(P111=0,0,Q111/P111-1)</f>
        <v>0</v>
      </c>
      <c r="Z111" t="e">
        <v>#VALUE!</v>
      </c>
      <c r="AA111" t="e">
        <f>Q111/H111</f>
        <v>#VALUE!</v>
      </c>
      <c r="AB111" t="e">
        <f>AA111-Z111</f>
        <v>#VALUE!</v>
      </c>
      <c r="AC111" s="18">
        <v>0</v>
      </c>
      <c r="AD111" s="18">
        <v>0</v>
      </c>
      <c r="AE111" s="4" t="e">
        <f>AD111/AC111-1</f>
        <v>#DIV/0!</v>
      </c>
      <c r="AF111" s="150">
        <f>(L111*2)-X111</f>
        <v>0</v>
      </c>
      <c r="AM111" s="163" t="s">
        <v>378</v>
      </c>
      <c r="AN111" s="164">
        <v>1290</v>
      </c>
      <c r="AP111" s="163" t="s">
        <v>212</v>
      </c>
      <c r="AQ111" s="164">
        <v>1452</v>
      </c>
    </row>
    <row r="112" spans="1:43">
      <c r="A112" t="s">
        <v>401</v>
      </c>
      <c r="B112" t="s">
        <v>402</v>
      </c>
      <c r="C112" s="30">
        <v>1</v>
      </c>
      <c r="D112">
        <v>1</v>
      </c>
      <c r="F112" t="s">
        <v>402</v>
      </c>
      <c r="G112" s="30">
        <v>1</v>
      </c>
      <c r="H112" s="30">
        <v>1</v>
      </c>
      <c r="I112" t="b">
        <f>IF(B112=F112,TRUE,FALSE)</f>
        <v>1</v>
      </c>
      <c r="L112">
        <f>G112-C112</f>
        <v>0</v>
      </c>
      <c r="M112" s="4">
        <f>G112/C112-1</f>
        <v>0</v>
      </c>
      <c r="N112" s="165">
        <f>H112-D112</f>
        <v>0</v>
      </c>
      <c r="O112" s="5"/>
      <c r="P112" s="5">
        <v>0</v>
      </c>
      <c r="Q112" s="5">
        <v>0</v>
      </c>
      <c r="R112" s="5"/>
      <c r="S112" s="5"/>
      <c r="T112" s="5">
        <v>0</v>
      </c>
      <c r="U112" s="5"/>
      <c r="V112" s="5"/>
      <c r="W112" s="5"/>
      <c r="X112" s="152">
        <f>Q112-P112</f>
        <v>0</v>
      </c>
      <c r="Y112" s="4">
        <f>IF(P112=0,0,Q112/P112-1)</f>
        <v>0</v>
      </c>
      <c r="Z112">
        <v>0</v>
      </c>
      <c r="AA112">
        <f>Q112/H112</f>
        <v>0</v>
      </c>
      <c r="AB112">
        <f>AA112-Z112</f>
        <v>0</v>
      </c>
      <c r="AC112" s="18">
        <v>13.95</v>
      </c>
      <c r="AD112" s="18">
        <v>13.95</v>
      </c>
      <c r="AE112" s="4">
        <f>AD112/AC112-1</f>
        <v>0</v>
      </c>
      <c r="AF112" s="150">
        <f>(L112*2)-X112</f>
        <v>0</v>
      </c>
      <c r="AM112" s="163" t="s">
        <v>168</v>
      </c>
      <c r="AN112" s="164">
        <v>1414</v>
      </c>
      <c r="AP112" s="163" t="s">
        <v>403</v>
      </c>
      <c r="AQ112" s="164">
        <v>1475</v>
      </c>
    </row>
    <row r="113" spans="1:43">
      <c r="A113" t="s">
        <v>404</v>
      </c>
      <c r="B113" t="s">
        <v>390</v>
      </c>
      <c r="C113" s="30">
        <v>1385</v>
      </c>
      <c r="D113">
        <v>1381</v>
      </c>
      <c r="F113" t="s">
        <v>390</v>
      </c>
      <c r="G113" s="30">
        <v>1447</v>
      </c>
      <c r="H113" s="30">
        <v>1442</v>
      </c>
      <c r="I113" t="b">
        <f>IF(B113=F113,TRUE,FALSE)</f>
        <v>1</v>
      </c>
      <c r="L113">
        <f>G113-C113</f>
        <v>62</v>
      </c>
      <c r="M113" s="4">
        <f>G113/C113-1</f>
        <v>4.4765342960288779E-2</v>
      </c>
      <c r="N113" s="165">
        <f>H113-D113</f>
        <v>61</v>
      </c>
      <c r="P113" s="5">
        <v>2886.03</v>
      </c>
      <c r="Q113" s="5">
        <v>2996.96</v>
      </c>
      <c r="T113" s="5">
        <v>23253.72</v>
      </c>
      <c r="X113" s="152">
        <f>Q113-P113</f>
        <v>110.92999999999984</v>
      </c>
      <c r="Y113" s="4">
        <f>IF(P113=0,0,Q113/P113-1)</f>
        <v>3.8436883885475837E-2</v>
      </c>
      <c r="Z113">
        <v>2.0898117306299784</v>
      </c>
      <c r="AA113">
        <f>Q113/H113</f>
        <v>2.0783356449375865</v>
      </c>
      <c r="AB113">
        <f>AA113-Z113</f>
        <v>-1.1476085692391891E-2</v>
      </c>
      <c r="AC113" s="18">
        <v>37325.75</v>
      </c>
      <c r="AD113" s="18">
        <v>38996.65</v>
      </c>
      <c r="AE113" s="4">
        <f>AD113/AC113-1</f>
        <v>4.4765342960288779E-2</v>
      </c>
      <c r="AF113" s="150">
        <f>(L113*2)-X113</f>
        <v>13.070000000000164</v>
      </c>
      <c r="AM113" s="161" t="s">
        <v>212</v>
      </c>
      <c r="AN113" s="162">
        <v>1306</v>
      </c>
      <c r="AP113" s="161" t="s">
        <v>405</v>
      </c>
      <c r="AQ113" s="162">
        <v>1483</v>
      </c>
    </row>
    <row r="114" spans="1:43">
      <c r="A114" t="s">
        <v>406</v>
      </c>
      <c r="B114" t="s">
        <v>407</v>
      </c>
      <c r="C114" s="30">
        <v>400</v>
      </c>
      <c r="D114">
        <v>395</v>
      </c>
      <c r="F114" t="s">
        <v>407</v>
      </c>
      <c r="G114" s="30">
        <v>408</v>
      </c>
      <c r="H114" s="30">
        <v>407</v>
      </c>
      <c r="I114" t="b">
        <f>IF(B114=F114,TRUE,FALSE)</f>
        <v>1</v>
      </c>
      <c r="L114">
        <f>G114-C114</f>
        <v>8</v>
      </c>
      <c r="M114" s="4">
        <f>G114/C114-1</f>
        <v>2.0000000000000018E-2</v>
      </c>
      <c r="N114" s="165">
        <f>H114-D114</f>
        <v>12</v>
      </c>
      <c r="P114" s="5">
        <v>392.07</v>
      </c>
      <c r="Q114" s="5">
        <v>546.86</v>
      </c>
      <c r="T114" s="5">
        <v>2321.59</v>
      </c>
      <c r="X114" s="152">
        <f>Q114-P114</f>
        <v>154.79000000000002</v>
      </c>
      <c r="Y114" s="4">
        <f>IF(P114=0,0,Q114/P114-1)</f>
        <v>0.39480194863162188</v>
      </c>
      <c r="Z114">
        <v>0.99258227848101266</v>
      </c>
      <c r="AA114">
        <f>Q114/H114</f>
        <v>1.3436363636363637</v>
      </c>
      <c r="AB114">
        <f>AA114-Z114</f>
        <v>0.35105408515535108</v>
      </c>
      <c r="AC114" s="18">
        <v>19880.099999999999</v>
      </c>
      <c r="AD114" s="18">
        <v>20379.599999999999</v>
      </c>
      <c r="AE114" s="4">
        <f>AD114/AC114-1</f>
        <v>2.5125628140703515E-2</v>
      </c>
      <c r="AF114" s="150">
        <f>(L114*2)-X114</f>
        <v>-138.79000000000002</v>
      </c>
      <c r="AM114" s="161" t="s">
        <v>138</v>
      </c>
      <c r="AN114" s="162">
        <v>1162</v>
      </c>
      <c r="AP114" s="161" t="s">
        <v>296</v>
      </c>
      <c r="AQ114" s="162">
        <v>3028</v>
      </c>
    </row>
    <row r="115" spans="1:43">
      <c r="A115" t="s">
        <v>408</v>
      </c>
      <c r="B115" t="s">
        <v>409</v>
      </c>
      <c r="C115" s="30">
        <v>228</v>
      </c>
      <c r="D115">
        <v>225</v>
      </c>
      <c r="F115" t="s">
        <v>409</v>
      </c>
      <c r="G115" s="30">
        <v>242</v>
      </c>
      <c r="H115" s="30">
        <v>241</v>
      </c>
      <c r="I115" t="b">
        <f>IF(B115=F115,TRUE,FALSE)</f>
        <v>1</v>
      </c>
      <c r="L115">
        <f>G115-C115</f>
        <v>14</v>
      </c>
      <c r="M115" s="4">
        <f>G115/C115-1</f>
        <v>6.1403508771929793E-2</v>
      </c>
      <c r="N115" s="165">
        <f>H115-D115</f>
        <v>16</v>
      </c>
      <c r="P115" s="5">
        <v>128.13999999999999</v>
      </c>
      <c r="Q115" s="5">
        <v>158.46</v>
      </c>
      <c r="T115" s="5">
        <v>1197.44</v>
      </c>
      <c r="X115" s="152">
        <f>Q115-P115</f>
        <v>30.320000000000022</v>
      </c>
      <c r="Y115" s="4">
        <f>IF(P115=0,0,Q115/P115-1)</f>
        <v>0.2366162010301236</v>
      </c>
      <c r="Z115">
        <v>0.56951111111111108</v>
      </c>
      <c r="AA115">
        <f>Q115/H115</f>
        <v>0.65751037344398344</v>
      </c>
      <c r="AB115">
        <f>AA115-Z115</f>
        <v>8.7999262332872363E-2</v>
      </c>
      <c r="AC115" s="18">
        <v>5004.6000000000004</v>
      </c>
      <c r="AD115" s="18">
        <v>5311.9</v>
      </c>
      <c r="AE115" s="4">
        <f>AD115/AC115-1</f>
        <v>6.1403508771929571E-2</v>
      </c>
      <c r="AF115" s="150">
        <f>(L115*2)-X115</f>
        <v>-2.3200000000000216</v>
      </c>
      <c r="AM115" s="163" t="s">
        <v>410</v>
      </c>
      <c r="AN115" s="164">
        <v>1251</v>
      </c>
      <c r="AP115" s="163" t="s">
        <v>362</v>
      </c>
      <c r="AQ115" s="164">
        <v>1374</v>
      </c>
    </row>
    <row r="116" spans="1:43">
      <c r="A116" t="s">
        <v>411</v>
      </c>
      <c r="B116" t="s">
        <v>412</v>
      </c>
      <c r="C116" s="30">
        <v>328</v>
      </c>
      <c r="D116">
        <v>326</v>
      </c>
      <c r="F116" t="s">
        <v>412</v>
      </c>
      <c r="G116" s="30">
        <v>344</v>
      </c>
      <c r="H116" s="30">
        <v>343</v>
      </c>
      <c r="I116" t="b">
        <f>IF(B116=F116,TRUE,FALSE)</f>
        <v>1</v>
      </c>
      <c r="L116">
        <f>G116-C116</f>
        <v>16</v>
      </c>
      <c r="M116" s="4">
        <f>G116/C116-1</f>
        <v>4.8780487804878092E-2</v>
      </c>
      <c r="N116" s="165">
        <f>H116-D116</f>
        <v>17</v>
      </c>
      <c r="P116" s="5">
        <v>178.27</v>
      </c>
      <c r="Q116" s="5">
        <v>242.19</v>
      </c>
      <c r="T116" s="5">
        <v>1706.64</v>
      </c>
      <c r="X116" s="152">
        <f>Q116-P116</f>
        <v>63.919999999999987</v>
      </c>
      <c r="Y116" s="4">
        <f>IF(P116=0,0,Q116/P116-1)</f>
        <v>0.35855724462893357</v>
      </c>
      <c r="Z116">
        <v>0.54684049079754604</v>
      </c>
      <c r="AA116">
        <f>Q116/H116</f>
        <v>0.7060932944606414</v>
      </c>
      <c r="AB116">
        <f>AA116-Z116</f>
        <v>0.15925280366309535</v>
      </c>
      <c r="AC116" s="18">
        <v>7831.65</v>
      </c>
      <c r="AD116" s="18">
        <v>8238.7999999999993</v>
      </c>
      <c r="AE116" s="4">
        <f>AD116/AC116-1</f>
        <v>5.1987767584097844E-2</v>
      </c>
      <c r="AF116" s="150">
        <f>(L116*2)-X116</f>
        <v>-31.919999999999987</v>
      </c>
      <c r="AM116" s="163" t="s">
        <v>413</v>
      </c>
      <c r="AN116" s="164">
        <v>1333</v>
      </c>
      <c r="AP116" s="163" t="s">
        <v>414</v>
      </c>
      <c r="AQ116" s="164">
        <v>1485</v>
      </c>
    </row>
    <row r="117" spans="1:43">
      <c r="A117" t="s">
        <v>415</v>
      </c>
      <c r="B117" t="s">
        <v>416</v>
      </c>
      <c r="C117" s="30">
        <v>651</v>
      </c>
      <c r="D117">
        <v>645</v>
      </c>
      <c r="F117" t="s">
        <v>416</v>
      </c>
      <c r="G117" s="30">
        <v>942</v>
      </c>
      <c r="H117" s="30">
        <v>933</v>
      </c>
      <c r="I117" t="b">
        <f>IF(B117=F117,TRUE,FALSE)</f>
        <v>1</v>
      </c>
      <c r="L117">
        <f>G117-C117</f>
        <v>291</v>
      </c>
      <c r="M117" s="4">
        <f>G117/C117-1</f>
        <v>0.44700460829493083</v>
      </c>
      <c r="N117" s="165">
        <f>H117-D117</f>
        <v>288</v>
      </c>
      <c r="P117" s="5">
        <v>824.63</v>
      </c>
      <c r="Q117" s="5">
        <v>1356.69</v>
      </c>
      <c r="T117" s="5">
        <v>9660.84</v>
      </c>
      <c r="X117" s="152">
        <f>Q117-P117</f>
        <v>532.06000000000006</v>
      </c>
      <c r="Y117" s="4">
        <f>IF(P117=0,0,Q117/P117-1)</f>
        <v>0.64521057929010595</v>
      </c>
      <c r="Z117">
        <v>1.2784961240310078</v>
      </c>
      <c r="AA117">
        <f>Q117/H117</f>
        <v>1.4541157556270097</v>
      </c>
      <c r="AB117">
        <f>AA117-Z117</f>
        <v>0.17561963159600191</v>
      </c>
      <c r="AC117" s="18">
        <v>14289.45</v>
      </c>
      <c r="AD117" s="18">
        <v>20698.849999999999</v>
      </c>
      <c r="AE117" s="4">
        <f>AD117/AC117-1</f>
        <v>0.44854070660522249</v>
      </c>
      <c r="AF117" s="150">
        <f>(L117*2)-X117</f>
        <v>49.939999999999941</v>
      </c>
      <c r="AM117" s="161" t="s">
        <v>101</v>
      </c>
      <c r="AN117" s="162">
        <v>1611</v>
      </c>
      <c r="AP117" s="161" t="s">
        <v>219</v>
      </c>
      <c r="AQ117" s="162">
        <v>1869</v>
      </c>
    </row>
    <row r="118" spans="1:43">
      <c r="A118" t="s">
        <v>417</v>
      </c>
      <c r="B118" t="s">
        <v>418</v>
      </c>
      <c r="C118" s="30">
        <v>476</v>
      </c>
      <c r="D118">
        <v>466</v>
      </c>
      <c r="F118" t="s">
        <v>418</v>
      </c>
      <c r="G118" s="30">
        <v>501</v>
      </c>
      <c r="H118" s="30">
        <v>498</v>
      </c>
      <c r="I118" t="b">
        <f>IF(B118=F118,TRUE,FALSE)</f>
        <v>1</v>
      </c>
      <c r="L118">
        <f>G118-C118</f>
        <v>25</v>
      </c>
      <c r="M118" s="4">
        <f>G118/C118-1</f>
        <v>5.252100840336138E-2</v>
      </c>
      <c r="N118" s="165">
        <f>H118-D118</f>
        <v>32</v>
      </c>
      <c r="P118" s="5">
        <v>143.77000000000001</v>
      </c>
      <c r="Q118" s="5">
        <v>207.62</v>
      </c>
      <c r="T118" s="5">
        <v>2520.75</v>
      </c>
      <c r="X118" s="152">
        <f>Q118-P118</f>
        <v>63.849999999999994</v>
      </c>
      <c r="Y118" s="4">
        <f>IF(P118=0,0,Q118/P118-1)</f>
        <v>0.44411212353063911</v>
      </c>
      <c r="Z118">
        <v>0.30851931330472104</v>
      </c>
      <c r="AA118">
        <f>Q118/H118</f>
        <v>0.41690763052208835</v>
      </c>
      <c r="AB118">
        <f>AA118-Z118</f>
        <v>0.1083883172173673</v>
      </c>
      <c r="AC118" s="18">
        <v>14256.2</v>
      </c>
      <c r="AD118" s="18">
        <v>15004.95</v>
      </c>
      <c r="AE118" s="4">
        <f>AD118/AC118-1</f>
        <v>5.252100840336138E-2</v>
      </c>
      <c r="AF118" s="150">
        <f>(L118*2)-X118</f>
        <v>-13.849999999999994</v>
      </c>
      <c r="AM118" s="161" t="s">
        <v>419</v>
      </c>
      <c r="AN118" s="162">
        <v>1207</v>
      </c>
      <c r="AP118" s="161" t="s">
        <v>410</v>
      </c>
      <c r="AQ118" s="162">
        <v>1478</v>
      </c>
    </row>
    <row r="119" spans="1:43">
      <c r="A119" t="s">
        <v>420</v>
      </c>
      <c r="B119" t="s">
        <v>421</v>
      </c>
      <c r="C119" s="30">
        <v>951</v>
      </c>
      <c r="D119">
        <v>948</v>
      </c>
      <c r="F119" t="s">
        <v>421</v>
      </c>
      <c r="G119" s="30">
        <v>1249</v>
      </c>
      <c r="H119" s="30">
        <v>1242</v>
      </c>
      <c r="I119" t="b">
        <f>IF(B119=F119,TRUE,FALSE)</f>
        <v>1</v>
      </c>
      <c r="L119">
        <f>G119-C119</f>
        <v>298</v>
      </c>
      <c r="M119" s="4">
        <f>G119/C119-1</f>
        <v>0.31335436382755</v>
      </c>
      <c r="N119" s="165">
        <f>H119-D119</f>
        <v>294</v>
      </c>
      <c r="P119" s="5">
        <v>1768.01</v>
      </c>
      <c r="Q119" s="5">
        <v>2308.9899999999998</v>
      </c>
      <c r="T119" s="5">
        <v>18397.53</v>
      </c>
      <c r="X119" s="152">
        <f>Q119-P119</f>
        <v>540.97999999999979</v>
      </c>
      <c r="Y119" s="4">
        <f>IF(P119=0,0,Q119/P119-1)</f>
        <v>0.30598243222606203</v>
      </c>
      <c r="Z119">
        <v>1.8649894514767933</v>
      </c>
      <c r="AA119">
        <f>Q119/H119</f>
        <v>1.8590901771336552</v>
      </c>
      <c r="AB119">
        <f>AA119-Z119</f>
        <v>-5.8992743431380834E-3</v>
      </c>
      <c r="AC119" s="18">
        <v>27547.25</v>
      </c>
      <c r="AD119" s="18">
        <v>37367.43</v>
      </c>
      <c r="AE119" s="4">
        <f>AD119/AC119-1</f>
        <v>0.35648494858833457</v>
      </c>
      <c r="AF119" s="150">
        <f>(L119*2)-X119</f>
        <v>55.020000000000209</v>
      </c>
      <c r="AM119" s="163" t="s">
        <v>422</v>
      </c>
      <c r="AN119" s="164">
        <v>1664</v>
      </c>
      <c r="AP119" s="163" t="s">
        <v>423</v>
      </c>
      <c r="AQ119" s="164">
        <v>2360</v>
      </c>
    </row>
    <row r="120" spans="1:43">
      <c r="A120" t="s">
        <v>424</v>
      </c>
      <c r="B120" t="s">
        <v>291</v>
      </c>
      <c r="C120" s="30">
        <v>884</v>
      </c>
      <c r="D120">
        <v>879</v>
      </c>
      <c r="F120" t="s">
        <v>291</v>
      </c>
      <c r="G120" s="30">
        <v>1085</v>
      </c>
      <c r="H120" s="30">
        <v>1081</v>
      </c>
      <c r="I120" t="b">
        <f>IF(B120=F120,TRUE,FALSE)</f>
        <v>1</v>
      </c>
      <c r="L120">
        <f>G120-C120</f>
        <v>201</v>
      </c>
      <c r="M120" s="4">
        <f>G120/C120-1</f>
        <v>0.22737556561085981</v>
      </c>
      <c r="N120" s="165">
        <f>H120-D120</f>
        <v>202</v>
      </c>
      <c r="P120" s="5">
        <v>1004.76</v>
      </c>
      <c r="Q120" s="5">
        <v>1347</v>
      </c>
      <c r="T120" s="5">
        <v>10545.43</v>
      </c>
      <c r="X120" s="152">
        <f>Q120-P120</f>
        <v>342.24</v>
      </c>
      <c r="Y120" s="4">
        <f>IF(P120=0,0,Q120/P120-1)</f>
        <v>0.34061865520124202</v>
      </c>
      <c r="Z120">
        <v>1.1430716723549488</v>
      </c>
      <c r="AA120">
        <f>Q120/H120</f>
        <v>1.246068455134135</v>
      </c>
      <c r="AB120">
        <f>AA120-Z120</f>
        <v>0.10299678277918622</v>
      </c>
      <c r="AC120" s="18">
        <v>26475.8</v>
      </c>
      <c r="AD120" s="18">
        <v>32495.75</v>
      </c>
      <c r="AE120" s="4">
        <f>AD120/AC120-1</f>
        <v>0.22737556561085981</v>
      </c>
      <c r="AF120" s="150">
        <f>(L120*2)-X120</f>
        <v>59.759999999999991</v>
      </c>
      <c r="AM120" s="163" t="s">
        <v>273</v>
      </c>
      <c r="AN120" s="164">
        <v>1608</v>
      </c>
      <c r="AP120" s="163" t="s">
        <v>425</v>
      </c>
      <c r="AQ120" s="164">
        <v>1751</v>
      </c>
    </row>
    <row r="121" spans="1:43">
      <c r="A121" t="s">
        <v>426</v>
      </c>
      <c r="B121" t="s">
        <v>427</v>
      </c>
      <c r="C121" s="30">
        <v>247</v>
      </c>
      <c r="D121">
        <v>242</v>
      </c>
      <c r="F121" t="s">
        <v>427</v>
      </c>
      <c r="G121" s="30">
        <v>278</v>
      </c>
      <c r="H121" s="30">
        <v>277</v>
      </c>
      <c r="I121" t="b">
        <f>IF(B121=F121,TRUE,FALSE)</f>
        <v>1</v>
      </c>
      <c r="L121">
        <f>G121-C121</f>
        <v>31</v>
      </c>
      <c r="M121" s="4">
        <f>G121/C121-1</f>
        <v>0.12550607287449389</v>
      </c>
      <c r="N121" s="165">
        <f>H121-D121</f>
        <v>35</v>
      </c>
      <c r="P121" s="5">
        <v>211.97</v>
      </c>
      <c r="Q121" s="5">
        <v>283.14999999999998</v>
      </c>
      <c r="T121" s="5">
        <v>943.04</v>
      </c>
      <c r="X121" s="152">
        <f>Q121-P121</f>
        <v>71.179999999999978</v>
      </c>
      <c r="Y121" s="4">
        <f>IF(P121=0,0,Q121/P121-1)</f>
        <v>0.33580223616549509</v>
      </c>
      <c r="Z121">
        <v>0.87590909090909086</v>
      </c>
      <c r="AA121">
        <f>Q121/H121</f>
        <v>1.0222021660649818</v>
      </c>
      <c r="AB121">
        <f>AA121-Z121</f>
        <v>0.14629307515589096</v>
      </c>
      <c r="AC121" s="18">
        <v>5915.65</v>
      </c>
      <c r="AD121" s="18">
        <v>6658.1</v>
      </c>
      <c r="AE121" s="4">
        <f>AD121/AC121-1</f>
        <v>0.12550607287449411</v>
      </c>
      <c r="AF121" s="150">
        <f>(L121*2)-X121</f>
        <v>-9.1799999999999784</v>
      </c>
      <c r="AM121" s="163" t="s">
        <v>428</v>
      </c>
      <c r="AN121" s="164">
        <v>1242</v>
      </c>
      <c r="AP121" s="163" t="s">
        <v>206</v>
      </c>
      <c r="AQ121" s="164">
        <v>1402</v>
      </c>
    </row>
    <row r="122" spans="1:43">
      <c r="A122" t="s">
        <v>429</v>
      </c>
      <c r="B122" t="s">
        <v>430</v>
      </c>
      <c r="C122" s="30">
        <v>754</v>
      </c>
      <c r="D122">
        <v>749</v>
      </c>
      <c r="F122" t="s">
        <v>430</v>
      </c>
      <c r="G122" s="30">
        <v>1068</v>
      </c>
      <c r="H122" s="30">
        <v>1062</v>
      </c>
      <c r="I122" t="b">
        <f>IF(B122=F122,TRUE,FALSE)</f>
        <v>1</v>
      </c>
      <c r="L122">
        <f>G122-C122</f>
        <v>314</v>
      </c>
      <c r="M122" s="4">
        <f>G122/C122-1</f>
        <v>0.41644562334217516</v>
      </c>
      <c r="N122" s="165">
        <f>H122-D122</f>
        <v>313</v>
      </c>
      <c r="P122" s="5">
        <v>891.29</v>
      </c>
      <c r="Q122" s="5">
        <v>1453</v>
      </c>
      <c r="T122" s="5">
        <v>9614.07</v>
      </c>
      <c r="X122" s="152">
        <f>Q122-P122</f>
        <v>561.71</v>
      </c>
      <c r="Y122" s="4">
        <f>IF(P122=0,0,Q122/P122-1)</f>
        <v>0.6302213645390391</v>
      </c>
      <c r="Z122">
        <v>1.189973297730307</v>
      </c>
      <c r="AA122">
        <f>Q122/H122</f>
        <v>1.3681732580037664</v>
      </c>
      <c r="AB122">
        <f>AA122-Z122</f>
        <v>0.17819996027345941</v>
      </c>
      <c r="AC122" s="18">
        <v>17281.349999999999</v>
      </c>
      <c r="AD122" s="18">
        <v>24510.6</v>
      </c>
      <c r="AE122" s="4">
        <f>AD122/AC122-1</f>
        <v>0.41832669322709171</v>
      </c>
      <c r="AF122" s="150">
        <f>(L122*2)-X122</f>
        <v>66.289999999999964</v>
      </c>
      <c r="AM122" s="161" t="s">
        <v>425</v>
      </c>
      <c r="AN122" s="162">
        <v>1690</v>
      </c>
      <c r="AP122" s="161" t="s">
        <v>431</v>
      </c>
      <c r="AQ122" s="162">
        <v>2220</v>
      </c>
    </row>
    <row r="123" spans="1:43">
      <c r="A123" t="s">
        <v>432</v>
      </c>
      <c r="B123" t="s">
        <v>433</v>
      </c>
      <c r="C123" s="30">
        <v>576</v>
      </c>
      <c r="D123">
        <v>570</v>
      </c>
      <c r="F123" t="s">
        <v>433</v>
      </c>
      <c r="G123" s="30">
        <v>838</v>
      </c>
      <c r="H123" s="30">
        <v>833</v>
      </c>
      <c r="I123" t="b">
        <f>IF(B123=F123,TRUE,FALSE)</f>
        <v>1</v>
      </c>
      <c r="L123">
        <f>G123-C123</f>
        <v>262</v>
      </c>
      <c r="M123" s="4">
        <f>G123/C123-1</f>
        <v>0.45486111111111116</v>
      </c>
      <c r="N123" s="165">
        <f>H123-D123</f>
        <v>263</v>
      </c>
      <c r="P123" s="5">
        <v>670.95</v>
      </c>
      <c r="Q123" s="5">
        <v>1124.5999999999999</v>
      </c>
      <c r="T123" s="5">
        <v>8254.4699999999993</v>
      </c>
      <c r="X123" s="152">
        <f>Q123-P123</f>
        <v>453.64999999999986</v>
      </c>
      <c r="Y123" s="4">
        <f>IF(P123=0,0,Q123/P123-1)</f>
        <v>0.6761308592294506</v>
      </c>
      <c r="Z123">
        <v>1.1771052631578949</v>
      </c>
      <c r="AA123">
        <f>Q123/H123</f>
        <v>1.3500600240096037</v>
      </c>
      <c r="AB123">
        <f>AA123-Z123</f>
        <v>0.1729547608517088</v>
      </c>
      <c r="AC123" s="18">
        <v>17096.73</v>
      </c>
      <c r="AD123" s="18">
        <v>25129.22</v>
      </c>
      <c r="AE123" s="4">
        <f>AD123/AC123-1</f>
        <v>0.46982610124860136</v>
      </c>
      <c r="AF123" s="150">
        <f>(L123*2)-X123</f>
        <v>70.350000000000136</v>
      </c>
      <c r="AM123" s="163" t="s">
        <v>190</v>
      </c>
      <c r="AN123" s="164">
        <v>3380</v>
      </c>
      <c r="AP123" s="163" t="s">
        <v>434</v>
      </c>
      <c r="AQ123" s="164">
        <v>2472</v>
      </c>
    </row>
    <row r="124" spans="1:43">
      <c r="A124" t="s">
        <v>435</v>
      </c>
      <c r="B124" t="s">
        <v>436</v>
      </c>
      <c r="C124" s="30">
        <v>226</v>
      </c>
      <c r="D124">
        <v>221</v>
      </c>
      <c r="F124" t="s">
        <v>436</v>
      </c>
      <c r="G124" s="30">
        <v>351</v>
      </c>
      <c r="H124" s="30">
        <v>345</v>
      </c>
      <c r="I124" t="b">
        <f>IF(B124=F124,TRUE,FALSE)</f>
        <v>1</v>
      </c>
      <c r="L124">
        <f>G124-C124</f>
        <v>125</v>
      </c>
      <c r="M124" s="4">
        <f>G124/C124-1</f>
        <v>0.55309734513274345</v>
      </c>
      <c r="N124" s="165">
        <f>H124-D124</f>
        <v>124</v>
      </c>
      <c r="P124" s="5">
        <v>303.48</v>
      </c>
      <c r="Q124" s="5">
        <v>478.96</v>
      </c>
      <c r="T124" s="5">
        <v>3966.19</v>
      </c>
      <c r="X124" s="152">
        <f>Q124-P124</f>
        <v>175.47999999999996</v>
      </c>
      <c r="Y124" s="4">
        <f>IF(P124=0,0,Q124/P124-1)</f>
        <v>0.57822591274548563</v>
      </c>
      <c r="Z124">
        <v>1.3732126696832581</v>
      </c>
      <c r="AA124">
        <f>Q124/H124</f>
        <v>1.3882898550724636</v>
      </c>
      <c r="AB124">
        <f>AA124-Z124</f>
        <v>1.507718538920555E-2</v>
      </c>
      <c r="AC124" s="18">
        <v>4960.7</v>
      </c>
      <c r="AD124" s="18">
        <v>7704.45</v>
      </c>
      <c r="AE124" s="4">
        <f>AD124/AC124-1</f>
        <v>0.55309734513274345</v>
      </c>
      <c r="AF124" s="150">
        <f>(L124*2)-X124</f>
        <v>74.520000000000039</v>
      </c>
      <c r="AM124" s="161" t="s">
        <v>403</v>
      </c>
      <c r="AN124" s="162">
        <v>1402</v>
      </c>
      <c r="AP124" s="161" t="s">
        <v>334</v>
      </c>
      <c r="AQ124" s="162">
        <v>1994</v>
      </c>
    </row>
    <row r="125" spans="1:43">
      <c r="A125" t="s">
        <v>437</v>
      </c>
      <c r="B125" t="s">
        <v>438</v>
      </c>
      <c r="C125" s="30">
        <v>373</v>
      </c>
      <c r="D125">
        <v>370</v>
      </c>
      <c r="F125" t="s">
        <v>438</v>
      </c>
      <c r="G125" s="30">
        <v>412</v>
      </c>
      <c r="H125" s="30">
        <v>410</v>
      </c>
      <c r="I125" t="b">
        <f>IF(B125=F125,TRUE,FALSE)</f>
        <v>1</v>
      </c>
      <c r="L125">
        <f>G125-C125</f>
        <v>39</v>
      </c>
      <c r="M125" s="4">
        <f>G125/C125-1</f>
        <v>0.10455764075067031</v>
      </c>
      <c r="N125" s="165">
        <f>H125-D125</f>
        <v>40</v>
      </c>
      <c r="P125" s="5">
        <v>271.04000000000002</v>
      </c>
      <c r="Q125" s="5">
        <v>367.7</v>
      </c>
      <c r="T125" s="5">
        <v>1247.8499999999999</v>
      </c>
      <c r="X125" s="152">
        <f>Q125-P125</f>
        <v>96.659999999999968</v>
      </c>
      <c r="Y125" s="4">
        <f>IF(P125=0,0,Q125/P125-1)</f>
        <v>0.35662632821723705</v>
      </c>
      <c r="Z125">
        <v>0.73254054054054063</v>
      </c>
      <c r="AA125">
        <f>Q125/H125</f>
        <v>0.89682926829268295</v>
      </c>
      <c r="AB125">
        <f>AA125-Z125</f>
        <v>0.16428872775214232</v>
      </c>
      <c r="AC125" s="18">
        <v>7068.35</v>
      </c>
      <c r="AD125" s="18">
        <v>7807.4</v>
      </c>
      <c r="AE125" s="4">
        <f>AD125/AC125-1</f>
        <v>0.10455764075067009</v>
      </c>
      <c r="AF125" s="150">
        <f>(L125*2)-X125</f>
        <v>-18.659999999999968</v>
      </c>
      <c r="AM125" s="161" t="s">
        <v>439</v>
      </c>
      <c r="AN125" s="162">
        <v>1132</v>
      </c>
      <c r="AP125" s="161" t="s">
        <v>440</v>
      </c>
      <c r="AQ125" s="162">
        <v>1403</v>
      </c>
    </row>
    <row r="126" spans="1:43">
      <c r="A126" t="s">
        <v>441</v>
      </c>
      <c r="B126" t="s">
        <v>442</v>
      </c>
      <c r="C126" s="30">
        <v>1077</v>
      </c>
      <c r="D126">
        <v>1067</v>
      </c>
      <c r="F126" t="s">
        <v>442</v>
      </c>
      <c r="G126" s="30">
        <v>1114</v>
      </c>
      <c r="H126" s="30">
        <v>1111</v>
      </c>
      <c r="I126" t="b">
        <f>IF(B126=F126,TRUE,FALSE)</f>
        <v>1</v>
      </c>
      <c r="L126">
        <f>G126-C126</f>
        <v>37</v>
      </c>
      <c r="M126" s="4">
        <f>G126/C126-1</f>
        <v>3.4354688950789303E-2</v>
      </c>
      <c r="N126" s="165">
        <f>H126-D126</f>
        <v>44</v>
      </c>
      <c r="P126" s="5">
        <v>2063.59</v>
      </c>
      <c r="Q126" s="5">
        <v>2048.75</v>
      </c>
      <c r="T126" s="5">
        <v>13528.27</v>
      </c>
      <c r="X126" s="152">
        <f>Q126-P126</f>
        <v>-14.840000000000146</v>
      </c>
      <c r="Y126" s="4">
        <f>IF(P126=0,0,Q126/P126-1)</f>
        <v>-7.1913509951104793E-3</v>
      </c>
      <c r="Z126">
        <v>1.9340112464854735</v>
      </c>
      <c r="AA126">
        <f>Q126/H126</f>
        <v>1.8440594059405941</v>
      </c>
      <c r="AB126">
        <f>AA126-Z126</f>
        <v>-8.9951840544879369E-2</v>
      </c>
      <c r="AC126" s="18">
        <v>26821.25</v>
      </c>
      <c r="AD126" s="18">
        <v>27794.3</v>
      </c>
      <c r="AE126" s="4">
        <f>AD126/AC126-1</f>
        <v>3.6279069767441774E-2</v>
      </c>
      <c r="AF126" s="150">
        <f>(L126*2)-X126</f>
        <v>88.840000000000146</v>
      </c>
      <c r="AM126" s="161" t="s">
        <v>443</v>
      </c>
      <c r="AN126" s="162">
        <v>932</v>
      </c>
      <c r="AP126" s="161" t="s">
        <v>444</v>
      </c>
      <c r="AQ126" s="162">
        <v>1125</v>
      </c>
    </row>
    <row r="127" spans="1:43">
      <c r="A127" t="s">
        <v>445</v>
      </c>
      <c r="B127" t="s">
        <v>285</v>
      </c>
      <c r="C127" s="30">
        <v>1916</v>
      </c>
      <c r="D127">
        <v>1792</v>
      </c>
      <c r="F127" t="s">
        <v>285</v>
      </c>
      <c r="G127" s="30">
        <v>2308</v>
      </c>
      <c r="H127" s="30">
        <v>2283</v>
      </c>
      <c r="I127" t="b">
        <f>IF(B127=F127,TRUE,FALSE)</f>
        <v>1</v>
      </c>
      <c r="L127">
        <f>G127-C127</f>
        <v>392</v>
      </c>
      <c r="M127" s="4">
        <f>G127/C127-1</f>
        <v>0.20459290187891432</v>
      </c>
      <c r="N127" s="165">
        <f>H127-D127</f>
        <v>491</v>
      </c>
      <c r="P127" s="5">
        <v>1574.17</v>
      </c>
      <c r="Q127" s="5">
        <v>2264.17</v>
      </c>
      <c r="T127" s="5">
        <v>23666.75</v>
      </c>
      <c r="X127" s="152">
        <f>Q127-P127</f>
        <v>690</v>
      </c>
      <c r="Y127" s="4">
        <f>IF(P127=0,0,Q127/P127-1)</f>
        <v>0.43832622906039376</v>
      </c>
      <c r="Z127">
        <v>0.87844308035714291</v>
      </c>
      <c r="AA127">
        <f>Q127/H127</f>
        <v>0.99175208059570741</v>
      </c>
      <c r="AB127">
        <f>AA127-Z127</f>
        <v>0.11330900023856449</v>
      </c>
      <c r="AC127" s="18">
        <v>66581.06</v>
      </c>
      <c r="AD127" s="18">
        <v>81677.929999999993</v>
      </c>
      <c r="AE127" s="4">
        <f>AD127/AC127-1</f>
        <v>0.22674421224294106</v>
      </c>
      <c r="AF127" s="150">
        <f>(L127*2)-X127</f>
        <v>94</v>
      </c>
      <c r="AM127" s="161" t="s">
        <v>446</v>
      </c>
      <c r="AN127" s="162">
        <v>1969</v>
      </c>
      <c r="AP127" s="161" t="s">
        <v>299</v>
      </c>
      <c r="AQ127" s="162">
        <v>2129</v>
      </c>
    </row>
    <row r="128" spans="1:43">
      <c r="A128" t="s">
        <v>447</v>
      </c>
      <c r="B128" t="s">
        <v>448</v>
      </c>
      <c r="C128" s="30">
        <v>757</v>
      </c>
      <c r="D128">
        <v>741</v>
      </c>
      <c r="F128" t="s">
        <v>448</v>
      </c>
      <c r="G128" s="30">
        <v>870</v>
      </c>
      <c r="H128" s="30">
        <v>867</v>
      </c>
      <c r="I128" t="b">
        <f>IF(B128=F128,TRUE,FALSE)</f>
        <v>1</v>
      </c>
      <c r="L128">
        <f>G128-C128</f>
        <v>113</v>
      </c>
      <c r="M128" s="4">
        <f>G128/C128-1</f>
        <v>0.14927344782034346</v>
      </c>
      <c r="N128" s="165">
        <f>H128-D128</f>
        <v>126</v>
      </c>
      <c r="P128" s="5">
        <v>1117.05</v>
      </c>
      <c r="Q128" s="5">
        <v>1245.56</v>
      </c>
      <c r="T128" s="5">
        <v>7640.88</v>
      </c>
      <c r="X128" s="152">
        <f>Q128-P128</f>
        <v>128.51</v>
      </c>
      <c r="Y128" s="4">
        <f>IF(P128=0,0,Q128/P128-1)</f>
        <v>0.11504408934246446</v>
      </c>
      <c r="Z128">
        <v>1.5074898785425102</v>
      </c>
      <c r="AA128">
        <f>Q128/H128</f>
        <v>1.4366320645905419</v>
      </c>
      <c r="AB128">
        <f>AA128-Z128</f>
        <v>-7.0857813951968218E-2</v>
      </c>
      <c r="AC128" s="18">
        <v>15102.15</v>
      </c>
      <c r="AD128" s="18">
        <v>17356.5</v>
      </c>
      <c r="AE128" s="4">
        <f>AD128/AC128-1</f>
        <v>0.14927344782034346</v>
      </c>
      <c r="AF128" s="150">
        <f>(L128*2)-X128</f>
        <v>97.490000000000009</v>
      </c>
      <c r="AM128" s="163" t="s">
        <v>394</v>
      </c>
      <c r="AN128" s="164">
        <v>1389</v>
      </c>
      <c r="AP128" s="163" t="s">
        <v>449</v>
      </c>
      <c r="AQ128" s="164">
        <v>1699</v>
      </c>
    </row>
    <row r="129" spans="1:43">
      <c r="A129" t="s">
        <v>450</v>
      </c>
      <c r="B129" t="s">
        <v>451</v>
      </c>
      <c r="C129" s="30">
        <v>591</v>
      </c>
      <c r="D129">
        <v>585</v>
      </c>
      <c r="F129" t="s">
        <v>451</v>
      </c>
      <c r="G129" s="30">
        <v>640</v>
      </c>
      <c r="H129" s="30">
        <v>638</v>
      </c>
      <c r="I129" t="b">
        <f>IF(B129=F129,TRUE,FALSE)</f>
        <v>1</v>
      </c>
      <c r="L129">
        <f>G129-C129</f>
        <v>49</v>
      </c>
      <c r="M129" s="4">
        <f>G129/C129-1</f>
        <v>8.2910321489001682E-2</v>
      </c>
      <c r="N129" s="165">
        <f>H129-D129</f>
        <v>53</v>
      </c>
      <c r="P129" s="5">
        <v>365.66</v>
      </c>
      <c r="Q129" s="5">
        <v>495.62</v>
      </c>
      <c r="T129" s="5">
        <v>2770.29</v>
      </c>
      <c r="X129" s="152">
        <f>Q129-P129</f>
        <v>129.95999999999998</v>
      </c>
      <c r="Y129" s="4">
        <f>IF(P129=0,0,Q129/P129-1)</f>
        <v>0.35541213148826767</v>
      </c>
      <c r="Z129">
        <v>0.62505982905982915</v>
      </c>
      <c r="AA129">
        <f>Q129/H129</f>
        <v>0.77683385579937303</v>
      </c>
      <c r="AB129">
        <f>AA129-Z129</f>
        <v>0.15177402673954388</v>
      </c>
      <c r="AC129" s="18">
        <v>14154.45</v>
      </c>
      <c r="AD129" s="18">
        <v>15328</v>
      </c>
      <c r="AE129" s="4">
        <f>AD129/AC129-1</f>
        <v>8.2910321489001682E-2</v>
      </c>
      <c r="AF129" s="150">
        <f>(L129*2)-X129</f>
        <v>-31.95999999999998</v>
      </c>
      <c r="AM129" s="163" t="s">
        <v>452</v>
      </c>
      <c r="AN129" s="164">
        <v>1263</v>
      </c>
      <c r="AP129" s="163" t="s">
        <v>453</v>
      </c>
      <c r="AQ129" s="164">
        <v>1565</v>
      </c>
    </row>
    <row r="130" spans="1:43">
      <c r="A130" t="s">
        <v>454</v>
      </c>
      <c r="B130" t="s">
        <v>455</v>
      </c>
      <c r="C130" s="30">
        <v>394</v>
      </c>
      <c r="D130">
        <v>392</v>
      </c>
      <c r="F130" t="s">
        <v>455</v>
      </c>
      <c r="G130" s="30">
        <v>443</v>
      </c>
      <c r="H130" s="30">
        <v>442</v>
      </c>
      <c r="I130" t="b">
        <f>IF(B130=F130,TRUE,FALSE)</f>
        <v>1</v>
      </c>
      <c r="L130">
        <f>G130-C130</f>
        <v>49</v>
      </c>
      <c r="M130" s="4">
        <f>G130/C130-1</f>
        <v>0.12436548223350252</v>
      </c>
      <c r="N130" s="165">
        <f>H130-D130</f>
        <v>50</v>
      </c>
      <c r="P130" s="5">
        <v>639.58000000000004</v>
      </c>
      <c r="Q130" s="5">
        <v>695.79</v>
      </c>
      <c r="T130" s="5">
        <v>3661.65</v>
      </c>
      <c r="X130" s="152">
        <f>Q130-P130</f>
        <v>56.209999999999923</v>
      </c>
      <c r="Y130" s="4">
        <f>IF(P130=0,0,Q130/P130-1)</f>
        <v>8.7885800056286767E-2</v>
      </c>
      <c r="Z130">
        <v>1.6315816326530612</v>
      </c>
      <c r="AA130">
        <f>Q130/H130</f>
        <v>1.5741855203619908</v>
      </c>
      <c r="AB130">
        <f>AA130-Z130</f>
        <v>-5.7396112291070445E-2</v>
      </c>
      <c r="AC130" s="18">
        <v>9830.2999999999993</v>
      </c>
      <c r="AD130" s="18">
        <v>11052.85</v>
      </c>
      <c r="AE130" s="4">
        <f>AD130/AC130-1</f>
        <v>0.12436548223350274</v>
      </c>
      <c r="AF130" s="150">
        <f>(L130*2)-X130</f>
        <v>41.790000000000077</v>
      </c>
      <c r="AM130" s="163" t="s">
        <v>442</v>
      </c>
      <c r="AN130" s="164">
        <v>1067</v>
      </c>
      <c r="AP130" s="163" t="s">
        <v>456</v>
      </c>
      <c r="AQ130" s="164">
        <v>1345</v>
      </c>
    </row>
    <row r="131" spans="1:43">
      <c r="A131" t="s">
        <v>457</v>
      </c>
      <c r="B131" t="s">
        <v>51</v>
      </c>
      <c r="C131" s="30">
        <v>4298</v>
      </c>
      <c r="D131">
        <v>4250</v>
      </c>
      <c r="F131" t="s">
        <v>51</v>
      </c>
      <c r="G131" s="30">
        <v>5238</v>
      </c>
      <c r="H131" s="30">
        <v>5205</v>
      </c>
      <c r="I131" t="b">
        <f>IF(B131=F131,TRUE,FALSE)</f>
        <v>1</v>
      </c>
      <c r="L131">
        <f>G131-C131</f>
        <v>940</v>
      </c>
      <c r="M131" s="4">
        <f>G131/C131-1</f>
        <v>0.21870637505816659</v>
      </c>
      <c r="N131" s="165">
        <f>H131-D131</f>
        <v>955</v>
      </c>
      <c r="P131" s="5">
        <v>7380.19</v>
      </c>
      <c r="Q131" s="5">
        <v>9161.64</v>
      </c>
      <c r="T131" s="5">
        <v>67045.509999999995</v>
      </c>
      <c r="X131" s="152">
        <f>Q131-P131</f>
        <v>1781.4499999999998</v>
      </c>
      <c r="Y131" s="4">
        <f>IF(P131=0,0,Q131/P131-1)</f>
        <v>0.24138267442979111</v>
      </c>
      <c r="Z131">
        <v>1.7365152941176469</v>
      </c>
      <c r="AA131">
        <f>Q131/H131</f>
        <v>1.7601613832853025</v>
      </c>
      <c r="AB131">
        <f>AA131-Z131</f>
        <v>2.3646089167655537E-2</v>
      </c>
      <c r="AC131" s="18">
        <v>124395.48</v>
      </c>
      <c r="AD131" s="18">
        <v>151597.71</v>
      </c>
      <c r="AE131" s="4">
        <f>AD131/AC131-1</f>
        <v>0.21867538917008877</v>
      </c>
      <c r="AF131" s="150">
        <f>(L131*2)-X131</f>
        <v>98.550000000000182</v>
      </c>
      <c r="AM131" s="161" t="s">
        <v>458</v>
      </c>
      <c r="AN131" s="162">
        <v>3531</v>
      </c>
      <c r="AP131" s="161" t="s">
        <v>458</v>
      </c>
      <c r="AQ131" s="162">
        <v>4180</v>
      </c>
    </row>
    <row r="132" spans="1:43">
      <c r="A132" t="s">
        <v>459</v>
      </c>
      <c r="B132" t="s">
        <v>460</v>
      </c>
      <c r="C132" s="30">
        <v>723</v>
      </c>
      <c r="D132">
        <v>717</v>
      </c>
      <c r="F132" t="s">
        <v>460</v>
      </c>
      <c r="G132" s="30">
        <v>837</v>
      </c>
      <c r="H132" s="30">
        <v>832</v>
      </c>
      <c r="I132" t="b">
        <f>IF(B132=F132,TRUE,FALSE)</f>
        <v>1</v>
      </c>
      <c r="L132">
        <f>G132-C132</f>
        <v>114</v>
      </c>
      <c r="M132" s="4">
        <f>G132/C132-1</f>
        <v>0.15767634854771795</v>
      </c>
      <c r="N132" s="165">
        <f>H132-D132</f>
        <v>115</v>
      </c>
      <c r="P132" s="5">
        <v>1641.12</v>
      </c>
      <c r="Q132" s="5">
        <v>1769.56</v>
      </c>
      <c r="T132" s="5">
        <v>11450.810000000001</v>
      </c>
      <c r="X132" s="152">
        <f>Q132-P132</f>
        <v>128.44000000000005</v>
      </c>
      <c r="Y132" s="4">
        <f>IF(P132=0,0,Q132/P132-1)</f>
        <v>7.8263624841571566E-2</v>
      </c>
      <c r="Z132">
        <v>2.288870292887029</v>
      </c>
      <c r="AA132">
        <f>Q132/H132</f>
        <v>2.1268750000000001</v>
      </c>
      <c r="AB132">
        <f>AA132-Z132</f>
        <v>-0.16199529288702896</v>
      </c>
      <c r="AC132" s="18">
        <v>18038.849999999999</v>
      </c>
      <c r="AD132" s="18">
        <v>21262.59</v>
      </c>
      <c r="AE132" s="4">
        <f>AD132/AC132-1</f>
        <v>0.17871094886869177</v>
      </c>
      <c r="AF132" s="150">
        <f>(L132*2)-X132</f>
        <v>99.559999999999945</v>
      </c>
      <c r="AM132" s="161" t="s">
        <v>461</v>
      </c>
      <c r="AN132" s="162">
        <v>1426</v>
      </c>
      <c r="AP132" s="161" t="s">
        <v>462</v>
      </c>
      <c r="AQ132" s="162">
        <v>3052</v>
      </c>
    </row>
    <row r="133" spans="1:43">
      <c r="A133" t="s">
        <v>463</v>
      </c>
      <c r="B133" t="s">
        <v>247</v>
      </c>
      <c r="C133" s="30">
        <v>1560</v>
      </c>
      <c r="D133">
        <v>1542</v>
      </c>
      <c r="F133" t="s">
        <v>247</v>
      </c>
      <c r="G133" s="30">
        <v>1737</v>
      </c>
      <c r="H133" s="30">
        <v>1733</v>
      </c>
      <c r="I133" t="b">
        <f>IF(B133=F133,TRUE,FALSE)</f>
        <v>1</v>
      </c>
      <c r="L133">
        <f>G133-C133</f>
        <v>177</v>
      </c>
      <c r="M133" s="4">
        <f>G133/C133-1</f>
        <v>0.1134615384615385</v>
      </c>
      <c r="N133" s="165">
        <f>H133-D133</f>
        <v>191</v>
      </c>
      <c r="P133" s="5">
        <v>3653.74</v>
      </c>
      <c r="Q133" s="5">
        <v>3907.86</v>
      </c>
      <c r="T133" s="5">
        <v>20542.940000000002</v>
      </c>
      <c r="X133" s="152">
        <f>Q133-P133</f>
        <v>254.12000000000035</v>
      </c>
      <c r="Y133" s="4">
        <f>IF(P133=0,0,Q133/P133-1)</f>
        <v>6.9550652208422159E-2</v>
      </c>
      <c r="Z133">
        <v>2.369481193255512</v>
      </c>
      <c r="AA133">
        <f>Q133/H133</f>
        <v>2.2549682631275245</v>
      </c>
      <c r="AB133">
        <f>AA133-Z133</f>
        <v>-0.11451293012798747</v>
      </c>
      <c r="AC133" s="18">
        <v>40456.050000000003</v>
      </c>
      <c r="AD133" s="18">
        <v>45049.2</v>
      </c>
      <c r="AE133" s="4">
        <f>AD133/AC133-1</f>
        <v>0.11353431686978821</v>
      </c>
      <c r="AF133" s="150">
        <f>(L133*2)-X133</f>
        <v>99.879999999999654</v>
      </c>
      <c r="AM133" s="163" t="s">
        <v>338</v>
      </c>
      <c r="AN133" s="164">
        <v>2053</v>
      </c>
      <c r="AP133" s="163" t="s">
        <v>397</v>
      </c>
      <c r="AQ133" s="164">
        <v>1599</v>
      </c>
    </row>
    <row r="134" spans="1:43">
      <c r="A134" t="s">
        <v>464</v>
      </c>
      <c r="B134" t="s">
        <v>465</v>
      </c>
      <c r="C134" s="30">
        <v>524</v>
      </c>
      <c r="D134">
        <v>522</v>
      </c>
      <c r="F134" t="s">
        <v>465</v>
      </c>
      <c r="G134" s="30">
        <v>491</v>
      </c>
      <c r="H134" s="30">
        <v>491</v>
      </c>
      <c r="I134" t="b">
        <f>IF(B134=F134,TRUE,FALSE)</f>
        <v>1</v>
      </c>
      <c r="L134">
        <f>G134-C134</f>
        <v>-33</v>
      </c>
      <c r="M134" s="4">
        <f>G134/C134-1</f>
        <v>-6.2977099236641187E-2</v>
      </c>
      <c r="N134" s="165">
        <f>H134-D134</f>
        <v>-31</v>
      </c>
      <c r="P134" s="5">
        <v>1146.26</v>
      </c>
      <c r="Q134" s="5">
        <v>967.16</v>
      </c>
      <c r="T134" s="5">
        <v>6544.51</v>
      </c>
      <c r="X134" s="152">
        <f>Q134-P134</f>
        <v>-179.10000000000002</v>
      </c>
      <c r="Y134" s="4">
        <f>IF(P134=0,0,Q134/P134-1)</f>
        <v>-0.15624727374243197</v>
      </c>
      <c r="Z134">
        <v>2.1959003831417623</v>
      </c>
      <c r="AA134">
        <f>Q134/H134</f>
        <v>1.9697759674134419</v>
      </c>
      <c r="AB134">
        <f>AA134-Z134</f>
        <v>-0.22612441572832043</v>
      </c>
      <c r="AC134" s="18">
        <v>14067.9</v>
      </c>
      <c r="AD134" s="18">
        <v>13320.17</v>
      </c>
      <c r="AE134" s="4">
        <f>AD134/AC134-1</f>
        <v>-5.3151500934752183E-2</v>
      </c>
      <c r="AF134" s="150">
        <f>(L134*2)-X134</f>
        <v>113.10000000000002</v>
      </c>
      <c r="AM134" s="163" t="s">
        <v>225</v>
      </c>
      <c r="AN134" s="164">
        <v>912</v>
      </c>
      <c r="AP134" s="163" t="s">
        <v>291</v>
      </c>
      <c r="AQ134" s="164">
        <v>1081</v>
      </c>
    </row>
    <row r="135" spans="1:43">
      <c r="A135" t="s">
        <v>466</v>
      </c>
      <c r="B135" t="s">
        <v>467</v>
      </c>
      <c r="C135" s="30">
        <v>510</v>
      </c>
      <c r="D135">
        <v>508</v>
      </c>
      <c r="F135" t="s">
        <v>467</v>
      </c>
      <c r="G135" s="30">
        <v>569</v>
      </c>
      <c r="H135" s="30">
        <v>566</v>
      </c>
      <c r="I135" t="b">
        <f>IF(B135=F135,TRUE,FALSE)</f>
        <v>1</v>
      </c>
      <c r="L135">
        <f>G135-C135</f>
        <v>59</v>
      </c>
      <c r="M135" s="4">
        <f>G135/C135-1</f>
        <v>0.11568627450980395</v>
      </c>
      <c r="N135" s="165">
        <f>H135-D135</f>
        <v>58</v>
      </c>
      <c r="P135" s="5">
        <v>499.26</v>
      </c>
      <c r="Q135" s="5">
        <v>721.42</v>
      </c>
      <c r="T135" s="5">
        <v>3020.18</v>
      </c>
      <c r="X135" s="152">
        <f>Q135-P135</f>
        <v>222.15999999999997</v>
      </c>
      <c r="Y135" s="4">
        <f>IF(P135=0,0,Q135/P135-1)</f>
        <v>0.44497856828105586</v>
      </c>
      <c r="Z135">
        <v>0.98279527559055113</v>
      </c>
      <c r="AA135">
        <f>Q135/H135</f>
        <v>1.2745936395759716</v>
      </c>
      <c r="AB135">
        <f>AA135-Z135</f>
        <v>0.29179836398542047</v>
      </c>
      <c r="AC135" s="18">
        <v>16804.5</v>
      </c>
      <c r="AD135" s="18">
        <v>18748.55</v>
      </c>
      <c r="AE135" s="4">
        <f>AD135/AC135-1</f>
        <v>0.11568627450980395</v>
      </c>
      <c r="AF135" s="150">
        <f>(L135*2)-X135</f>
        <v>-104.15999999999997</v>
      </c>
      <c r="AM135" s="161" t="s">
        <v>468</v>
      </c>
      <c r="AN135" s="162">
        <v>1545</v>
      </c>
      <c r="AP135" s="161" t="s">
        <v>354</v>
      </c>
      <c r="AQ135" s="162">
        <v>1415</v>
      </c>
    </row>
    <row r="136" spans="1:43">
      <c r="A136" t="s">
        <v>469</v>
      </c>
      <c r="B136" t="s">
        <v>394</v>
      </c>
      <c r="C136" s="30">
        <v>1409</v>
      </c>
      <c r="D136">
        <v>1389</v>
      </c>
      <c r="F136" t="s">
        <v>394</v>
      </c>
      <c r="G136" s="30">
        <v>1527</v>
      </c>
      <c r="H136" s="30">
        <v>1515</v>
      </c>
      <c r="I136" t="b">
        <f>IF(B136=F136,TRUE,FALSE)</f>
        <v>1</v>
      </c>
      <c r="L136">
        <f>G136-C136</f>
        <v>118</v>
      </c>
      <c r="M136" s="4">
        <f>G136/C136-1</f>
        <v>8.3747338537970117E-2</v>
      </c>
      <c r="N136" s="165">
        <f>H136-D136</f>
        <v>126</v>
      </c>
      <c r="P136" s="5">
        <v>543.66</v>
      </c>
      <c r="Q136" s="5">
        <v>659.85</v>
      </c>
      <c r="T136" s="5">
        <v>4559.51</v>
      </c>
      <c r="X136" s="152">
        <f>Q136-P136</f>
        <v>116.19000000000005</v>
      </c>
      <c r="Y136" s="4">
        <f>IF(P136=0,0,Q136/P136-1)</f>
        <v>0.21371813265643991</v>
      </c>
      <c r="Z136">
        <v>0.39140388768898488</v>
      </c>
      <c r="AA136">
        <f>Q136/H136</f>
        <v>0.43554455445544554</v>
      </c>
      <c r="AB136">
        <f>AA136-Z136</f>
        <v>4.4140666766460668E-2</v>
      </c>
      <c r="AC136" s="18">
        <v>40055.78</v>
      </c>
      <c r="AD136" s="18">
        <v>45673.75</v>
      </c>
      <c r="AE136" s="4">
        <f>AD136/AC136-1</f>
        <v>0.14025366626239721</v>
      </c>
      <c r="AF136" s="150">
        <f>(L136*2)-X136</f>
        <v>119.80999999999995</v>
      </c>
      <c r="AM136" s="163" t="s">
        <v>470</v>
      </c>
      <c r="AN136" s="164">
        <v>1495</v>
      </c>
      <c r="AP136" s="163" t="s">
        <v>168</v>
      </c>
      <c r="AQ136" s="164">
        <v>1551</v>
      </c>
    </row>
    <row r="137" spans="1:43">
      <c r="A137" t="s">
        <v>471</v>
      </c>
      <c r="B137" t="s">
        <v>472</v>
      </c>
      <c r="C137" s="30">
        <v>112</v>
      </c>
      <c r="D137">
        <v>111</v>
      </c>
      <c r="F137" t="s">
        <v>472</v>
      </c>
      <c r="G137" s="30">
        <v>174</v>
      </c>
      <c r="H137" s="30">
        <v>172</v>
      </c>
      <c r="I137" t="b">
        <f>IF(B137=F137,TRUE,FALSE)</f>
        <v>1</v>
      </c>
      <c r="L137">
        <f>G137-C137</f>
        <v>62</v>
      </c>
      <c r="M137" s="4">
        <f>G137/C137-1</f>
        <v>0.5535714285714286</v>
      </c>
      <c r="N137" s="165">
        <f>H137-D137</f>
        <v>61</v>
      </c>
      <c r="P137" s="5">
        <v>175.35</v>
      </c>
      <c r="Q137" s="5">
        <v>339.74</v>
      </c>
      <c r="T137" s="5">
        <v>597.88</v>
      </c>
      <c r="X137" s="152">
        <f>Q137-P137</f>
        <v>164.39000000000001</v>
      </c>
      <c r="Y137" s="4">
        <f>IF(P137=0,0,Q137/P137-1)</f>
        <v>0.93749643570002861</v>
      </c>
      <c r="Z137">
        <v>1.5797297297297297</v>
      </c>
      <c r="AA137">
        <f>Q137/H137</f>
        <v>1.9752325581395349</v>
      </c>
      <c r="AB137">
        <f>AA137-Z137</f>
        <v>0.39550282840980522</v>
      </c>
      <c r="AC137" s="18">
        <v>2794.4</v>
      </c>
      <c r="AD137" s="18">
        <v>4316.3500000000004</v>
      </c>
      <c r="AE137" s="4">
        <f>AD137/AC137-1</f>
        <v>0.54464285714285721</v>
      </c>
      <c r="AF137" s="150">
        <f>(L137*2)-X137</f>
        <v>-40.390000000000015</v>
      </c>
      <c r="AM137" s="163" t="s">
        <v>107</v>
      </c>
      <c r="AN137" s="164">
        <v>1705</v>
      </c>
      <c r="AP137" s="163" t="s">
        <v>473</v>
      </c>
      <c r="AQ137" s="164">
        <v>1202</v>
      </c>
    </row>
    <row r="138" spans="1:43">
      <c r="A138" t="s">
        <v>474</v>
      </c>
      <c r="B138" t="s">
        <v>475</v>
      </c>
      <c r="C138" s="30">
        <v>826</v>
      </c>
      <c r="D138">
        <v>818</v>
      </c>
      <c r="F138" t="s">
        <v>475</v>
      </c>
      <c r="G138" s="30">
        <v>1029</v>
      </c>
      <c r="H138" s="30">
        <v>1023</v>
      </c>
      <c r="I138" t="b">
        <f>IF(B138=F138,TRUE,FALSE)</f>
        <v>1</v>
      </c>
      <c r="L138">
        <f>G138-C138</f>
        <v>203</v>
      </c>
      <c r="M138" s="4">
        <f>G138/C138-1</f>
        <v>0.24576271186440679</v>
      </c>
      <c r="N138" s="165">
        <f>H138-D138</f>
        <v>205</v>
      </c>
      <c r="P138" s="5">
        <v>443.45</v>
      </c>
      <c r="Q138" s="5">
        <v>724.17</v>
      </c>
      <c r="T138" s="5">
        <v>3277.34</v>
      </c>
      <c r="X138" s="152">
        <f>Q138-P138</f>
        <v>280.71999999999997</v>
      </c>
      <c r="Y138" s="4">
        <f>IF(P138=0,0,Q138/P138-1)</f>
        <v>0.63303641898748442</v>
      </c>
      <c r="Z138">
        <v>0.54211491442542781</v>
      </c>
      <c r="AA138">
        <f>Q138/H138</f>
        <v>0.70788856304985337</v>
      </c>
      <c r="AB138">
        <f>AA138-Z138</f>
        <v>0.16577364862442556</v>
      </c>
      <c r="AC138" s="18">
        <v>16511.740000000002</v>
      </c>
      <c r="AD138" s="18">
        <v>19731.71</v>
      </c>
      <c r="AE138" s="4">
        <f>AD138/AC138-1</f>
        <v>0.19501094372852279</v>
      </c>
      <c r="AF138" s="150">
        <f>(L138*2)-X138</f>
        <v>125.28000000000003</v>
      </c>
      <c r="AM138" s="163" t="s">
        <v>386</v>
      </c>
      <c r="AN138" s="164">
        <v>1482</v>
      </c>
      <c r="AP138" s="163" t="s">
        <v>308</v>
      </c>
      <c r="AQ138" s="164">
        <v>1711</v>
      </c>
    </row>
    <row r="139" spans="1:43">
      <c r="A139" t="s">
        <v>476</v>
      </c>
      <c r="B139" t="s">
        <v>477</v>
      </c>
      <c r="C139" s="30">
        <v>656</v>
      </c>
      <c r="D139">
        <v>652</v>
      </c>
      <c r="F139" t="s">
        <v>477</v>
      </c>
      <c r="G139" s="30">
        <v>846</v>
      </c>
      <c r="H139" s="30">
        <v>837</v>
      </c>
      <c r="I139" t="b">
        <f>IF(B139=F139,TRUE,FALSE)</f>
        <v>1</v>
      </c>
      <c r="L139">
        <f>G139-C139</f>
        <v>190</v>
      </c>
      <c r="M139" s="4">
        <f>G139/C139-1</f>
        <v>0.28963414634146334</v>
      </c>
      <c r="N139" s="165">
        <f>H139-D139</f>
        <v>185</v>
      </c>
      <c r="P139" s="5">
        <v>472.27</v>
      </c>
      <c r="Q139" s="5">
        <v>726.41</v>
      </c>
      <c r="T139" s="5">
        <v>6095.42</v>
      </c>
      <c r="X139" s="152">
        <f>Q139-P139</f>
        <v>254.14</v>
      </c>
      <c r="Y139" s="4">
        <f>IF(P139=0,0,Q139/P139-1)</f>
        <v>0.53812437800410784</v>
      </c>
      <c r="Z139">
        <v>0.72434049079754603</v>
      </c>
      <c r="AA139">
        <f>Q139/H139</f>
        <v>0.86787335722819592</v>
      </c>
      <c r="AB139">
        <f>AA139-Z139</f>
        <v>0.14353286643064989</v>
      </c>
      <c r="AC139" s="18">
        <v>17611.86</v>
      </c>
      <c r="AD139" s="18">
        <v>22675.38</v>
      </c>
      <c r="AE139" s="4">
        <f>AD139/AC139-1</f>
        <v>0.28750625998616841</v>
      </c>
      <c r="AF139" s="150">
        <f>(L139*2)-X139</f>
        <v>125.86000000000001</v>
      </c>
      <c r="AM139" s="161" t="s">
        <v>306</v>
      </c>
      <c r="AN139" s="162">
        <v>1398</v>
      </c>
      <c r="AP139" s="161" t="s">
        <v>229</v>
      </c>
      <c r="AQ139" s="162">
        <v>1653</v>
      </c>
    </row>
    <row r="140" spans="1:43">
      <c r="A140" t="s">
        <v>478</v>
      </c>
      <c r="B140" t="s">
        <v>332</v>
      </c>
      <c r="C140" s="30">
        <v>2840</v>
      </c>
      <c r="D140">
        <v>2821</v>
      </c>
      <c r="F140" t="s">
        <v>332</v>
      </c>
      <c r="G140" s="30">
        <v>3622</v>
      </c>
      <c r="H140" s="30">
        <v>3607</v>
      </c>
      <c r="I140" t="b">
        <f>IF(B140=F140,TRUE,FALSE)</f>
        <v>1</v>
      </c>
      <c r="L140">
        <f>G140-C140</f>
        <v>782</v>
      </c>
      <c r="M140" s="4">
        <f>G140/C140-1</f>
        <v>0.2753521126760563</v>
      </c>
      <c r="N140" s="165">
        <f>H140-D140</f>
        <v>786</v>
      </c>
      <c r="P140" s="5">
        <v>4116.26</v>
      </c>
      <c r="Q140" s="5">
        <v>5548.83</v>
      </c>
      <c r="T140" s="5">
        <v>41295.74</v>
      </c>
      <c r="X140" s="152">
        <f>Q140-P140</f>
        <v>1432.5699999999997</v>
      </c>
      <c r="Y140" s="4">
        <f>IF(P140=0,0,Q140/P140-1)</f>
        <v>0.34802709255489206</v>
      </c>
      <c r="Z140">
        <v>1.4591492378589153</v>
      </c>
      <c r="AA140">
        <f>Q140/H140</f>
        <v>1.5383504297199888</v>
      </c>
      <c r="AB140">
        <f>AA140-Z140</f>
        <v>7.920119186107355E-2</v>
      </c>
      <c r="AC140" s="18">
        <v>65578.600000000006</v>
      </c>
      <c r="AD140" s="18">
        <v>86891.78</v>
      </c>
      <c r="AE140" s="4">
        <f>AD140/AC140-1</f>
        <v>0.32500205859838416</v>
      </c>
      <c r="AF140" s="150">
        <f>(L140*2)-X140</f>
        <v>131.43000000000029</v>
      </c>
      <c r="AM140" s="161" t="s">
        <v>245</v>
      </c>
      <c r="AN140" s="162">
        <v>2798</v>
      </c>
      <c r="AP140" s="161" t="s">
        <v>158</v>
      </c>
      <c r="AQ140" s="162">
        <v>3617</v>
      </c>
    </row>
    <row r="141" spans="1:43">
      <c r="A141" t="s">
        <v>479</v>
      </c>
      <c r="B141" t="s">
        <v>480</v>
      </c>
      <c r="C141" s="30">
        <v>750</v>
      </c>
      <c r="D141">
        <v>742</v>
      </c>
      <c r="F141" t="s">
        <v>480</v>
      </c>
      <c r="G141" s="30">
        <v>818</v>
      </c>
      <c r="H141" s="30">
        <v>815</v>
      </c>
      <c r="I141" t="b">
        <f>IF(B141=F141,TRUE,FALSE)</f>
        <v>1</v>
      </c>
      <c r="L141" s="27">
        <f>G141-C141</f>
        <v>68</v>
      </c>
      <c r="M141" s="4">
        <f>G141/C141-1</f>
        <v>9.0666666666666673E-2</v>
      </c>
      <c r="N141" s="165">
        <f>H141-D141</f>
        <v>73</v>
      </c>
      <c r="P141" s="5">
        <v>361.04</v>
      </c>
      <c r="Q141" s="5">
        <v>492.11</v>
      </c>
      <c r="T141" s="5">
        <v>2403.0500000000002</v>
      </c>
      <c r="X141" s="152">
        <f>Q141-P141</f>
        <v>131.07</v>
      </c>
      <c r="Y141" s="4">
        <f>IF(P141=0,0,Q141/P141-1)</f>
        <v>0.36303456680700186</v>
      </c>
      <c r="Z141">
        <v>0.48657681940700809</v>
      </c>
      <c r="AA141">
        <f>Q141/H141</f>
        <v>0.60381595092024543</v>
      </c>
      <c r="AB141">
        <f>AA141-Z141</f>
        <v>0.11723913151323734</v>
      </c>
      <c r="AC141" s="18">
        <v>14962.5</v>
      </c>
      <c r="AD141" s="18">
        <v>16319.1</v>
      </c>
      <c r="AE141" s="4">
        <f>AD141/AC141-1</f>
        <v>9.0666666666666673E-2</v>
      </c>
      <c r="AF141" s="150">
        <f>(L141*2)-X141</f>
        <v>4.9300000000000068</v>
      </c>
      <c r="AM141" s="161" t="s">
        <v>255</v>
      </c>
      <c r="AN141" s="162">
        <v>1264</v>
      </c>
      <c r="AP141" s="161" t="s">
        <v>481</v>
      </c>
      <c r="AQ141" s="162">
        <v>1545</v>
      </c>
    </row>
    <row r="142" spans="1:43">
      <c r="A142" t="s">
        <v>482</v>
      </c>
      <c r="B142" t="s">
        <v>473</v>
      </c>
      <c r="C142" s="30">
        <v>1073</v>
      </c>
      <c r="D142">
        <v>1057</v>
      </c>
      <c r="F142" t="s">
        <v>473</v>
      </c>
      <c r="G142" s="30">
        <v>1212</v>
      </c>
      <c r="H142" s="30">
        <v>1202</v>
      </c>
      <c r="I142" t="b">
        <f>IF(B142=F142,TRUE,FALSE)</f>
        <v>1</v>
      </c>
      <c r="L142">
        <f>G142-C142</f>
        <v>139</v>
      </c>
      <c r="M142" s="4">
        <f>G142/C142-1</f>
        <v>0.12954333643988813</v>
      </c>
      <c r="N142" s="165">
        <f>H142-D142</f>
        <v>145</v>
      </c>
      <c r="P142" s="5">
        <v>1824.19</v>
      </c>
      <c r="Q142" s="5">
        <v>1964.82</v>
      </c>
      <c r="T142" s="5">
        <v>14881.66</v>
      </c>
      <c r="X142" s="152">
        <f>Q142-P142</f>
        <v>140.62999999999988</v>
      </c>
      <c r="Y142" s="4">
        <f>IF(P142=0,0,Q142/P142-1)</f>
        <v>7.7091750311096829E-2</v>
      </c>
      <c r="Z142">
        <v>1.725818353831599</v>
      </c>
      <c r="AA142">
        <f>Q142/H142</f>
        <v>1.6346256239600665</v>
      </c>
      <c r="AB142">
        <f>AA142-Z142</f>
        <v>-9.1192729871532485E-2</v>
      </c>
      <c r="AC142" s="18">
        <v>31393.59</v>
      </c>
      <c r="AD142" s="18">
        <v>36299.4</v>
      </c>
      <c r="AE142" s="4">
        <f>AD142/AC142-1</f>
        <v>0.15626788780767042</v>
      </c>
      <c r="AF142" s="150">
        <f>(L142*2)-X142</f>
        <v>137.37000000000012</v>
      </c>
      <c r="AM142" s="161" t="s">
        <v>231</v>
      </c>
      <c r="AN142" s="162">
        <v>1344</v>
      </c>
      <c r="AP142" s="161" t="s">
        <v>174</v>
      </c>
      <c r="AQ142" s="162">
        <v>1563</v>
      </c>
    </row>
    <row r="143" spans="1:43">
      <c r="A143" t="s">
        <v>483</v>
      </c>
      <c r="B143" t="s">
        <v>484</v>
      </c>
      <c r="C143" s="30">
        <v>447</v>
      </c>
      <c r="D143">
        <v>441</v>
      </c>
      <c r="F143" t="s">
        <v>484</v>
      </c>
      <c r="G143" s="30">
        <v>516</v>
      </c>
      <c r="H143" s="30">
        <v>512</v>
      </c>
      <c r="I143" t="b">
        <f>IF(B143=F143,TRUE,FALSE)</f>
        <v>1</v>
      </c>
      <c r="L143">
        <f>G143-C143</f>
        <v>69</v>
      </c>
      <c r="M143" s="4">
        <f>G143/C143-1</f>
        <v>0.15436241610738266</v>
      </c>
      <c r="N143" s="165">
        <f>H143-D143</f>
        <v>71</v>
      </c>
      <c r="P143" s="5">
        <v>460.42</v>
      </c>
      <c r="Q143" s="5">
        <v>593.46</v>
      </c>
      <c r="T143" s="5">
        <v>3921.1</v>
      </c>
      <c r="X143" s="152">
        <f>Q143-P143</f>
        <v>133.04000000000002</v>
      </c>
      <c r="Y143" s="4">
        <f>IF(P143=0,0,Q143/P143-1)</f>
        <v>0.28895356413709217</v>
      </c>
      <c r="Z143">
        <v>1.0440362811791384</v>
      </c>
      <c r="AA143">
        <f>Q143/H143</f>
        <v>1.1591015625000001</v>
      </c>
      <c r="AB143">
        <f>AA143-Z143</f>
        <v>0.11506528132086169</v>
      </c>
      <c r="AC143" s="18">
        <v>11152.65</v>
      </c>
      <c r="AD143" s="18">
        <v>12874.2</v>
      </c>
      <c r="AE143" s="4">
        <f>AD143/AC143-1</f>
        <v>0.15436241610738266</v>
      </c>
      <c r="AF143" s="150">
        <f>(L143*2)-X143</f>
        <v>4.9599999999999795</v>
      </c>
      <c r="AM143" s="161" t="s">
        <v>312</v>
      </c>
      <c r="AN143" s="162">
        <v>1074</v>
      </c>
      <c r="AP143" s="161" t="s">
        <v>485</v>
      </c>
      <c r="AQ143" s="162">
        <v>1358</v>
      </c>
    </row>
    <row r="144" spans="1:43">
      <c r="A144" t="s">
        <v>486</v>
      </c>
      <c r="B144" t="s">
        <v>487</v>
      </c>
      <c r="C144" s="30">
        <v>197</v>
      </c>
      <c r="D144">
        <v>194</v>
      </c>
      <c r="F144" t="s">
        <v>487</v>
      </c>
      <c r="G144" s="30">
        <v>267</v>
      </c>
      <c r="H144" s="30">
        <v>265</v>
      </c>
      <c r="I144" t="b">
        <f>IF(B144=F144,TRUE,FALSE)</f>
        <v>1</v>
      </c>
      <c r="L144">
        <f>G144-C144</f>
        <v>70</v>
      </c>
      <c r="M144" s="4">
        <f>G144/C144-1</f>
        <v>0.35532994923857864</v>
      </c>
      <c r="N144" s="165">
        <f>H144-D144</f>
        <v>71</v>
      </c>
      <c r="P144" s="5">
        <v>150.11000000000001</v>
      </c>
      <c r="Q144" s="5">
        <v>152.22</v>
      </c>
      <c r="T144" s="5">
        <v>847.9</v>
      </c>
      <c r="X144" s="152">
        <f>Q144-P144</f>
        <v>2.1099999999999852</v>
      </c>
      <c r="Y144" s="4">
        <f>IF(P144=0,0,Q144/P144-1)</f>
        <v>1.4056358670308411E-2</v>
      </c>
      <c r="Z144">
        <v>0.77376288659793824</v>
      </c>
      <c r="AA144">
        <f>Q144/H144</f>
        <v>0.57441509433962268</v>
      </c>
      <c r="AB144">
        <f>AA144-Z144</f>
        <v>-0.19934779225831556</v>
      </c>
      <c r="AC144" s="18">
        <v>3930.15</v>
      </c>
      <c r="AD144" s="18">
        <v>5326.65</v>
      </c>
      <c r="AE144" s="4">
        <f>AD144/AC144-1</f>
        <v>0.35532994923857864</v>
      </c>
      <c r="AF144" s="150">
        <f>(L144*2)-X144</f>
        <v>137.89000000000001</v>
      </c>
      <c r="AM144" s="163" t="s">
        <v>473</v>
      </c>
      <c r="AN144" s="164">
        <v>1057</v>
      </c>
      <c r="AP144" s="163" t="s">
        <v>254</v>
      </c>
      <c r="AQ144" s="164">
        <v>1279</v>
      </c>
    </row>
    <row r="145" spans="1:43">
      <c r="A145" t="s">
        <v>488</v>
      </c>
      <c r="B145" t="s">
        <v>82</v>
      </c>
      <c r="C145" s="30">
        <v>938</v>
      </c>
      <c r="D145">
        <v>930</v>
      </c>
      <c r="F145" t="s">
        <v>82</v>
      </c>
      <c r="G145" s="30">
        <v>1091</v>
      </c>
      <c r="H145" s="30">
        <v>1087</v>
      </c>
      <c r="I145" t="b">
        <f>IF(B145=F145,TRUE,FALSE)</f>
        <v>1</v>
      </c>
      <c r="L145">
        <f>G145-C145</f>
        <v>153</v>
      </c>
      <c r="M145" s="4">
        <f>G145/C145-1</f>
        <v>0.16311300639658843</v>
      </c>
      <c r="N145" s="165">
        <f>H145-D145</f>
        <v>157</v>
      </c>
      <c r="P145" s="5">
        <v>483.4</v>
      </c>
      <c r="Q145" s="5">
        <v>649.21</v>
      </c>
      <c r="T145" s="5">
        <v>4588.67</v>
      </c>
      <c r="X145" s="152">
        <f>Q145-P145</f>
        <v>165.81000000000006</v>
      </c>
      <c r="Y145" s="4">
        <f>IF(P145=0,0,Q145/P145-1)</f>
        <v>0.34300786098469183</v>
      </c>
      <c r="Z145">
        <v>0.51978494623655913</v>
      </c>
      <c r="AA145">
        <f>Q145/H145</f>
        <v>0.59724931002759896</v>
      </c>
      <c r="AB145">
        <f>AA145-Z145</f>
        <v>7.7464363791039825E-2</v>
      </c>
      <c r="AC145" s="18">
        <v>25252.15</v>
      </c>
      <c r="AD145" s="18">
        <v>29402.45</v>
      </c>
      <c r="AE145" s="4">
        <f>AD145/AC145-1</f>
        <v>0.16435432230522951</v>
      </c>
      <c r="AF145" s="150">
        <f>(L145*2)-X145</f>
        <v>140.18999999999994</v>
      </c>
      <c r="AM145" s="161" t="s">
        <v>111</v>
      </c>
      <c r="AN145" s="162">
        <v>2569</v>
      </c>
      <c r="AP145" s="161" t="s">
        <v>393</v>
      </c>
      <c r="AQ145" s="162">
        <v>1637</v>
      </c>
    </row>
    <row r="146" spans="1:43">
      <c r="A146" t="s">
        <v>489</v>
      </c>
      <c r="B146" t="s">
        <v>490</v>
      </c>
      <c r="C146" s="30">
        <v>954</v>
      </c>
      <c r="D146">
        <v>942</v>
      </c>
      <c r="F146" t="s">
        <v>490</v>
      </c>
      <c r="G146" s="30">
        <v>1322</v>
      </c>
      <c r="H146" s="30">
        <v>1316</v>
      </c>
      <c r="I146" t="b">
        <f>IF(B146=F146,TRUE,FALSE)</f>
        <v>1</v>
      </c>
      <c r="L146">
        <f>G146-C146</f>
        <v>368</v>
      </c>
      <c r="M146" s="4">
        <f>G146/C146-1</f>
        <v>0.38574423480083864</v>
      </c>
      <c r="N146" s="165">
        <f>H146-D146</f>
        <v>374</v>
      </c>
      <c r="P146" s="5">
        <v>1755.45</v>
      </c>
      <c r="Q146" s="5">
        <v>2329.31</v>
      </c>
      <c r="T146" s="5">
        <v>15515.81</v>
      </c>
      <c r="X146" s="152">
        <f>Q146-P146</f>
        <v>573.8599999999999</v>
      </c>
      <c r="Y146" s="4">
        <f>IF(P146=0,0,Q146/P146-1)</f>
        <v>0.32690193397704292</v>
      </c>
      <c r="Z146">
        <v>1.8635350318471338</v>
      </c>
      <c r="AA146">
        <f>Q146/H146</f>
        <v>1.7699924012158055</v>
      </c>
      <c r="AB146">
        <f>AA146-Z146</f>
        <v>-9.3542630631328283E-2</v>
      </c>
      <c r="AC146" s="18">
        <v>23802.3</v>
      </c>
      <c r="AD146" s="18">
        <v>32983.9</v>
      </c>
      <c r="AE146" s="4">
        <f>AD146/AC146-1</f>
        <v>0.38574423480083864</v>
      </c>
      <c r="AF146" s="150">
        <f>(L146*2)-X146</f>
        <v>162.1400000000001</v>
      </c>
      <c r="AM146" s="163" t="s">
        <v>369</v>
      </c>
      <c r="AN146" s="164">
        <v>1922</v>
      </c>
      <c r="AP146" s="163" t="s">
        <v>260</v>
      </c>
      <c r="AQ146" s="164">
        <v>2027</v>
      </c>
    </row>
    <row r="147" spans="1:43">
      <c r="A147" t="s">
        <v>491</v>
      </c>
      <c r="B147" t="s">
        <v>481</v>
      </c>
      <c r="C147" s="30">
        <v>1128</v>
      </c>
      <c r="D147">
        <v>1093</v>
      </c>
      <c r="F147" t="s">
        <v>481</v>
      </c>
      <c r="G147" s="30">
        <v>1632</v>
      </c>
      <c r="H147" s="30">
        <v>1545</v>
      </c>
      <c r="I147" t="b">
        <f>IF(B147=F147,TRUE,FALSE)</f>
        <v>1</v>
      </c>
      <c r="L147">
        <f>G147-C147</f>
        <v>504</v>
      </c>
      <c r="M147" s="4">
        <f>G147/C147-1</f>
        <v>0.44680851063829796</v>
      </c>
      <c r="N147" s="165">
        <f>H147-D147</f>
        <v>452</v>
      </c>
      <c r="P147" s="5">
        <v>745.82</v>
      </c>
      <c r="Q147" s="5">
        <v>1587.38</v>
      </c>
      <c r="T147" s="5">
        <v>16407.93</v>
      </c>
      <c r="X147" s="152">
        <f>Q147-P147</f>
        <v>841.56000000000006</v>
      </c>
      <c r="Y147" s="4">
        <f>IF(P147=0,0,Q147/P147-1)</f>
        <v>1.128368775307715</v>
      </c>
      <c r="Z147">
        <v>0.6823604757548033</v>
      </c>
      <c r="AA147">
        <f>Q147/H147</f>
        <v>1.0274304207119742</v>
      </c>
      <c r="AB147">
        <f>AA147-Z147</f>
        <v>0.34506994495717092</v>
      </c>
      <c r="AC147" s="18">
        <v>28297.599999999999</v>
      </c>
      <c r="AD147" s="18">
        <v>43982.400000000001</v>
      </c>
      <c r="AE147" s="4">
        <f>AD147/AC147-1</f>
        <v>0.5542802216442384</v>
      </c>
      <c r="AF147" s="150">
        <f>(L147*2)-X147</f>
        <v>166.43999999999994</v>
      </c>
      <c r="AM147" s="163" t="s">
        <v>297</v>
      </c>
      <c r="AN147" s="164">
        <v>3396</v>
      </c>
      <c r="AP147" s="163" t="s">
        <v>273</v>
      </c>
      <c r="AQ147" s="164">
        <v>2577</v>
      </c>
    </row>
    <row r="148" spans="1:43">
      <c r="A148" t="s">
        <v>492</v>
      </c>
      <c r="B148" t="s">
        <v>493</v>
      </c>
      <c r="C148" s="30">
        <v>317</v>
      </c>
      <c r="D148">
        <v>314</v>
      </c>
      <c r="F148" t="s">
        <v>493</v>
      </c>
      <c r="G148" s="30">
        <v>403</v>
      </c>
      <c r="H148" s="30">
        <v>401</v>
      </c>
      <c r="I148" t="b">
        <f>IF(B148=F148,TRUE,FALSE)</f>
        <v>1</v>
      </c>
      <c r="L148">
        <f>G148-C148</f>
        <v>86</v>
      </c>
      <c r="M148" s="4">
        <f>G148/C148-1</f>
        <v>0.27129337539432186</v>
      </c>
      <c r="N148" s="165">
        <f>H148-D148</f>
        <v>87</v>
      </c>
      <c r="P148" s="5">
        <v>436.12</v>
      </c>
      <c r="Q148" s="5">
        <v>573.6</v>
      </c>
      <c r="T148" s="5">
        <v>2753.25</v>
      </c>
      <c r="X148" s="152">
        <f>Q148-P148</f>
        <v>137.48000000000002</v>
      </c>
      <c r="Y148" s="4">
        <f>IF(P148=0,0,Q148/P148-1)</f>
        <v>0.31523433917270482</v>
      </c>
      <c r="Z148">
        <v>1.3889171974522294</v>
      </c>
      <c r="AA148">
        <f>Q148/H148</f>
        <v>1.4304239401496259</v>
      </c>
      <c r="AB148">
        <f>AA148-Z148</f>
        <v>4.1506742697396515E-2</v>
      </c>
      <c r="AC148" s="18">
        <v>7592.15</v>
      </c>
      <c r="AD148" s="18">
        <v>9651.85</v>
      </c>
      <c r="AE148" s="4">
        <f>AD148/AC148-1</f>
        <v>0.27129337539432186</v>
      </c>
      <c r="AF148" s="150">
        <f>(L148*2)-X148</f>
        <v>34.519999999999982</v>
      </c>
      <c r="AM148" s="163" t="s">
        <v>494</v>
      </c>
      <c r="AN148" s="164">
        <v>1079</v>
      </c>
      <c r="AP148" s="163" t="s">
        <v>495</v>
      </c>
      <c r="AQ148" s="164">
        <v>1374</v>
      </c>
    </row>
    <row r="149" spans="1:43">
      <c r="A149" t="s">
        <v>496</v>
      </c>
      <c r="B149" t="s">
        <v>497</v>
      </c>
      <c r="C149" s="30">
        <v>680</v>
      </c>
      <c r="D149">
        <v>677</v>
      </c>
      <c r="F149" t="s">
        <v>497</v>
      </c>
      <c r="G149" s="30">
        <v>798</v>
      </c>
      <c r="H149" s="30">
        <v>796</v>
      </c>
      <c r="I149" t="b">
        <f>IF(B149=F149,TRUE,FALSE)</f>
        <v>1</v>
      </c>
      <c r="L149">
        <f>G149-C149</f>
        <v>118</v>
      </c>
      <c r="M149" s="4">
        <f>G149/C149-1</f>
        <v>0.17352941176470593</v>
      </c>
      <c r="N149" s="165">
        <f>H149-D149</f>
        <v>119</v>
      </c>
      <c r="P149" s="5">
        <v>1987.87</v>
      </c>
      <c r="Q149" s="5">
        <v>2039.44</v>
      </c>
      <c r="T149" s="5">
        <v>14959.029999999999</v>
      </c>
      <c r="X149" s="152">
        <f>Q149-P149</f>
        <v>51.570000000000164</v>
      </c>
      <c r="Y149" s="4">
        <f>IF(P149=0,0,Q149/P149-1)</f>
        <v>2.5942340293882538E-2</v>
      </c>
      <c r="Z149">
        <v>2.9362924667651402</v>
      </c>
      <c r="AA149">
        <f>Q149/H149</f>
        <v>2.5621105527638193</v>
      </c>
      <c r="AB149">
        <f>AA149-Z149</f>
        <v>-0.37418191400132095</v>
      </c>
      <c r="AC149" s="18">
        <v>20260.8</v>
      </c>
      <c r="AD149" s="18">
        <v>23932.02</v>
      </c>
      <c r="AE149" s="4">
        <f>AD149/AC149-1</f>
        <v>0.18119817578772812</v>
      </c>
      <c r="AF149" s="150">
        <f>(L149*2)-X149</f>
        <v>184.42999999999984</v>
      </c>
      <c r="AM149" s="161" t="s">
        <v>440</v>
      </c>
      <c r="AN149" s="162">
        <v>1257</v>
      </c>
      <c r="AP149" s="161" t="s">
        <v>498</v>
      </c>
      <c r="AQ149" s="162">
        <v>1484</v>
      </c>
    </row>
    <row r="150" spans="1:43">
      <c r="A150" t="s">
        <v>499</v>
      </c>
      <c r="B150" t="s">
        <v>500</v>
      </c>
      <c r="C150" s="30">
        <v>694</v>
      </c>
      <c r="D150">
        <v>691</v>
      </c>
      <c r="F150" t="s">
        <v>500</v>
      </c>
      <c r="G150" s="30">
        <v>533</v>
      </c>
      <c r="H150" s="30">
        <v>530</v>
      </c>
      <c r="I150" t="b">
        <f>IF(B150=F150,TRUE,FALSE)</f>
        <v>1</v>
      </c>
      <c r="L150">
        <f>G150-C150</f>
        <v>-161</v>
      </c>
      <c r="M150" s="4">
        <f>G150/C150-1</f>
        <v>-0.23198847262247835</v>
      </c>
      <c r="N150" s="165">
        <f>H150-D150</f>
        <v>-161</v>
      </c>
      <c r="P150" s="5">
        <v>1786.88</v>
      </c>
      <c r="Q150" s="5">
        <v>1280.1099999999999</v>
      </c>
      <c r="T150" s="5">
        <v>7182.73</v>
      </c>
      <c r="X150" s="152">
        <f>Q150-P150</f>
        <v>-506.77000000000021</v>
      </c>
      <c r="Y150" s="4">
        <f>IF(P150=0,0,Q150/P150-1)</f>
        <v>-0.28360606196275084</v>
      </c>
      <c r="Z150">
        <v>2.5859334298118668</v>
      </c>
      <c r="AA150">
        <f>Q150/H150</f>
        <v>2.4153018867924527</v>
      </c>
      <c r="AB150">
        <f>AA150-Z150</f>
        <v>-0.17063154301941408</v>
      </c>
      <c r="AC150" s="18">
        <v>20753.080000000002</v>
      </c>
      <c r="AD150" s="18">
        <v>15984.67</v>
      </c>
      <c r="AE150" s="4">
        <f>AD150/AC150-1</f>
        <v>-0.22976878612716767</v>
      </c>
      <c r="AF150" s="150">
        <f>(L150*2)-X150</f>
        <v>184.77000000000021</v>
      </c>
      <c r="AM150" s="163" t="s">
        <v>501</v>
      </c>
      <c r="AN150" s="164">
        <v>1089</v>
      </c>
      <c r="AP150" s="163" t="s">
        <v>502</v>
      </c>
      <c r="AQ150" s="164">
        <v>1231</v>
      </c>
    </row>
    <row r="151" spans="1:43">
      <c r="A151" t="s">
        <v>503</v>
      </c>
      <c r="B151" t="s">
        <v>504</v>
      </c>
      <c r="C151" s="30">
        <v>187</v>
      </c>
      <c r="D151">
        <v>182</v>
      </c>
      <c r="F151" t="s">
        <v>504</v>
      </c>
      <c r="G151" s="30">
        <v>282</v>
      </c>
      <c r="H151" s="30">
        <v>282</v>
      </c>
      <c r="I151" t="b">
        <f>IF(B151=F151,TRUE,FALSE)</f>
        <v>1</v>
      </c>
      <c r="L151">
        <f>G151-C151</f>
        <v>95</v>
      </c>
      <c r="M151" s="4">
        <f>G151/C151-1</f>
        <v>0.50802139037433158</v>
      </c>
      <c r="N151" s="165">
        <f>H151-D151</f>
        <v>100</v>
      </c>
      <c r="P151" s="5">
        <v>374.55</v>
      </c>
      <c r="Q151" s="5">
        <v>299.69</v>
      </c>
      <c r="T151" s="5">
        <v>887.5</v>
      </c>
      <c r="X151" s="152">
        <f>Q151-P151</f>
        <v>-74.860000000000014</v>
      </c>
      <c r="Y151" s="4">
        <f>IF(P151=0,0,Q151/P151-1)</f>
        <v>-0.19986650647443605</v>
      </c>
      <c r="Z151">
        <v>2.0579670329670332</v>
      </c>
      <c r="AA151">
        <f>Q151/H151</f>
        <v>1.0627304964539006</v>
      </c>
      <c r="AB151">
        <f>AA151-Z151</f>
        <v>-0.9952365365131326</v>
      </c>
      <c r="AC151" s="18">
        <v>5570.7</v>
      </c>
      <c r="AD151" s="18">
        <v>8445.9</v>
      </c>
      <c r="AE151" s="4">
        <f>AD151/AC151-1</f>
        <v>0.5161290322580645</v>
      </c>
      <c r="AF151" s="150">
        <f>(L151*2)-X151</f>
        <v>264.86</v>
      </c>
      <c r="AM151" s="163" t="s">
        <v>284</v>
      </c>
      <c r="AN151" s="164">
        <v>1080</v>
      </c>
      <c r="AP151" s="163" t="s">
        <v>505</v>
      </c>
      <c r="AQ151" s="164">
        <v>1185</v>
      </c>
    </row>
    <row r="152" spans="1:43">
      <c r="A152" t="s">
        <v>506</v>
      </c>
      <c r="B152" t="s">
        <v>507</v>
      </c>
      <c r="C152" s="30">
        <v>526</v>
      </c>
      <c r="D152">
        <v>518</v>
      </c>
      <c r="F152" t="s">
        <v>507</v>
      </c>
      <c r="G152" s="30">
        <v>634</v>
      </c>
      <c r="H152" s="30">
        <v>630</v>
      </c>
      <c r="I152" t="b">
        <f>IF(B152=F152,TRUE,FALSE)</f>
        <v>1</v>
      </c>
      <c r="L152">
        <f>G152-C152</f>
        <v>108</v>
      </c>
      <c r="M152" s="4">
        <f>G152/C152-1</f>
        <v>0.20532319391634979</v>
      </c>
      <c r="N152" s="165">
        <f>H152-D152</f>
        <v>112</v>
      </c>
      <c r="P152" s="5">
        <v>390.32</v>
      </c>
      <c r="Q152" s="5">
        <v>485.05</v>
      </c>
      <c r="T152" s="5">
        <v>2436.4499999999998</v>
      </c>
      <c r="X152" s="152">
        <f>Q152-P152</f>
        <v>94.730000000000018</v>
      </c>
      <c r="Y152" s="4">
        <f>IF(P152=0,0,Q152/P152-1)</f>
        <v>0.24269829883172789</v>
      </c>
      <c r="Z152">
        <v>0.75351351351351348</v>
      </c>
      <c r="AA152">
        <f>Q152/H152</f>
        <v>0.76992063492063489</v>
      </c>
      <c r="AB152">
        <f>AA152-Z152</f>
        <v>1.6407121407121417E-2</v>
      </c>
      <c r="AC152" s="18">
        <v>11545.7</v>
      </c>
      <c r="AD152" s="18">
        <v>13916.3</v>
      </c>
      <c r="AE152" s="4">
        <f>AD152/AC152-1</f>
        <v>0.20532319391634957</v>
      </c>
      <c r="AF152" s="150">
        <f>(L152*2)-X152</f>
        <v>121.26999999999998</v>
      </c>
      <c r="AM152" s="161" t="s">
        <v>122</v>
      </c>
      <c r="AN152" s="162">
        <v>1069</v>
      </c>
      <c r="AP152" s="161" t="s">
        <v>304</v>
      </c>
      <c r="AQ152" s="162">
        <v>1394</v>
      </c>
    </row>
    <row r="153" spans="1:43">
      <c r="A153" t="s">
        <v>508</v>
      </c>
      <c r="B153" t="s">
        <v>509</v>
      </c>
      <c r="C153" s="30">
        <v>480</v>
      </c>
      <c r="D153">
        <v>476</v>
      </c>
      <c r="F153" t="s">
        <v>509</v>
      </c>
      <c r="G153" s="30">
        <v>589</v>
      </c>
      <c r="H153" s="30">
        <v>583</v>
      </c>
      <c r="I153" t="b">
        <f>IF(B153=F153,TRUE,FALSE)</f>
        <v>1</v>
      </c>
      <c r="L153">
        <f>G153-C153</f>
        <v>109</v>
      </c>
      <c r="M153" s="4">
        <f>G153/C153-1</f>
        <v>0.2270833333333333</v>
      </c>
      <c r="N153" s="165">
        <f>H153-D153</f>
        <v>107</v>
      </c>
      <c r="P153" s="5">
        <v>434.21</v>
      </c>
      <c r="Q153" s="5">
        <v>552.63</v>
      </c>
      <c r="T153" s="5">
        <v>2058.69</v>
      </c>
      <c r="X153" s="152">
        <f>Q153-P153</f>
        <v>118.42000000000002</v>
      </c>
      <c r="Y153" s="4">
        <f>IF(P153=0,0,Q153/P153-1)</f>
        <v>0.27272517906082316</v>
      </c>
      <c r="Z153">
        <v>0.91220588235294109</v>
      </c>
      <c r="AA153">
        <f>Q153/H153</f>
        <v>0.94790737564322469</v>
      </c>
      <c r="AB153">
        <f>AA153-Z153</f>
        <v>3.5701493290283604E-2</v>
      </c>
      <c r="AC153" s="18">
        <v>9115.2000000000007</v>
      </c>
      <c r="AD153" s="18">
        <v>11184.75</v>
      </c>
      <c r="AE153" s="4">
        <f>AD153/AC153-1</f>
        <v>0.22704383886255908</v>
      </c>
      <c r="AF153" s="150">
        <f>(L153*2)-X153</f>
        <v>99.579999999999984</v>
      </c>
      <c r="AM153" s="161" t="s">
        <v>263</v>
      </c>
      <c r="AN153" s="162">
        <v>1067</v>
      </c>
      <c r="AP153" s="161" t="s">
        <v>510</v>
      </c>
      <c r="AQ153" s="162">
        <v>1303</v>
      </c>
    </row>
    <row r="154" spans="1:43">
      <c r="A154" t="s">
        <v>511</v>
      </c>
      <c r="B154" t="s">
        <v>512</v>
      </c>
      <c r="C154" s="30">
        <v>584</v>
      </c>
      <c r="D154">
        <v>573</v>
      </c>
      <c r="F154" t="s">
        <v>512</v>
      </c>
      <c r="G154" s="30">
        <v>695</v>
      </c>
      <c r="H154" s="30">
        <v>692</v>
      </c>
      <c r="I154" t="b">
        <f>IF(B154=F154,TRUE,FALSE)</f>
        <v>1</v>
      </c>
      <c r="L154">
        <f>G154-C154</f>
        <v>111</v>
      </c>
      <c r="M154" s="4">
        <f>G154/C154-1</f>
        <v>0.19006849315068486</v>
      </c>
      <c r="N154" s="165">
        <f>H154-D154</f>
        <v>119</v>
      </c>
      <c r="P154" s="5">
        <v>737.28</v>
      </c>
      <c r="Q154" s="5">
        <v>1089.4000000000001</v>
      </c>
      <c r="T154" s="5">
        <v>2812.8</v>
      </c>
      <c r="X154" s="152">
        <f>Q154-P154</f>
        <v>352.12000000000012</v>
      </c>
      <c r="Y154" s="4">
        <f>IF(P154=0,0,Q154/P154-1)</f>
        <v>0.47759331597222232</v>
      </c>
      <c r="Z154">
        <v>1.2867015706806282</v>
      </c>
      <c r="AA154">
        <f>Q154/H154</f>
        <v>1.5742774566473989</v>
      </c>
      <c r="AB154">
        <f>AA154-Z154</f>
        <v>0.28757588596677075</v>
      </c>
      <c r="AC154" s="18">
        <v>11066.8</v>
      </c>
      <c r="AD154" s="18">
        <v>13170.25</v>
      </c>
      <c r="AE154" s="4">
        <f>AD154/AC154-1</f>
        <v>0.19006849315068508</v>
      </c>
      <c r="AF154" s="150">
        <f>(L154*2)-X154</f>
        <v>-130.12000000000012</v>
      </c>
      <c r="AM154" s="163" t="s">
        <v>513</v>
      </c>
      <c r="AN154" s="164">
        <v>1073</v>
      </c>
      <c r="AP154" s="163" t="s">
        <v>421</v>
      </c>
      <c r="AQ154" s="164">
        <v>1242</v>
      </c>
    </row>
    <row r="155" spans="1:43">
      <c r="A155" t="s">
        <v>514</v>
      </c>
      <c r="B155" t="s">
        <v>515</v>
      </c>
      <c r="C155" s="30">
        <v>765</v>
      </c>
      <c r="D155">
        <v>756</v>
      </c>
      <c r="F155" t="s">
        <v>515</v>
      </c>
      <c r="G155" s="30">
        <v>1348</v>
      </c>
      <c r="H155" s="30">
        <v>1335</v>
      </c>
      <c r="I155" t="b">
        <f>IF(B155=F155,TRUE,FALSE)</f>
        <v>1</v>
      </c>
      <c r="L155">
        <f>G155-C155</f>
        <v>583</v>
      </c>
      <c r="M155" s="4">
        <f>G155/C155-1</f>
        <v>0.76209150326797381</v>
      </c>
      <c r="N155" s="165">
        <f>H155-D155</f>
        <v>579</v>
      </c>
      <c r="P155" s="5">
        <v>584.04999999999995</v>
      </c>
      <c r="Q155" s="5">
        <v>1527.76</v>
      </c>
      <c r="T155" s="5">
        <v>14611.94</v>
      </c>
      <c r="X155" s="152">
        <f>Q155-P155</f>
        <v>943.71</v>
      </c>
      <c r="Y155" s="4">
        <f>IF(P155=0,0,Q155/P155-1)</f>
        <v>1.6158034414861744</v>
      </c>
      <c r="Z155">
        <v>0.77255291005291005</v>
      </c>
      <c r="AA155">
        <f>Q155/H155</f>
        <v>1.1443895131086141</v>
      </c>
      <c r="AB155">
        <f>AA155-Z155</f>
        <v>0.3718366030557041</v>
      </c>
      <c r="AC155" s="18">
        <v>20589.8</v>
      </c>
      <c r="AD155" s="18">
        <v>36328.6</v>
      </c>
      <c r="AE155" s="4">
        <f>AD155/AC155-1</f>
        <v>0.76439790575916233</v>
      </c>
      <c r="AF155" s="150">
        <f>(L155*2)-X155</f>
        <v>222.28999999999996</v>
      </c>
      <c r="AM155" s="163" t="s">
        <v>358</v>
      </c>
      <c r="AN155" s="164">
        <v>2246</v>
      </c>
      <c r="AP155" s="163" t="s">
        <v>47</v>
      </c>
      <c r="AQ155" s="164">
        <v>2492</v>
      </c>
    </row>
    <row r="156" spans="1:43">
      <c r="A156" t="s">
        <v>516</v>
      </c>
      <c r="B156" t="s">
        <v>517</v>
      </c>
      <c r="C156" s="30">
        <v>445</v>
      </c>
      <c r="D156">
        <v>441</v>
      </c>
      <c r="F156" t="s">
        <v>517</v>
      </c>
      <c r="G156" s="30">
        <v>556</v>
      </c>
      <c r="H156" s="30">
        <v>554</v>
      </c>
      <c r="I156" t="b">
        <f>IF(B156=F156,TRUE,FALSE)</f>
        <v>1</v>
      </c>
      <c r="L156">
        <f>G156-C156</f>
        <v>111</v>
      </c>
      <c r="M156" s="4">
        <f>G156/C156-1</f>
        <v>0.24943820224719104</v>
      </c>
      <c r="N156" s="165">
        <f>H156-D156</f>
        <v>113</v>
      </c>
      <c r="P156" s="5">
        <v>325.10000000000002</v>
      </c>
      <c r="Q156" s="5">
        <v>606.94000000000005</v>
      </c>
      <c r="T156" s="5">
        <v>2189.39</v>
      </c>
      <c r="X156" s="152">
        <f>Q156-P156</f>
        <v>281.84000000000003</v>
      </c>
      <c r="Y156" s="4">
        <f>IF(P156=0,0,Q156/P156-1)</f>
        <v>0.86693325130729004</v>
      </c>
      <c r="Z156">
        <v>0.73718820861678014</v>
      </c>
      <c r="AA156">
        <f>Q156/H156</f>
        <v>1.0955595667870037</v>
      </c>
      <c r="AB156">
        <f>AA156-Z156</f>
        <v>0.35837135817022359</v>
      </c>
      <c r="AC156" s="18">
        <v>8432.75</v>
      </c>
      <c r="AD156" s="18">
        <v>10536.2</v>
      </c>
      <c r="AE156" s="4">
        <f>AD156/AC156-1</f>
        <v>0.24943820224719104</v>
      </c>
      <c r="AF156" s="150">
        <f>(L156*2)-X156</f>
        <v>-59.840000000000032</v>
      </c>
      <c r="AM156" s="163" t="s">
        <v>518</v>
      </c>
      <c r="AN156" s="164">
        <v>983</v>
      </c>
      <c r="AP156" s="163" t="s">
        <v>470</v>
      </c>
      <c r="AQ156" s="164">
        <v>1235</v>
      </c>
    </row>
    <row r="157" spans="1:43">
      <c r="A157" t="s">
        <v>519</v>
      </c>
      <c r="B157" t="s">
        <v>520</v>
      </c>
      <c r="C157" s="30">
        <v>462</v>
      </c>
      <c r="D157">
        <v>453</v>
      </c>
      <c r="F157" t="s">
        <v>520</v>
      </c>
      <c r="G157" s="30">
        <v>575</v>
      </c>
      <c r="H157" s="30">
        <v>568</v>
      </c>
      <c r="I157" t="b">
        <f>IF(B157=F157,TRUE,FALSE)</f>
        <v>1</v>
      </c>
      <c r="L157">
        <f>G157-C157</f>
        <v>113</v>
      </c>
      <c r="M157" s="4">
        <f>G157/C157-1</f>
        <v>0.24458874458874469</v>
      </c>
      <c r="N157" s="165">
        <f>H157-D157</f>
        <v>115</v>
      </c>
      <c r="P157" s="5">
        <v>465.07</v>
      </c>
      <c r="Q157" s="5">
        <v>620.05999999999995</v>
      </c>
      <c r="T157" s="5">
        <v>3522.76</v>
      </c>
      <c r="X157" s="152">
        <f>Q157-P157</f>
        <v>154.98999999999995</v>
      </c>
      <c r="Y157" s="4">
        <f>IF(P157=0,0,Q157/P157-1)</f>
        <v>0.33326165953512366</v>
      </c>
      <c r="Z157">
        <v>1.026644591611479</v>
      </c>
      <c r="AA157">
        <f>Q157/H157</f>
        <v>1.0916549295774647</v>
      </c>
      <c r="AB157">
        <f>AA157-Z157</f>
        <v>6.5010337965985654E-2</v>
      </c>
      <c r="AC157" s="18">
        <v>13836.9</v>
      </c>
      <c r="AD157" s="18">
        <v>17221.25</v>
      </c>
      <c r="AE157" s="4">
        <f>AD157/AC157-1</f>
        <v>0.24458874458874469</v>
      </c>
      <c r="AF157" s="150">
        <f>(L157*2)-X157</f>
        <v>71.010000000000048</v>
      </c>
      <c r="AM157" s="161" t="s">
        <v>270</v>
      </c>
      <c r="AN157" s="162">
        <v>1247</v>
      </c>
      <c r="AP157" s="161" t="s">
        <v>377</v>
      </c>
      <c r="AQ157" s="162">
        <v>1662</v>
      </c>
    </row>
    <row r="158" spans="1:43">
      <c r="A158" t="s">
        <v>521</v>
      </c>
      <c r="B158" t="s">
        <v>522</v>
      </c>
      <c r="C158" s="30">
        <v>367</v>
      </c>
      <c r="D158">
        <v>366</v>
      </c>
      <c r="F158" t="s">
        <v>522</v>
      </c>
      <c r="G158" s="30">
        <v>484</v>
      </c>
      <c r="H158" s="30">
        <v>484</v>
      </c>
      <c r="I158" t="b">
        <f>IF(B158=F158,TRUE,FALSE)</f>
        <v>1</v>
      </c>
      <c r="L158">
        <f>G158-C158</f>
        <v>117</v>
      </c>
      <c r="M158" s="4">
        <f>G158/C158-1</f>
        <v>0.31880108991825606</v>
      </c>
      <c r="N158" s="165">
        <f>H158-D158</f>
        <v>118</v>
      </c>
      <c r="P158" s="5">
        <v>344.21</v>
      </c>
      <c r="Q158" s="5">
        <v>365.34</v>
      </c>
      <c r="T158" s="5">
        <v>838.98</v>
      </c>
      <c r="X158" s="152">
        <f>Q158-P158</f>
        <v>21.129999999999995</v>
      </c>
      <c r="Y158" s="4">
        <f>IF(P158=0,0,Q158/P158-1)</f>
        <v>6.1386944016734057E-2</v>
      </c>
      <c r="Z158">
        <v>0.94046448087431689</v>
      </c>
      <c r="AA158">
        <f>Q158/H158</f>
        <v>0.7548347107438016</v>
      </c>
      <c r="AB158">
        <f>AA158-Z158</f>
        <v>-0.18562977013051529</v>
      </c>
      <c r="AC158" s="18">
        <v>7321.65</v>
      </c>
      <c r="AD158" s="18">
        <v>9635.85</v>
      </c>
      <c r="AE158" s="4">
        <f>AD158/AC158-1</f>
        <v>0.31607629427792916</v>
      </c>
      <c r="AF158" s="150">
        <f>(L158*2)-X158</f>
        <v>212.87</v>
      </c>
      <c r="AM158" s="161" t="s">
        <v>165</v>
      </c>
      <c r="AN158" s="162">
        <v>1064</v>
      </c>
      <c r="AP158" s="161" t="s">
        <v>523</v>
      </c>
      <c r="AQ158" s="162">
        <v>1247</v>
      </c>
    </row>
    <row r="159" spans="1:43">
      <c r="A159" t="s">
        <v>524</v>
      </c>
      <c r="B159" t="s">
        <v>525</v>
      </c>
      <c r="C159" s="30">
        <v>349</v>
      </c>
      <c r="D159">
        <v>346</v>
      </c>
      <c r="F159" t="s">
        <v>525</v>
      </c>
      <c r="G159" s="30">
        <v>723</v>
      </c>
      <c r="H159" s="30">
        <v>722</v>
      </c>
      <c r="I159" t="b">
        <f>IF(B159=F159,TRUE,FALSE)</f>
        <v>1</v>
      </c>
      <c r="L159">
        <f>G159-C159</f>
        <v>374</v>
      </c>
      <c r="M159" s="4">
        <f>G159/C159-1</f>
        <v>1.0716332378223496</v>
      </c>
      <c r="N159" s="165">
        <f>H159-D159</f>
        <v>376</v>
      </c>
      <c r="P159" s="5">
        <v>432.48</v>
      </c>
      <c r="Q159" s="5">
        <v>943.81</v>
      </c>
      <c r="T159" s="5">
        <v>5466.65</v>
      </c>
      <c r="X159" s="152">
        <f>Q159-P159</f>
        <v>511.32999999999993</v>
      </c>
      <c r="Y159" s="4">
        <f>IF(P159=0,0,Q159/P159-1)</f>
        <v>1.1823205697373287</v>
      </c>
      <c r="Z159">
        <v>1.2499421965317921</v>
      </c>
      <c r="AA159">
        <f>Q159/H159</f>
        <v>1.3072160664819943</v>
      </c>
      <c r="AB159">
        <f>AA159-Z159</f>
        <v>5.7273869950202227E-2</v>
      </c>
      <c r="AC159" s="18">
        <v>6962.55</v>
      </c>
      <c r="AD159" s="18">
        <v>14423.85</v>
      </c>
      <c r="AE159" s="4">
        <f>AD159/AC159-1</f>
        <v>1.0716332378223496</v>
      </c>
      <c r="AF159" s="150">
        <f>(L159*2)-X159</f>
        <v>236.67000000000007</v>
      </c>
      <c r="AM159" s="161" t="s">
        <v>423</v>
      </c>
      <c r="AN159" s="162">
        <v>2297</v>
      </c>
      <c r="AP159" s="161" t="s">
        <v>138</v>
      </c>
      <c r="AQ159" s="162">
        <v>1850</v>
      </c>
    </row>
    <row r="160" spans="1:43">
      <c r="A160" t="s">
        <v>526</v>
      </c>
      <c r="B160" t="s">
        <v>527</v>
      </c>
      <c r="C160" s="30">
        <v>356</v>
      </c>
      <c r="D160">
        <v>345</v>
      </c>
      <c r="F160" t="s">
        <v>527</v>
      </c>
      <c r="G160" s="30">
        <v>478</v>
      </c>
      <c r="H160" s="30">
        <v>475</v>
      </c>
      <c r="I160" t="b">
        <f>IF(B160=F160,TRUE,FALSE)</f>
        <v>1</v>
      </c>
      <c r="L160">
        <f>G160-C160</f>
        <v>122</v>
      </c>
      <c r="M160" s="4">
        <f>G160/C160-1</f>
        <v>0.34269662921348321</v>
      </c>
      <c r="N160" s="165">
        <f>H160-D160</f>
        <v>130</v>
      </c>
      <c r="P160" s="5">
        <v>862.88</v>
      </c>
      <c r="Q160" s="5">
        <v>1272.6400000000001</v>
      </c>
      <c r="T160" s="5">
        <v>3419.15</v>
      </c>
      <c r="X160" s="152">
        <f>Q160-P160</f>
        <v>409.7600000000001</v>
      </c>
      <c r="Y160" s="4">
        <f>IF(P160=0,0,Q160/P160-1)</f>
        <v>0.47487483775264239</v>
      </c>
      <c r="Z160">
        <v>2.5011014492753625</v>
      </c>
      <c r="AA160">
        <f>Q160/H160</f>
        <v>2.6792421052631581</v>
      </c>
      <c r="AB160">
        <f>AA160-Z160</f>
        <v>0.1781406559877956</v>
      </c>
      <c r="AC160" s="18">
        <v>10662.2</v>
      </c>
      <c r="AD160" s="18">
        <v>14316.1</v>
      </c>
      <c r="AE160" s="4">
        <f>AD160/AC160-1</f>
        <v>0.34269662921348298</v>
      </c>
      <c r="AF160" s="150">
        <f>(L160*2)-X160</f>
        <v>-165.7600000000001</v>
      </c>
      <c r="AM160" s="161" t="s">
        <v>321</v>
      </c>
      <c r="AN160" s="162">
        <v>1005</v>
      </c>
      <c r="AP160" s="161" t="s">
        <v>239</v>
      </c>
      <c r="AQ160" s="162">
        <v>1468</v>
      </c>
    </row>
    <row r="161" spans="1:43">
      <c r="A161" t="s">
        <v>528</v>
      </c>
      <c r="B161" t="s">
        <v>529</v>
      </c>
      <c r="C161" s="30">
        <v>384</v>
      </c>
      <c r="D161">
        <v>383</v>
      </c>
      <c r="F161" t="s">
        <v>529</v>
      </c>
      <c r="G161" s="30">
        <v>867</v>
      </c>
      <c r="H161" s="30">
        <v>847</v>
      </c>
      <c r="I161" t="b">
        <f>IF(B161=F161,TRUE,FALSE)</f>
        <v>1</v>
      </c>
      <c r="L161">
        <f>G161-C161</f>
        <v>483</v>
      </c>
      <c r="M161" s="4">
        <f>G161/C161-1</f>
        <v>1.2578125</v>
      </c>
      <c r="N161" s="165">
        <f>H161-D161</f>
        <v>464</v>
      </c>
      <c r="P161" s="5">
        <v>785.28</v>
      </c>
      <c r="Q161" s="5">
        <v>1505.91</v>
      </c>
      <c r="T161" s="5">
        <v>9045.6200000000008</v>
      </c>
      <c r="X161" s="152">
        <f>Q161-P161</f>
        <v>720.63000000000011</v>
      </c>
      <c r="Y161" s="4">
        <f>IF(P161=0,0,Q161/P161-1)</f>
        <v>0.91767267726161394</v>
      </c>
      <c r="Z161">
        <v>2.0503394255874672</v>
      </c>
      <c r="AA161">
        <f>Q161/H161</f>
        <v>1.7779338842975208</v>
      </c>
      <c r="AB161">
        <f>AA161-Z161</f>
        <v>-0.27240554128994643</v>
      </c>
      <c r="AC161" s="18">
        <v>5372.16</v>
      </c>
      <c r="AD161" s="18">
        <v>12129.33</v>
      </c>
      <c r="AE161" s="4">
        <f>AD161/AC161-1</f>
        <v>1.2578125</v>
      </c>
      <c r="AF161" s="150">
        <f>(L161*2)-X161</f>
        <v>245.36999999999989</v>
      </c>
      <c r="AM161" s="161" t="s">
        <v>381</v>
      </c>
      <c r="AN161" s="162">
        <v>1867</v>
      </c>
      <c r="AP161" s="161" t="s">
        <v>116</v>
      </c>
      <c r="AQ161" s="162">
        <v>2402</v>
      </c>
    </row>
    <row r="162" spans="1:43">
      <c r="A162" t="s">
        <v>530</v>
      </c>
      <c r="B162" t="s">
        <v>531</v>
      </c>
      <c r="C162" s="30">
        <v>373</v>
      </c>
      <c r="D162">
        <v>370</v>
      </c>
      <c r="F162" t="s">
        <v>531</v>
      </c>
      <c r="G162" s="30">
        <v>497</v>
      </c>
      <c r="H162" s="30">
        <v>493</v>
      </c>
      <c r="I162" t="b">
        <f>IF(B162=F162,TRUE,FALSE)</f>
        <v>1</v>
      </c>
      <c r="L162">
        <f>G162-C162</f>
        <v>124</v>
      </c>
      <c r="M162" s="4">
        <f>G162/C162-1</f>
        <v>0.33243967828418231</v>
      </c>
      <c r="N162" s="165">
        <f>H162-D162</f>
        <v>123</v>
      </c>
      <c r="P162" s="5">
        <v>349.43</v>
      </c>
      <c r="Q162" s="5">
        <v>516.45000000000005</v>
      </c>
      <c r="T162" s="5">
        <v>2519.7199999999998</v>
      </c>
      <c r="X162" s="152">
        <f>Q162-P162</f>
        <v>167.02000000000004</v>
      </c>
      <c r="Y162" s="4">
        <f>IF(P162=0,0,Q162/P162-1)</f>
        <v>0.4779784220015455</v>
      </c>
      <c r="Z162">
        <v>0.94440540540540541</v>
      </c>
      <c r="AA162">
        <f>Q162/H162</f>
        <v>1.0475659229208927</v>
      </c>
      <c r="AB162">
        <f>AA162-Z162</f>
        <v>0.10316051751548727</v>
      </c>
      <c r="AC162" s="18">
        <v>8165.4</v>
      </c>
      <c r="AD162" s="18">
        <v>10909.15</v>
      </c>
      <c r="AE162" s="4">
        <f>AD162/AC162-1</f>
        <v>0.33602150537634401</v>
      </c>
      <c r="AF162" s="150">
        <f>(L162*2)-X162</f>
        <v>80.979999999999961</v>
      </c>
      <c r="AM162" s="161" t="s">
        <v>421</v>
      </c>
      <c r="AN162" s="162">
        <v>948</v>
      </c>
      <c r="AP162" s="161" t="s">
        <v>532</v>
      </c>
      <c r="AQ162" s="162">
        <v>1216</v>
      </c>
    </row>
    <row r="163" spans="1:43">
      <c r="A163" t="s">
        <v>533</v>
      </c>
      <c r="B163" t="s">
        <v>534</v>
      </c>
      <c r="C163" s="30">
        <v>977</v>
      </c>
      <c r="D163">
        <v>929</v>
      </c>
      <c r="F163" t="s">
        <v>534</v>
      </c>
      <c r="G163" s="30">
        <v>1060</v>
      </c>
      <c r="H163" s="30">
        <v>978</v>
      </c>
      <c r="I163" t="b">
        <f>IF(B163=F163,TRUE,FALSE)</f>
        <v>1</v>
      </c>
      <c r="L163">
        <f>G163-C163</f>
        <v>83</v>
      </c>
      <c r="M163" s="4">
        <f>G163/C163-1</f>
        <v>8.4953940634595604E-2</v>
      </c>
      <c r="N163" s="165">
        <f>H163-D163</f>
        <v>49</v>
      </c>
      <c r="P163" s="5">
        <v>85.38</v>
      </c>
      <c r="Q163" s="5">
        <v>177.44</v>
      </c>
      <c r="T163" s="5">
        <v>0</v>
      </c>
      <c r="X163" s="152">
        <f>Q163-P163</f>
        <v>92.06</v>
      </c>
      <c r="Y163" s="4">
        <f>IF(P163=0,0,Q163/P163-1)</f>
        <v>1.078238463340361</v>
      </c>
      <c r="Z163">
        <v>9.1905274488697522E-2</v>
      </c>
      <c r="AA163">
        <f>Q163/H163</f>
        <v>0.18143149284253579</v>
      </c>
      <c r="AB163">
        <f>AA163-Z163</f>
        <v>8.9526218353838269E-2</v>
      </c>
      <c r="AC163" s="18">
        <v>40659.15</v>
      </c>
      <c r="AD163" s="18">
        <v>44406.76</v>
      </c>
      <c r="AE163" s="4">
        <f>AD163/AC163-1</f>
        <v>9.2171380857691387E-2</v>
      </c>
      <c r="AF163" s="150">
        <f>(L163*2)-X163</f>
        <v>73.94</v>
      </c>
      <c r="AM163" s="161" t="s">
        <v>502</v>
      </c>
      <c r="AN163" s="162">
        <v>1132</v>
      </c>
      <c r="AP163" s="161" t="s">
        <v>442</v>
      </c>
      <c r="AQ163" s="162">
        <v>1111</v>
      </c>
    </row>
    <row r="164" spans="1:43">
      <c r="A164" t="s">
        <v>535</v>
      </c>
      <c r="B164" t="s">
        <v>536</v>
      </c>
      <c r="C164" s="30">
        <v>304</v>
      </c>
      <c r="D164">
        <v>301</v>
      </c>
      <c r="F164" t="s">
        <v>536</v>
      </c>
      <c r="G164" s="30">
        <v>331</v>
      </c>
      <c r="H164" s="30">
        <v>331</v>
      </c>
      <c r="I164" t="b">
        <f>IF(B164=F164,TRUE,FALSE)</f>
        <v>1</v>
      </c>
      <c r="L164">
        <f>G164-C164</f>
        <v>27</v>
      </c>
      <c r="M164" s="4">
        <f>G164/C164-1</f>
        <v>8.8815789473684292E-2</v>
      </c>
      <c r="N164" s="165">
        <f>H164-D164</f>
        <v>30</v>
      </c>
      <c r="P164" s="5">
        <v>660.67</v>
      </c>
      <c r="Q164" s="5">
        <v>455.8</v>
      </c>
      <c r="T164" s="5">
        <v>3344.8900000000003</v>
      </c>
      <c r="X164" s="152">
        <f>Q164-P164</f>
        <v>-204.86999999999995</v>
      </c>
      <c r="Y164" s="4">
        <f>IF(P164=0,0,Q164/P164-1)</f>
        <v>-0.31009429821242063</v>
      </c>
      <c r="Z164">
        <v>2.1949169435215947</v>
      </c>
      <c r="AA164">
        <f>Q164/H164</f>
        <v>1.3770392749244713</v>
      </c>
      <c r="AB164">
        <f>AA164-Z164</f>
        <v>-0.81787766859712341</v>
      </c>
      <c r="AC164" s="18">
        <v>7584.8</v>
      </c>
      <c r="AD164" s="18">
        <v>8087.33</v>
      </c>
      <c r="AE164" s="4">
        <f>AD164/AC164-1</f>
        <v>6.6254878177407495E-2</v>
      </c>
      <c r="AF164" s="150">
        <f>(L164*2)-X164</f>
        <v>258.86999999999995</v>
      </c>
      <c r="AM164" s="161" t="s">
        <v>481</v>
      </c>
      <c r="AN164" s="162">
        <v>1093</v>
      </c>
      <c r="AP164" s="161" t="s">
        <v>82</v>
      </c>
      <c r="AQ164" s="162">
        <v>1087</v>
      </c>
    </row>
    <row r="165" spans="1:43">
      <c r="A165" t="s">
        <v>537</v>
      </c>
      <c r="B165" t="s">
        <v>538</v>
      </c>
      <c r="C165" s="30">
        <v>739</v>
      </c>
      <c r="D165">
        <v>737</v>
      </c>
      <c r="F165" t="s">
        <v>538</v>
      </c>
      <c r="G165" s="30">
        <v>949</v>
      </c>
      <c r="H165" s="30">
        <v>948</v>
      </c>
      <c r="I165" t="b">
        <f>IF(B165=F165,TRUE,FALSE)</f>
        <v>1</v>
      </c>
      <c r="L165">
        <f>G165-C165</f>
        <v>210</v>
      </c>
      <c r="M165" s="4">
        <f>G165/C165-1</f>
        <v>0.28416779431664407</v>
      </c>
      <c r="N165" s="165">
        <f>H165-D165</f>
        <v>211</v>
      </c>
      <c r="P165" s="5">
        <v>718.84</v>
      </c>
      <c r="Q165" s="5">
        <v>878.44</v>
      </c>
      <c r="T165" s="5">
        <v>6863.57</v>
      </c>
      <c r="X165" s="152">
        <f>Q165-P165</f>
        <v>159.60000000000002</v>
      </c>
      <c r="Y165" s="4">
        <f>IF(P165=0,0,Q165/P165-1)</f>
        <v>0.22202437260030061</v>
      </c>
      <c r="Z165">
        <v>0.97535956580732708</v>
      </c>
      <c r="AA165">
        <f>Q165/H165</f>
        <v>0.92662447257383973</v>
      </c>
      <c r="AB165">
        <f>AA165-Z165</f>
        <v>-4.8735093233487348E-2</v>
      </c>
      <c r="AC165" s="18">
        <v>17699.05</v>
      </c>
      <c r="AD165" s="18">
        <v>22728.55</v>
      </c>
      <c r="AE165" s="4">
        <f>AD165/AC165-1</f>
        <v>0.28416779431664407</v>
      </c>
      <c r="AF165" s="150">
        <f>(L165*2)-X165</f>
        <v>260.39999999999998</v>
      </c>
      <c r="AM165" s="163" t="s">
        <v>405</v>
      </c>
      <c r="AN165" s="164">
        <v>1317</v>
      </c>
      <c r="AP165" s="163" t="s">
        <v>288</v>
      </c>
      <c r="AQ165" s="164">
        <v>1646</v>
      </c>
    </row>
    <row r="166" spans="1:43">
      <c r="A166" t="s">
        <v>539</v>
      </c>
      <c r="B166" t="s">
        <v>540</v>
      </c>
      <c r="C166" s="30">
        <v>687</v>
      </c>
      <c r="D166">
        <v>679</v>
      </c>
      <c r="F166" t="s">
        <v>540</v>
      </c>
      <c r="G166" s="30">
        <v>818</v>
      </c>
      <c r="H166" s="30">
        <v>812</v>
      </c>
      <c r="I166" t="b">
        <f>IF(B166=F166,TRUE,FALSE)</f>
        <v>1</v>
      </c>
      <c r="L166">
        <f>G166-C166</f>
        <v>131</v>
      </c>
      <c r="M166" s="4">
        <f>G166/C166-1</f>
        <v>0.19068413391557493</v>
      </c>
      <c r="N166" s="165">
        <f>H166-D166</f>
        <v>133</v>
      </c>
      <c r="P166" s="5">
        <v>31.72</v>
      </c>
      <c r="Q166" s="5">
        <v>76.11</v>
      </c>
      <c r="T166" s="5">
        <v>592.9</v>
      </c>
      <c r="X166" s="152">
        <f>Q166-P166</f>
        <v>44.39</v>
      </c>
      <c r="Y166" s="4">
        <f>IF(P166=0,0,Q166/P166-1)</f>
        <v>1.3994325346784362</v>
      </c>
      <c r="Z166">
        <v>4.6715758468335783E-2</v>
      </c>
      <c r="AA166">
        <f>Q166/H166</f>
        <v>9.3731527093596056E-2</v>
      </c>
      <c r="AB166">
        <f>AA166-Z166</f>
        <v>4.7015768625260274E-2</v>
      </c>
      <c r="AC166" s="18">
        <v>18514.650000000001</v>
      </c>
      <c r="AD166" s="18">
        <v>22072.050000000003</v>
      </c>
      <c r="AE166" s="4">
        <f>AD166/AC166-1</f>
        <v>0.19213973799126638</v>
      </c>
      <c r="AF166" s="150">
        <f>(L166*2)-X166</f>
        <v>217.61</v>
      </c>
      <c r="AM166" s="163" t="s">
        <v>95</v>
      </c>
      <c r="AN166" s="164">
        <v>2651</v>
      </c>
      <c r="AP166" s="163" t="s">
        <v>356</v>
      </c>
      <c r="AQ166" s="164">
        <v>1575</v>
      </c>
    </row>
    <row r="167" spans="1:43" ht="13.5" customHeight="1">
      <c r="A167" t="s">
        <v>541</v>
      </c>
      <c r="B167" t="s">
        <v>542</v>
      </c>
      <c r="C167" s="30">
        <v>282</v>
      </c>
      <c r="D167">
        <v>280</v>
      </c>
      <c r="F167" t="s">
        <v>542</v>
      </c>
      <c r="G167" s="30">
        <v>413</v>
      </c>
      <c r="H167" s="30">
        <v>409</v>
      </c>
      <c r="I167" t="b">
        <f>IF(B167=F167,TRUE,FALSE)</f>
        <v>1</v>
      </c>
      <c r="L167">
        <f>G167-C167</f>
        <v>131</v>
      </c>
      <c r="M167" s="4">
        <f>G167/C167-1</f>
        <v>0.46453900709219864</v>
      </c>
      <c r="N167" s="165">
        <f>H167-D167</f>
        <v>129</v>
      </c>
      <c r="P167" s="5">
        <v>312.05</v>
      </c>
      <c r="Q167" s="5">
        <v>546.80999999999995</v>
      </c>
      <c r="T167" s="5">
        <v>1304.9000000000001</v>
      </c>
      <c r="X167" s="152">
        <f>Q167-P167</f>
        <v>234.75999999999993</v>
      </c>
      <c r="Y167" s="4">
        <f>IF(P167=0,0,Q167/P167-1)</f>
        <v>0.75231533408107643</v>
      </c>
      <c r="Z167">
        <v>1.1144642857142857</v>
      </c>
      <c r="AA167">
        <f>Q167/H167</f>
        <v>1.3369437652811735</v>
      </c>
      <c r="AB167">
        <f>AA167-Z167</f>
        <v>0.22247947956688785</v>
      </c>
      <c r="AC167" s="18">
        <v>5605.95</v>
      </c>
      <c r="AD167" s="18">
        <v>8239.35</v>
      </c>
      <c r="AE167" s="4">
        <f>AD167/AC167-1</f>
        <v>0.46975088967971534</v>
      </c>
      <c r="AF167" s="150">
        <f>(L167*2)-X167</f>
        <v>27.240000000000066</v>
      </c>
      <c r="AM167" s="163" t="s">
        <v>99</v>
      </c>
      <c r="AN167" s="164">
        <v>2260</v>
      </c>
      <c r="AP167" s="163" t="s">
        <v>172</v>
      </c>
      <c r="AQ167" s="164">
        <v>1172</v>
      </c>
    </row>
    <row r="168" spans="1:43">
      <c r="A168" t="s">
        <v>543</v>
      </c>
      <c r="B168" t="s">
        <v>544</v>
      </c>
      <c r="C168" s="30">
        <v>323</v>
      </c>
      <c r="D168">
        <v>320</v>
      </c>
      <c r="F168" t="s">
        <v>544</v>
      </c>
      <c r="G168" s="30">
        <v>454</v>
      </c>
      <c r="H168" s="30">
        <v>448</v>
      </c>
      <c r="I168" t="b">
        <f>IF(B168=F168,TRUE,FALSE)</f>
        <v>1</v>
      </c>
      <c r="L168">
        <f>G168-C168</f>
        <v>131</v>
      </c>
      <c r="M168" s="4">
        <f>G168/C168-1</f>
        <v>0.40557275541795668</v>
      </c>
      <c r="N168" s="165">
        <f>H168-D168</f>
        <v>128</v>
      </c>
      <c r="P168" s="5">
        <v>212.69</v>
      </c>
      <c r="Q168" s="5">
        <v>329.8</v>
      </c>
      <c r="T168" s="5">
        <v>1561.64</v>
      </c>
      <c r="X168" s="152">
        <f>Q168-P168</f>
        <v>117.11000000000001</v>
      </c>
      <c r="Y168" s="4">
        <f>IF(P168=0,0,Q168/P168-1)</f>
        <v>0.55061356904414893</v>
      </c>
      <c r="Z168">
        <v>0.66465624999999995</v>
      </c>
      <c r="AA168">
        <f>Q168/H168</f>
        <v>0.73616071428571428</v>
      </c>
      <c r="AB168">
        <f>AA168-Z168</f>
        <v>7.1504464285714331E-2</v>
      </c>
      <c r="AC168" s="18">
        <v>7067.9</v>
      </c>
      <c r="AD168" s="18">
        <v>9965.2999999999993</v>
      </c>
      <c r="AE168" s="4">
        <f>AD168/AC168-1</f>
        <v>0.40993788819875765</v>
      </c>
      <c r="AF168" s="150">
        <f>(L168*2)-X168</f>
        <v>144.88999999999999</v>
      </c>
      <c r="AM168" s="161" t="s">
        <v>545</v>
      </c>
      <c r="AN168" s="162">
        <v>964</v>
      </c>
      <c r="AP168" s="161" t="s">
        <v>147</v>
      </c>
      <c r="AQ168" s="162">
        <v>1157</v>
      </c>
    </row>
    <row r="169" spans="1:43">
      <c r="A169" t="s">
        <v>546</v>
      </c>
      <c r="B169" t="s">
        <v>547</v>
      </c>
      <c r="C169" s="30">
        <v>2511</v>
      </c>
      <c r="D169">
        <v>2478</v>
      </c>
      <c r="F169" t="s">
        <v>547</v>
      </c>
      <c r="G169" s="30">
        <v>3821</v>
      </c>
      <c r="H169" s="30">
        <v>3811</v>
      </c>
      <c r="I169" t="b">
        <f>IF(B169=F169,TRUE,FALSE)</f>
        <v>1</v>
      </c>
      <c r="L169">
        <f>G169-C169</f>
        <v>1310</v>
      </c>
      <c r="M169" s="4">
        <f>G169/C169-1</f>
        <v>0.52170450019912384</v>
      </c>
      <c r="N169" s="165">
        <f>H169-D169</f>
        <v>1333</v>
      </c>
      <c r="P169" s="5">
        <v>2720.43</v>
      </c>
      <c r="Q169" s="5">
        <v>5073.53</v>
      </c>
      <c r="T169" s="5">
        <v>41187.01</v>
      </c>
      <c r="X169" s="152">
        <f>Q169-P169</f>
        <v>2353.1</v>
      </c>
      <c r="Y169" s="4">
        <f>IF(P169=0,0,Q169/P169-1)</f>
        <v>0.86497355197523929</v>
      </c>
      <c r="Z169">
        <v>1.0978329297820824</v>
      </c>
      <c r="AA169">
        <f>Q169/H169</f>
        <v>1.3312857517711887</v>
      </c>
      <c r="AB169">
        <f>AA169-Z169</f>
        <v>0.23345282198910633</v>
      </c>
      <c r="AC169" s="18">
        <v>75114.600000000006</v>
      </c>
      <c r="AD169" s="18">
        <v>114289.2</v>
      </c>
      <c r="AE169" s="4">
        <f>AD169/AC169-1</f>
        <v>0.52153110047846885</v>
      </c>
      <c r="AF169" s="150">
        <f>(L169*2)-X169</f>
        <v>266.90000000000009</v>
      </c>
      <c r="AM169" s="161" t="s">
        <v>128</v>
      </c>
      <c r="AN169" s="162">
        <v>4385</v>
      </c>
      <c r="AP169" s="161" t="s">
        <v>166</v>
      </c>
      <c r="AQ169" s="162">
        <v>5612</v>
      </c>
    </row>
    <row r="170" spans="1:43">
      <c r="A170" t="s">
        <v>548</v>
      </c>
      <c r="B170" t="s">
        <v>549</v>
      </c>
      <c r="C170" s="30">
        <v>342</v>
      </c>
      <c r="D170">
        <v>342</v>
      </c>
      <c r="F170" t="s">
        <v>549</v>
      </c>
      <c r="G170" s="30">
        <v>428</v>
      </c>
      <c r="H170" s="30">
        <v>428</v>
      </c>
      <c r="I170" t="b">
        <f>IF(B170=F170,TRUE,FALSE)</f>
        <v>1</v>
      </c>
      <c r="L170">
        <f>G170-C170</f>
        <v>86</v>
      </c>
      <c r="M170" s="4">
        <f>G170/C170-1</f>
        <v>0.25146198830409361</v>
      </c>
      <c r="N170" s="165">
        <f>H170-D170</f>
        <v>86</v>
      </c>
      <c r="P170" s="5">
        <v>1020.11</v>
      </c>
      <c r="Q170" s="5">
        <v>926.5</v>
      </c>
      <c r="T170" s="5">
        <v>4238.78</v>
      </c>
      <c r="X170" s="152">
        <f>Q170-P170</f>
        <v>-93.610000000000014</v>
      </c>
      <c r="Y170" s="4">
        <f>IF(P170=0,0,Q170/P170-1)</f>
        <v>-9.17646136200998E-2</v>
      </c>
      <c r="Z170">
        <v>2.9827777777777778</v>
      </c>
      <c r="AA170">
        <f>Q170/H170</f>
        <v>2.1647196261682242</v>
      </c>
      <c r="AB170">
        <f>AA170-Z170</f>
        <v>-0.81805815160955353</v>
      </c>
      <c r="AC170" s="18">
        <v>4784.5800000000008</v>
      </c>
      <c r="AD170" s="18">
        <v>5987.72</v>
      </c>
      <c r="AE170" s="4">
        <f>AD170/AC170-1</f>
        <v>0.25146198830409339</v>
      </c>
      <c r="AF170" s="150">
        <f>(L170*2)-X170</f>
        <v>265.61</v>
      </c>
      <c r="AM170" s="163" t="s">
        <v>550</v>
      </c>
      <c r="AN170" s="164">
        <v>934</v>
      </c>
      <c r="AP170" s="163" t="s">
        <v>518</v>
      </c>
      <c r="AQ170" s="164">
        <v>1107</v>
      </c>
    </row>
    <row r="171" spans="1:43" ht="15" customHeight="1">
      <c r="A171" t="s">
        <v>551</v>
      </c>
      <c r="B171" t="s">
        <v>552</v>
      </c>
      <c r="C171" s="30">
        <v>410</v>
      </c>
      <c r="D171">
        <v>408</v>
      </c>
      <c r="F171" t="s">
        <v>552</v>
      </c>
      <c r="G171" s="30">
        <v>549</v>
      </c>
      <c r="H171" s="30">
        <v>548</v>
      </c>
      <c r="I171" t="b">
        <f>IF(B171=F171,TRUE,FALSE)</f>
        <v>1</v>
      </c>
      <c r="L171">
        <f>G171-C171</f>
        <v>139</v>
      </c>
      <c r="M171" s="4">
        <f>G171/C171-1</f>
        <v>0.33902439024390252</v>
      </c>
      <c r="N171" s="165">
        <f>H171-D171</f>
        <v>140</v>
      </c>
      <c r="P171" s="5">
        <v>469.21</v>
      </c>
      <c r="Q171" s="5">
        <v>767.7</v>
      </c>
      <c r="T171" s="5">
        <v>2161.04</v>
      </c>
      <c r="X171" s="152">
        <f>Q171-P171</f>
        <v>298.49000000000007</v>
      </c>
      <c r="Y171" s="4">
        <f>IF(P171=0,0,Q171/P171-1)</f>
        <v>0.63615438716139905</v>
      </c>
      <c r="Z171">
        <v>1.1500245098039215</v>
      </c>
      <c r="AA171">
        <f>Q171/H171</f>
        <v>1.4009124087591243</v>
      </c>
      <c r="AB171">
        <f>AA171-Z171</f>
        <v>0.2508878989552028</v>
      </c>
      <c r="AC171" s="18">
        <v>8589.5</v>
      </c>
      <c r="AD171" s="18">
        <v>11501.55</v>
      </c>
      <c r="AE171" s="4">
        <f>AD171/AC171-1</f>
        <v>0.3390243902439023</v>
      </c>
      <c r="AF171" s="150">
        <f>(L171*2)-X171</f>
        <v>-20.490000000000066</v>
      </c>
      <c r="AM171" s="163" t="s">
        <v>326</v>
      </c>
      <c r="AN171" s="164">
        <v>1066</v>
      </c>
      <c r="AP171" s="163" t="s">
        <v>515</v>
      </c>
      <c r="AQ171" s="164">
        <v>1335</v>
      </c>
    </row>
    <row r="172" spans="1:43" ht="15" customHeight="1">
      <c r="A172" t="s">
        <v>553</v>
      </c>
      <c r="B172" t="s">
        <v>203</v>
      </c>
      <c r="C172" s="30">
        <v>1489</v>
      </c>
      <c r="D172">
        <v>1471</v>
      </c>
      <c r="F172" t="s">
        <v>203</v>
      </c>
      <c r="G172" s="30">
        <v>2103</v>
      </c>
      <c r="H172" s="30">
        <v>2091</v>
      </c>
      <c r="I172" t="b">
        <f>IF(B172=F172,TRUE,FALSE)</f>
        <v>1</v>
      </c>
      <c r="L172">
        <f>G172-C172</f>
        <v>614</v>
      </c>
      <c r="M172" s="4">
        <f>G172/C172-1</f>
        <v>0.41235728676964412</v>
      </c>
      <c r="N172" s="165">
        <f>H172-D172</f>
        <v>620</v>
      </c>
      <c r="P172" s="5">
        <v>1594.42</v>
      </c>
      <c r="Q172" s="5">
        <v>2532.59</v>
      </c>
      <c r="T172" s="5">
        <v>21665.72</v>
      </c>
      <c r="X172" s="152">
        <f>Q172-P172</f>
        <v>938.17000000000007</v>
      </c>
      <c r="Y172" s="4">
        <f>IF(P172=0,0,Q172/P172-1)</f>
        <v>0.58840832403005483</v>
      </c>
      <c r="Z172">
        <v>1.0839021074099253</v>
      </c>
      <c r="AA172">
        <f>Q172/H172</f>
        <v>1.2111860353897657</v>
      </c>
      <c r="AB172">
        <f>AA172-Z172</f>
        <v>0.12728392797984034</v>
      </c>
      <c r="AC172" s="18">
        <v>44595.55</v>
      </c>
      <c r="AD172" s="18">
        <v>62835.1</v>
      </c>
      <c r="AE172" s="4">
        <f>AD172/AC172-1</f>
        <v>0.40899932840832753</v>
      </c>
      <c r="AF172" s="150">
        <f>(L172*2)-X172</f>
        <v>289.82999999999993</v>
      </c>
      <c r="AM172" s="161" t="s">
        <v>462</v>
      </c>
      <c r="AN172" s="162">
        <v>2698</v>
      </c>
      <c r="AP172" s="161" t="s">
        <v>554</v>
      </c>
      <c r="AQ172" s="162">
        <v>2616</v>
      </c>
    </row>
    <row r="173" spans="1:43" ht="15" customHeight="1">
      <c r="A173" t="s">
        <v>555</v>
      </c>
      <c r="B173" t="s">
        <v>556</v>
      </c>
      <c r="C173" s="30">
        <v>668</v>
      </c>
      <c r="D173">
        <v>656</v>
      </c>
      <c r="F173" t="s">
        <v>556</v>
      </c>
      <c r="G173" s="30">
        <v>813</v>
      </c>
      <c r="H173" s="30">
        <v>808</v>
      </c>
      <c r="I173" t="b">
        <f>IF(B173=F173,TRUE,FALSE)</f>
        <v>1</v>
      </c>
      <c r="L173">
        <f>G173-C173</f>
        <v>145</v>
      </c>
      <c r="M173" s="4">
        <f>G173/C173-1</f>
        <v>0.21706586826347296</v>
      </c>
      <c r="N173" s="165">
        <f>H173-D173</f>
        <v>152</v>
      </c>
      <c r="P173" s="5">
        <v>497.42</v>
      </c>
      <c r="Q173" s="5">
        <v>922.57</v>
      </c>
      <c r="T173" s="5">
        <v>4228.6000000000004</v>
      </c>
      <c r="X173" s="152">
        <f>Q173-P173</f>
        <v>425.15000000000003</v>
      </c>
      <c r="Y173" s="4">
        <f>IF(P173=0,0,Q173/P173-1)</f>
        <v>0.85471030517470159</v>
      </c>
      <c r="Z173">
        <v>0.75826219512195125</v>
      </c>
      <c r="AA173">
        <f>Q173/H173</f>
        <v>1.1417945544554455</v>
      </c>
      <c r="AB173">
        <f>AA173-Z173</f>
        <v>0.38353235933349428</v>
      </c>
      <c r="AC173" s="18">
        <v>16639.599999999999</v>
      </c>
      <c r="AD173" s="18">
        <v>20255.349999999999</v>
      </c>
      <c r="AE173" s="4">
        <f>AD173/AC173-1</f>
        <v>0.2172978917762447</v>
      </c>
      <c r="AF173" s="150">
        <f>(L173*2)-X173</f>
        <v>-135.15000000000003</v>
      </c>
      <c r="AM173" s="163" t="s">
        <v>142</v>
      </c>
      <c r="AN173" s="164">
        <v>1358</v>
      </c>
      <c r="AP173" s="163" t="s">
        <v>389</v>
      </c>
      <c r="AQ173" s="164">
        <v>1372</v>
      </c>
    </row>
    <row r="174" spans="1:43" ht="15" customHeight="1">
      <c r="A174" t="s">
        <v>557</v>
      </c>
      <c r="B174" t="s">
        <v>558</v>
      </c>
      <c r="C174" s="30">
        <v>349</v>
      </c>
      <c r="D174">
        <v>348</v>
      </c>
      <c r="F174" t="s">
        <v>558</v>
      </c>
      <c r="G174" s="30">
        <v>495</v>
      </c>
      <c r="H174" s="30">
        <v>494</v>
      </c>
      <c r="I174" t="b">
        <f>IF(B174=F174,TRUE,FALSE)</f>
        <v>1</v>
      </c>
      <c r="L174">
        <f>G174-C174</f>
        <v>146</v>
      </c>
      <c r="M174" s="4">
        <f>G174/C174-1</f>
        <v>0.41833810888252154</v>
      </c>
      <c r="N174" s="165">
        <f>H174-D174</f>
        <v>146</v>
      </c>
      <c r="P174" s="5">
        <v>212.22</v>
      </c>
      <c r="Q174" s="5">
        <v>743.53</v>
      </c>
      <c r="T174" s="5">
        <v>2043.31</v>
      </c>
      <c r="X174" s="152">
        <f>Q174-P174</f>
        <v>531.30999999999995</v>
      </c>
      <c r="Y174" s="4">
        <f>IF(P174=0,0,Q174/P174-1)</f>
        <v>2.5035811893318254</v>
      </c>
      <c r="Z174">
        <v>0.60982758620689659</v>
      </c>
      <c r="AA174">
        <f>Q174/H174</f>
        <v>1.5051214574898786</v>
      </c>
      <c r="AB174">
        <f>AA174-Z174</f>
        <v>0.89529387128298199</v>
      </c>
      <c r="AC174" s="18">
        <v>9405.5499999999993</v>
      </c>
      <c r="AD174" s="18">
        <v>13340.25</v>
      </c>
      <c r="AE174" s="4">
        <f>AD174/AC174-1</f>
        <v>0.41833810888252154</v>
      </c>
      <c r="AF174" s="150">
        <f>(L174*2)-X174</f>
        <v>-239.30999999999995</v>
      </c>
      <c r="AM174" s="161" t="s">
        <v>532</v>
      </c>
      <c r="AN174" s="162">
        <v>1135</v>
      </c>
      <c r="AP174" s="161" t="s">
        <v>321</v>
      </c>
      <c r="AQ174" s="162">
        <v>1308</v>
      </c>
    </row>
    <row r="175" spans="1:43" ht="15" customHeight="1">
      <c r="A175" t="s">
        <v>559</v>
      </c>
      <c r="B175" t="s">
        <v>186</v>
      </c>
      <c r="C175" s="30">
        <v>3278</v>
      </c>
      <c r="D175">
        <v>3246</v>
      </c>
      <c r="F175" t="s">
        <v>186</v>
      </c>
      <c r="G175" s="30">
        <v>3619</v>
      </c>
      <c r="H175" s="30">
        <v>3599</v>
      </c>
      <c r="I175" t="b">
        <f>IF(B175=F175,TRUE,FALSE)</f>
        <v>1</v>
      </c>
      <c r="L175">
        <f>G175-C175</f>
        <v>341</v>
      </c>
      <c r="M175" s="4">
        <f>G175/C175-1</f>
        <v>0.10402684563758391</v>
      </c>
      <c r="N175" s="165">
        <f>H175-D175</f>
        <v>353</v>
      </c>
      <c r="P175" s="5">
        <v>4899.09</v>
      </c>
      <c r="Q175" s="5">
        <v>5288.58</v>
      </c>
      <c r="T175" s="5">
        <v>27598.370000000003</v>
      </c>
      <c r="X175" s="152">
        <f>Q175-P175</f>
        <v>389.48999999999978</v>
      </c>
      <c r="Y175" s="4">
        <f>IF(P175=0,0,Q175/P175-1)</f>
        <v>7.9502519855728204E-2</v>
      </c>
      <c r="Z175">
        <v>1.5092698706099816</v>
      </c>
      <c r="AA175">
        <f>Q175/H175</f>
        <v>1.4694581828285636</v>
      </c>
      <c r="AB175">
        <f>AA175-Z175</f>
        <v>-3.9811687781418081E-2</v>
      </c>
      <c r="AC175" s="18">
        <v>98236</v>
      </c>
      <c r="AD175" s="18">
        <v>107315.64</v>
      </c>
      <c r="AE175" s="4">
        <f>AD175/AC175-1</f>
        <v>9.2426808909157554E-2</v>
      </c>
      <c r="AF175" s="150">
        <f>(L175*2)-X175</f>
        <v>292.51000000000022</v>
      </c>
      <c r="AM175" s="163" t="s">
        <v>207</v>
      </c>
      <c r="AN175" s="164">
        <v>1513</v>
      </c>
      <c r="AP175" s="163" t="s">
        <v>247</v>
      </c>
      <c r="AQ175" s="164">
        <v>1733</v>
      </c>
    </row>
    <row r="176" spans="1:43" ht="15" customHeight="1">
      <c r="A176" t="s">
        <v>560</v>
      </c>
      <c r="B176" t="s">
        <v>357</v>
      </c>
      <c r="C176" s="30">
        <v>1682</v>
      </c>
      <c r="D176">
        <v>1655</v>
      </c>
      <c r="F176" t="s">
        <v>357</v>
      </c>
      <c r="G176" s="30">
        <v>2371</v>
      </c>
      <c r="H176" s="30">
        <v>2359</v>
      </c>
      <c r="I176" t="b">
        <f>IF(B176=F176,TRUE,FALSE)</f>
        <v>1</v>
      </c>
      <c r="L176">
        <f>G176-C176</f>
        <v>689</v>
      </c>
      <c r="M176" s="4">
        <f>G176/C176-1</f>
        <v>0.40963139120095127</v>
      </c>
      <c r="N176" s="165">
        <f>H176-D176</f>
        <v>704</v>
      </c>
      <c r="P176" s="5">
        <v>2575.04</v>
      </c>
      <c r="Q176" s="5">
        <v>3657.23</v>
      </c>
      <c r="T176" s="5">
        <v>15255.039999999999</v>
      </c>
      <c r="X176" s="152">
        <f>Q176-P176</f>
        <v>1082.19</v>
      </c>
      <c r="Y176" s="4">
        <f>IF(P176=0,0,Q176/P176-1)</f>
        <v>0.42026143283211148</v>
      </c>
      <c r="Z176">
        <v>1.5559154078549848</v>
      </c>
      <c r="AA176">
        <f>Q176/H176</f>
        <v>1.5503306485799067</v>
      </c>
      <c r="AB176">
        <f>AA176-Z176</f>
        <v>-5.5847592750781772E-3</v>
      </c>
      <c r="AC176" s="18">
        <v>48685.83</v>
      </c>
      <c r="AD176" s="18">
        <v>69008.69</v>
      </c>
      <c r="AE176" s="4">
        <f>AD176/AC176-1</f>
        <v>0.41742864402229563</v>
      </c>
      <c r="AF176" s="150">
        <f>(L176*2)-X176</f>
        <v>295.80999999999995</v>
      </c>
      <c r="AM176" s="163" t="s">
        <v>561</v>
      </c>
      <c r="AN176" s="164">
        <v>2535</v>
      </c>
      <c r="AP176" s="163" t="s">
        <v>561</v>
      </c>
      <c r="AQ176" s="164">
        <v>3356</v>
      </c>
    </row>
    <row r="177" spans="1:43">
      <c r="A177" t="s">
        <v>562</v>
      </c>
      <c r="B177" t="s">
        <v>563</v>
      </c>
      <c r="C177" s="30">
        <v>256</v>
      </c>
      <c r="D177">
        <v>253</v>
      </c>
      <c r="F177" t="s">
        <v>563</v>
      </c>
      <c r="G177" s="30">
        <v>419</v>
      </c>
      <c r="H177" s="30">
        <v>417</v>
      </c>
      <c r="I177" t="b">
        <f>IF(B177=F177,TRUE,FALSE)</f>
        <v>1</v>
      </c>
      <c r="L177">
        <f>G177-C177</f>
        <v>163</v>
      </c>
      <c r="M177" s="4">
        <f>G177/C177-1</f>
        <v>0.63671875</v>
      </c>
      <c r="N177" s="165">
        <f>H177-D177</f>
        <v>164</v>
      </c>
      <c r="P177" s="5">
        <v>524.83000000000004</v>
      </c>
      <c r="Q177" s="5">
        <v>933.48</v>
      </c>
      <c r="T177" s="5">
        <v>2586.9</v>
      </c>
      <c r="X177" s="152">
        <f>Q177-P177</f>
        <v>408.65</v>
      </c>
      <c r="Y177" s="4">
        <f>IF(P177=0,0,Q177/P177-1)</f>
        <v>0.77863308118819408</v>
      </c>
      <c r="Z177">
        <v>2.0744268774703558</v>
      </c>
      <c r="AA177">
        <f>Q177/H177</f>
        <v>2.2385611510791366</v>
      </c>
      <c r="AB177">
        <f>AA177-Z177</f>
        <v>0.16413427360878075</v>
      </c>
      <c r="AC177" s="18">
        <v>4595.2</v>
      </c>
      <c r="AD177" s="18">
        <v>7521.05</v>
      </c>
      <c r="AE177" s="4">
        <f>AD177/AC177-1</f>
        <v>0.63671875</v>
      </c>
      <c r="AF177" s="150">
        <f>(L177*2)-X177</f>
        <v>-82.649999999999977</v>
      </c>
      <c r="AM177" s="161" t="s">
        <v>564</v>
      </c>
      <c r="AN177" s="162">
        <v>1016</v>
      </c>
      <c r="AP177" s="161" t="s">
        <v>225</v>
      </c>
      <c r="AQ177" s="162">
        <v>1230</v>
      </c>
    </row>
    <row r="178" spans="1:43" ht="15" customHeight="1">
      <c r="A178" t="s">
        <v>565</v>
      </c>
      <c r="B178" t="s">
        <v>550</v>
      </c>
      <c r="C178" s="30">
        <v>953</v>
      </c>
      <c r="D178">
        <v>934</v>
      </c>
      <c r="F178" t="s">
        <v>550</v>
      </c>
      <c r="G178" s="30">
        <v>918</v>
      </c>
      <c r="H178" s="30">
        <v>912</v>
      </c>
      <c r="I178" t="b">
        <f>IF(B178=F178,TRUE,FALSE)</f>
        <v>1</v>
      </c>
      <c r="L178">
        <f>G178-C178</f>
        <v>-35</v>
      </c>
      <c r="M178" s="4">
        <f>G178/C178-1</f>
        <v>-3.6726128016789095E-2</v>
      </c>
      <c r="N178" s="165">
        <f>H178-D178</f>
        <v>-22</v>
      </c>
      <c r="P178" s="5">
        <v>3116.67</v>
      </c>
      <c r="Q178" s="5">
        <v>2718.95</v>
      </c>
      <c r="T178" s="5">
        <v>13405.29</v>
      </c>
      <c r="X178" s="152">
        <f>Q178-P178</f>
        <v>-397.72000000000025</v>
      </c>
      <c r="Y178" s="4">
        <f>IF(P178=0,0,Q178/P178-1)</f>
        <v>-0.12761055870528493</v>
      </c>
      <c r="Z178">
        <v>3.3369057815845826</v>
      </c>
      <c r="AA178">
        <f>Q178/H178</f>
        <v>2.9813048245614033</v>
      </c>
      <c r="AB178">
        <f>AA178-Z178</f>
        <v>-0.35560095702317929</v>
      </c>
      <c r="AC178" s="18">
        <v>28550.48</v>
      </c>
      <c r="AD178" s="18">
        <v>27530.82</v>
      </c>
      <c r="AE178" s="4">
        <f>AD178/AC178-1</f>
        <v>-3.5714285714285698E-2</v>
      </c>
      <c r="AF178" s="150">
        <f>(L178*2)-X178</f>
        <v>327.72000000000025</v>
      </c>
      <c r="AG178" t="s">
        <v>566</v>
      </c>
      <c r="AM178" s="161" t="s">
        <v>567</v>
      </c>
      <c r="AN178" s="162">
        <v>913</v>
      </c>
      <c r="AP178" s="161" t="s">
        <v>475</v>
      </c>
      <c r="AQ178" s="162">
        <v>1023</v>
      </c>
    </row>
    <row r="179" spans="1:43" ht="15" customHeight="1">
      <c r="A179" t="s">
        <v>568</v>
      </c>
      <c r="B179" t="s">
        <v>569</v>
      </c>
      <c r="C179" s="30">
        <v>807</v>
      </c>
      <c r="D179">
        <v>803</v>
      </c>
      <c r="F179" t="s">
        <v>569</v>
      </c>
      <c r="G179" s="30">
        <v>974</v>
      </c>
      <c r="H179" s="30">
        <v>966</v>
      </c>
      <c r="I179" t="b">
        <f>IF(B179=F179,TRUE,FALSE)</f>
        <v>1</v>
      </c>
      <c r="L179">
        <f>G179-C179</f>
        <v>167</v>
      </c>
      <c r="M179" s="4">
        <f>G179/C179-1</f>
        <v>0.20693928128872363</v>
      </c>
      <c r="N179" s="165">
        <f>H179-D179</f>
        <v>163</v>
      </c>
      <c r="P179" s="5">
        <v>541.53</v>
      </c>
      <c r="Q179" s="5">
        <v>908.23</v>
      </c>
      <c r="T179" s="5">
        <v>2838.06</v>
      </c>
      <c r="X179" s="152">
        <f>Q179-P179</f>
        <v>366.70000000000005</v>
      </c>
      <c r="Y179" s="4">
        <f>IF(P179=0,0,Q179/P179-1)</f>
        <v>0.67715546691780704</v>
      </c>
      <c r="Z179">
        <v>0.67438356164383562</v>
      </c>
      <c r="AA179">
        <f>Q179/H179</f>
        <v>0.94019668737060047</v>
      </c>
      <c r="AB179">
        <f>AA179-Z179</f>
        <v>0.26581312572676485</v>
      </c>
      <c r="AC179" s="18">
        <v>19327.650000000001</v>
      </c>
      <c r="AD179" s="18">
        <v>23327.3</v>
      </c>
      <c r="AE179" s="4">
        <f>AD179/AC179-1</f>
        <v>0.20693928128872363</v>
      </c>
      <c r="AF179" s="150">
        <f>(L179*2)-X179</f>
        <v>-32.700000000000045</v>
      </c>
      <c r="AM179" s="161" t="s">
        <v>570</v>
      </c>
      <c r="AN179" s="162">
        <v>1171</v>
      </c>
      <c r="AP179" s="161" t="s">
        <v>571</v>
      </c>
      <c r="AQ179" s="162">
        <v>1390</v>
      </c>
    </row>
    <row r="180" spans="1:43" ht="15" customHeight="1">
      <c r="A180" t="s">
        <v>572</v>
      </c>
      <c r="B180" t="s">
        <v>573</v>
      </c>
      <c r="C180" s="30">
        <v>785</v>
      </c>
      <c r="D180">
        <v>778</v>
      </c>
      <c r="F180" t="s">
        <v>573</v>
      </c>
      <c r="G180" s="30">
        <v>952</v>
      </c>
      <c r="H180" s="30">
        <v>942</v>
      </c>
      <c r="I180" t="b">
        <f>IF(B180=F180,TRUE,FALSE)</f>
        <v>1</v>
      </c>
      <c r="L180">
        <f>G180-C180</f>
        <v>167</v>
      </c>
      <c r="M180" s="4">
        <f>G180/C180-1</f>
        <v>0.21273885350318467</v>
      </c>
      <c r="N180" s="165">
        <f>H180-D180</f>
        <v>164</v>
      </c>
      <c r="P180" s="5">
        <v>743.96</v>
      </c>
      <c r="Q180" s="5">
        <v>907.87</v>
      </c>
      <c r="T180" s="5">
        <v>4277.5600000000004</v>
      </c>
      <c r="X180" s="152">
        <f>Q180-P180</f>
        <v>163.90999999999997</v>
      </c>
      <c r="Y180" s="4">
        <f>IF(P180=0,0,Q180/P180-1)</f>
        <v>0.22032098499919339</v>
      </c>
      <c r="Z180">
        <v>0.95624678663239082</v>
      </c>
      <c r="AA180">
        <f>Q180/H180</f>
        <v>0.96376857749469214</v>
      </c>
      <c r="AB180">
        <f>AA180-Z180</f>
        <v>7.5217908623013141E-3</v>
      </c>
      <c r="AC180" s="18">
        <v>22725.75</v>
      </c>
      <c r="AD180" s="18">
        <v>28091.84</v>
      </c>
      <c r="AE180" s="4">
        <f>AD180/AC180-1</f>
        <v>0.23612378029327963</v>
      </c>
      <c r="AF180" s="150">
        <f>(L180*2)-X180</f>
        <v>170.09000000000003</v>
      </c>
      <c r="AM180" s="163" t="s">
        <v>510</v>
      </c>
      <c r="AN180" s="164">
        <v>1072</v>
      </c>
      <c r="AP180" s="163" t="s">
        <v>490</v>
      </c>
      <c r="AQ180" s="164">
        <v>1316</v>
      </c>
    </row>
    <row r="181" spans="1:43" ht="15" customHeight="1">
      <c r="A181" s="29" t="s">
        <v>574</v>
      </c>
      <c r="B181" s="29" t="s">
        <v>523</v>
      </c>
      <c r="C181" s="30">
        <v>906</v>
      </c>
      <c r="D181">
        <v>901</v>
      </c>
      <c r="E181" s="19"/>
      <c r="F181" s="29" t="s">
        <v>523</v>
      </c>
      <c r="G181" s="30">
        <v>1249</v>
      </c>
      <c r="H181" s="30">
        <v>1247</v>
      </c>
      <c r="I181" t="b">
        <f>IF(B181=F181,TRUE,FALSE)</f>
        <v>1</v>
      </c>
      <c r="J181" s="19"/>
      <c r="K181" s="19"/>
      <c r="L181">
        <f>G181-C181</f>
        <v>343</v>
      </c>
      <c r="M181" s="4">
        <f>G181/C181-1</f>
        <v>0.37858719646799122</v>
      </c>
      <c r="N181" s="165">
        <f>H181-D181</f>
        <v>346</v>
      </c>
      <c r="P181" s="18">
        <v>2572.4499999999998</v>
      </c>
      <c r="Q181" s="18">
        <v>2914.44</v>
      </c>
      <c r="R181" s="18"/>
      <c r="S181" s="18"/>
      <c r="T181" s="5">
        <v>16603.879999999997</v>
      </c>
      <c r="X181" s="152">
        <f>Q181-P181</f>
        <v>341.99000000000024</v>
      </c>
      <c r="Y181" s="4">
        <f>IF(P181=0,0,Q181/P181-1)</f>
        <v>0.13294330307683344</v>
      </c>
      <c r="Z181">
        <v>2.8551054384017758</v>
      </c>
      <c r="AA181">
        <f>Q181/H181</f>
        <v>2.3371611868484363</v>
      </c>
      <c r="AB181">
        <f>AA181-Z181</f>
        <v>-0.51794425155333945</v>
      </c>
      <c r="AC181" s="18">
        <v>19886.7</v>
      </c>
      <c r="AD181" s="18">
        <v>29347.919999999998</v>
      </c>
      <c r="AE181" s="4">
        <f>AD181/AC181-1</f>
        <v>0.47575615863868803</v>
      </c>
      <c r="AF181" s="150">
        <f>(L181*2)-X181</f>
        <v>344.00999999999976</v>
      </c>
      <c r="AM181" s="161" t="s">
        <v>285</v>
      </c>
      <c r="AN181" s="162">
        <v>1792</v>
      </c>
      <c r="AP181" s="161" t="s">
        <v>468</v>
      </c>
      <c r="AQ181" s="162">
        <v>1865</v>
      </c>
    </row>
    <row r="182" spans="1:43" ht="15" customHeight="1">
      <c r="A182" s="59" t="s">
        <v>575</v>
      </c>
      <c r="B182" s="39" t="s">
        <v>576</v>
      </c>
      <c r="C182" s="30">
        <v>184</v>
      </c>
      <c r="D182">
        <v>184</v>
      </c>
      <c r="F182" s="39" t="s">
        <v>576</v>
      </c>
      <c r="G182" s="30">
        <v>784</v>
      </c>
      <c r="H182" s="30">
        <v>784</v>
      </c>
      <c r="I182" t="b">
        <f>IF(B182=F182,TRUE,FALSE)</f>
        <v>1</v>
      </c>
      <c r="L182" s="27">
        <f>G182-C182</f>
        <v>600</v>
      </c>
      <c r="M182" s="4">
        <f>G182/C182-1</f>
        <v>3.2608695652173916</v>
      </c>
      <c r="N182" s="165">
        <f>H182-D182</f>
        <v>600</v>
      </c>
      <c r="P182" s="5">
        <v>324.58</v>
      </c>
      <c r="Q182" s="5">
        <v>1172.0999999999999</v>
      </c>
      <c r="T182" s="5">
        <v>8466.93</v>
      </c>
      <c r="X182" s="152">
        <f>Q182-P182</f>
        <v>847.52</v>
      </c>
      <c r="Y182" s="4">
        <f>IF(P182=0,0,Q182/P182-1)</f>
        <v>2.6111282272475198</v>
      </c>
      <c r="Z182">
        <v>1.7640217391304347</v>
      </c>
      <c r="AA182">
        <f>Q182/H182</f>
        <v>1.4950255102040815</v>
      </c>
      <c r="AB182">
        <f>AA182-Z182</f>
        <v>-0.26899622892635322</v>
      </c>
      <c r="AC182" s="18">
        <v>1688.45</v>
      </c>
      <c r="AD182" s="18">
        <v>12108.16</v>
      </c>
      <c r="AE182" s="4">
        <f>AD182/AC182-1</f>
        <v>6.1711688234771529</v>
      </c>
      <c r="AF182" s="150">
        <f>(L182*2)-X182</f>
        <v>352.48</v>
      </c>
      <c r="AM182" s="161" t="s">
        <v>315</v>
      </c>
      <c r="AN182" s="162">
        <v>2062</v>
      </c>
      <c r="AP182" s="161" t="s">
        <v>422</v>
      </c>
      <c r="AQ182" s="162">
        <v>2452</v>
      </c>
    </row>
    <row r="183" spans="1:43" ht="15" customHeight="1">
      <c r="A183" t="s">
        <v>577</v>
      </c>
      <c r="B183" t="s">
        <v>578</v>
      </c>
      <c r="C183" s="30">
        <v>890</v>
      </c>
      <c r="D183">
        <v>882</v>
      </c>
      <c r="F183" t="s">
        <v>578</v>
      </c>
      <c r="G183" s="30">
        <v>1071</v>
      </c>
      <c r="H183" s="30">
        <v>1065</v>
      </c>
      <c r="I183" t="b">
        <f>IF(B183=F183,TRUE,FALSE)</f>
        <v>1</v>
      </c>
      <c r="L183">
        <f>G183-C183</f>
        <v>181</v>
      </c>
      <c r="M183" s="4">
        <f>G183/C183-1</f>
        <v>0.20337078651685392</v>
      </c>
      <c r="N183" s="165">
        <f>H183-D183</f>
        <v>183</v>
      </c>
      <c r="P183" s="5">
        <v>1310.28</v>
      </c>
      <c r="Q183" s="5">
        <v>1724.08</v>
      </c>
      <c r="T183" s="5">
        <v>6994.99</v>
      </c>
      <c r="X183" s="152">
        <f>Q183-P183</f>
        <v>413.79999999999995</v>
      </c>
      <c r="Y183" s="4">
        <f>IF(P183=0,0,Q183/P183-1)</f>
        <v>0.31581036114418293</v>
      </c>
      <c r="Z183">
        <v>1.485578231292517</v>
      </c>
      <c r="AA183">
        <f>Q183/H183</f>
        <v>1.6188544600938966</v>
      </c>
      <c r="AB183">
        <f>AA183-Z183</f>
        <v>0.13327622880137957</v>
      </c>
      <c r="AC183" s="18">
        <v>22205.5</v>
      </c>
      <c r="AD183" s="18">
        <v>26646.6</v>
      </c>
      <c r="AE183" s="4">
        <f>AD183/AC183-1</f>
        <v>0.19999999999999996</v>
      </c>
      <c r="AF183" s="150">
        <f>(L183*2)-X183</f>
        <v>-51.799999999999955</v>
      </c>
      <c r="AM183" s="161" t="s">
        <v>485</v>
      </c>
      <c r="AN183" s="162">
        <v>1048</v>
      </c>
      <c r="AP183" s="161" t="s">
        <v>331</v>
      </c>
      <c r="AQ183" s="162">
        <v>2204</v>
      </c>
    </row>
    <row r="184" spans="1:43" ht="15" customHeight="1">
      <c r="A184" t="s">
        <v>579</v>
      </c>
      <c r="B184" t="s">
        <v>580</v>
      </c>
      <c r="C184" s="30">
        <v>517</v>
      </c>
      <c r="D184">
        <v>513</v>
      </c>
      <c r="F184" t="s">
        <v>580</v>
      </c>
      <c r="G184" s="30">
        <v>851</v>
      </c>
      <c r="H184" s="30">
        <v>846</v>
      </c>
      <c r="I184" t="b">
        <f>IF(B184=F184,TRUE,FALSE)</f>
        <v>1</v>
      </c>
      <c r="L184">
        <f>G184-C184</f>
        <v>334</v>
      </c>
      <c r="M184" s="4">
        <f>G184/C184-1</f>
        <v>0.64603481624758219</v>
      </c>
      <c r="N184" s="165">
        <f>H184-D184</f>
        <v>333</v>
      </c>
      <c r="P184" s="5">
        <v>422.5</v>
      </c>
      <c r="Q184" s="5">
        <v>717.28</v>
      </c>
      <c r="T184" s="5">
        <v>6403.82</v>
      </c>
      <c r="X184" s="152">
        <f>Q184-P184</f>
        <v>294.77999999999997</v>
      </c>
      <c r="Y184" s="4">
        <f>IF(P184=0,0,Q184/P184-1)</f>
        <v>0.69770414201183417</v>
      </c>
      <c r="Z184">
        <v>0.8235867446393762</v>
      </c>
      <c r="AA184">
        <f>Q184/H184</f>
        <v>0.84784869976359334</v>
      </c>
      <c r="AB184">
        <f>AA184-Z184</f>
        <v>2.4261955124217138E-2</v>
      </c>
      <c r="AC184" s="18">
        <v>13502.63</v>
      </c>
      <c r="AD184" s="18">
        <v>22382.16</v>
      </c>
      <c r="AE184" s="4">
        <f>AD184/AC184-1</f>
        <v>0.65761484984777052</v>
      </c>
      <c r="AF184" s="150">
        <f>(L184*2)-X184</f>
        <v>373.22</v>
      </c>
      <c r="AM184" s="163" t="s">
        <v>390</v>
      </c>
      <c r="AN184" s="164">
        <v>1381</v>
      </c>
      <c r="AP184" s="163" t="s">
        <v>446</v>
      </c>
      <c r="AQ184" s="164">
        <v>1814</v>
      </c>
    </row>
    <row r="185" spans="1:43" ht="15" customHeight="1">
      <c r="A185" t="s">
        <v>581</v>
      </c>
      <c r="B185" t="s">
        <v>341</v>
      </c>
      <c r="C185" s="30">
        <v>1427</v>
      </c>
      <c r="D185">
        <v>1412</v>
      </c>
      <c r="F185" t="s">
        <v>341</v>
      </c>
      <c r="G185" s="30">
        <v>1900</v>
      </c>
      <c r="H185" s="30">
        <v>1887</v>
      </c>
      <c r="I185" t="b">
        <f>IF(B185=F185,TRUE,FALSE)</f>
        <v>1</v>
      </c>
      <c r="L185">
        <f>G185-C185</f>
        <v>473</v>
      </c>
      <c r="M185" s="4">
        <f>G185/C185-1</f>
        <v>0.3314646110721795</v>
      </c>
      <c r="N185" s="165">
        <f>H185-D185</f>
        <v>475</v>
      </c>
      <c r="P185" s="5">
        <v>2521.9899999999998</v>
      </c>
      <c r="Q185" s="5">
        <v>3094.09</v>
      </c>
      <c r="T185" s="5">
        <v>22079.94</v>
      </c>
      <c r="X185" s="152">
        <f>Q185-P185</f>
        <v>572.10000000000036</v>
      </c>
      <c r="Y185" s="4">
        <f>IF(P185=0,0,Q185/P185-1)</f>
        <v>0.22684467424533827</v>
      </c>
      <c r="Z185">
        <v>1.786111898016997</v>
      </c>
      <c r="AA185">
        <f>Q185/H185</f>
        <v>1.6396873343932168</v>
      </c>
      <c r="AB185">
        <f>AA185-Z185</f>
        <v>-0.1464245636237802</v>
      </c>
      <c r="AC185" s="18">
        <v>35505.5</v>
      </c>
      <c r="AD185" s="18">
        <v>47456.01</v>
      </c>
      <c r="AE185" s="4">
        <f>AD185/AC185-1</f>
        <v>0.33658193800960423</v>
      </c>
      <c r="AF185" s="150">
        <f>(L185*2)-X185</f>
        <v>373.89999999999964</v>
      </c>
      <c r="AM185" s="161" t="s">
        <v>434</v>
      </c>
      <c r="AN185" s="162">
        <v>1891</v>
      </c>
      <c r="AP185" s="161" t="s">
        <v>582</v>
      </c>
      <c r="AQ185" s="162">
        <v>1966</v>
      </c>
    </row>
    <row r="186" spans="1:43" ht="15" customHeight="1">
      <c r="A186" t="s">
        <v>583</v>
      </c>
      <c r="B186" s="29" t="s">
        <v>510</v>
      </c>
      <c r="C186" s="31">
        <v>1076</v>
      </c>
      <c r="D186">
        <v>1072</v>
      </c>
      <c r="E186" s="19"/>
      <c r="F186" s="29" t="s">
        <v>510</v>
      </c>
      <c r="G186" s="31">
        <v>1310</v>
      </c>
      <c r="H186" s="30">
        <v>1303</v>
      </c>
      <c r="I186" t="b">
        <f>IF(B186=F186,TRUE,FALSE)</f>
        <v>1</v>
      </c>
      <c r="J186" s="19"/>
      <c r="K186" s="19"/>
      <c r="L186">
        <f>G186-C186</f>
        <v>234</v>
      </c>
      <c r="M186" s="4">
        <f>G186/C186-1</f>
        <v>0.21747211895910779</v>
      </c>
      <c r="N186" s="165">
        <f>H186-D186</f>
        <v>231</v>
      </c>
      <c r="P186" s="5">
        <v>2818.46</v>
      </c>
      <c r="Q186" s="5">
        <v>2904.97</v>
      </c>
      <c r="T186" s="5">
        <v>15969.36</v>
      </c>
      <c r="X186" s="152">
        <f>Q186-P186</f>
        <v>86.509999999999764</v>
      </c>
      <c r="Y186" s="4">
        <f>IF(P186=0,0,Q186/P186-1)</f>
        <v>3.0694066972743794E-2</v>
      </c>
      <c r="Z186">
        <v>2.6291604477611941</v>
      </c>
      <c r="AA186">
        <f>Q186/H186</f>
        <v>2.2294474290099768</v>
      </c>
      <c r="AB186">
        <f>AA186-Z186</f>
        <v>-0.39971301875121723</v>
      </c>
      <c r="AC186" s="18">
        <v>25813.24</v>
      </c>
      <c r="AD186" s="18">
        <v>31426.9</v>
      </c>
      <c r="AE186" s="4">
        <f>AD186/AC186-1</f>
        <v>0.21747211895910779</v>
      </c>
      <c r="AF186" s="150">
        <f>(L186*2)-X186</f>
        <v>381.49000000000024</v>
      </c>
      <c r="AM186" s="163" t="s">
        <v>309</v>
      </c>
      <c r="AN186" s="164">
        <v>1280</v>
      </c>
      <c r="AP186" s="163" t="s">
        <v>249</v>
      </c>
      <c r="AQ186" s="164">
        <v>1485</v>
      </c>
    </row>
    <row r="187" spans="1:43" ht="15" customHeight="1">
      <c r="A187" t="s">
        <v>584</v>
      </c>
      <c r="B187" t="s">
        <v>377</v>
      </c>
      <c r="C187" s="30">
        <v>1221</v>
      </c>
      <c r="D187">
        <v>1212</v>
      </c>
      <c r="F187" t="s">
        <v>377</v>
      </c>
      <c r="G187" s="30">
        <v>1662</v>
      </c>
      <c r="H187" s="30">
        <v>1662</v>
      </c>
      <c r="I187" t="b">
        <f>IF(B187=F187,TRUE,FALSE)</f>
        <v>1</v>
      </c>
      <c r="L187">
        <f>G187-C187</f>
        <v>441</v>
      </c>
      <c r="M187" s="4">
        <f>G187/C187-1</f>
        <v>0.36117936117936122</v>
      </c>
      <c r="N187" s="165">
        <f>H187-D187</f>
        <v>450</v>
      </c>
      <c r="P187" s="5">
        <v>531.92999999999995</v>
      </c>
      <c r="Q187" s="5">
        <v>1027.73</v>
      </c>
      <c r="T187" s="5">
        <v>7185.6399999999994</v>
      </c>
      <c r="X187" s="152">
        <f>Q187-P187</f>
        <v>495.80000000000007</v>
      </c>
      <c r="Y187" s="4">
        <f>IF(P187=0,0,Q187/P187-1)</f>
        <v>0.93207752899817664</v>
      </c>
      <c r="Z187">
        <v>0.43888613861386133</v>
      </c>
      <c r="AA187">
        <f>Q187/H187</f>
        <v>0.61836943441636583</v>
      </c>
      <c r="AB187">
        <f>AA187-Z187</f>
        <v>0.17948329580250449</v>
      </c>
      <c r="AC187" s="18">
        <v>32935.64</v>
      </c>
      <c r="AD187" s="18">
        <v>44313.22</v>
      </c>
      <c r="AE187" s="4">
        <f>AD187/AC187-1</f>
        <v>0.34544888151558628</v>
      </c>
      <c r="AF187" s="150">
        <f>(L187*2)-X187</f>
        <v>386.19999999999993</v>
      </c>
      <c r="AM187" s="161" t="s">
        <v>449</v>
      </c>
      <c r="AN187" s="162">
        <v>1728</v>
      </c>
      <c r="AP187" s="161" t="s">
        <v>59</v>
      </c>
      <c r="AQ187" s="162">
        <v>1829</v>
      </c>
    </row>
    <row r="188" spans="1:43" ht="15" customHeight="1">
      <c r="A188" t="s">
        <v>585</v>
      </c>
      <c r="B188" t="s">
        <v>586</v>
      </c>
      <c r="C188" s="30">
        <v>618</v>
      </c>
      <c r="D188">
        <v>614</v>
      </c>
      <c r="F188" t="s">
        <v>586</v>
      </c>
      <c r="G188" s="30">
        <v>812</v>
      </c>
      <c r="H188" s="30">
        <v>811</v>
      </c>
      <c r="I188" t="b">
        <f>IF(B188=F188,TRUE,FALSE)</f>
        <v>1</v>
      </c>
      <c r="L188">
        <f>G188-C188</f>
        <v>194</v>
      </c>
      <c r="M188" s="4">
        <f>G188/C188-1</f>
        <v>0.31391585760517793</v>
      </c>
      <c r="N188" s="165">
        <f>H188-D188</f>
        <v>197</v>
      </c>
      <c r="P188" s="5">
        <v>832.11</v>
      </c>
      <c r="Q188" s="5">
        <v>1034.71</v>
      </c>
      <c r="T188" s="5">
        <v>4375.33</v>
      </c>
      <c r="X188" s="152">
        <f>Q188-P188</f>
        <v>202.60000000000002</v>
      </c>
      <c r="Y188" s="4">
        <f>IF(P188=0,0,Q188/P188-1)</f>
        <v>0.24347742485969404</v>
      </c>
      <c r="Z188">
        <v>1.3552280130293159</v>
      </c>
      <c r="AA188">
        <f>Q188/H188</f>
        <v>1.2758446362515414</v>
      </c>
      <c r="AB188">
        <f>AA188-Z188</f>
        <v>-7.9383376777774517E-2</v>
      </c>
      <c r="AC188" s="18">
        <v>13565.1</v>
      </c>
      <c r="AD188" s="18">
        <v>17823.400000000001</v>
      </c>
      <c r="AE188" s="4">
        <f>AD188/AC188-1</f>
        <v>0.31391585760517815</v>
      </c>
      <c r="AF188" s="150">
        <f>(L188*2)-X188</f>
        <v>185.39999999999998</v>
      </c>
      <c r="AM188" s="163" t="s">
        <v>294</v>
      </c>
      <c r="AN188" s="164">
        <v>963</v>
      </c>
      <c r="AP188" s="163" t="s">
        <v>587</v>
      </c>
      <c r="AQ188" s="164">
        <v>1218</v>
      </c>
    </row>
    <row r="189" spans="1:43" ht="15" customHeight="1">
      <c r="A189" t="s">
        <v>588</v>
      </c>
      <c r="B189" t="s">
        <v>589</v>
      </c>
      <c r="C189" s="30">
        <v>792</v>
      </c>
      <c r="D189">
        <v>780</v>
      </c>
      <c r="F189" t="s">
        <v>589</v>
      </c>
      <c r="G189" s="30">
        <v>998</v>
      </c>
      <c r="H189" s="30">
        <v>994</v>
      </c>
      <c r="I189" t="b">
        <f>IF(B189=F189,TRUE,FALSE)</f>
        <v>1</v>
      </c>
      <c r="L189">
        <f>G189-C189</f>
        <v>206</v>
      </c>
      <c r="M189" s="4">
        <f>G189/C189-1</f>
        <v>0.26010101010101017</v>
      </c>
      <c r="N189" s="165">
        <f>H189-D189</f>
        <v>214</v>
      </c>
      <c r="P189" s="5">
        <v>451.31</v>
      </c>
      <c r="Q189" s="5">
        <v>617.13</v>
      </c>
      <c r="T189" s="5">
        <v>2062.98</v>
      </c>
      <c r="X189" s="152">
        <f>Q189-P189</f>
        <v>165.82</v>
      </c>
      <c r="Y189" s="4">
        <f>IF(P189=0,0,Q189/P189-1)</f>
        <v>0.36741929050984901</v>
      </c>
      <c r="Z189">
        <v>0.57860256410256405</v>
      </c>
      <c r="AA189">
        <f>Q189/H189</f>
        <v>0.62085513078470822</v>
      </c>
      <c r="AB189">
        <f>AA189-Z189</f>
        <v>4.2252566682144166E-2</v>
      </c>
      <c r="AC189" s="18">
        <v>15800.4</v>
      </c>
      <c r="AD189" s="18">
        <v>19910.099999999999</v>
      </c>
      <c r="AE189" s="4">
        <f>AD189/AC189-1</f>
        <v>0.26010101010100994</v>
      </c>
      <c r="AF189" s="150">
        <f>(L189*2)-X189</f>
        <v>246.18</v>
      </c>
      <c r="AM189" s="163" t="s">
        <v>334</v>
      </c>
      <c r="AN189" s="164">
        <v>1653</v>
      </c>
      <c r="AP189" s="163" t="s">
        <v>590</v>
      </c>
      <c r="AQ189" s="164">
        <v>1373</v>
      </c>
    </row>
    <row r="190" spans="1:43" ht="15" customHeight="1">
      <c r="A190" t="s">
        <v>591</v>
      </c>
      <c r="B190" t="s">
        <v>592</v>
      </c>
      <c r="C190" s="30">
        <v>328</v>
      </c>
      <c r="D190">
        <v>324</v>
      </c>
      <c r="F190" t="s">
        <v>592</v>
      </c>
      <c r="G190" s="30">
        <v>546</v>
      </c>
      <c r="H190" s="30">
        <v>542</v>
      </c>
      <c r="I190" t="b">
        <f>IF(B190=F190,TRUE,FALSE)</f>
        <v>1</v>
      </c>
      <c r="L190">
        <f>G190-C190</f>
        <v>218</v>
      </c>
      <c r="M190" s="4">
        <f>G190/C190-1</f>
        <v>0.66463414634146334</v>
      </c>
      <c r="N190" s="165">
        <f>H190-D190</f>
        <v>218</v>
      </c>
      <c r="P190" s="5">
        <v>0</v>
      </c>
      <c r="Q190" s="5">
        <v>0</v>
      </c>
      <c r="T190" s="5">
        <v>0</v>
      </c>
      <c r="X190" s="152">
        <f>Q190-P190</f>
        <v>0</v>
      </c>
      <c r="Y190" s="4">
        <f>IF(P190=0,0,Q190/P190-1)</f>
        <v>0</v>
      </c>
      <c r="Z190">
        <v>0</v>
      </c>
      <c r="AA190">
        <f>Q190/H190</f>
        <v>0</v>
      </c>
      <c r="AB190">
        <f>AA190-Z190</f>
        <v>0</v>
      </c>
      <c r="AC190" s="18">
        <v>6523.65</v>
      </c>
      <c r="AD190" s="18">
        <v>10872.75</v>
      </c>
      <c r="AE190" s="4">
        <f>AD190/AC190-1</f>
        <v>0.66666666666666674</v>
      </c>
      <c r="AF190" s="150">
        <f>(L190*2)-X190</f>
        <v>436</v>
      </c>
      <c r="AM190" s="161" t="s">
        <v>554</v>
      </c>
      <c r="AN190" s="162">
        <v>1230</v>
      </c>
      <c r="AP190" s="161" t="s">
        <v>264</v>
      </c>
      <c r="AQ190" s="162">
        <v>1978</v>
      </c>
    </row>
    <row r="191" spans="1:43" ht="15" customHeight="1">
      <c r="A191" t="s">
        <v>593</v>
      </c>
      <c r="B191" t="s">
        <v>594</v>
      </c>
      <c r="C191" s="30">
        <v>563</v>
      </c>
      <c r="D191">
        <v>555</v>
      </c>
      <c r="F191" t="s">
        <v>594</v>
      </c>
      <c r="G191" s="30">
        <v>784</v>
      </c>
      <c r="H191" s="30">
        <v>784</v>
      </c>
      <c r="I191" t="b">
        <f>IF(B191=F191,TRUE,FALSE)</f>
        <v>1</v>
      </c>
      <c r="L191" s="27">
        <f>G191-C191</f>
        <v>221</v>
      </c>
      <c r="M191" s="4">
        <f>G191/C191-1</f>
        <v>0.39253996447602124</v>
      </c>
      <c r="N191" s="165">
        <f>H191-D191</f>
        <v>229</v>
      </c>
      <c r="P191" s="5">
        <v>798.21</v>
      </c>
      <c r="Q191" s="5">
        <v>1199.98</v>
      </c>
      <c r="T191" s="5">
        <v>4037.85</v>
      </c>
      <c r="X191" s="152">
        <f>Q191-P191</f>
        <v>401.77</v>
      </c>
      <c r="Y191" s="4">
        <f>IF(P191=0,0,Q191/P191-1)</f>
        <v>0.50333872038686556</v>
      </c>
      <c r="Z191">
        <v>1.4382162162162162</v>
      </c>
      <c r="AA191">
        <f>Q191/H191</f>
        <v>1.5305867346938775</v>
      </c>
      <c r="AB191">
        <f>AA191-Z191</f>
        <v>9.2370518477661312E-2</v>
      </c>
      <c r="AC191" s="18">
        <v>12335.9</v>
      </c>
      <c r="AD191" s="18">
        <v>17208.8</v>
      </c>
      <c r="AE191" s="4">
        <f>AD191/AC191-1</f>
        <v>0.395017793594306</v>
      </c>
      <c r="AF191" s="150">
        <f>(L191*2)-X191</f>
        <v>40.230000000000018</v>
      </c>
      <c r="AM191" s="161" t="s">
        <v>595</v>
      </c>
      <c r="AN191" s="162">
        <v>1061</v>
      </c>
      <c r="AP191" s="161" t="s">
        <v>596</v>
      </c>
      <c r="AQ191" s="162">
        <v>1311</v>
      </c>
    </row>
    <row r="192" spans="1:43" ht="15" customHeight="1">
      <c r="A192" t="s">
        <v>597</v>
      </c>
      <c r="B192" t="s">
        <v>598</v>
      </c>
      <c r="C192" s="30">
        <v>954</v>
      </c>
      <c r="D192">
        <v>935</v>
      </c>
      <c r="F192" t="s">
        <v>598</v>
      </c>
      <c r="G192" s="30">
        <v>1177</v>
      </c>
      <c r="H192" s="30">
        <v>1170</v>
      </c>
      <c r="I192" t="b">
        <f>IF(B192=F192,TRUE,FALSE)</f>
        <v>1</v>
      </c>
      <c r="L192">
        <f>G192-C192</f>
        <v>223</v>
      </c>
      <c r="M192" s="4">
        <f>G192/C192-1</f>
        <v>0.23375262054507329</v>
      </c>
      <c r="N192" s="165">
        <f>H192-D192</f>
        <v>235</v>
      </c>
      <c r="P192" s="5">
        <v>422.85</v>
      </c>
      <c r="Q192" s="5">
        <v>846.95</v>
      </c>
      <c r="T192" s="5">
        <v>1677.6</v>
      </c>
      <c r="X192" s="152">
        <f>Q192-P192</f>
        <v>424.1</v>
      </c>
      <c r="Y192" s="4">
        <f>IF(P192=0,0,Q192/P192-1)</f>
        <v>1.0029561310157264</v>
      </c>
      <c r="Z192">
        <v>0.45224598930481286</v>
      </c>
      <c r="AA192">
        <f>Q192/H192</f>
        <v>0.72388888888888892</v>
      </c>
      <c r="AB192">
        <f>AA192-Z192</f>
        <v>0.27164289958407606</v>
      </c>
      <c r="AC192" s="18">
        <v>33342.300000000003</v>
      </c>
      <c r="AD192" s="18">
        <v>41101.199999999997</v>
      </c>
      <c r="AE192" s="4">
        <f>AD192/AC192-1</f>
        <v>0.232704402515723</v>
      </c>
      <c r="AF192" s="150">
        <f>(L192*2)-X192</f>
        <v>21.899999999999977</v>
      </c>
      <c r="AM192" s="163" t="s">
        <v>456</v>
      </c>
      <c r="AN192" s="164">
        <v>1187</v>
      </c>
      <c r="AP192" s="163" t="s">
        <v>564</v>
      </c>
      <c r="AQ192" s="164">
        <v>1423</v>
      </c>
    </row>
    <row r="193" spans="1:43" ht="15" customHeight="1">
      <c r="A193" t="s">
        <v>599</v>
      </c>
      <c r="B193" t="s">
        <v>600</v>
      </c>
      <c r="C193" s="30">
        <v>683</v>
      </c>
      <c r="D193">
        <v>678</v>
      </c>
      <c r="F193" t="s">
        <v>600</v>
      </c>
      <c r="G193" s="30">
        <v>913</v>
      </c>
      <c r="H193" s="30">
        <v>908</v>
      </c>
      <c r="I193" t="b">
        <f>IF(B193=F193,TRUE,FALSE)</f>
        <v>1</v>
      </c>
      <c r="L193">
        <f>G193-C193</f>
        <v>230</v>
      </c>
      <c r="M193" s="4">
        <f>G193/C193-1</f>
        <v>0.33674963396778912</v>
      </c>
      <c r="N193" s="165">
        <f>H193-D193</f>
        <v>230</v>
      </c>
      <c r="P193" s="5">
        <v>505.29</v>
      </c>
      <c r="Q193" s="5">
        <v>869.47</v>
      </c>
      <c r="T193" s="5">
        <v>3107.64</v>
      </c>
      <c r="X193" s="152">
        <f>Q193-P193</f>
        <v>364.18</v>
      </c>
      <c r="Y193" s="4">
        <f>IF(P193=0,0,Q193/P193-1)</f>
        <v>0.72073462763957319</v>
      </c>
      <c r="Z193">
        <v>0.74526548672566373</v>
      </c>
      <c r="AA193">
        <f>Q193/H193</f>
        <v>0.95756607929515425</v>
      </c>
      <c r="AB193">
        <f>AA193-Z193</f>
        <v>0.21230059256949052</v>
      </c>
      <c r="AC193" s="18">
        <v>19772.849999999999</v>
      </c>
      <c r="AD193" s="18">
        <v>26431.35</v>
      </c>
      <c r="AE193" s="4">
        <f>AD193/AC193-1</f>
        <v>0.33674963396778912</v>
      </c>
      <c r="AF193" s="150">
        <f>(L193*2)-X193</f>
        <v>95.82</v>
      </c>
      <c r="AM193" s="161" t="s">
        <v>587</v>
      </c>
      <c r="AN193" s="162">
        <v>1082</v>
      </c>
      <c r="AP193" s="161" t="s">
        <v>372</v>
      </c>
      <c r="AQ193" s="162">
        <v>1355</v>
      </c>
    </row>
    <row r="194" spans="1:43" ht="15" customHeight="1">
      <c r="A194" t="s">
        <v>601</v>
      </c>
      <c r="B194" t="s">
        <v>270</v>
      </c>
      <c r="C194" s="30">
        <v>1254</v>
      </c>
      <c r="D194">
        <v>1247</v>
      </c>
      <c r="F194" t="s">
        <v>270</v>
      </c>
      <c r="G194" s="30">
        <v>1998</v>
      </c>
      <c r="H194" s="30">
        <v>1997</v>
      </c>
      <c r="I194" t="b">
        <f>IF(B194=F194,TRUE,FALSE)</f>
        <v>1</v>
      </c>
      <c r="L194" s="27">
        <f>G194-C194</f>
        <v>744</v>
      </c>
      <c r="M194" s="4">
        <f>G194/C194-1</f>
        <v>0.59330143540669855</v>
      </c>
      <c r="N194" s="165">
        <f>H194-D194</f>
        <v>750</v>
      </c>
      <c r="P194" s="5">
        <v>2427.1799999999998</v>
      </c>
      <c r="Q194" s="5">
        <v>3438.53</v>
      </c>
      <c r="T194" s="5">
        <v>20920.310000000001</v>
      </c>
      <c r="X194" s="152">
        <f>Q194-P194</f>
        <v>1011.3500000000004</v>
      </c>
      <c r="Y194" s="4">
        <f>IF(P194=0,0,Q194/P194-1)</f>
        <v>0.41667696668561893</v>
      </c>
      <c r="Z194">
        <v>1.9464153969526863</v>
      </c>
      <c r="AA194">
        <f>Q194/H194</f>
        <v>1.7218477716574863</v>
      </c>
      <c r="AB194">
        <f>AA194-Z194</f>
        <v>-0.22456762529520002</v>
      </c>
      <c r="AC194" s="18">
        <v>43877.46</v>
      </c>
      <c r="AD194" s="18">
        <v>72665.649999999994</v>
      </c>
      <c r="AE194" s="4">
        <f>AD194/AC194-1</f>
        <v>0.65610429591867891</v>
      </c>
      <c r="AF194" s="150">
        <f>(L194*2)-X194</f>
        <v>476.64999999999964</v>
      </c>
      <c r="AM194" s="163" t="s">
        <v>182</v>
      </c>
      <c r="AN194" s="164">
        <v>2260</v>
      </c>
      <c r="AP194" s="163" t="s">
        <v>602</v>
      </c>
      <c r="AQ194" s="164">
        <v>2933</v>
      </c>
    </row>
    <row r="195" spans="1:43" ht="15" customHeight="1">
      <c r="A195" t="s">
        <v>603</v>
      </c>
      <c r="B195" t="s">
        <v>505</v>
      </c>
      <c r="C195" s="30">
        <v>796</v>
      </c>
      <c r="D195">
        <v>785</v>
      </c>
      <c r="F195" t="s">
        <v>505</v>
      </c>
      <c r="G195" s="30">
        <v>1190</v>
      </c>
      <c r="H195" s="30">
        <v>1185</v>
      </c>
      <c r="I195" t="b">
        <f>IF(B195=F195,TRUE,FALSE)</f>
        <v>1</v>
      </c>
      <c r="L195">
        <f>G195-C195</f>
        <v>394</v>
      </c>
      <c r="M195" s="4">
        <f>G195/C195-1</f>
        <v>0.49497487437185939</v>
      </c>
      <c r="N195" s="165">
        <f>H195-D195</f>
        <v>400</v>
      </c>
      <c r="P195" s="5">
        <v>1654.17</v>
      </c>
      <c r="Q195" s="5">
        <v>1940.49</v>
      </c>
      <c r="T195" s="5">
        <v>11867.71</v>
      </c>
      <c r="X195" s="152">
        <f>Q195-P195</f>
        <v>286.31999999999994</v>
      </c>
      <c r="Y195" s="4">
        <f>IF(P195=0,0,Q195/P195-1)</f>
        <v>0.1730898275267958</v>
      </c>
      <c r="Z195">
        <v>2.1072229299363059</v>
      </c>
      <c r="AA195">
        <f>Q195/H195</f>
        <v>1.6375443037974684</v>
      </c>
      <c r="AB195">
        <f>AA195-Z195</f>
        <v>-0.46967862613883749</v>
      </c>
      <c r="AC195" s="18">
        <v>13843.04</v>
      </c>
      <c r="AD195" s="18">
        <v>20787.099999999999</v>
      </c>
      <c r="AE195" s="4">
        <f>AD195/AC195-1</f>
        <v>0.50162825506536124</v>
      </c>
      <c r="AF195" s="150">
        <f>(L195*2)-X195</f>
        <v>501.68000000000006</v>
      </c>
      <c r="AM195" s="161" t="s">
        <v>116</v>
      </c>
      <c r="AN195" s="162">
        <v>1602</v>
      </c>
      <c r="AP195" s="161" t="s">
        <v>351</v>
      </c>
      <c r="AQ195" s="162">
        <v>1714</v>
      </c>
    </row>
    <row r="196" spans="1:43" ht="15" customHeight="1">
      <c r="A196" t="s">
        <v>604</v>
      </c>
      <c r="B196" s="29" t="s">
        <v>605</v>
      </c>
      <c r="C196" s="30">
        <v>1246</v>
      </c>
      <c r="D196">
        <v>1244</v>
      </c>
      <c r="F196" s="29" t="s">
        <v>605</v>
      </c>
      <c r="G196" s="30">
        <v>1873</v>
      </c>
      <c r="H196" s="30">
        <v>1869</v>
      </c>
      <c r="I196" t="b">
        <f>IF(B196=F196,TRUE,FALSE)</f>
        <v>1</v>
      </c>
      <c r="L196">
        <f>G196-C196</f>
        <v>627</v>
      </c>
      <c r="M196" s="4">
        <f>G196/C196-1</f>
        <v>0.5032102728731942</v>
      </c>
      <c r="N196" s="165">
        <f>H196-D196</f>
        <v>625</v>
      </c>
      <c r="P196" s="5">
        <v>2000.74</v>
      </c>
      <c r="Q196" s="5">
        <v>2750.65</v>
      </c>
      <c r="T196" s="5">
        <v>18576.77</v>
      </c>
      <c r="X196" s="152">
        <f>Q196-P196</f>
        <v>749.91000000000008</v>
      </c>
      <c r="Y196" s="4">
        <f>IF(P196=0,0,Q196/P196-1)</f>
        <v>0.37481631796235404</v>
      </c>
      <c r="Z196">
        <v>1.6083118971061092</v>
      </c>
      <c r="AA196">
        <f>Q196/H196</f>
        <v>1.4717228464419476</v>
      </c>
      <c r="AB196">
        <f>AA196-Z196</f>
        <v>-0.1365890506641616</v>
      </c>
      <c r="AC196" s="18">
        <v>34343.549999999996</v>
      </c>
      <c r="AD196" s="18">
        <v>51356.28</v>
      </c>
      <c r="AE196" s="4">
        <f>AD196/AC196-1</f>
        <v>0.49536899941910506</v>
      </c>
      <c r="AF196" s="150">
        <f>(L196*2)-X196</f>
        <v>504.08999999999992</v>
      </c>
      <c r="AM196" s="161" t="s">
        <v>314</v>
      </c>
      <c r="AN196" s="162">
        <v>1804</v>
      </c>
      <c r="AP196" s="161" t="s">
        <v>44</v>
      </c>
      <c r="AQ196" s="162">
        <v>4670</v>
      </c>
    </row>
    <row r="197" spans="1:43" ht="15" customHeight="1">
      <c r="A197" t="s">
        <v>606</v>
      </c>
      <c r="B197" t="s">
        <v>607</v>
      </c>
      <c r="C197" s="30">
        <v>296</v>
      </c>
      <c r="D197">
        <v>293</v>
      </c>
      <c r="F197" t="s">
        <v>607</v>
      </c>
      <c r="G197" s="30">
        <v>389</v>
      </c>
      <c r="H197" s="30">
        <v>385</v>
      </c>
      <c r="I197" t="b">
        <f>IF(B197=F197,TRUE,FALSE)</f>
        <v>1</v>
      </c>
      <c r="L197">
        <f>G197-C197</f>
        <v>93</v>
      </c>
      <c r="M197" s="4">
        <f>G197/C197-1</f>
        <v>0.31418918918918926</v>
      </c>
      <c r="N197" s="165">
        <f>H197-D197</f>
        <v>92</v>
      </c>
      <c r="P197" s="5">
        <v>1584.45</v>
      </c>
      <c r="Q197" s="5">
        <v>1264.1099999999999</v>
      </c>
      <c r="T197" s="5">
        <v>7523.6900000000005</v>
      </c>
      <c r="X197" s="152">
        <f>Q197-P197</f>
        <v>-320.34000000000015</v>
      </c>
      <c r="Y197" s="4">
        <f>IF(P197=0,0,Q197/P197-1)</f>
        <v>-0.20217741172015535</v>
      </c>
      <c r="Z197">
        <v>5.4076791808873725</v>
      </c>
      <c r="AA197">
        <f>Q197/H197</f>
        <v>3.2834025974025973</v>
      </c>
      <c r="AB197">
        <f>AA197-Z197</f>
        <v>-2.1242765834847752</v>
      </c>
      <c r="AC197" s="18">
        <v>7795.8099999999995</v>
      </c>
      <c r="AD197" s="18">
        <v>10208.98</v>
      </c>
      <c r="AE197" s="4">
        <f>AD197/AC197-1</f>
        <v>0.30954705155718276</v>
      </c>
      <c r="AF197" s="150">
        <f>(L197*2)-X197</f>
        <v>506.34000000000015</v>
      </c>
      <c r="AM197" s="161" t="s">
        <v>213</v>
      </c>
      <c r="AN197" s="162">
        <v>2451</v>
      </c>
      <c r="AP197" s="161" t="s">
        <v>608</v>
      </c>
      <c r="AQ197" s="162">
        <v>1376</v>
      </c>
    </row>
    <row r="198" spans="1:43" ht="15" customHeight="1">
      <c r="A198" t="s">
        <v>609</v>
      </c>
      <c r="B198" t="s">
        <v>182</v>
      </c>
      <c r="C198" s="30">
        <v>2275</v>
      </c>
      <c r="D198">
        <v>2260</v>
      </c>
      <c r="F198" t="s">
        <v>182</v>
      </c>
      <c r="G198" s="30">
        <v>2952</v>
      </c>
      <c r="H198" s="30">
        <v>2938</v>
      </c>
      <c r="I198" t="b">
        <f>IF(B198=F198,TRUE,FALSE)</f>
        <v>1</v>
      </c>
      <c r="L198">
        <f>G198-C198</f>
        <v>677</v>
      </c>
      <c r="M198" s="4">
        <f>G198/C198-1</f>
        <v>0.29758241758241755</v>
      </c>
      <c r="N198" s="165">
        <f>H198-D198</f>
        <v>678</v>
      </c>
      <c r="P198" s="5">
        <v>2386.3000000000002</v>
      </c>
      <c r="Q198" s="5">
        <v>3218.44</v>
      </c>
      <c r="T198" s="5">
        <v>23560.79</v>
      </c>
      <c r="X198" s="152">
        <f>Q198-P198</f>
        <v>832.13999999999987</v>
      </c>
      <c r="Y198" s="4">
        <f>IF(P198=0,0,Q198/P198-1)</f>
        <v>0.34871558479654685</v>
      </c>
      <c r="Z198">
        <v>1.0558849557522125</v>
      </c>
      <c r="AA198">
        <f>Q198/H198</f>
        <v>1.0954526889040164</v>
      </c>
      <c r="AB198">
        <f>AA198-Z198</f>
        <v>3.9567733151803841E-2</v>
      </c>
      <c r="AC198" s="18">
        <v>68136.290000000008</v>
      </c>
      <c r="AD198" s="18">
        <v>88352.5</v>
      </c>
      <c r="AE198" s="4">
        <f>AD198/AC198-1</f>
        <v>0.29670253546237979</v>
      </c>
      <c r="AF198" s="150">
        <f>(L198*2)-X198</f>
        <v>521.86000000000013</v>
      </c>
      <c r="AM198" s="161" t="s">
        <v>62</v>
      </c>
      <c r="AN198" s="162">
        <v>2225</v>
      </c>
      <c r="AP198" s="161" t="s">
        <v>216</v>
      </c>
      <c r="AQ198" s="162">
        <v>2329</v>
      </c>
    </row>
    <row r="199" spans="1:43" ht="15" customHeight="1">
      <c r="A199" t="s">
        <v>610</v>
      </c>
      <c r="B199" t="s">
        <v>611</v>
      </c>
      <c r="C199" s="30">
        <v>699</v>
      </c>
      <c r="D199">
        <v>694</v>
      </c>
      <c r="F199" t="s">
        <v>611</v>
      </c>
      <c r="G199" s="30">
        <v>961</v>
      </c>
      <c r="H199" s="30">
        <v>958</v>
      </c>
      <c r="I199" t="b">
        <f>IF(B199=F199,TRUE,FALSE)</f>
        <v>1</v>
      </c>
      <c r="L199">
        <f>G199-C199</f>
        <v>262</v>
      </c>
      <c r="M199" s="4">
        <f>G199/C199-1</f>
        <v>0.37482117310443486</v>
      </c>
      <c r="N199" s="165">
        <f>H199-D199</f>
        <v>264</v>
      </c>
      <c r="P199" s="5">
        <v>1026.83</v>
      </c>
      <c r="Q199" s="5">
        <v>2016.01</v>
      </c>
      <c r="T199" s="5">
        <v>5827.2</v>
      </c>
      <c r="X199" s="152">
        <f>Q199-P199</f>
        <v>989.18000000000006</v>
      </c>
      <c r="Y199" s="4">
        <f>IF(P199=0,0,Q199/P199-1)</f>
        <v>0.96333375534411747</v>
      </c>
      <c r="Z199">
        <v>1.4795821325648415</v>
      </c>
      <c r="AA199">
        <f>Q199/H199</f>
        <v>2.1043945720250523</v>
      </c>
      <c r="AB199">
        <f>AA199-Z199</f>
        <v>0.62481243946021081</v>
      </c>
      <c r="AC199" s="18">
        <v>18838.05</v>
      </c>
      <c r="AD199" s="18">
        <v>25898.95</v>
      </c>
      <c r="AE199" s="4">
        <f>AD199/AC199-1</f>
        <v>0.37482117310443508</v>
      </c>
      <c r="AF199" s="150">
        <f>(L199*2)-X199</f>
        <v>-465.18000000000006</v>
      </c>
      <c r="AM199" s="163" t="s">
        <v>495</v>
      </c>
      <c r="AN199" s="164">
        <v>1036</v>
      </c>
      <c r="AP199" s="163" t="s">
        <v>284</v>
      </c>
      <c r="AQ199" s="164">
        <v>1291</v>
      </c>
    </row>
    <row r="200" spans="1:43" ht="15" customHeight="1">
      <c r="A200" t="s">
        <v>612</v>
      </c>
      <c r="B200" t="s">
        <v>613</v>
      </c>
      <c r="C200" s="30">
        <v>415</v>
      </c>
      <c r="D200">
        <v>410</v>
      </c>
      <c r="F200" t="s">
        <v>613</v>
      </c>
      <c r="G200" s="30">
        <v>576</v>
      </c>
      <c r="H200" s="30">
        <v>571</v>
      </c>
      <c r="I200" t="b">
        <f>IF(B200=F200,TRUE,FALSE)</f>
        <v>1</v>
      </c>
      <c r="L200">
        <f>G200-C200</f>
        <v>161</v>
      </c>
      <c r="M200" s="4">
        <f>G200/C200-1</f>
        <v>0.38795180722891565</v>
      </c>
      <c r="N200" s="165">
        <f>H200-D200</f>
        <v>161</v>
      </c>
      <c r="P200" s="5">
        <v>273.39999999999998</v>
      </c>
      <c r="Q200" s="5">
        <v>234.93</v>
      </c>
      <c r="T200" s="5">
        <v>0</v>
      </c>
      <c r="X200" s="152">
        <f>Q200-P200</f>
        <v>-38.46999999999997</v>
      </c>
      <c r="Y200" s="4">
        <f>IF(P200=0,0,Q200/P200-1)</f>
        <v>-0.14070958302852954</v>
      </c>
      <c r="Z200">
        <v>0.66682926829268285</v>
      </c>
      <c r="AA200">
        <f>Q200/H200</f>
        <v>0.41143607705779334</v>
      </c>
      <c r="AB200">
        <f>AA200-Z200</f>
        <v>-0.25539319123488952</v>
      </c>
      <c r="AC200" s="18">
        <v>16481.55</v>
      </c>
      <c r="AD200" s="18">
        <v>22384.75</v>
      </c>
      <c r="AE200" s="4">
        <f>AD200/AC200-1</f>
        <v>0.35817019637109371</v>
      </c>
      <c r="AF200" s="150">
        <f>(L200*2)-X200</f>
        <v>360.46999999999997</v>
      </c>
      <c r="AM200" s="163" t="s">
        <v>523</v>
      </c>
      <c r="AN200" s="164">
        <v>901</v>
      </c>
      <c r="AP200" s="163" t="s">
        <v>605</v>
      </c>
      <c r="AQ200" s="164">
        <v>1869</v>
      </c>
    </row>
    <row r="201" spans="1:43" ht="15" customHeight="1">
      <c r="A201" t="s">
        <v>614</v>
      </c>
      <c r="B201" t="s">
        <v>615</v>
      </c>
      <c r="C201" s="30">
        <v>1069</v>
      </c>
      <c r="D201">
        <v>1058</v>
      </c>
      <c r="F201" t="s">
        <v>615</v>
      </c>
      <c r="G201" s="30">
        <v>1373</v>
      </c>
      <c r="H201" s="30">
        <v>1360</v>
      </c>
      <c r="I201" t="b">
        <f>IF(B201=F201,TRUE,FALSE)</f>
        <v>1</v>
      </c>
      <c r="L201">
        <f>G201-C201</f>
        <v>304</v>
      </c>
      <c r="M201" s="4">
        <f>G201/C201-1</f>
        <v>0.28437792329279699</v>
      </c>
      <c r="N201" s="165">
        <f>H201-D201</f>
        <v>302</v>
      </c>
      <c r="P201" s="5">
        <v>1137.68</v>
      </c>
      <c r="Q201" s="5">
        <v>1826.93</v>
      </c>
      <c r="T201" s="5">
        <v>7299.58</v>
      </c>
      <c r="X201" s="152">
        <f>Q201-P201</f>
        <v>689.25</v>
      </c>
      <c r="Y201" s="4">
        <f>IF(P201=0,0,Q201/P201-1)</f>
        <v>0.60583819703255748</v>
      </c>
      <c r="Z201">
        <v>1.0753119092627599</v>
      </c>
      <c r="AA201">
        <f>Q201/H201</f>
        <v>1.3433308823529413</v>
      </c>
      <c r="AB201">
        <f>AA201-Z201</f>
        <v>0.26801897309018141</v>
      </c>
      <c r="AC201" s="18">
        <v>28716.6</v>
      </c>
      <c r="AD201" s="18">
        <v>36747.599999999999</v>
      </c>
      <c r="AE201" s="4">
        <f>AD201/AC201-1</f>
        <v>0.27966402707841453</v>
      </c>
      <c r="AF201" s="150">
        <f>(L201*2)-X201</f>
        <v>-81.25</v>
      </c>
      <c r="AM201" s="161" t="s">
        <v>181</v>
      </c>
      <c r="AN201" s="162">
        <v>1198</v>
      </c>
      <c r="AP201" s="161" t="s">
        <v>326</v>
      </c>
      <c r="AQ201" s="162">
        <v>1210</v>
      </c>
    </row>
    <row r="202" spans="1:43" ht="15" customHeight="1">
      <c r="A202" t="s">
        <v>616</v>
      </c>
      <c r="B202" t="s">
        <v>617</v>
      </c>
      <c r="C202" s="30">
        <v>721</v>
      </c>
      <c r="D202">
        <v>717</v>
      </c>
      <c r="F202" t="s">
        <v>617</v>
      </c>
      <c r="G202" s="30">
        <v>1031</v>
      </c>
      <c r="H202" s="30">
        <v>1030</v>
      </c>
      <c r="I202" t="b">
        <f>IF(B202=F202,TRUE,FALSE)</f>
        <v>1</v>
      </c>
      <c r="L202">
        <f>G202-C202</f>
        <v>310</v>
      </c>
      <c r="M202" s="4">
        <f>G202/C202-1</f>
        <v>0.4299583911234397</v>
      </c>
      <c r="N202" s="165">
        <f>H202-D202</f>
        <v>313</v>
      </c>
      <c r="P202" s="5">
        <v>930.73</v>
      </c>
      <c r="Q202" s="5">
        <v>1552.52</v>
      </c>
      <c r="T202" s="5">
        <v>3910.89</v>
      </c>
      <c r="X202" s="152">
        <f>Q202-P202</f>
        <v>621.79</v>
      </c>
      <c r="Y202" s="4">
        <f>IF(P202=0,0,Q202/P202-1)</f>
        <v>0.66806700117112361</v>
      </c>
      <c r="Z202">
        <v>1.2980892608089261</v>
      </c>
      <c r="AA202">
        <f>Q202/H202</f>
        <v>1.5073009708737863</v>
      </c>
      <c r="AB202">
        <f>AA202-Z202</f>
        <v>0.20921171006486028</v>
      </c>
      <c r="AC202" s="18">
        <v>10764</v>
      </c>
      <c r="AD202" s="18">
        <v>17148.09</v>
      </c>
      <c r="AE202" s="4">
        <f>AD202/AC202-1</f>
        <v>0.59309643255295441</v>
      </c>
      <c r="AF202" s="150">
        <f>(L202*2)-X202</f>
        <v>-1.7899999999999636</v>
      </c>
      <c r="AM202" s="161" t="s">
        <v>453</v>
      </c>
      <c r="AN202" s="162">
        <v>1192</v>
      </c>
      <c r="AP202" s="161" t="s">
        <v>545</v>
      </c>
      <c r="AQ202" s="162">
        <v>1310</v>
      </c>
    </row>
    <row r="203" spans="1:43" ht="15" customHeight="1">
      <c r="A203" t="s">
        <v>618</v>
      </c>
      <c r="B203" t="s">
        <v>619</v>
      </c>
      <c r="C203" s="30">
        <v>589</v>
      </c>
      <c r="D203">
        <v>585</v>
      </c>
      <c r="F203" t="s">
        <v>619</v>
      </c>
      <c r="G203" s="30">
        <v>1357</v>
      </c>
      <c r="H203" s="30">
        <v>1353</v>
      </c>
      <c r="I203" t="b">
        <f>IF(B203=F203,TRUE,FALSE)</f>
        <v>1</v>
      </c>
      <c r="L203">
        <f>G203-C203</f>
        <v>768</v>
      </c>
      <c r="M203" s="4">
        <f>G203/C203-1</f>
        <v>1.3039049235993208</v>
      </c>
      <c r="N203" s="165">
        <f>H203-D203</f>
        <v>768</v>
      </c>
      <c r="P203" s="5">
        <v>1149</v>
      </c>
      <c r="Q203" s="5">
        <v>2059.92</v>
      </c>
      <c r="T203" s="5">
        <v>13358.77</v>
      </c>
      <c r="X203" s="152">
        <f>Q203-P203</f>
        <v>910.92000000000007</v>
      </c>
      <c r="Y203" s="4">
        <f>IF(P203=0,0,Q203/P203-1)</f>
        <v>0.79279373368146211</v>
      </c>
      <c r="Z203">
        <v>1.964102564102564</v>
      </c>
      <c r="AA203">
        <f>Q203/H203</f>
        <v>1.5224833702882483</v>
      </c>
      <c r="AB203">
        <f>AA203-Z203</f>
        <v>-0.44161919381431569</v>
      </c>
      <c r="AC203" s="18">
        <v>15924.099999999999</v>
      </c>
      <c r="AD203" s="18">
        <v>36595.189999999995</v>
      </c>
      <c r="AE203" s="4">
        <f>AD203/AC203-1</f>
        <v>1.298100991578802</v>
      </c>
      <c r="AF203" s="150">
        <f>(L203*2)-X203</f>
        <v>625.07999999999993</v>
      </c>
      <c r="AM203" s="163" t="s">
        <v>346</v>
      </c>
      <c r="AN203" s="164">
        <v>2151</v>
      </c>
      <c r="AP203" s="163" t="s">
        <v>41</v>
      </c>
      <c r="AQ203" s="164">
        <v>2424</v>
      </c>
    </row>
    <row r="204" spans="1:43" ht="14.25" customHeight="1">
      <c r="A204" t="s">
        <v>620</v>
      </c>
      <c r="B204" t="s">
        <v>621</v>
      </c>
      <c r="C204" s="30">
        <v>447</v>
      </c>
      <c r="D204">
        <v>446</v>
      </c>
      <c r="F204" t="s">
        <v>621</v>
      </c>
      <c r="G204" s="30">
        <v>763</v>
      </c>
      <c r="H204" s="30">
        <v>757</v>
      </c>
      <c r="I204" t="b">
        <f>IF(B204=F204,TRUE,FALSE)</f>
        <v>1</v>
      </c>
      <c r="L204">
        <f>G204-C204</f>
        <v>316</v>
      </c>
      <c r="M204" s="4">
        <f>G204/C204-1</f>
        <v>0.70693512304250561</v>
      </c>
      <c r="N204" s="165">
        <f>H204-D204</f>
        <v>311</v>
      </c>
      <c r="P204" s="5">
        <v>448.2</v>
      </c>
      <c r="Q204" s="5">
        <v>931.47</v>
      </c>
      <c r="T204" s="5">
        <v>2881.03</v>
      </c>
      <c r="X204" s="152">
        <f>Q204-P204</f>
        <v>483.27000000000004</v>
      </c>
      <c r="Y204" s="4">
        <f>IF(P204=0,0,Q204/P204-1)</f>
        <v>1.0782463186077647</v>
      </c>
      <c r="Z204">
        <v>1.0049327354260089</v>
      </c>
      <c r="AA204">
        <f>Q204/H204</f>
        <v>1.2304755614266842</v>
      </c>
      <c r="AB204">
        <f>AA204-Z204</f>
        <v>0.22554282600067532</v>
      </c>
      <c r="AC204" s="18">
        <v>10710.12</v>
      </c>
      <c r="AD204" s="18">
        <v>18281.48</v>
      </c>
      <c r="AE204" s="4">
        <f>AD204/AC204-1</f>
        <v>0.70693512304250539</v>
      </c>
      <c r="AF204" s="150">
        <f>(L204*2)-X204</f>
        <v>148.72999999999996</v>
      </c>
      <c r="AM204" s="161" t="s">
        <v>373</v>
      </c>
      <c r="AN204" s="162">
        <v>1023</v>
      </c>
      <c r="AP204" s="161" t="s">
        <v>622</v>
      </c>
      <c r="AQ204" s="162">
        <v>1301</v>
      </c>
    </row>
    <row r="205" spans="1:43" ht="15" customHeight="1">
      <c r="A205" t="s">
        <v>623</v>
      </c>
      <c r="B205" t="s">
        <v>561</v>
      </c>
      <c r="C205" s="30">
        <v>2560</v>
      </c>
      <c r="D205">
        <v>2535</v>
      </c>
      <c r="F205" t="s">
        <v>561</v>
      </c>
      <c r="G205" s="30">
        <v>3379</v>
      </c>
      <c r="H205" s="30">
        <v>3356</v>
      </c>
      <c r="I205" t="b">
        <f>IF(B205=F205,TRUE,FALSE)</f>
        <v>1</v>
      </c>
      <c r="L205">
        <f>G205-C205</f>
        <v>819</v>
      </c>
      <c r="M205" s="4">
        <f>G205/C205-1</f>
        <v>0.31992187499999991</v>
      </c>
      <c r="N205" s="165">
        <f>H205-D205</f>
        <v>821</v>
      </c>
      <c r="P205" s="5">
        <v>2716.28</v>
      </c>
      <c r="Q205" s="5">
        <v>3715.39</v>
      </c>
      <c r="T205" s="5">
        <v>23546.49</v>
      </c>
      <c r="X205" s="152">
        <f>Q205-P205</f>
        <v>999.10999999999967</v>
      </c>
      <c r="Y205" s="4">
        <f>IF(P205=0,0,Q205/P205-1)</f>
        <v>0.36782290485516933</v>
      </c>
      <c r="Z205">
        <v>1.0715108481262328</v>
      </c>
      <c r="AA205">
        <f>Q205/H205</f>
        <v>1.1070887961859357</v>
      </c>
      <c r="AB205">
        <f>AA205-Z205</f>
        <v>3.5577948059702935E-2</v>
      </c>
      <c r="AC205" s="18">
        <v>74054.100000000006</v>
      </c>
      <c r="AD205" s="18">
        <v>97793.1</v>
      </c>
      <c r="AE205" s="4">
        <f>AD205/AC205-1</f>
        <v>0.32056293979671624</v>
      </c>
      <c r="AF205" s="150">
        <f>(L205*2)-X205</f>
        <v>638.89000000000033</v>
      </c>
      <c r="AM205" s="161" t="s">
        <v>188</v>
      </c>
      <c r="AN205" s="162">
        <v>2272</v>
      </c>
      <c r="AP205" s="161" t="s">
        <v>107</v>
      </c>
      <c r="AQ205" s="162">
        <v>2967</v>
      </c>
    </row>
    <row r="206" spans="1:43" ht="15" customHeight="1">
      <c r="A206" t="s">
        <v>624</v>
      </c>
      <c r="B206" t="s">
        <v>158</v>
      </c>
      <c r="C206" s="30">
        <v>3281</v>
      </c>
      <c r="D206">
        <v>3223</v>
      </c>
      <c r="F206" t="s">
        <v>158</v>
      </c>
      <c r="G206" s="30">
        <v>3693</v>
      </c>
      <c r="H206" s="30">
        <v>3617</v>
      </c>
      <c r="I206" t="b">
        <f>IF(B206=F206,TRUE,FALSE)</f>
        <v>1</v>
      </c>
      <c r="L206">
        <f>G206-C206</f>
        <v>412</v>
      </c>
      <c r="M206" s="4">
        <f>G206/C206-1</f>
        <v>0.12557147211216102</v>
      </c>
      <c r="N206" s="165">
        <f>H206-D206</f>
        <v>394</v>
      </c>
      <c r="P206" s="5">
        <v>5811.05</v>
      </c>
      <c r="Q206" s="5">
        <v>5989.64</v>
      </c>
      <c r="T206" s="5">
        <v>41729.899999999994</v>
      </c>
      <c r="X206" s="152">
        <f>Q206-P206</f>
        <v>178.59000000000015</v>
      </c>
      <c r="Y206" s="4">
        <f>IF(P206=0,0,Q206/P206-1)</f>
        <v>3.0732827974290444E-2</v>
      </c>
      <c r="Z206">
        <v>1.8029941048712381</v>
      </c>
      <c r="AA206">
        <f>Q206/H206</f>
        <v>1.6559690351119714</v>
      </c>
      <c r="AB206">
        <f>AA206-Z206</f>
        <v>-0.14702506975926677</v>
      </c>
      <c r="AC206" s="18">
        <v>84671.73</v>
      </c>
      <c r="AD206" s="18">
        <v>96016.83</v>
      </c>
      <c r="AE206" s="4">
        <f>AD206/AC206-1</f>
        <v>0.13398923111645411</v>
      </c>
      <c r="AF206" s="150">
        <f>(L206*2)-X206</f>
        <v>645.40999999999985</v>
      </c>
      <c r="AM206" s="163" t="s">
        <v>200</v>
      </c>
      <c r="AN206" s="164">
        <v>1381</v>
      </c>
      <c r="AP206" s="163" t="s">
        <v>340</v>
      </c>
      <c r="AQ206" s="164">
        <v>1652</v>
      </c>
    </row>
    <row r="207" spans="1:43" ht="15" customHeight="1">
      <c r="A207" t="s">
        <v>625</v>
      </c>
      <c r="B207" t="s">
        <v>626</v>
      </c>
      <c r="C207" s="30">
        <v>1083</v>
      </c>
      <c r="D207">
        <v>1069</v>
      </c>
      <c r="F207" t="s">
        <v>626</v>
      </c>
      <c r="G207" s="30">
        <v>1421</v>
      </c>
      <c r="H207" s="30">
        <v>1408</v>
      </c>
      <c r="I207" t="b">
        <f>IF(B207=F207,TRUE,FALSE)</f>
        <v>1</v>
      </c>
      <c r="L207">
        <f>G207-C207</f>
        <v>338</v>
      </c>
      <c r="M207" s="4">
        <f>G207/C207-1</f>
        <v>0.312096029547553</v>
      </c>
      <c r="N207" s="165">
        <f>H207-D207</f>
        <v>339</v>
      </c>
      <c r="P207" s="5">
        <v>799.74</v>
      </c>
      <c r="Q207" s="5">
        <v>1363.6</v>
      </c>
      <c r="T207" s="5">
        <v>4390.6499999999996</v>
      </c>
      <c r="X207" s="152">
        <f>Q207-P207</f>
        <v>563.8599999999999</v>
      </c>
      <c r="Y207" s="4">
        <f>IF(P207=0,0,Q207/P207-1)</f>
        <v>0.70505414259634369</v>
      </c>
      <c r="Z207">
        <v>0.74811973807296539</v>
      </c>
      <c r="AA207">
        <f>Q207/H207</f>
        <v>0.96846590909090902</v>
      </c>
      <c r="AB207">
        <f>AA207-Z207</f>
        <v>0.22034617101794363</v>
      </c>
      <c r="AC207" s="18">
        <v>32375.95</v>
      </c>
      <c r="AD207" s="18">
        <v>42558.95</v>
      </c>
      <c r="AE207" s="4">
        <f>AD207/AC207-1</f>
        <v>0.3145235892691951</v>
      </c>
      <c r="AF207" s="150">
        <f>(L207*2)-X207</f>
        <v>112.1400000000001</v>
      </c>
      <c r="AM207" s="163" t="s">
        <v>627</v>
      </c>
      <c r="AN207" s="164">
        <v>1060</v>
      </c>
      <c r="AP207" s="163" t="s">
        <v>513</v>
      </c>
      <c r="AQ207" s="164">
        <v>1378</v>
      </c>
    </row>
    <row r="208" spans="1:43" ht="15" customHeight="1">
      <c r="A208" t="s">
        <v>628</v>
      </c>
      <c r="B208" t="s">
        <v>582</v>
      </c>
      <c r="C208" s="30">
        <v>1466</v>
      </c>
      <c r="D208">
        <v>1459</v>
      </c>
      <c r="F208" t="s">
        <v>582</v>
      </c>
      <c r="G208" s="30">
        <v>1974</v>
      </c>
      <c r="H208" s="30">
        <v>1966</v>
      </c>
      <c r="I208" t="b">
        <f>IF(B208=F208,TRUE,FALSE)</f>
        <v>1</v>
      </c>
      <c r="L208">
        <f>G208-C208</f>
        <v>508</v>
      </c>
      <c r="M208" s="4">
        <f>G208/C208-1</f>
        <v>0.34652114597544337</v>
      </c>
      <c r="N208" s="165">
        <f>H208-D208</f>
        <v>507</v>
      </c>
      <c r="P208" s="5">
        <v>1345.88</v>
      </c>
      <c r="Q208" s="5">
        <v>1668.49</v>
      </c>
      <c r="T208" s="5">
        <v>7961.4500000000007</v>
      </c>
      <c r="X208" s="152">
        <f>Q208-P208</f>
        <v>322.6099999999999</v>
      </c>
      <c r="Y208" s="4">
        <f>IF(P208=0,0,Q208/P208-1)</f>
        <v>0.2397019050732605</v>
      </c>
      <c r="Z208">
        <v>0.92246744345442089</v>
      </c>
      <c r="AA208">
        <f>Q208/H208</f>
        <v>0.84867243133265513</v>
      </c>
      <c r="AB208">
        <f>AA208-Z208</f>
        <v>-7.3795012121765757E-2</v>
      </c>
      <c r="AC208" s="18">
        <v>29226.75</v>
      </c>
      <c r="AD208" s="18">
        <v>39052.9</v>
      </c>
      <c r="AE208" s="4">
        <f>AD208/AC208-1</f>
        <v>0.33620399120668565</v>
      </c>
      <c r="AF208" s="150">
        <f>(L208*2)-X208</f>
        <v>693.3900000000001</v>
      </c>
      <c r="AM208" s="161" t="s">
        <v>356</v>
      </c>
      <c r="AN208" s="162">
        <v>1423</v>
      </c>
      <c r="AP208" s="161" t="s">
        <v>205</v>
      </c>
      <c r="AQ208" s="162">
        <v>1713</v>
      </c>
    </row>
    <row r="209" spans="1:43" ht="15" customHeight="1">
      <c r="A209" t="s">
        <v>629</v>
      </c>
      <c r="B209" t="s">
        <v>630</v>
      </c>
      <c r="C209" s="30">
        <v>960</v>
      </c>
      <c r="D209">
        <v>954</v>
      </c>
      <c r="F209" t="s">
        <v>630</v>
      </c>
      <c r="G209" s="30">
        <v>1314</v>
      </c>
      <c r="H209" s="30">
        <v>1303</v>
      </c>
      <c r="I209" t="b">
        <f>IF(B209=F209,TRUE,FALSE)</f>
        <v>1</v>
      </c>
      <c r="L209">
        <f>G209-C209</f>
        <v>354</v>
      </c>
      <c r="M209" s="4">
        <f>G209/C209-1</f>
        <v>0.36874999999999991</v>
      </c>
      <c r="N209" s="165">
        <f>H209-D209</f>
        <v>349</v>
      </c>
      <c r="P209" s="5">
        <v>1810.99</v>
      </c>
      <c r="Q209" s="5">
        <v>3234.32</v>
      </c>
      <c r="T209" s="5">
        <v>10402.58</v>
      </c>
      <c r="X209" s="152">
        <f>Q209-P209</f>
        <v>1423.3300000000002</v>
      </c>
      <c r="Y209" s="4">
        <f>IF(P209=0,0,Q209/P209-1)</f>
        <v>0.78594028680445516</v>
      </c>
      <c r="Z209">
        <v>1.8983123689727464</v>
      </c>
      <c r="AA209">
        <f>Q209/H209</f>
        <v>2.4822102839600921</v>
      </c>
      <c r="AB209">
        <f>AA209-Z209</f>
        <v>0.58389791498734578</v>
      </c>
      <c r="AC209" s="18">
        <v>25872</v>
      </c>
      <c r="AD209" s="18">
        <v>35385.35</v>
      </c>
      <c r="AE209" s="4">
        <f>AD209/AC209-1</f>
        <v>0.3677083333333333</v>
      </c>
      <c r="AF209" s="150">
        <f>(L209*2)-X209</f>
        <v>-715.33000000000015</v>
      </c>
      <c r="AM209" s="161" t="s">
        <v>605</v>
      </c>
      <c r="AN209" s="162">
        <v>1244</v>
      </c>
      <c r="AP209" s="161" t="s">
        <v>231</v>
      </c>
      <c r="AQ209" s="162">
        <v>1214</v>
      </c>
    </row>
    <row r="210" spans="1:43" ht="15" customHeight="1">
      <c r="A210" s="59" t="s">
        <v>631</v>
      </c>
      <c r="B210" s="39" t="s">
        <v>632</v>
      </c>
      <c r="C210" s="30">
        <v>70</v>
      </c>
      <c r="D210">
        <v>70</v>
      </c>
      <c r="F210" s="39" t="s">
        <v>632</v>
      </c>
      <c r="G210" s="30">
        <v>988</v>
      </c>
      <c r="H210" s="30">
        <v>988</v>
      </c>
      <c r="I210" t="b">
        <f>IF(B210=F210,TRUE,FALSE)</f>
        <v>1</v>
      </c>
      <c r="L210" s="27">
        <f>G210-C210</f>
        <v>918</v>
      </c>
      <c r="M210" s="4">
        <f>G210/C210-1</f>
        <v>13.114285714285714</v>
      </c>
      <c r="N210" s="165">
        <f>H210-D210</f>
        <v>918</v>
      </c>
      <c r="P210" s="5">
        <v>44.84</v>
      </c>
      <c r="Q210" s="5">
        <v>1156.5899999999999</v>
      </c>
      <c r="T210" s="5">
        <v>11516.47</v>
      </c>
      <c r="X210" s="152">
        <f>Q210-P210</f>
        <v>1111.75</v>
      </c>
      <c r="Y210" s="4">
        <f>IF(P210=0,0,Q210/P210-1)</f>
        <v>24.793710972346116</v>
      </c>
      <c r="Z210">
        <v>0.64057142857142857</v>
      </c>
      <c r="AA210">
        <f>Q210/H210</f>
        <v>1.1706376518218622</v>
      </c>
      <c r="AB210">
        <f>AA210-Z210</f>
        <v>0.53006622325043362</v>
      </c>
      <c r="AC210" s="18">
        <v>549.6</v>
      </c>
      <c r="AD210" s="18">
        <v>9027.2800000000007</v>
      </c>
      <c r="AE210" s="4">
        <f>AD210/AC210-1</f>
        <v>15.425181950509462</v>
      </c>
      <c r="AF210" s="150">
        <f>(L210*2)-X210</f>
        <v>724.25</v>
      </c>
      <c r="AM210" s="163" t="s">
        <v>547</v>
      </c>
      <c r="AN210" s="164">
        <v>2478</v>
      </c>
      <c r="AP210" s="163" t="s">
        <v>179</v>
      </c>
      <c r="AQ210" s="164">
        <v>3312</v>
      </c>
    </row>
    <row r="211" spans="1:43" ht="15" customHeight="1">
      <c r="A211" s="58" t="s">
        <v>633</v>
      </c>
      <c r="B211" s="39" t="s">
        <v>498</v>
      </c>
      <c r="C211" s="30">
        <v>290</v>
      </c>
      <c r="D211">
        <v>290</v>
      </c>
      <c r="F211" s="39" t="s">
        <v>498</v>
      </c>
      <c r="G211" s="30">
        <v>1485</v>
      </c>
      <c r="H211" s="30">
        <v>1484</v>
      </c>
      <c r="I211" t="b">
        <f>IF(B211=F211,TRUE,FALSE)</f>
        <v>1</v>
      </c>
      <c r="L211">
        <f>G211-C211</f>
        <v>1195</v>
      </c>
      <c r="M211" s="4">
        <f>G211/C211-1</f>
        <v>4.1206896551724137</v>
      </c>
      <c r="N211" s="165">
        <f>H211-D211</f>
        <v>1194</v>
      </c>
      <c r="P211" s="5">
        <v>1210.6600000000001</v>
      </c>
      <c r="Q211" s="5">
        <v>2847.3</v>
      </c>
      <c r="T211" s="5">
        <v>13401.39</v>
      </c>
      <c r="X211" s="152">
        <f>Q211-P211</f>
        <v>1636.64</v>
      </c>
      <c r="Y211" s="4">
        <f>IF(P211=0,0,Q211/P211-1)</f>
        <v>1.3518576644144518</v>
      </c>
      <c r="Z211">
        <v>4.174689655172414</v>
      </c>
      <c r="AA211">
        <f>Q211/H211</f>
        <v>1.9186657681940702</v>
      </c>
      <c r="AB211">
        <f>AA211-Z211</f>
        <v>-2.256023886978344</v>
      </c>
      <c r="AC211" s="18">
        <v>4933.3999999999996</v>
      </c>
      <c r="AD211" s="18">
        <v>29665.16</v>
      </c>
      <c r="AE211" s="4">
        <f>AD211/AC211-1</f>
        <v>5.0131268496371675</v>
      </c>
      <c r="AF211" s="150">
        <f>(L211*2)-X211</f>
        <v>753.3599999999999</v>
      </c>
      <c r="AM211" s="161" t="s">
        <v>89</v>
      </c>
      <c r="AN211" s="162">
        <v>3130</v>
      </c>
      <c r="AP211" s="161" t="s">
        <v>547</v>
      </c>
      <c r="AQ211" s="162">
        <v>3811</v>
      </c>
    </row>
    <row r="212" spans="1:43" ht="15" customHeight="1">
      <c r="A212" s="39" t="s">
        <v>634</v>
      </c>
      <c r="B212" s="39" t="s">
        <v>635</v>
      </c>
      <c r="C212" s="30">
        <v>33</v>
      </c>
      <c r="D212">
        <v>33</v>
      </c>
      <c r="F212" s="39" t="s">
        <v>635</v>
      </c>
      <c r="G212" s="30">
        <v>1482</v>
      </c>
      <c r="H212" s="30">
        <v>1481</v>
      </c>
      <c r="I212" t="b">
        <f>IF(B212=F212,TRUE,FALSE)</f>
        <v>1</v>
      </c>
      <c r="L212">
        <f>G212-C212</f>
        <v>1449</v>
      </c>
      <c r="M212" s="4">
        <f>G212/C212-1</f>
        <v>43.909090909090907</v>
      </c>
      <c r="N212" s="165">
        <f>H212-D212</f>
        <v>1448</v>
      </c>
      <c r="P212" s="5">
        <v>162.61000000000001</v>
      </c>
      <c r="Q212" s="5">
        <v>2258.5</v>
      </c>
      <c r="T212" s="5">
        <v>15041.85</v>
      </c>
      <c r="X212" s="152">
        <f>Q212-P212</f>
        <v>2095.89</v>
      </c>
      <c r="Y212" s="4">
        <f>IF(P212=0,0,Q212/P212-1)</f>
        <v>12.889059713424757</v>
      </c>
      <c r="Z212">
        <v>4.9275757575757577</v>
      </c>
      <c r="AA212">
        <f>Q212/H212</f>
        <v>1.5249831195138419</v>
      </c>
      <c r="AB212">
        <f>AA212-Z212</f>
        <v>-3.4025926380619156</v>
      </c>
      <c r="AC212" s="18">
        <v>989.67</v>
      </c>
      <c r="AD212" s="18">
        <v>16061.39</v>
      </c>
      <c r="AE212" s="4">
        <f>AD212/AC212-1</f>
        <v>15.229035941273352</v>
      </c>
      <c r="AF212" s="150">
        <f>(L212*2)-X212</f>
        <v>802.11000000000013</v>
      </c>
      <c r="AM212" s="161" t="s">
        <v>602</v>
      </c>
      <c r="AN212" s="162">
        <v>4240</v>
      </c>
      <c r="AP212" s="161" t="s">
        <v>38</v>
      </c>
      <c r="AQ212" s="162">
        <v>4859</v>
      </c>
    </row>
    <row r="213" spans="1:43" ht="15" customHeight="1">
      <c r="A213" t="s">
        <v>636</v>
      </c>
      <c r="B213" t="s">
        <v>258</v>
      </c>
      <c r="C213" s="30">
        <v>2543</v>
      </c>
      <c r="D213">
        <v>2525</v>
      </c>
      <c r="F213" t="s">
        <v>258</v>
      </c>
      <c r="G213" s="30">
        <v>3333</v>
      </c>
      <c r="H213" s="30">
        <v>3323</v>
      </c>
      <c r="I213" t="b">
        <f>IF(B213=F213,TRUE,FALSE)</f>
        <v>1</v>
      </c>
      <c r="L213">
        <f>G213-C213</f>
        <v>790</v>
      </c>
      <c r="M213" s="4">
        <f>G213/C213-1</f>
        <v>0.31065670467951234</v>
      </c>
      <c r="N213" s="165">
        <f>H213-D213</f>
        <v>798</v>
      </c>
      <c r="P213" s="5">
        <v>4977.38</v>
      </c>
      <c r="Q213" s="5">
        <v>5985.38</v>
      </c>
      <c r="T213" s="5">
        <v>39939.33</v>
      </c>
      <c r="X213" s="152">
        <f>Q213-P213</f>
        <v>1008</v>
      </c>
      <c r="Y213" s="4">
        <f>IF(P213=0,0,Q213/P213-1)</f>
        <v>0.20251618321285503</v>
      </c>
      <c r="Z213">
        <v>1.9712396039603961</v>
      </c>
      <c r="AA213">
        <f>Q213/H213</f>
        <v>1.8011977129100212</v>
      </c>
      <c r="AB213">
        <f>AA213-Z213</f>
        <v>-0.17004189105037493</v>
      </c>
      <c r="AC213" s="18">
        <v>88807.95</v>
      </c>
      <c r="AD213" s="18">
        <v>116383.5</v>
      </c>
      <c r="AE213" s="4">
        <f>AD213/AC213-1</f>
        <v>0.31050767414403779</v>
      </c>
      <c r="AF213" s="150">
        <f>(L213*2)-X213</f>
        <v>572</v>
      </c>
      <c r="AM213" s="163" t="s">
        <v>300</v>
      </c>
      <c r="AN213" s="164">
        <v>1829</v>
      </c>
      <c r="AP213" s="163" t="s">
        <v>357</v>
      </c>
      <c r="AQ213" s="164">
        <v>2359</v>
      </c>
    </row>
    <row r="214" spans="1:43" ht="15" customHeight="1">
      <c r="A214" t="s">
        <v>637</v>
      </c>
      <c r="B214" t="s">
        <v>638</v>
      </c>
      <c r="C214" s="30">
        <v>680</v>
      </c>
      <c r="D214">
        <v>674</v>
      </c>
      <c r="F214" t="s">
        <v>638</v>
      </c>
      <c r="G214" s="30">
        <v>1115</v>
      </c>
      <c r="H214" s="30">
        <v>1111</v>
      </c>
      <c r="I214" t="b">
        <f>IF(B214=F214,TRUE,FALSE)</f>
        <v>1</v>
      </c>
      <c r="L214">
        <f>G214-C214</f>
        <v>435</v>
      </c>
      <c r="M214" s="4">
        <f>G214/C214-1</f>
        <v>0.63970588235294112</v>
      </c>
      <c r="N214" s="165">
        <f>H214-D214</f>
        <v>437</v>
      </c>
      <c r="P214" s="5">
        <v>1443.1</v>
      </c>
      <c r="Q214" s="5">
        <v>2636.91</v>
      </c>
      <c r="T214" s="5">
        <v>6048.75</v>
      </c>
      <c r="X214" s="152">
        <f>Q214-P214</f>
        <v>1193.81</v>
      </c>
      <c r="Y214" s="4">
        <f>IF(P214=0,0,Q214/P214-1)</f>
        <v>0.82725382856350915</v>
      </c>
      <c r="Z214">
        <v>2.1410979228486644</v>
      </c>
      <c r="AA214">
        <f>Q214/H214</f>
        <v>2.3734563456345632</v>
      </c>
      <c r="AB214">
        <f>AA214-Z214</f>
        <v>0.2323584227858988</v>
      </c>
      <c r="AC214" s="18">
        <v>18326</v>
      </c>
      <c r="AD214" s="18">
        <v>30130.1</v>
      </c>
      <c r="AE214" s="4">
        <f>AD214/AC214-1</f>
        <v>0.64411764705882346</v>
      </c>
      <c r="AF214" s="150">
        <f>(L214*2)-X214</f>
        <v>-323.80999999999995</v>
      </c>
      <c r="AM214" s="163" t="s">
        <v>444</v>
      </c>
      <c r="AN214" s="164">
        <v>952</v>
      </c>
      <c r="AP214" s="163" t="s">
        <v>567</v>
      </c>
      <c r="AQ214" s="164">
        <v>1194</v>
      </c>
    </row>
    <row r="215" spans="1:43" ht="15" customHeight="1">
      <c r="A215" t="s">
        <v>639</v>
      </c>
      <c r="B215" t="s">
        <v>640</v>
      </c>
      <c r="C215" s="30">
        <v>764</v>
      </c>
      <c r="D215">
        <v>758</v>
      </c>
      <c r="F215" t="s">
        <v>640</v>
      </c>
      <c r="G215" s="30">
        <v>1200</v>
      </c>
      <c r="H215" s="30">
        <v>1198</v>
      </c>
      <c r="I215" t="b">
        <f>IF(B215=F215,TRUE,FALSE)</f>
        <v>1</v>
      </c>
      <c r="L215">
        <f>G215-C215</f>
        <v>436</v>
      </c>
      <c r="M215" s="4">
        <f>G215/C215-1</f>
        <v>0.57068062827225141</v>
      </c>
      <c r="N215" s="165">
        <f>H215-D215</f>
        <v>440</v>
      </c>
      <c r="P215" s="5">
        <v>518.23</v>
      </c>
      <c r="Q215" s="5">
        <v>678.05</v>
      </c>
      <c r="T215" s="5">
        <v>3591.84</v>
      </c>
      <c r="X215" s="152">
        <f>Q215-P215</f>
        <v>159.81999999999994</v>
      </c>
      <c r="Y215" s="4">
        <f>IF(P215=0,0,Q215/P215-1)</f>
        <v>0.3083958859965652</v>
      </c>
      <c r="Z215">
        <v>0.68368073878627966</v>
      </c>
      <c r="AA215">
        <f>Q215/H215</f>
        <v>0.56598497495826372</v>
      </c>
      <c r="AB215">
        <f>AA215-Z215</f>
        <v>-0.11769576382801594</v>
      </c>
      <c r="AC215" s="18">
        <v>22851.85</v>
      </c>
      <c r="AD215" s="18">
        <v>35940</v>
      </c>
      <c r="AE215" s="4">
        <f>AD215/AC215-1</f>
        <v>0.57273918741808649</v>
      </c>
      <c r="AF215" s="150">
        <f>(L215*2)-X215</f>
        <v>712.18000000000006</v>
      </c>
      <c r="AM215" s="163" t="s">
        <v>641</v>
      </c>
      <c r="AN215" s="164">
        <v>1028</v>
      </c>
      <c r="AP215" s="163" t="s">
        <v>452</v>
      </c>
      <c r="AQ215" s="164">
        <v>1310</v>
      </c>
    </row>
    <row r="216" spans="1:43" ht="15" customHeight="1">
      <c r="A216" t="s">
        <v>642</v>
      </c>
      <c r="B216" t="s">
        <v>643</v>
      </c>
      <c r="C216" s="30">
        <v>1080</v>
      </c>
      <c r="D216">
        <v>1060</v>
      </c>
      <c r="F216" t="s">
        <v>643</v>
      </c>
      <c r="G216" s="30">
        <v>1523</v>
      </c>
      <c r="H216" s="30">
        <v>1512</v>
      </c>
      <c r="I216" t="b">
        <f>IF(B216=F216,TRUE,FALSE)</f>
        <v>1</v>
      </c>
      <c r="L216">
        <f>G216-C216</f>
        <v>443</v>
      </c>
      <c r="M216" s="4">
        <f>G216/C216-1</f>
        <v>0.41018518518518521</v>
      </c>
      <c r="N216" s="165">
        <f>H216-D216</f>
        <v>452</v>
      </c>
      <c r="P216" s="5">
        <v>1064.73</v>
      </c>
      <c r="Q216" s="5">
        <v>3796.15</v>
      </c>
      <c r="T216" s="5">
        <v>5035.4799999999996</v>
      </c>
      <c r="X216" s="152">
        <f>Q216-P216</f>
        <v>2731.42</v>
      </c>
      <c r="Y216" s="4">
        <f>IF(P216=0,0,Q216/P216-1)</f>
        <v>2.5653639889925146</v>
      </c>
      <c r="Z216">
        <v>1.0044622641509433</v>
      </c>
      <c r="AA216">
        <f>Q216/H216</f>
        <v>2.5106812169312169</v>
      </c>
      <c r="AB216">
        <f>AA216-Z216</f>
        <v>1.5062189527802736</v>
      </c>
      <c r="AC216" s="18">
        <v>42066</v>
      </c>
      <c r="AD216" s="18">
        <v>59351.29</v>
      </c>
      <c r="AE216" s="4">
        <f>AD216/AC216-1</f>
        <v>0.41090880996529267</v>
      </c>
      <c r="AF216" s="150">
        <f>(L216*2)-X216</f>
        <v>-1845.42</v>
      </c>
      <c r="AM216" s="161" t="s">
        <v>282</v>
      </c>
      <c r="AN216" s="162">
        <v>1049</v>
      </c>
      <c r="AP216" s="161" t="s">
        <v>644</v>
      </c>
      <c r="AQ216" s="162">
        <v>1564</v>
      </c>
    </row>
    <row r="217" spans="1:43" ht="15" customHeight="1">
      <c r="A217" t="s">
        <v>645</v>
      </c>
      <c r="B217" t="s">
        <v>39</v>
      </c>
      <c r="C217" s="30">
        <v>4631</v>
      </c>
      <c r="D217">
        <v>4519</v>
      </c>
      <c r="F217" t="s">
        <v>39</v>
      </c>
      <c r="G217" s="30">
        <v>5408</v>
      </c>
      <c r="H217" s="30">
        <v>5358</v>
      </c>
      <c r="I217" t="b">
        <f>IF(B217=F217,TRUE,FALSE)</f>
        <v>1</v>
      </c>
      <c r="L217">
        <f>G217-C217</f>
        <v>777</v>
      </c>
      <c r="M217" s="4">
        <f>G217/C217-1</f>
        <v>0.16778233642841722</v>
      </c>
      <c r="N217" s="165">
        <f>H217-D217</f>
        <v>839</v>
      </c>
      <c r="P217" s="5">
        <v>2552.96</v>
      </c>
      <c r="Q217" s="5">
        <v>3382.44</v>
      </c>
      <c r="T217" s="5">
        <v>32042.79</v>
      </c>
      <c r="X217" s="152">
        <f>Q217-P217</f>
        <v>829.48</v>
      </c>
      <c r="Y217" s="4">
        <f>IF(P217=0,0,Q217/P217-1)</f>
        <v>0.3249091250940086</v>
      </c>
      <c r="Z217">
        <v>0.56493914582872318</v>
      </c>
      <c r="AA217">
        <f>Q217/H217</f>
        <v>0.63128779395296752</v>
      </c>
      <c r="AB217">
        <f>AA217-Z217</f>
        <v>6.6348648124244347E-2</v>
      </c>
      <c r="AC217" s="18">
        <v>136628.04</v>
      </c>
      <c r="AD217" s="18">
        <v>163234.71</v>
      </c>
      <c r="AE217" s="4">
        <f>AD217/AC217-1</f>
        <v>0.19473799082530929</v>
      </c>
      <c r="AF217" s="150">
        <f>(L217*2)-X217</f>
        <v>724.52</v>
      </c>
      <c r="AM217" s="163" t="s">
        <v>251</v>
      </c>
      <c r="AN217" s="164">
        <v>1743</v>
      </c>
      <c r="AP217" s="163" t="s">
        <v>133</v>
      </c>
      <c r="AQ217" s="164">
        <v>3946</v>
      </c>
    </row>
    <row r="218" spans="1:43" ht="15" customHeight="1">
      <c r="A218" t="s">
        <v>646</v>
      </c>
      <c r="B218" t="s">
        <v>439</v>
      </c>
      <c r="C218" s="30">
        <v>1138</v>
      </c>
      <c r="D218">
        <v>1132</v>
      </c>
      <c r="F218" t="s">
        <v>439</v>
      </c>
      <c r="G218" s="30">
        <v>995</v>
      </c>
      <c r="H218" s="30">
        <v>992</v>
      </c>
      <c r="I218" t="b">
        <f>IF(B218=F218,TRUE,FALSE)</f>
        <v>1</v>
      </c>
      <c r="L218">
        <f>G218-C218</f>
        <v>-143</v>
      </c>
      <c r="M218" s="4">
        <f>G218/C218-1</f>
        <v>-0.12565905096660812</v>
      </c>
      <c r="N218" s="165">
        <f>H218-D218</f>
        <v>-140</v>
      </c>
      <c r="P218" s="5">
        <v>2421.19</v>
      </c>
      <c r="Q218" s="5">
        <v>1168.8900000000001</v>
      </c>
      <c r="T218" s="5">
        <v>6509.2699999999995</v>
      </c>
      <c r="X218" s="152">
        <f>Q218-P218</f>
        <v>-1252.3</v>
      </c>
      <c r="Y218" s="4">
        <f>IF(P218=0,0,Q218/P218-1)</f>
        <v>-0.51722500092929513</v>
      </c>
      <c r="Z218">
        <v>2.1388604240282687</v>
      </c>
      <c r="AA218">
        <f>Q218/H218</f>
        <v>1.1783165322580647</v>
      </c>
      <c r="AB218">
        <f>AA218-Z218</f>
        <v>-0.96054389177020405</v>
      </c>
      <c r="AC218" s="18">
        <v>25002.63</v>
      </c>
      <c r="AD218" s="18">
        <v>22571.05</v>
      </c>
      <c r="AE218" s="4">
        <f>AD218/AC218-1</f>
        <v>-9.7252968987662558E-2</v>
      </c>
      <c r="AF218" s="150">
        <f>(L218*2)-X218</f>
        <v>966.3</v>
      </c>
      <c r="AM218" s="161" t="s">
        <v>147</v>
      </c>
      <c r="AN218" s="162">
        <v>864</v>
      </c>
      <c r="AP218" s="161" t="s">
        <v>311</v>
      </c>
      <c r="AQ218" s="162">
        <v>1026</v>
      </c>
    </row>
    <row r="219" spans="1:43" ht="15" customHeight="1">
      <c r="A219" t="s">
        <v>647</v>
      </c>
      <c r="B219" t="s">
        <v>104</v>
      </c>
      <c r="C219" s="30">
        <v>4007</v>
      </c>
      <c r="D219">
        <v>3983</v>
      </c>
      <c r="F219" t="s">
        <v>104</v>
      </c>
      <c r="G219" s="30">
        <v>5630</v>
      </c>
      <c r="H219" s="30">
        <v>5624</v>
      </c>
      <c r="I219" t="b">
        <f>IF(B219=F219,TRUE,FALSE)</f>
        <v>1</v>
      </c>
      <c r="L219">
        <f>G219-C219</f>
        <v>1623</v>
      </c>
      <c r="M219" s="4">
        <f>G219/C219-1</f>
        <v>0.40504117793860739</v>
      </c>
      <c r="N219" s="165">
        <f>H219-D219</f>
        <v>1641</v>
      </c>
      <c r="P219" s="5">
        <v>5635.21</v>
      </c>
      <c r="Q219" s="5">
        <v>7909.52</v>
      </c>
      <c r="T219" s="5">
        <v>38977.42</v>
      </c>
      <c r="X219" s="152">
        <f>Q219-P219</f>
        <v>2274.3100000000004</v>
      </c>
      <c r="Y219" s="4">
        <f>IF(P219=0,0,Q219/P219-1)</f>
        <v>0.4035892185029486</v>
      </c>
      <c r="Z219">
        <v>1.4148154657293497</v>
      </c>
      <c r="AA219">
        <f>Q219/H219</f>
        <v>1.4063869132290185</v>
      </c>
      <c r="AB219">
        <f>AA219-Z219</f>
        <v>-8.4285525003311434E-3</v>
      </c>
      <c r="AC219" s="18">
        <v>95919.75</v>
      </c>
      <c r="AD219" s="18">
        <v>134790.6</v>
      </c>
      <c r="AE219" s="4">
        <f>AD219/AC219-1</f>
        <v>0.40524344569288395</v>
      </c>
      <c r="AF219" s="150">
        <f>(L219*2)-X219</f>
        <v>971.6899999999996</v>
      </c>
      <c r="AM219" s="163" t="s">
        <v>237</v>
      </c>
      <c r="AN219" s="164">
        <v>4313</v>
      </c>
      <c r="AP219" s="163" t="s">
        <v>64</v>
      </c>
      <c r="AQ219" s="164">
        <v>4981</v>
      </c>
    </row>
    <row r="220" spans="1:43" ht="15" customHeight="1">
      <c r="A220" s="57" t="s">
        <v>648</v>
      </c>
      <c r="B220" s="39" t="s">
        <v>649</v>
      </c>
      <c r="C220" s="30">
        <v>437</v>
      </c>
      <c r="D220">
        <v>427</v>
      </c>
      <c r="F220" s="39" t="s">
        <v>649</v>
      </c>
      <c r="G220" s="30">
        <v>916</v>
      </c>
      <c r="H220" s="30">
        <v>916</v>
      </c>
      <c r="I220" t="b">
        <f>IF(B220=F220,TRUE,FALSE)</f>
        <v>1</v>
      </c>
      <c r="L220" s="27">
        <f>G220-C220</f>
        <v>479</v>
      </c>
      <c r="M220" s="4">
        <f>G220/C220-1</f>
        <v>1.0961098398169336</v>
      </c>
      <c r="N220" s="165">
        <f>H220-D220</f>
        <v>489</v>
      </c>
      <c r="P220" s="5">
        <v>556.57000000000005</v>
      </c>
      <c r="Q220" s="5">
        <v>544.66</v>
      </c>
      <c r="T220" s="5">
        <v>1885.7400000000002</v>
      </c>
      <c r="X220" s="152">
        <f>Q220-P220</f>
        <v>-11.910000000000082</v>
      </c>
      <c r="Y220" s="4">
        <f>IF(P220=0,0,Q220/P220-1)</f>
        <v>-2.139892556192402E-2</v>
      </c>
      <c r="Z220">
        <v>1.3034426229508198</v>
      </c>
      <c r="AA220">
        <f>Q220/H220</f>
        <v>0.59460698689956326</v>
      </c>
      <c r="AB220">
        <f>AA220-Z220</f>
        <v>-0.70883563605125655</v>
      </c>
      <c r="AC220" s="18">
        <v>4295.71</v>
      </c>
      <c r="AD220" s="18">
        <v>12772.87</v>
      </c>
      <c r="AE220" s="4">
        <f>AD220/AC220-1</f>
        <v>1.9734013702042272</v>
      </c>
      <c r="AF220" s="150">
        <f>(L220*2)-X220</f>
        <v>969.91000000000008</v>
      </c>
      <c r="AM220" s="163" t="s">
        <v>582</v>
      </c>
      <c r="AN220" s="164">
        <v>1459</v>
      </c>
      <c r="AP220" s="163" t="s">
        <v>181</v>
      </c>
      <c r="AQ220" s="164">
        <v>1384</v>
      </c>
    </row>
    <row r="221" spans="1:43" ht="15" customHeight="1">
      <c r="A221" s="57" t="s">
        <v>650</v>
      </c>
      <c r="B221" s="39" t="s">
        <v>651</v>
      </c>
      <c r="C221" s="30">
        <v>99</v>
      </c>
      <c r="D221">
        <v>99</v>
      </c>
      <c r="F221" s="39" t="s">
        <v>651</v>
      </c>
      <c r="G221" s="30">
        <v>1200</v>
      </c>
      <c r="H221" s="30">
        <v>1199</v>
      </c>
      <c r="I221" t="b">
        <f>IF(B221=F221,TRUE,FALSE)</f>
        <v>1</v>
      </c>
      <c r="L221">
        <f>G221-C221</f>
        <v>1101</v>
      </c>
      <c r="M221" s="4">
        <f>G221/C221-1</f>
        <v>11.121212121212121</v>
      </c>
      <c r="N221" s="165">
        <f>H221-D221</f>
        <v>1100</v>
      </c>
      <c r="P221" s="5">
        <v>37.979999999999997</v>
      </c>
      <c r="Q221" s="5">
        <v>1255.3699999999999</v>
      </c>
      <c r="T221" s="5">
        <v>5235.71</v>
      </c>
      <c r="X221" s="152">
        <f>Q221-P221</f>
        <v>1217.3899999999999</v>
      </c>
      <c r="Y221" s="4">
        <f>IF(P221=0,0,Q221/P221-1)</f>
        <v>32.053449183780934</v>
      </c>
      <c r="Z221">
        <v>0.38363636363636361</v>
      </c>
      <c r="AA221">
        <f>Q221/H221</f>
        <v>1.0470141784820683</v>
      </c>
      <c r="AB221">
        <f>AA221-Z221</f>
        <v>0.66337781484570479</v>
      </c>
      <c r="AC221" s="18">
        <v>1029.3</v>
      </c>
      <c r="AD221" s="18">
        <v>14487.52</v>
      </c>
      <c r="AE221" s="4">
        <f>AD221/AC221-1</f>
        <v>13.075119012921403</v>
      </c>
      <c r="AF221" s="150">
        <f>(L221*2)-X221</f>
        <v>984.61000000000013</v>
      </c>
      <c r="AM221" s="163" t="s">
        <v>47</v>
      </c>
      <c r="AN221" s="164">
        <v>2487</v>
      </c>
      <c r="AP221" s="163" t="s">
        <v>89</v>
      </c>
      <c r="AQ221" s="164">
        <v>3321</v>
      </c>
    </row>
    <row r="222" spans="1:43" ht="15" customHeight="1">
      <c r="A222" t="s">
        <v>652</v>
      </c>
      <c r="B222" t="s">
        <v>653</v>
      </c>
      <c r="C222" s="30">
        <v>642</v>
      </c>
      <c r="D222">
        <v>635</v>
      </c>
      <c r="F222" t="s">
        <v>653</v>
      </c>
      <c r="G222" s="30">
        <v>724</v>
      </c>
      <c r="H222" s="30">
        <v>721</v>
      </c>
      <c r="I222" t="b">
        <f>IF(B222=F222,TRUE,FALSE)</f>
        <v>1</v>
      </c>
      <c r="L222">
        <f>G222-C222</f>
        <v>82</v>
      </c>
      <c r="M222" s="4">
        <f>G222/C222-1</f>
        <v>0.12772585669781922</v>
      </c>
      <c r="N222" s="165">
        <f>H222-D222</f>
        <v>86</v>
      </c>
      <c r="P222" s="5">
        <v>869.15</v>
      </c>
      <c r="Q222" s="5">
        <v>1101.54</v>
      </c>
      <c r="T222" s="5">
        <v>0</v>
      </c>
      <c r="X222" s="152">
        <f>Q222-P222</f>
        <v>232.39</v>
      </c>
      <c r="Y222" s="4">
        <f>IF(P222=0,0,Q222/P222-1)</f>
        <v>0.26737617212218834</v>
      </c>
      <c r="Z222">
        <v>1.3687401574803149</v>
      </c>
      <c r="AA222">
        <f>Q222/H222</f>
        <v>1.5277947295423022</v>
      </c>
      <c r="AB222">
        <f>AA222-Z222</f>
        <v>0.15905457206198736</v>
      </c>
      <c r="AC222" s="18">
        <v>15992.95</v>
      </c>
      <c r="AD222" s="18">
        <v>18063.8</v>
      </c>
      <c r="AE222" s="4">
        <f>AD222/AC222-1</f>
        <v>0.1294851794071763</v>
      </c>
      <c r="AF222" s="150">
        <f>(L222*2)-X222</f>
        <v>-68.389999999999986</v>
      </c>
      <c r="AM222" s="163" t="s">
        <v>222</v>
      </c>
      <c r="AN222" s="164">
        <v>900</v>
      </c>
      <c r="AP222" s="163" t="s">
        <v>494</v>
      </c>
      <c r="AQ222" s="164">
        <v>1104</v>
      </c>
    </row>
    <row r="223" spans="1:43" ht="15" customHeight="1">
      <c r="A223" t="s">
        <v>654</v>
      </c>
      <c r="B223" t="s">
        <v>93</v>
      </c>
      <c r="C223" s="30">
        <v>5100</v>
      </c>
      <c r="D223">
        <v>4994</v>
      </c>
      <c r="F223" t="s">
        <v>93</v>
      </c>
      <c r="G223" s="30">
        <v>5175</v>
      </c>
      <c r="H223" s="30">
        <v>5125</v>
      </c>
      <c r="I223" t="b">
        <f>IF(B223=F223,TRUE,FALSE)</f>
        <v>1</v>
      </c>
      <c r="L223">
        <f>G223-C223</f>
        <v>75</v>
      </c>
      <c r="M223" s="4">
        <f>G223/C223-1</f>
        <v>1.4705882352941124E-2</v>
      </c>
      <c r="N223" s="165">
        <f>H223-D223</f>
        <v>131</v>
      </c>
      <c r="P223" s="5">
        <v>8205.77</v>
      </c>
      <c r="Q223" s="5">
        <v>9548.76</v>
      </c>
      <c r="T223" s="5">
        <v>54586.770000000004</v>
      </c>
      <c r="X223" s="152">
        <f>Q223-P223</f>
        <v>1342.9899999999998</v>
      </c>
      <c r="Y223" s="4">
        <f>IF(P223=0,0,Q223/P223-1)</f>
        <v>0.16366410464831449</v>
      </c>
      <c r="Z223">
        <v>1.6431257509010815</v>
      </c>
      <c r="AA223">
        <f>Q223/H223</f>
        <v>1.8631726829268294</v>
      </c>
      <c r="AB223">
        <f>AA223-Z223</f>
        <v>0.22004693202574788</v>
      </c>
      <c r="AC223" s="18">
        <v>186504.51</v>
      </c>
      <c r="AD223" s="18">
        <v>190883.7</v>
      </c>
      <c r="AE223" s="4">
        <f>AD223/AC223-1</f>
        <v>2.3480343719302077E-2</v>
      </c>
      <c r="AF223" s="150">
        <f>(L223*2)-X223</f>
        <v>-1192.9899999999998</v>
      </c>
      <c r="AM223" s="161" t="s">
        <v>331</v>
      </c>
      <c r="AN223" s="162">
        <v>1460</v>
      </c>
      <c r="AP223" s="161" t="s">
        <v>419</v>
      </c>
      <c r="AQ223" s="162">
        <v>1060</v>
      </c>
    </row>
    <row r="224" spans="1:43" ht="15" customHeight="1">
      <c r="A224" t="s">
        <v>655</v>
      </c>
      <c r="B224" t="s">
        <v>33</v>
      </c>
      <c r="C224" s="30">
        <v>15282</v>
      </c>
      <c r="D224">
        <v>15222</v>
      </c>
      <c r="F224" t="s">
        <v>33</v>
      </c>
      <c r="G224" s="30">
        <v>23447</v>
      </c>
      <c r="H224" s="30">
        <v>23395</v>
      </c>
      <c r="I224" t="b">
        <f>IF(B224=F224,TRUE,FALSE)</f>
        <v>1</v>
      </c>
      <c r="L224">
        <f>G224-C224</f>
        <v>8165</v>
      </c>
      <c r="M224" s="4">
        <f>G224/C224-1</f>
        <v>0.53428870566679754</v>
      </c>
      <c r="N224" s="165">
        <f>H224-D224</f>
        <v>8173</v>
      </c>
      <c r="P224" s="5">
        <v>10885.19</v>
      </c>
      <c r="Q224" s="5">
        <v>26859.98</v>
      </c>
      <c r="T224" s="5">
        <v>174494.69999999998</v>
      </c>
      <c r="X224" s="152">
        <f>Q224-P224</f>
        <v>15974.789999999999</v>
      </c>
      <c r="Y224" s="4">
        <f>IF(P224=0,0,Q224/P224-1)</f>
        <v>1.4675710759297722</v>
      </c>
      <c r="Z224">
        <v>0.71509591380896076</v>
      </c>
      <c r="AA224">
        <f>Q224/H224</f>
        <v>1.1481077153237871</v>
      </c>
      <c r="AB224">
        <f>AA224-Z224</f>
        <v>0.43301180151482632</v>
      </c>
      <c r="AC224" s="18">
        <v>366565.37</v>
      </c>
      <c r="AD224" s="18">
        <v>577256.19000000006</v>
      </c>
      <c r="AE224" s="4">
        <f>AD224/AC224-1</f>
        <v>0.57477011535486855</v>
      </c>
      <c r="AF224" s="150">
        <f>(L224*2)-X224</f>
        <v>355.21000000000095</v>
      </c>
      <c r="AM224" s="163" t="s">
        <v>656</v>
      </c>
      <c r="AN224" s="164">
        <v>38764</v>
      </c>
      <c r="AP224" s="163" t="s">
        <v>656</v>
      </c>
      <c r="AQ224" s="164">
        <v>39910</v>
      </c>
    </row>
    <row r="225" spans="1:43" ht="15" customHeight="1">
      <c r="A225" t="s">
        <v>657</v>
      </c>
      <c r="B225" t="s">
        <v>145</v>
      </c>
      <c r="C225" s="30">
        <v>4324</v>
      </c>
      <c r="D225">
        <v>4269</v>
      </c>
      <c r="F225" t="s">
        <v>145</v>
      </c>
      <c r="G225" s="30">
        <v>5078</v>
      </c>
      <c r="H225" s="30">
        <v>5052</v>
      </c>
      <c r="I225" t="b">
        <f>IF(B225=F225,TRUE,FALSE)</f>
        <v>1</v>
      </c>
      <c r="L225">
        <f>G225-C225</f>
        <v>754</v>
      </c>
      <c r="M225" s="4">
        <f>G225/C225-1</f>
        <v>0.17437557816836269</v>
      </c>
      <c r="N225" s="165">
        <f>H225-D225</f>
        <v>783</v>
      </c>
      <c r="P225" s="5">
        <v>8257.0499999999993</v>
      </c>
      <c r="Q225" s="5">
        <v>9735.2999999999993</v>
      </c>
      <c r="T225" s="5">
        <v>41286.990000000005</v>
      </c>
      <c r="X225" s="152">
        <f>Q225-P225</f>
        <v>1478.25</v>
      </c>
      <c r="Y225" s="4">
        <f>IF(P225=0,0,Q225/P225-1)</f>
        <v>0.17902882990898683</v>
      </c>
      <c r="Z225">
        <v>1.9341883345045676</v>
      </c>
      <c r="AA225">
        <f>Q225/H225</f>
        <v>1.9270190023752967</v>
      </c>
      <c r="AB225">
        <f>AA225-Z225</f>
        <v>-7.1693321292709555E-3</v>
      </c>
      <c r="AC225" s="18">
        <v>116367.18</v>
      </c>
      <c r="AD225" s="18">
        <v>132380.38</v>
      </c>
      <c r="AE225" s="4">
        <f>AD225/AC225-1</f>
        <v>0.13760924686840403</v>
      </c>
      <c r="AF225" s="150">
        <f>(L225*2)-X225</f>
        <v>29.75</v>
      </c>
      <c r="AM225" s="163" t="s">
        <v>658</v>
      </c>
      <c r="AN225" s="164">
        <v>1088</v>
      </c>
      <c r="AP225" s="163" t="s">
        <v>294</v>
      </c>
      <c r="AQ225" s="164">
        <v>1223</v>
      </c>
    </row>
    <row r="226" spans="1:43" ht="15" customHeight="1">
      <c r="A226" t="s">
        <v>659</v>
      </c>
      <c r="B226" t="s">
        <v>660</v>
      </c>
      <c r="C226" s="30">
        <v>910</v>
      </c>
      <c r="D226">
        <v>896</v>
      </c>
      <c r="F226" t="s">
        <v>660</v>
      </c>
      <c r="G226" s="30">
        <v>1697</v>
      </c>
      <c r="H226" s="30">
        <v>1693</v>
      </c>
      <c r="I226" t="b">
        <f>IF(B226=F226,TRUE,FALSE)</f>
        <v>1</v>
      </c>
      <c r="L226">
        <f>G226-C226</f>
        <v>787</v>
      </c>
      <c r="M226" s="4">
        <f>G226/C226-1</f>
        <v>0.86483516483516487</v>
      </c>
      <c r="N226" s="165">
        <f>H226-D226</f>
        <v>797</v>
      </c>
      <c r="P226" s="5">
        <v>1054.32</v>
      </c>
      <c r="Q226" s="5">
        <v>1777.7</v>
      </c>
      <c r="T226" s="5">
        <v>6494.84</v>
      </c>
      <c r="X226" s="152">
        <f>Q226-P226</f>
        <v>723.38000000000011</v>
      </c>
      <c r="Y226" s="4">
        <f>IF(P226=0,0,Q226/P226-1)</f>
        <v>0.68611047879201781</v>
      </c>
      <c r="Z226">
        <v>1.1766964285714285</v>
      </c>
      <c r="AA226">
        <f>Q226/H226</f>
        <v>1.0500295333727112</v>
      </c>
      <c r="AB226">
        <f>AA226-Z226</f>
        <v>-0.12666689519871732</v>
      </c>
      <c r="AC226" s="18">
        <v>26344.5</v>
      </c>
      <c r="AD226" s="18">
        <v>49128.15</v>
      </c>
      <c r="AE226" s="4">
        <f>AD226/AC226-1</f>
        <v>0.86483516483516487</v>
      </c>
      <c r="AF226" s="150">
        <f>(L226*2)-X226</f>
        <v>850.61999999999989</v>
      </c>
      <c r="AM226" s="163" t="s">
        <v>622</v>
      </c>
      <c r="AN226" s="164">
        <v>1024</v>
      </c>
      <c r="AP226" s="163" t="s">
        <v>635</v>
      </c>
      <c r="AQ226" s="164">
        <v>1481</v>
      </c>
    </row>
    <row r="227" spans="1:43" ht="15" customHeight="1">
      <c r="A227" t="s">
        <v>661</v>
      </c>
      <c r="B227" t="s">
        <v>242</v>
      </c>
      <c r="C227" s="30">
        <v>7773</v>
      </c>
      <c r="D227">
        <v>7741</v>
      </c>
      <c r="F227" t="s">
        <v>242</v>
      </c>
      <c r="G227" s="30">
        <v>9494</v>
      </c>
      <c r="H227" s="30">
        <v>9468</v>
      </c>
      <c r="I227" t="b">
        <f>IF(B227=F227,TRUE,FALSE)</f>
        <v>1</v>
      </c>
      <c r="L227">
        <f>G227-C227</f>
        <v>1721</v>
      </c>
      <c r="M227" s="4">
        <f>G227/C227-1</f>
        <v>0.22140743599639778</v>
      </c>
      <c r="N227" s="165">
        <f>H227-D227</f>
        <v>1727</v>
      </c>
      <c r="P227" s="5">
        <v>6834.37</v>
      </c>
      <c r="Q227" s="5">
        <v>8650.24</v>
      </c>
      <c r="T227" s="5">
        <v>94207.63</v>
      </c>
      <c r="X227" s="152">
        <f>Q227-P227</f>
        <v>1815.87</v>
      </c>
      <c r="Y227" s="4">
        <f>IF(P227=0,0,Q227/P227-1)</f>
        <v>0.26569676502735429</v>
      </c>
      <c r="Z227">
        <v>0.88287947293631308</v>
      </c>
      <c r="AA227">
        <f>Q227/H227</f>
        <v>0.91362906632868612</v>
      </c>
      <c r="AB227">
        <f>AA227-Z227</f>
        <v>3.0749593392373042E-2</v>
      </c>
      <c r="AC227" s="18">
        <v>232681.55</v>
      </c>
      <c r="AD227" s="18">
        <v>284315.34999999998</v>
      </c>
      <c r="AE227" s="4">
        <f>AD227/AC227-1</f>
        <v>0.22190758141330935</v>
      </c>
      <c r="AF227" s="150">
        <f>(L227*2)-X227</f>
        <v>1626.13</v>
      </c>
      <c r="AM227" s="163" t="s">
        <v>120</v>
      </c>
      <c r="AN227" s="164">
        <v>5125</v>
      </c>
      <c r="AP227" s="163" t="s">
        <v>50</v>
      </c>
      <c r="AQ227" s="164">
        <v>4359</v>
      </c>
    </row>
    <row r="228" spans="1:43" ht="15" customHeight="1">
      <c r="A228" t="s">
        <v>662</v>
      </c>
      <c r="B228" t="s">
        <v>114</v>
      </c>
      <c r="C228" s="30">
        <v>5095</v>
      </c>
      <c r="D228">
        <v>5007</v>
      </c>
      <c r="F228" t="s">
        <v>114</v>
      </c>
      <c r="G228" s="30">
        <v>7614</v>
      </c>
      <c r="H228" s="30">
        <v>7570</v>
      </c>
      <c r="I228" t="b">
        <f>IF(B228=F228,TRUE,FALSE)</f>
        <v>1</v>
      </c>
      <c r="L228">
        <f>G228-C228</f>
        <v>2519</v>
      </c>
      <c r="M228" s="4">
        <f>G228/C228-1</f>
        <v>0.49440628066732084</v>
      </c>
      <c r="N228" s="165">
        <f>H228-D228</f>
        <v>2563</v>
      </c>
      <c r="P228" s="5">
        <v>3912.04</v>
      </c>
      <c r="Q228" s="5">
        <v>7058.72</v>
      </c>
      <c r="T228" s="5">
        <v>55574.75</v>
      </c>
      <c r="X228" s="152">
        <f>Q228-P228</f>
        <v>3146.6800000000003</v>
      </c>
      <c r="Y228" s="4">
        <f>IF(P228=0,0,Q228/P228-1)</f>
        <v>0.80435782865205896</v>
      </c>
      <c r="Z228">
        <v>0.78131416017575395</v>
      </c>
      <c r="AA228">
        <f>Q228/H228</f>
        <v>0.93245970937912814</v>
      </c>
      <c r="AB228">
        <f>AA228-Z228</f>
        <v>0.1511455492033742</v>
      </c>
      <c r="AC228" s="18">
        <v>149340.1</v>
      </c>
      <c r="AD228" s="18">
        <v>227380.4</v>
      </c>
      <c r="AE228" s="4">
        <f>AD228/AC228-1</f>
        <v>0.52256761579776612</v>
      </c>
      <c r="AF228" s="150">
        <f>(L228*2)-X228</f>
        <v>1891.3199999999997</v>
      </c>
      <c r="AM228" s="163" t="s">
        <v>242</v>
      </c>
      <c r="AN228" s="164">
        <v>7741</v>
      </c>
      <c r="AP228" s="163" t="s">
        <v>184</v>
      </c>
      <c r="AQ228" s="164">
        <v>9374</v>
      </c>
    </row>
    <row r="229" spans="1:43" ht="15" customHeight="1">
      <c r="A229" t="s">
        <v>663</v>
      </c>
      <c r="B229" t="s">
        <v>251</v>
      </c>
      <c r="C229" s="30">
        <v>1747</v>
      </c>
      <c r="D229">
        <v>1743</v>
      </c>
      <c r="F229" t="s">
        <v>251</v>
      </c>
      <c r="G229" s="30">
        <v>3482</v>
      </c>
      <c r="H229" s="30">
        <v>3472</v>
      </c>
      <c r="I229" t="b">
        <f>IF(B229=F229,TRUE,FALSE)</f>
        <v>1</v>
      </c>
      <c r="L229">
        <f>G229-C229</f>
        <v>1735</v>
      </c>
      <c r="M229" s="4">
        <f>G229/C229-1</f>
        <v>0.99313108185460797</v>
      </c>
      <c r="N229" s="165">
        <f>H229-D229</f>
        <v>1729</v>
      </c>
      <c r="P229" s="5">
        <v>3986.04</v>
      </c>
      <c r="Q229" s="5">
        <v>5450.45</v>
      </c>
      <c r="T229" s="5">
        <v>25322.54</v>
      </c>
      <c r="X229" s="152">
        <f>Q229-P229</f>
        <v>1464.4099999999999</v>
      </c>
      <c r="Y229" s="4">
        <f>IF(P229=0,0,Q229/P229-1)</f>
        <v>0.36738467250704954</v>
      </c>
      <c r="Z229">
        <v>2.2868846815834769</v>
      </c>
      <c r="AA229">
        <f>Q229/H229</f>
        <v>1.569830069124424</v>
      </c>
      <c r="AB229">
        <f>AA229-Z229</f>
        <v>-0.71705461245905289</v>
      </c>
      <c r="AC229" s="18">
        <v>49192.93</v>
      </c>
      <c r="AD229" s="18">
        <v>96026.22</v>
      </c>
      <c r="AE229" s="4">
        <f>AD229/AC229-1</f>
        <v>0.95203294457150656</v>
      </c>
      <c r="AF229" s="150">
        <f>(L229*2)-X229</f>
        <v>2005.5900000000001</v>
      </c>
      <c r="AM229" s="161" t="s">
        <v>332</v>
      </c>
      <c r="AN229" s="162">
        <v>2821</v>
      </c>
      <c r="AP229" s="161" t="s">
        <v>250</v>
      </c>
      <c r="AQ229" s="162">
        <v>3868</v>
      </c>
    </row>
    <row r="230" spans="1:43" ht="15" customHeight="1">
      <c r="A230" t="s">
        <v>664</v>
      </c>
      <c r="B230" t="s">
        <v>665</v>
      </c>
      <c r="C230" s="30">
        <v>3833</v>
      </c>
      <c r="D230">
        <v>3820</v>
      </c>
      <c r="F230" t="s">
        <v>665</v>
      </c>
      <c r="G230" s="30">
        <v>5354</v>
      </c>
      <c r="H230" s="30">
        <v>5349</v>
      </c>
      <c r="I230" t="b">
        <f>IF(B230=F230,TRUE,FALSE)</f>
        <v>1</v>
      </c>
      <c r="L230">
        <f>G230-C230</f>
        <v>1521</v>
      </c>
      <c r="M230" s="4">
        <f>G230/C230-1</f>
        <v>0.39681711453169832</v>
      </c>
      <c r="N230" s="165">
        <f>H230-D230</f>
        <v>1529</v>
      </c>
      <c r="P230" s="5">
        <v>5811.17</v>
      </c>
      <c r="Q230" s="5">
        <v>6136.63</v>
      </c>
      <c r="T230" s="5">
        <v>33627.49</v>
      </c>
      <c r="X230" s="152">
        <f>Q230-P230</f>
        <v>325.46000000000004</v>
      </c>
      <c r="Y230" s="4">
        <f>IF(P230=0,0,Q230/P230-1)</f>
        <v>5.6005933400674834E-2</v>
      </c>
      <c r="Z230">
        <v>1.5212486910994765</v>
      </c>
      <c r="AA230">
        <f>Q230/H230</f>
        <v>1.1472480837539727</v>
      </c>
      <c r="AB230">
        <f>AA230-Z230</f>
        <v>-0.37400060734550378</v>
      </c>
      <c r="AC230" s="18">
        <v>112502.03</v>
      </c>
      <c r="AD230" s="18">
        <v>160536.47</v>
      </c>
      <c r="AE230" s="4">
        <f>AD230/AC230-1</f>
        <v>0.42696509565205187</v>
      </c>
      <c r="AF230" s="150">
        <f>(L230*2)-X230</f>
        <v>2716.54</v>
      </c>
      <c r="AM230" s="163" t="s">
        <v>269</v>
      </c>
      <c r="AN230" s="164">
        <v>1004</v>
      </c>
      <c r="AP230" s="163" t="s">
        <v>263</v>
      </c>
      <c r="AQ230" s="164">
        <v>1237</v>
      </c>
    </row>
    <row r="231" spans="1:43" ht="15" customHeight="1">
      <c r="A231" t="s">
        <v>666</v>
      </c>
      <c r="B231" t="s">
        <v>50</v>
      </c>
      <c r="C231" s="30">
        <v>6410</v>
      </c>
      <c r="D231">
        <v>6363</v>
      </c>
      <c r="F231" t="s">
        <v>50</v>
      </c>
      <c r="G231" s="30">
        <v>4373</v>
      </c>
      <c r="H231" s="30">
        <v>4359</v>
      </c>
      <c r="I231" t="b">
        <f>IF(B231=F231,TRUE,FALSE)</f>
        <v>1</v>
      </c>
      <c r="L231">
        <f>G231-C231</f>
        <v>-2037</v>
      </c>
      <c r="M231" s="4">
        <f>G231/C231-1</f>
        <v>-0.31778471138845554</v>
      </c>
      <c r="N231" s="165">
        <f>H231-D231</f>
        <v>-2004</v>
      </c>
      <c r="P231" s="5">
        <v>11083.78</v>
      </c>
      <c r="Q231" s="185">
        <v>8516.2999999999993</v>
      </c>
      <c r="T231" s="5">
        <v>23173.15</v>
      </c>
      <c r="X231" s="152">
        <f>Q231-P231</f>
        <v>-2567.4800000000014</v>
      </c>
      <c r="Y231" s="4">
        <f>IF(P231=0,0,Q231/P231-1)</f>
        <v>-0.23164299544018385</v>
      </c>
      <c r="Z231">
        <v>1.7419110482476821</v>
      </c>
      <c r="AA231">
        <f>Q231/H231</f>
        <v>1.9537279192475336</v>
      </c>
      <c r="AB231">
        <f>AA231-Z231</f>
        <v>0.21181687099985158</v>
      </c>
      <c r="AC231" s="18">
        <v>173921.45</v>
      </c>
      <c r="AD231" s="18">
        <v>129916.9</v>
      </c>
      <c r="AE231" s="4">
        <f>AD231/AC231-1</f>
        <v>-0.2530139324390408</v>
      </c>
      <c r="AF231" s="150">
        <f>(L231*2)-X231</f>
        <v>-1506.5199999999986</v>
      </c>
      <c r="AM231" s="161" t="s">
        <v>667</v>
      </c>
      <c r="AN231" s="162">
        <v>867</v>
      </c>
      <c r="AP231" s="161" t="s">
        <v>627</v>
      </c>
      <c r="AQ231" s="162">
        <v>1019</v>
      </c>
    </row>
    <row r="232" spans="1:43" ht="15" customHeight="1">
      <c r="A232" t="s">
        <v>668</v>
      </c>
      <c r="B232" t="s">
        <v>669</v>
      </c>
      <c r="C232" s="30">
        <v>745</v>
      </c>
      <c r="D232">
        <v>735</v>
      </c>
      <c r="F232" t="s">
        <v>669</v>
      </c>
      <c r="G232" s="30">
        <v>3184</v>
      </c>
      <c r="H232" s="30">
        <v>3181</v>
      </c>
      <c r="I232" t="b">
        <f>IF(B232=F232,TRUE,FALSE)</f>
        <v>1</v>
      </c>
      <c r="L232">
        <f>G232-C232</f>
        <v>2439</v>
      </c>
      <c r="M232" s="4">
        <f>G232/C232-1</f>
        <v>3.2738255033557051</v>
      </c>
      <c r="N232" s="165">
        <f>H232-D232</f>
        <v>2446</v>
      </c>
      <c r="P232" s="5">
        <v>1058.8800000000001</v>
      </c>
      <c r="Q232" s="5">
        <v>4951.3500000000004</v>
      </c>
      <c r="T232" s="5">
        <v>5231.18</v>
      </c>
      <c r="X232" s="152">
        <f>Q232-P232</f>
        <v>3892.4700000000003</v>
      </c>
      <c r="Y232" s="4">
        <f>IF(P232=0,0,Q232/P232-1)</f>
        <v>3.6760256119673613</v>
      </c>
      <c r="Z232">
        <v>1.4406530612244899</v>
      </c>
      <c r="AA232">
        <f>Q232/H232</f>
        <v>1.5565388242690978</v>
      </c>
      <c r="AB232">
        <f>AA232-Z232</f>
        <v>0.11588576304460796</v>
      </c>
      <c r="AC232" s="18">
        <v>14098.8</v>
      </c>
      <c r="AD232" s="18">
        <v>63509.45</v>
      </c>
      <c r="AE232" s="4">
        <f>AD232/AC232-1</f>
        <v>3.5045996822424605</v>
      </c>
      <c r="AF232" s="150">
        <f>(L232*2)-X232</f>
        <v>985.52999999999975</v>
      </c>
      <c r="AM232" s="161" t="s">
        <v>490</v>
      </c>
      <c r="AN232" s="162">
        <v>942</v>
      </c>
      <c r="AP232" s="161" t="s">
        <v>195</v>
      </c>
      <c r="AQ232" s="162">
        <v>1179</v>
      </c>
    </row>
    <row r="233" spans="1:43" ht="15" customHeight="1">
      <c r="A233" t="s">
        <v>670</v>
      </c>
      <c r="B233" t="s">
        <v>77</v>
      </c>
      <c r="C233" s="30">
        <v>8655</v>
      </c>
      <c r="D233">
        <v>8538</v>
      </c>
      <c r="F233" t="s">
        <v>77</v>
      </c>
      <c r="G233" s="30">
        <v>10853</v>
      </c>
      <c r="H233" s="30">
        <v>10801</v>
      </c>
      <c r="I233" t="b">
        <f>IF(B233=F233,TRUE,FALSE)</f>
        <v>1</v>
      </c>
      <c r="L233">
        <f>G233-C233</f>
        <v>2198</v>
      </c>
      <c r="M233" s="4">
        <f>G233/C233-1</f>
        <v>0.25395725014442516</v>
      </c>
      <c r="N233" s="165">
        <f>H233-D233</f>
        <v>2263</v>
      </c>
      <c r="P233" s="5">
        <v>4720.8</v>
      </c>
      <c r="Q233" s="5">
        <v>7206.91</v>
      </c>
      <c r="T233" s="5">
        <v>34905.33</v>
      </c>
      <c r="X233" s="152">
        <f>Q233-P233</f>
        <v>2486.1099999999997</v>
      </c>
      <c r="Y233" s="4">
        <f>IF(P233=0,0,Q233/P233-1)</f>
        <v>0.52662896119301794</v>
      </c>
      <c r="Z233">
        <v>0.55291637385804637</v>
      </c>
      <c r="AA233">
        <f>Q233/H233</f>
        <v>0.6672446995648551</v>
      </c>
      <c r="AB233">
        <f>AA233-Z233</f>
        <v>0.11432832570680873</v>
      </c>
      <c r="AC233" s="18">
        <v>258544.32</v>
      </c>
      <c r="AD233" s="18">
        <v>324094.64</v>
      </c>
      <c r="AE233" s="4">
        <f>AD233/AC233-1</f>
        <v>0.25353610553115224</v>
      </c>
      <c r="AF233" s="150">
        <f>(L233*2)-X233</f>
        <v>1909.8900000000003</v>
      </c>
      <c r="AM233" s="161" t="s">
        <v>596</v>
      </c>
      <c r="AN233" s="162">
        <v>983</v>
      </c>
      <c r="AP233" s="161" t="s">
        <v>210</v>
      </c>
      <c r="AQ233" s="162">
        <v>2674</v>
      </c>
    </row>
    <row r="234" spans="1:43" ht="15" customHeight="1">
      <c r="A234" t="s">
        <v>671</v>
      </c>
      <c r="B234" t="s">
        <v>155</v>
      </c>
      <c r="C234" s="30">
        <v>22507</v>
      </c>
      <c r="D234">
        <v>21688</v>
      </c>
      <c r="F234" t="s">
        <v>155</v>
      </c>
      <c r="G234" s="30">
        <v>23963</v>
      </c>
      <c r="H234" s="30">
        <v>23670</v>
      </c>
      <c r="I234" t="b">
        <f>IF(B234=F234,TRUE,FALSE)</f>
        <v>1</v>
      </c>
      <c r="L234">
        <f>G234-C234</f>
        <v>1456</v>
      </c>
      <c r="M234" s="4">
        <f>G234/C234-1</f>
        <v>6.4690985026880421E-2</v>
      </c>
      <c r="N234" s="165">
        <f>H234-D234</f>
        <v>1982</v>
      </c>
      <c r="P234" s="5">
        <v>19014.18</v>
      </c>
      <c r="Q234" s="5">
        <v>18852.990000000002</v>
      </c>
      <c r="T234" s="11">
        <v>119453.47</v>
      </c>
      <c r="X234" s="152">
        <f>Q234-P234</f>
        <v>-161.18999999999869</v>
      </c>
      <c r="Y234" s="4">
        <f>IF(P234=0,0,Q234/P234-1)</f>
        <v>-8.4773574248271366E-3</v>
      </c>
      <c r="Z234">
        <v>0.87671431206196981</v>
      </c>
      <c r="AA234">
        <f>Q234/H234</f>
        <v>0.79649302915082387</v>
      </c>
      <c r="AB234">
        <f>AA234-Z234</f>
        <v>-8.0221282911145941E-2</v>
      </c>
      <c r="AC234" s="18">
        <v>1065103.3899999999</v>
      </c>
      <c r="AD234" s="18">
        <v>1157602.92</v>
      </c>
      <c r="AE234" s="4">
        <f>AD234/AC234-1</f>
        <v>8.6845587825985726E-2</v>
      </c>
      <c r="AF234" s="150">
        <f>(L234*2)-X234</f>
        <v>3073.1899999999987</v>
      </c>
      <c r="AM234" s="161" t="s">
        <v>311</v>
      </c>
      <c r="AN234" s="162">
        <v>898</v>
      </c>
      <c r="AP234" s="161" t="s">
        <v>672</v>
      </c>
      <c r="AQ234" s="162">
        <v>1164</v>
      </c>
    </row>
    <row r="235" spans="1:43" ht="15" customHeight="1">
      <c r="A235" t="s">
        <v>673</v>
      </c>
      <c r="B235" t="s">
        <v>656</v>
      </c>
      <c r="C235" s="30">
        <v>39015</v>
      </c>
      <c r="D235">
        <v>38764</v>
      </c>
      <c r="F235" t="s">
        <v>656</v>
      </c>
      <c r="G235" s="30">
        <v>40099</v>
      </c>
      <c r="H235" s="30">
        <v>39910</v>
      </c>
      <c r="I235" t="b">
        <f>IF(B235=F235,TRUE,FALSE)</f>
        <v>1</v>
      </c>
      <c r="L235">
        <f>G235-C235</f>
        <v>1084</v>
      </c>
      <c r="M235" s="4">
        <f>G235/C235-1</f>
        <v>2.7784185569652786E-2</v>
      </c>
      <c r="N235" s="165">
        <f>H235-D235</f>
        <v>1146</v>
      </c>
      <c r="P235" s="5">
        <v>39916.06</v>
      </c>
      <c r="Q235" s="5">
        <v>37888.379999999997</v>
      </c>
      <c r="T235" s="5">
        <v>339717.54</v>
      </c>
      <c r="X235" s="152">
        <f>Q235-P235</f>
        <v>-2027.6800000000003</v>
      </c>
      <c r="Y235" s="4">
        <f>IF(P235=0,0,Q235/P235-1)</f>
        <v>-5.0798600863912968E-2</v>
      </c>
      <c r="Z235">
        <v>1.0297198431534413</v>
      </c>
      <c r="AA235">
        <f>Q235/H235</f>
        <v>0.94934552743673262</v>
      </c>
      <c r="AB235">
        <f>AA235-Z235</f>
        <v>-8.0374315716708722E-2</v>
      </c>
      <c r="AC235" s="18">
        <v>1227819.29</v>
      </c>
      <c r="AD235" s="18">
        <v>1292263.58</v>
      </c>
      <c r="AE235" s="4">
        <f>AD235/AC235-1</f>
        <v>5.2486787367544974E-2</v>
      </c>
      <c r="AF235" s="150">
        <f>(L235*2)-X235</f>
        <v>4195.68</v>
      </c>
      <c r="AM235" s="163" t="s">
        <v>674</v>
      </c>
      <c r="AN235" s="164">
        <v>1587</v>
      </c>
      <c r="AP235" s="163" t="s">
        <v>675</v>
      </c>
      <c r="AQ235" s="164">
        <v>1002</v>
      </c>
    </row>
    <row r="236" spans="1:43" ht="15" customHeight="1">
      <c r="A236" t="s">
        <v>676</v>
      </c>
      <c r="B236" t="s">
        <v>23</v>
      </c>
      <c r="C236" s="30">
        <v>39585</v>
      </c>
      <c r="D236">
        <v>39458</v>
      </c>
      <c r="F236" t="s">
        <v>23</v>
      </c>
      <c r="G236" s="30">
        <v>66998</v>
      </c>
      <c r="H236" s="30">
        <v>66907</v>
      </c>
      <c r="I236" t="b">
        <f>IF(B236=F236,TRUE,FALSE)</f>
        <v>1</v>
      </c>
      <c r="L236">
        <f>G236-C236</f>
        <v>27413</v>
      </c>
      <c r="M236" s="4">
        <f>G236/C236-1</f>
        <v>0.69250978906151328</v>
      </c>
      <c r="N236" s="165">
        <f>H236-D236</f>
        <v>27449</v>
      </c>
      <c r="P236" s="5">
        <v>44957.13</v>
      </c>
      <c r="Q236" s="5">
        <v>53050.28</v>
      </c>
      <c r="T236" s="5">
        <v>517790.12</v>
      </c>
      <c r="X236" s="152">
        <f>Q236-P236</f>
        <v>8093.1500000000015</v>
      </c>
      <c r="Y236" s="4">
        <f>IF(P236=0,0,Q236/P236-1)</f>
        <v>0.18001927614151536</v>
      </c>
      <c r="Z236">
        <v>1.1393666683562269</v>
      </c>
      <c r="AA236">
        <f>Q236/H236</f>
        <v>0.79289581060277692</v>
      </c>
      <c r="AB236">
        <f>AA236-Z236</f>
        <v>-0.34647085775344999</v>
      </c>
      <c r="AC236" s="18">
        <v>1370585.3</v>
      </c>
      <c r="AD236" s="18">
        <v>2296796.6</v>
      </c>
      <c r="AE236" s="4">
        <f>AD236/AC236-1</f>
        <v>0.67577793224544291</v>
      </c>
      <c r="AF236" s="150">
        <f>(L236*2)-X236</f>
        <v>46732.85</v>
      </c>
      <c r="AM236" s="163" t="s">
        <v>74</v>
      </c>
      <c r="AN236" s="164">
        <v>18632</v>
      </c>
      <c r="AP236" s="163" t="s">
        <v>155</v>
      </c>
      <c r="AQ236" s="164">
        <v>23670</v>
      </c>
    </row>
    <row r="237" spans="1:43" ht="15" customHeight="1">
      <c r="A237" s="59"/>
      <c r="B237" s="39"/>
      <c r="C237" s="30"/>
      <c r="F237" s="39"/>
      <c r="G237" s="30"/>
      <c r="H237" s="30"/>
      <c r="M237" s="4"/>
      <c r="N237" s="4"/>
      <c r="Y237" s="4"/>
      <c r="AC237" s="18"/>
      <c r="AD237" s="18"/>
      <c r="AE237" s="33"/>
      <c r="AM237" s="163" t="s">
        <v>677</v>
      </c>
      <c r="AN237" s="164">
        <v>937</v>
      </c>
      <c r="AP237" s="163" t="s">
        <v>443</v>
      </c>
      <c r="AQ237" s="164">
        <v>1017</v>
      </c>
    </row>
    <row r="238" spans="1:43" ht="15" customHeight="1">
      <c r="C238" s="4"/>
      <c r="P238" s="4"/>
      <c r="Q238" s="26"/>
      <c r="AM238" s="161" t="s">
        <v>678</v>
      </c>
      <c r="AN238" s="162">
        <v>833</v>
      </c>
      <c r="AP238" s="161" t="s">
        <v>679</v>
      </c>
      <c r="AQ238" s="162">
        <v>1026</v>
      </c>
    </row>
    <row r="239" spans="1:43" ht="15" customHeight="1">
      <c r="C239" s="3" t="s">
        <v>680</v>
      </c>
      <c r="D239" s="3" t="s">
        <v>11</v>
      </c>
      <c r="E239" s="3"/>
      <c r="F239" s="3"/>
      <c r="G239" s="3" t="s">
        <v>680</v>
      </c>
      <c r="H239" s="3" t="s">
        <v>12</v>
      </c>
      <c r="I239" s="3"/>
      <c r="J239" s="3"/>
      <c r="K239" s="3"/>
      <c r="L239" s="3" t="s">
        <v>681</v>
      </c>
      <c r="M239" s="33"/>
      <c r="N239" s="33"/>
      <c r="O239" s="3"/>
      <c r="P239" s="35" t="s">
        <v>682</v>
      </c>
      <c r="Q239" s="35" t="s">
        <v>682</v>
      </c>
      <c r="R239" s="3"/>
      <c r="T239" s="35" t="s">
        <v>683</v>
      </c>
      <c r="U239" s="3"/>
      <c r="X239" s="153" t="s">
        <v>684</v>
      </c>
      <c r="Y239" s="3"/>
      <c r="Z239" s="3"/>
      <c r="AA239" s="3"/>
      <c r="AB239" s="3"/>
      <c r="AC239" s="37" t="s">
        <v>3</v>
      </c>
      <c r="AD239" s="37" t="s">
        <v>3</v>
      </c>
      <c r="AE239" s="37"/>
      <c r="AM239" s="163" t="s">
        <v>685</v>
      </c>
      <c r="AN239" s="164">
        <v>860</v>
      </c>
      <c r="AP239" s="163" t="s">
        <v>686</v>
      </c>
      <c r="AQ239" s="164">
        <v>1051</v>
      </c>
    </row>
    <row r="240" spans="1:43" ht="15" customHeight="1">
      <c r="A240" s="20"/>
      <c r="C240" s="27">
        <f>SUM(C3:C236)</f>
        <v>462128</v>
      </c>
      <c r="D240">
        <f>SUM(D3:D236)</f>
        <v>456865</v>
      </c>
      <c r="G240" s="27">
        <f>SUM(G3:G236)</f>
        <v>572775</v>
      </c>
      <c r="H240" s="27">
        <f>SUM(H3:H236)</f>
        <v>569785</v>
      </c>
      <c r="L240" s="27">
        <f>SUM(L3:L236)</f>
        <v>110647</v>
      </c>
      <c r="P240" s="18">
        <f>SUM(P3:P236)</f>
        <v>560029.31999999983</v>
      </c>
      <c r="Q240" s="18">
        <f>SUM(Q3:Q236)</f>
        <v>771258.65</v>
      </c>
      <c r="T240" s="18">
        <f>SUM(T3:T236)</f>
        <v>5020104.2900000019</v>
      </c>
      <c r="X240" s="152">
        <f>Q240-P240</f>
        <v>211229.33000000019</v>
      </c>
      <c r="Y240" s="4">
        <f>IF(P240=0,0,Q240/P240-1)</f>
        <v>0.37717548431214332</v>
      </c>
      <c r="AC240" s="32">
        <f>SUM(AC3:AC236)</f>
        <v>13467008.080000006</v>
      </c>
      <c r="AD240" s="32">
        <f>SUM(AD3:AD236)</f>
        <v>16902826.939999998</v>
      </c>
      <c r="AE240" s="33">
        <f>AD240/AC240-1</f>
        <v>0.25512859571997759</v>
      </c>
      <c r="AM240" s="161" t="s">
        <v>687</v>
      </c>
      <c r="AN240" s="162">
        <v>854</v>
      </c>
      <c r="AP240" s="161" t="s">
        <v>335</v>
      </c>
      <c r="AQ240" s="162">
        <v>1905</v>
      </c>
    </row>
    <row r="241" spans="7:43" ht="15" customHeight="1">
      <c r="AM241" s="163" t="s">
        <v>688</v>
      </c>
      <c r="AN241" s="164">
        <v>887</v>
      </c>
      <c r="AP241" s="163" t="s">
        <v>689</v>
      </c>
      <c r="AQ241" s="164">
        <v>1004</v>
      </c>
    </row>
    <row r="242" spans="7:43" ht="15" customHeight="1">
      <c r="G242" s="19">
        <f>G240-C240</f>
        <v>110647</v>
      </c>
      <c r="H242" s="19"/>
      <c r="Q242" s="35" t="s">
        <v>690</v>
      </c>
      <c r="T242" s="28">
        <f>Q240/T240</f>
        <v>0.15363398954406976</v>
      </c>
      <c r="AC242" s="3" t="s">
        <v>691</v>
      </c>
      <c r="AD242" s="3" t="s">
        <v>691</v>
      </c>
      <c r="AM242" s="161" t="s">
        <v>176</v>
      </c>
      <c r="AN242" s="162">
        <v>828</v>
      </c>
      <c r="AP242" s="161" t="s">
        <v>632</v>
      </c>
      <c r="AQ242" s="162">
        <v>988</v>
      </c>
    </row>
    <row r="243" spans="7:43" ht="15" customHeight="1">
      <c r="G243" s="4">
        <f>G240/C240-1</f>
        <v>0.23942933559533297</v>
      </c>
      <c r="H243" s="4"/>
      <c r="AC243" s="34">
        <f>P240/AC240</f>
        <v>4.1585281353748144E-2</v>
      </c>
      <c r="AD243" s="34">
        <f>Q240/AD240</f>
        <v>4.562897394250906E-2</v>
      </c>
      <c r="AM243" s="163" t="s">
        <v>475</v>
      </c>
      <c r="AN243" s="164">
        <v>818</v>
      </c>
      <c r="AP243" s="163" t="s">
        <v>692</v>
      </c>
      <c r="AQ243" s="164">
        <v>1105</v>
      </c>
    </row>
    <row r="244" spans="7:43" ht="15" customHeight="1">
      <c r="AM244" s="161" t="s">
        <v>431</v>
      </c>
      <c r="AN244" s="162">
        <v>1199</v>
      </c>
      <c r="AP244" s="161" t="s">
        <v>693</v>
      </c>
      <c r="AQ244" s="162">
        <v>1004</v>
      </c>
    </row>
    <row r="245" spans="7:43" ht="15" customHeight="1">
      <c r="AM245" s="163" t="s">
        <v>686</v>
      </c>
      <c r="AN245" s="164">
        <v>844</v>
      </c>
      <c r="AP245" s="163" t="s">
        <v>694</v>
      </c>
      <c r="AQ245" s="164">
        <v>990</v>
      </c>
    </row>
    <row r="246" spans="7:43" ht="15" customHeight="1">
      <c r="AC246" s="37"/>
      <c r="AD246" s="37"/>
      <c r="AM246" s="161" t="s">
        <v>695</v>
      </c>
      <c r="AN246" s="162">
        <v>956</v>
      </c>
      <c r="AP246" s="161" t="s">
        <v>641</v>
      </c>
      <c r="AQ246" s="162">
        <v>986</v>
      </c>
    </row>
    <row r="247" spans="7:43" ht="15" customHeight="1">
      <c r="Y247" s="3"/>
      <c r="AC247" s="32"/>
      <c r="AD247" s="32"/>
      <c r="AM247" s="163" t="s">
        <v>696</v>
      </c>
      <c r="AN247" s="164">
        <v>866</v>
      </c>
      <c r="AP247" s="163" t="s">
        <v>697</v>
      </c>
      <c r="AQ247" s="164">
        <v>1019</v>
      </c>
    </row>
    <row r="248" spans="7:43" ht="15" customHeight="1">
      <c r="Y248" s="3"/>
      <c r="AM248" s="161" t="s">
        <v>698</v>
      </c>
      <c r="AN248" s="162">
        <v>806</v>
      </c>
      <c r="AP248" s="161" t="s">
        <v>699</v>
      </c>
      <c r="AQ248" s="162">
        <v>998</v>
      </c>
    </row>
    <row r="249" spans="7:43" ht="15" customHeight="1">
      <c r="Y249" s="3"/>
      <c r="AM249" s="163" t="s">
        <v>699</v>
      </c>
      <c r="AN249" s="164">
        <v>830</v>
      </c>
      <c r="AP249" s="163" t="s">
        <v>281</v>
      </c>
      <c r="AQ249" s="164">
        <v>976</v>
      </c>
    </row>
    <row r="250" spans="7:43" ht="15" customHeight="1">
      <c r="AM250" s="161" t="s">
        <v>689</v>
      </c>
      <c r="AN250" s="162">
        <v>1167</v>
      </c>
      <c r="AP250" s="161" t="s">
        <v>688</v>
      </c>
      <c r="AQ250" s="162">
        <v>1025</v>
      </c>
    </row>
    <row r="251" spans="7:43" ht="15" customHeight="1">
      <c r="AM251" s="163" t="s">
        <v>693</v>
      </c>
      <c r="AN251" s="164">
        <v>859</v>
      </c>
      <c r="AP251" s="163" t="s">
        <v>416</v>
      </c>
      <c r="AQ251" s="164">
        <v>933</v>
      </c>
    </row>
    <row r="252" spans="7:43" ht="15" customHeight="1">
      <c r="AM252" s="161" t="s">
        <v>672</v>
      </c>
      <c r="AN252" s="162">
        <v>837</v>
      </c>
      <c r="AP252" s="161" t="s">
        <v>685</v>
      </c>
      <c r="AQ252" s="162">
        <v>971</v>
      </c>
    </row>
    <row r="253" spans="7:43" ht="15" customHeight="1">
      <c r="AC253" s="3"/>
      <c r="AD253" s="3"/>
      <c r="AM253" s="163" t="s">
        <v>505</v>
      </c>
      <c r="AN253" s="164">
        <v>785</v>
      </c>
      <c r="AP253" s="163" t="s">
        <v>385</v>
      </c>
      <c r="AQ253" s="164">
        <v>949</v>
      </c>
    </row>
    <row r="254" spans="7:43" ht="15" customHeight="1">
      <c r="AM254" s="161" t="s">
        <v>196</v>
      </c>
      <c r="AN254" s="162">
        <v>772</v>
      </c>
      <c r="AP254" s="161" t="s">
        <v>700</v>
      </c>
      <c r="AQ254" s="162">
        <v>937</v>
      </c>
    </row>
    <row r="255" spans="7:43" ht="15" customHeight="1">
      <c r="AM255" s="163" t="s">
        <v>448</v>
      </c>
      <c r="AN255" s="164">
        <v>741</v>
      </c>
      <c r="AP255" s="163" t="s">
        <v>538</v>
      </c>
      <c r="AQ255" s="164">
        <v>948</v>
      </c>
    </row>
    <row r="256" spans="7:43" ht="15" customHeight="1">
      <c r="AM256" s="161" t="s">
        <v>341</v>
      </c>
      <c r="AN256" s="162">
        <v>1412</v>
      </c>
      <c r="AP256" s="161" t="s">
        <v>199</v>
      </c>
      <c r="AQ256" s="162">
        <v>971</v>
      </c>
    </row>
    <row r="257" spans="39:43" ht="15" customHeight="1">
      <c r="AM257" s="163" t="s">
        <v>701</v>
      </c>
      <c r="AN257" s="164">
        <v>778</v>
      </c>
      <c r="AP257" s="163" t="s">
        <v>550</v>
      </c>
      <c r="AQ257" s="164">
        <v>912</v>
      </c>
    </row>
    <row r="258" spans="39:43" ht="15" customHeight="1">
      <c r="AM258" s="161" t="s">
        <v>702</v>
      </c>
      <c r="AN258" s="162">
        <v>791</v>
      </c>
      <c r="AP258" s="161" t="s">
        <v>677</v>
      </c>
      <c r="AQ258" s="162">
        <v>995</v>
      </c>
    </row>
    <row r="259" spans="39:43" ht="15" customHeight="1">
      <c r="AM259" s="163" t="s">
        <v>703</v>
      </c>
      <c r="AN259" s="164">
        <v>922</v>
      </c>
      <c r="AP259" s="163" t="s">
        <v>368</v>
      </c>
      <c r="AQ259" s="164">
        <v>951</v>
      </c>
    </row>
    <row r="260" spans="39:43" ht="15" customHeight="1">
      <c r="AM260" s="161" t="s">
        <v>704</v>
      </c>
      <c r="AN260" s="162">
        <v>739</v>
      </c>
      <c r="AP260" s="161" t="s">
        <v>696</v>
      </c>
      <c r="AQ260" s="162">
        <v>1007</v>
      </c>
    </row>
    <row r="261" spans="39:43" ht="15" customHeight="1">
      <c r="AM261" s="163" t="s">
        <v>705</v>
      </c>
      <c r="AN261" s="164">
        <v>738</v>
      </c>
      <c r="AP261" s="163" t="s">
        <v>687</v>
      </c>
      <c r="AQ261" s="164">
        <v>915</v>
      </c>
    </row>
    <row r="262" spans="39:43" ht="15" customHeight="1">
      <c r="AM262" s="161" t="s">
        <v>538</v>
      </c>
      <c r="AN262" s="162">
        <v>737</v>
      </c>
      <c r="AP262" s="161" t="s">
        <v>649</v>
      </c>
      <c r="AQ262" s="162">
        <v>916</v>
      </c>
    </row>
    <row r="263" spans="39:43" ht="15" customHeight="1">
      <c r="AM263" s="163" t="s">
        <v>249</v>
      </c>
      <c r="AN263" s="164">
        <v>951</v>
      </c>
      <c r="AP263" s="163" t="s">
        <v>222</v>
      </c>
      <c r="AQ263" s="164">
        <v>912</v>
      </c>
    </row>
    <row r="264" spans="39:43" ht="15" customHeight="1">
      <c r="AM264" s="161" t="s">
        <v>697</v>
      </c>
      <c r="AN264" s="162">
        <v>766</v>
      </c>
      <c r="AP264" s="161" t="s">
        <v>413</v>
      </c>
      <c r="AQ264" s="162">
        <v>1000</v>
      </c>
    </row>
    <row r="265" spans="39:43" ht="15" customHeight="1">
      <c r="AM265" s="163" t="s">
        <v>706</v>
      </c>
      <c r="AN265" s="164">
        <v>714</v>
      </c>
      <c r="AP265" s="163" t="s">
        <v>595</v>
      </c>
      <c r="AQ265" s="164">
        <v>1010</v>
      </c>
    </row>
    <row r="266" spans="39:43" ht="15" customHeight="1">
      <c r="AM266" s="161" t="s">
        <v>460</v>
      </c>
      <c r="AN266" s="162">
        <v>717</v>
      </c>
      <c r="AP266" s="161" t="s">
        <v>707</v>
      </c>
      <c r="AQ266" s="162">
        <v>925</v>
      </c>
    </row>
    <row r="267" spans="39:43" ht="15" customHeight="1">
      <c r="AM267" s="163" t="s">
        <v>700</v>
      </c>
      <c r="AN267" s="164">
        <v>721</v>
      </c>
      <c r="AP267" s="163" t="s">
        <v>708</v>
      </c>
      <c r="AQ267" s="164">
        <v>919</v>
      </c>
    </row>
    <row r="268" spans="39:43" ht="15" customHeight="1">
      <c r="AM268" s="161" t="s">
        <v>350</v>
      </c>
      <c r="AN268" s="162">
        <v>720</v>
      </c>
      <c r="AP268" s="161" t="s">
        <v>448</v>
      </c>
      <c r="AQ268" s="162">
        <v>867</v>
      </c>
    </row>
    <row r="269" spans="39:43" ht="15" customHeight="1">
      <c r="AM269" s="163" t="s">
        <v>709</v>
      </c>
      <c r="AN269" s="164">
        <v>699</v>
      </c>
      <c r="AP269" s="163" t="s">
        <v>350</v>
      </c>
      <c r="AQ269" s="164">
        <v>858</v>
      </c>
    </row>
    <row r="270" spans="39:43" ht="15" customHeight="1">
      <c r="AM270" s="161" t="s">
        <v>515</v>
      </c>
      <c r="AN270" s="162">
        <v>756</v>
      </c>
      <c r="AP270" s="161" t="s">
        <v>710</v>
      </c>
      <c r="AQ270" s="162">
        <v>883</v>
      </c>
    </row>
    <row r="271" spans="39:43" ht="15" customHeight="1">
      <c r="AM271" s="163" t="s">
        <v>694</v>
      </c>
      <c r="AN271" s="164">
        <v>693</v>
      </c>
      <c r="AP271" s="163" t="s">
        <v>215</v>
      </c>
      <c r="AQ271" s="164">
        <v>1226</v>
      </c>
    </row>
    <row r="272" spans="39:43" ht="15" customHeight="1">
      <c r="AM272" s="161" t="s">
        <v>711</v>
      </c>
      <c r="AN272" s="162">
        <v>805</v>
      </c>
      <c r="AP272" s="161" t="s">
        <v>712</v>
      </c>
      <c r="AQ272" s="162">
        <v>858</v>
      </c>
    </row>
    <row r="273" spans="39:43" ht="15" customHeight="1">
      <c r="AM273" s="163" t="s">
        <v>713</v>
      </c>
      <c r="AN273" s="164">
        <v>686</v>
      </c>
      <c r="AP273" s="163" t="s">
        <v>702</v>
      </c>
      <c r="AQ273" s="164">
        <v>936</v>
      </c>
    </row>
    <row r="274" spans="39:43" ht="15" customHeight="1">
      <c r="AM274" s="161" t="s">
        <v>714</v>
      </c>
      <c r="AN274" s="162">
        <v>654</v>
      </c>
      <c r="AP274" s="161" t="s">
        <v>715</v>
      </c>
      <c r="AQ274" s="162">
        <v>888</v>
      </c>
    </row>
    <row r="275" spans="39:43" ht="15" customHeight="1">
      <c r="AM275" s="163" t="s">
        <v>716</v>
      </c>
      <c r="AN275" s="164">
        <v>733</v>
      </c>
      <c r="AP275" s="163" t="s">
        <v>674</v>
      </c>
      <c r="AQ275" s="164">
        <v>1208</v>
      </c>
    </row>
    <row r="276" spans="39:43" ht="15" customHeight="1">
      <c r="AM276" s="161" t="s">
        <v>717</v>
      </c>
      <c r="AN276" s="162">
        <v>755</v>
      </c>
      <c r="AP276" s="161" t="s">
        <v>439</v>
      </c>
      <c r="AQ276" s="162">
        <v>992</v>
      </c>
    </row>
    <row r="277" spans="39:43" ht="15" customHeight="1">
      <c r="AM277" s="163" t="s">
        <v>497</v>
      </c>
      <c r="AN277" s="164">
        <v>677</v>
      </c>
      <c r="AP277" s="163" t="s">
        <v>718</v>
      </c>
      <c r="AQ277" s="164">
        <v>865</v>
      </c>
    </row>
    <row r="278" spans="39:43" ht="15" customHeight="1">
      <c r="AM278" s="161" t="s">
        <v>675</v>
      </c>
      <c r="AN278" s="162">
        <v>643</v>
      </c>
      <c r="AP278" s="161" t="s">
        <v>719</v>
      </c>
      <c r="AQ278" s="162">
        <v>958</v>
      </c>
    </row>
    <row r="279" spans="39:43" ht="15" customHeight="1">
      <c r="AM279" s="163" t="s">
        <v>708</v>
      </c>
      <c r="AN279" s="164">
        <v>671</v>
      </c>
      <c r="AP279" s="163" t="s">
        <v>580</v>
      </c>
      <c r="AQ279" s="164">
        <v>846</v>
      </c>
    </row>
    <row r="280" spans="39:43" ht="15" customHeight="1">
      <c r="AM280" s="161" t="s">
        <v>500</v>
      </c>
      <c r="AN280" s="162">
        <v>691</v>
      </c>
      <c r="AP280" s="161" t="s">
        <v>529</v>
      </c>
      <c r="AQ280" s="162">
        <v>847</v>
      </c>
    </row>
    <row r="281" spans="39:43" ht="15" customHeight="1">
      <c r="AM281" s="163" t="s">
        <v>416</v>
      </c>
      <c r="AN281" s="164">
        <v>645</v>
      </c>
      <c r="AP281" s="163" t="s">
        <v>720</v>
      </c>
      <c r="AQ281" s="164">
        <v>843</v>
      </c>
    </row>
    <row r="282" spans="39:43" ht="15" customHeight="1">
      <c r="AM282" s="161" t="s">
        <v>710</v>
      </c>
      <c r="AN282" s="162">
        <v>664</v>
      </c>
      <c r="AP282" s="161" t="s">
        <v>695</v>
      </c>
      <c r="AQ282" s="162">
        <v>993</v>
      </c>
    </row>
    <row r="283" spans="39:43" ht="15" customHeight="1">
      <c r="AM283" s="163" t="s">
        <v>653</v>
      </c>
      <c r="AN283" s="164">
        <v>635</v>
      </c>
      <c r="AP283" s="163" t="s">
        <v>721</v>
      </c>
      <c r="AQ283" s="164">
        <v>963</v>
      </c>
    </row>
    <row r="284" spans="39:43" ht="15" customHeight="1">
      <c r="AM284" s="161" t="s">
        <v>722</v>
      </c>
      <c r="AN284" s="162">
        <v>643</v>
      </c>
      <c r="AP284" s="161" t="s">
        <v>460</v>
      </c>
      <c r="AQ284" s="162">
        <v>832</v>
      </c>
    </row>
    <row r="285" spans="39:43" ht="15" customHeight="1">
      <c r="AM285" s="163" t="s">
        <v>348</v>
      </c>
      <c r="AN285" s="164">
        <v>915</v>
      </c>
      <c r="AP285" s="163" t="s">
        <v>723</v>
      </c>
      <c r="AQ285" s="164">
        <v>824</v>
      </c>
    </row>
    <row r="286" spans="39:43" ht="15" customHeight="1">
      <c r="AM286" s="161" t="s">
        <v>718</v>
      </c>
      <c r="AN286" s="162">
        <v>651</v>
      </c>
      <c r="AP286" s="161" t="s">
        <v>619</v>
      </c>
      <c r="AQ286" s="162">
        <v>1353</v>
      </c>
    </row>
    <row r="287" spans="39:43" ht="15" customHeight="1">
      <c r="AM287" s="163" t="s">
        <v>398</v>
      </c>
      <c r="AN287" s="164">
        <v>695</v>
      </c>
      <c r="AP287" s="163" t="s">
        <v>161</v>
      </c>
      <c r="AQ287" s="164">
        <v>1032</v>
      </c>
    </row>
    <row r="288" spans="39:43" ht="15" customHeight="1">
      <c r="AM288" s="161" t="s">
        <v>534</v>
      </c>
      <c r="AN288" s="162">
        <v>929</v>
      </c>
      <c r="AP288" s="161" t="s">
        <v>433</v>
      </c>
      <c r="AQ288" s="162">
        <v>833</v>
      </c>
    </row>
    <row r="289" spans="39:43" ht="15" customHeight="1">
      <c r="AM289" s="163" t="s">
        <v>724</v>
      </c>
      <c r="AN289" s="164">
        <v>969</v>
      </c>
      <c r="AP289" s="163" t="s">
        <v>570</v>
      </c>
      <c r="AQ289" s="164">
        <v>824</v>
      </c>
    </row>
    <row r="290" spans="39:43" ht="15" customHeight="1">
      <c r="AM290" s="161" t="s">
        <v>720</v>
      </c>
      <c r="AN290" s="162">
        <v>625</v>
      </c>
      <c r="AP290" s="161" t="s">
        <v>701</v>
      </c>
      <c r="AQ290" s="162">
        <v>1572</v>
      </c>
    </row>
    <row r="291" spans="39:43" ht="15" customHeight="1">
      <c r="AM291" s="163" t="s">
        <v>707</v>
      </c>
      <c r="AN291" s="164">
        <v>616</v>
      </c>
      <c r="AP291" s="163" t="s">
        <v>725</v>
      </c>
      <c r="AQ291" s="164">
        <v>810</v>
      </c>
    </row>
    <row r="292" spans="39:43" ht="15" customHeight="1">
      <c r="AM292" s="161" t="s">
        <v>726</v>
      </c>
      <c r="AN292" s="162">
        <v>645</v>
      </c>
      <c r="AP292" s="161" t="s">
        <v>716</v>
      </c>
      <c r="AQ292" s="162">
        <v>922</v>
      </c>
    </row>
    <row r="293" spans="39:43" ht="15" customHeight="1">
      <c r="AM293" s="163" t="s">
        <v>727</v>
      </c>
      <c r="AN293" s="164">
        <v>614</v>
      </c>
      <c r="AP293" s="163" t="s">
        <v>727</v>
      </c>
      <c r="AQ293" s="164">
        <v>921</v>
      </c>
    </row>
    <row r="294" spans="39:43" ht="15" customHeight="1">
      <c r="AM294" s="161" t="s">
        <v>477</v>
      </c>
      <c r="AN294" s="162">
        <v>652</v>
      </c>
      <c r="AP294" s="161" t="s">
        <v>722</v>
      </c>
      <c r="AQ294" s="162">
        <v>802</v>
      </c>
    </row>
    <row r="295" spans="39:43" ht="15" customHeight="1">
      <c r="AM295" s="163" t="s">
        <v>292</v>
      </c>
      <c r="AN295" s="164">
        <v>612</v>
      </c>
      <c r="AP295" s="163" t="s">
        <v>576</v>
      </c>
      <c r="AQ295" s="164">
        <v>784</v>
      </c>
    </row>
    <row r="296" spans="39:43" ht="15" customHeight="1">
      <c r="AM296" s="161" t="s">
        <v>728</v>
      </c>
      <c r="AN296" s="162">
        <v>603</v>
      </c>
      <c r="AP296" s="161" t="s">
        <v>477</v>
      </c>
      <c r="AQ296" s="162">
        <v>837</v>
      </c>
    </row>
    <row r="297" spans="39:43" ht="15" customHeight="1">
      <c r="AM297" s="163" t="s">
        <v>215</v>
      </c>
      <c r="AN297" s="164">
        <v>1188</v>
      </c>
      <c r="AP297" s="163" t="s">
        <v>713</v>
      </c>
      <c r="AQ297" s="164">
        <v>803</v>
      </c>
    </row>
    <row r="298" spans="39:43" ht="15" customHeight="1">
      <c r="AM298" s="161" t="s">
        <v>729</v>
      </c>
      <c r="AN298" s="162">
        <v>639</v>
      </c>
      <c r="AP298" s="161" t="s">
        <v>497</v>
      </c>
      <c r="AQ298" s="162">
        <v>796</v>
      </c>
    </row>
    <row r="299" spans="39:43" ht="15" customHeight="1">
      <c r="AM299" s="163" t="s">
        <v>730</v>
      </c>
      <c r="AN299" s="164">
        <v>739</v>
      </c>
      <c r="AP299" s="163" t="s">
        <v>731</v>
      </c>
      <c r="AQ299" s="164">
        <v>748</v>
      </c>
    </row>
    <row r="300" spans="39:43" ht="15" customHeight="1">
      <c r="AM300" s="161" t="s">
        <v>732</v>
      </c>
      <c r="AN300" s="162">
        <v>580</v>
      </c>
      <c r="AP300" s="161" t="s">
        <v>733</v>
      </c>
      <c r="AQ300" s="162">
        <v>1048</v>
      </c>
    </row>
    <row r="301" spans="39:43" ht="15" customHeight="1">
      <c r="AM301" s="163" t="s">
        <v>278</v>
      </c>
      <c r="AN301" s="164">
        <v>776</v>
      </c>
      <c r="AP301" s="163" t="s">
        <v>724</v>
      </c>
      <c r="AQ301" s="164">
        <v>1189</v>
      </c>
    </row>
    <row r="302" spans="39:43" ht="15" customHeight="1">
      <c r="AM302" s="161" t="s">
        <v>734</v>
      </c>
      <c r="AN302" s="162">
        <v>578</v>
      </c>
      <c r="AP302" s="161" t="s">
        <v>735</v>
      </c>
      <c r="AQ302" s="162">
        <v>758</v>
      </c>
    </row>
    <row r="303" spans="39:43" ht="15" customHeight="1">
      <c r="AM303" s="163" t="s">
        <v>172</v>
      </c>
      <c r="AN303" s="164">
        <v>986</v>
      </c>
      <c r="AP303" s="163" t="s">
        <v>736</v>
      </c>
      <c r="AQ303" s="164">
        <v>735</v>
      </c>
    </row>
    <row r="304" spans="39:43" ht="15" customHeight="1">
      <c r="AM304" s="161" t="s">
        <v>715</v>
      </c>
      <c r="AN304" s="162">
        <v>577</v>
      </c>
      <c r="AP304" s="161" t="s">
        <v>175</v>
      </c>
      <c r="AQ304" s="162">
        <v>737</v>
      </c>
    </row>
    <row r="305" spans="39:43" ht="15" customHeight="1">
      <c r="AM305" s="163" t="s">
        <v>161</v>
      </c>
      <c r="AN305" s="164">
        <v>1026</v>
      </c>
      <c r="AP305" s="163" t="s">
        <v>525</v>
      </c>
      <c r="AQ305" s="164">
        <v>722</v>
      </c>
    </row>
    <row r="306" spans="39:43" ht="15" customHeight="1">
      <c r="AM306" s="161" t="s">
        <v>266</v>
      </c>
      <c r="AN306" s="162">
        <v>552</v>
      </c>
      <c r="AP306" s="161" t="s">
        <v>705</v>
      </c>
      <c r="AQ306" s="162">
        <v>736</v>
      </c>
    </row>
    <row r="307" spans="39:43" ht="15" customHeight="1">
      <c r="AM307" s="163" t="s">
        <v>737</v>
      </c>
      <c r="AN307" s="164">
        <v>534</v>
      </c>
      <c r="AP307" s="163" t="s">
        <v>737</v>
      </c>
      <c r="AQ307" s="164">
        <v>718</v>
      </c>
    </row>
    <row r="308" spans="39:43" ht="15" customHeight="1">
      <c r="AM308" s="161" t="s">
        <v>433</v>
      </c>
      <c r="AN308" s="162">
        <v>570</v>
      </c>
      <c r="AP308" s="161" t="s">
        <v>653</v>
      </c>
      <c r="AQ308" s="162">
        <v>721</v>
      </c>
    </row>
    <row r="309" spans="39:43" ht="15" customHeight="1">
      <c r="AM309" s="163" t="s">
        <v>738</v>
      </c>
      <c r="AN309" s="164">
        <v>570</v>
      </c>
      <c r="AP309" s="163" t="s">
        <v>667</v>
      </c>
      <c r="AQ309" s="164">
        <v>722</v>
      </c>
    </row>
    <row r="310" spans="39:43" ht="15" customHeight="1">
      <c r="AM310" s="161" t="s">
        <v>739</v>
      </c>
      <c r="AN310" s="162">
        <v>520</v>
      </c>
      <c r="AP310" s="161" t="s">
        <v>269</v>
      </c>
      <c r="AQ310" s="162">
        <v>1173</v>
      </c>
    </row>
    <row r="311" spans="39:43" ht="15" customHeight="1">
      <c r="AM311" s="163" t="s">
        <v>580</v>
      </c>
      <c r="AN311" s="164">
        <v>513</v>
      </c>
      <c r="AP311" s="163" t="s">
        <v>651</v>
      </c>
      <c r="AQ311" s="164">
        <v>1199</v>
      </c>
    </row>
    <row r="312" spans="39:43" ht="15" customHeight="1">
      <c r="AM312" s="161" t="s">
        <v>430</v>
      </c>
      <c r="AN312" s="162">
        <v>749</v>
      </c>
      <c r="AP312" s="161" t="s">
        <v>534</v>
      </c>
      <c r="AQ312" s="162">
        <v>978</v>
      </c>
    </row>
    <row r="313" spans="39:43" ht="15" customHeight="1">
      <c r="AM313" s="163" t="s">
        <v>679</v>
      </c>
      <c r="AN313" s="164">
        <v>641</v>
      </c>
      <c r="AP313" s="163" t="s">
        <v>732</v>
      </c>
      <c r="AQ313" s="164">
        <v>699</v>
      </c>
    </row>
    <row r="314" spans="39:43" ht="15" customHeight="1">
      <c r="AM314" s="161" t="s">
        <v>318</v>
      </c>
      <c r="AN314" s="162">
        <v>512</v>
      </c>
      <c r="AP314" s="161" t="s">
        <v>740</v>
      </c>
      <c r="AQ314" s="162">
        <v>810</v>
      </c>
    </row>
    <row r="315" spans="39:43" ht="15" customHeight="1">
      <c r="AM315" s="163" t="s">
        <v>725</v>
      </c>
      <c r="AN315" s="164">
        <v>503</v>
      </c>
      <c r="AP315" s="163" t="s">
        <v>278</v>
      </c>
      <c r="AQ315" s="164">
        <v>1279</v>
      </c>
    </row>
    <row r="316" spans="39:43" ht="15" customHeight="1">
      <c r="AM316" s="161" t="s">
        <v>465</v>
      </c>
      <c r="AN316" s="162">
        <v>522</v>
      </c>
      <c r="AP316" s="161" t="s">
        <v>730</v>
      </c>
      <c r="AQ316" s="162">
        <v>811</v>
      </c>
    </row>
    <row r="317" spans="39:43" ht="15" customHeight="1">
      <c r="AM317" s="163" t="s">
        <v>741</v>
      </c>
      <c r="AN317" s="164">
        <v>720</v>
      </c>
      <c r="AP317" s="163" t="s">
        <v>318</v>
      </c>
      <c r="AQ317" s="164">
        <v>695</v>
      </c>
    </row>
    <row r="318" spans="39:43" ht="15" customHeight="1">
      <c r="AM318" s="161" t="s">
        <v>742</v>
      </c>
      <c r="AN318" s="162">
        <v>572</v>
      </c>
      <c r="AP318" s="161" t="s">
        <v>709</v>
      </c>
      <c r="AQ318" s="162">
        <v>861</v>
      </c>
    </row>
    <row r="319" spans="39:43" ht="15" customHeight="1">
      <c r="AM319" s="163" t="s">
        <v>743</v>
      </c>
      <c r="AN319" s="164">
        <v>607</v>
      </c>
      <c r="AP319" s="163" t="s">
        <v>658</v>
      </c>
      <c r="AQ319" s="164">
        <v>1332</v>
      </c>
    </row>
    <row r="320" spans="39:43" ht="15" customHeight="1">
      <c r="AM320" s="161" t="s">
        <v>744</v>
      </c>
      <c r="AN320" s="162">
        <v>508</v>
      </c>
      <c r="AP320" s="161" t="s">
        <v>745</v>
      </c>
      <c r="AQ320" s="162">
        <v>674</v>
      </c>
    </row>
    <row r="321" spans="39:43" ht="15" customHeight="1">
      <c r="AM321" s="163" t="s">
        <v>746</v>
      </c>
      <c r="AN321" s="164">
        <v>485</v>
      </c>
      <c r="AP321" s="163" t="s">
        <v>461</v>
      </c>
      <c r="AQ321" s="164">
        <v>1579</v>
      </c>
    </row>
    <row r="322" spans="39:43" ht="15" customHeight="1">
      <c r="AM322" s="161" t="s">
        <v>290</v>
      </c>
      <c r="AN322" s="162">
        <v>815</v>
      </c>
      <c r="AP322" s="161" t="s">
        <v>728</v>
      </c>
      <c r="AQ322" s="162">
        <v>697</v>
      </c>
    </row>
    <row r="323" spans="39:43" ht="15" customHeight="1">
      <c r="AM323" s="163" t="s">
        <v>731</v>
      </c>
      <c r="AN323" s="164">
        <v>464</v>
      </c>
      <c r="AP323" s="163" t="s">
        <v>266</v>
      </c>
      <c r="AQ323" s="164">
        <v>659</v>
      </c>
    </row>
    <row r="324" spans="39:43" ht="15" customHeight="1">
      <c r="AM324" s="161" t="s">
        <v>692</v>
      </c>
      <c r="AN324" s="162">
        <v>830</v>
      </c>
      <c r="AP324" s="161" t="s">
        <v>714</v>
      </c>
      <c r="AQ324" s="162">
        <v>647</v>
      </c>
    </row>
    <row r="325" spans="39:43" ht="15" customHeight="1">
      <c r="AM325" s="163" t="s">
        <v>747</v>
      </c>
      <c r="AN325" s="164">
        <v>579</v>
      </c>
      <c r="AP325" s="163" t="s">
        <v>428</v>
      </c>
      <c r="AQ325" s="164">
        <v>1232</v>
      </c>
    </row>
    <row r="326" spans="39:43" ht="15" customHeight="1">
      <c r="AM326" s="161" t="s">
        <v>748</v>
      </c>
      <c r="AN326" s="162">
        <v>553</v>
      </c>
      <c r="AP326" s="161" t="s">
        <v>706</v>
      </c>
      <c r="AQ326" s="162">
        <v>645</v>
      </c>
    </row>
    <row r="327" spans="39:43" ht="15" customHeight="1">
      <c r="AM327" s="163" t="s">
        <v>368</v>
      </c>
      <c r="AN327" s="164">
        <v>726</v>
      </c>
      <c r="AP327" s="163" t="s">
        <v>743</v>
      </c>
      <c r="AQ327" s="164">
        <v>775</v>
      </c>
    </row>
    <row r="328" spans="39:43" ht="15" customHeight="1">
      <c r="AM328" s="161" t="s">
        <v>749</v>
      </c>
      <c r="AN328" s="162">
        <v>479</v>
      </c>
      <c r="AP328" s="161" t="s">
        <v>729</v>
      </c>
      <c r="AQ328" s="162">
        <v>696</v>
      </c>
    </row>
    <row r="329" spans="39:43" ht="15" customHeight="1">
      <c r="AM329" s="163" t="s">
        <v>750</v>
      </c>
      <c r="AN329" s="164">
        <v>441</v>
      </c>
      <c r="AP329" s="163" t="s">
        <v>430</v>
      </c>
      <c r="AQ329" s="164">
        <v>1062</v>
      </c>
    </row>
    <row r="330" spans="39:43" ht="15" customHeight="1">
      <c r="AM330" s="161" t="s">
        <v>751</v>
      </c>
      <c r="AN330" s="162">
        <v>419</v>
      </c>
      <c r="AP330" s="161" t="s">
        <v>380</v>
      </c>
      <c r="AQ330" s="162">
        <v>624</v>
      </c>
    </row>
    <row r="331" spans="39:43" ht="15" customHeight="1">
      <c r="AM331" s="163" t="s">
        <v>752</v>
      </c>
      <c r="AN331" s="164">
        <v>424</v>
      </c>
      <c r="AP331" s="163" t="s">
        <v>726</v>
      </c>
      <c r="AQ331" s="164">
        <v>744</v>
      </c>
    </row>
    <row r="332" spans="39:43" ht="15" customHeight="1">
      <c r="AM332" s="161" t="s">
        <v>753</v>
      </c>
      <c r="AN332" s="162">
        <v>410</v>
      </c>
      <c r="AP332" s="161" t="s">
        <v>739</v>
      </c>
      <c r="AQ332" s="162">
        <v>634</v>
      </c>
    </row>
    <row r="333" spans="39:43" ht="15" customHeight="1">
      <c r="AM333" s="163" t="s">
        <v>608</v>
      </c>
      <c r="AN333" s="164">
        <v>482</v>
      </c>
      <c r="AP333" s="163" t="s">
        <v>738</v>
      </c>
      <c r="AQ333" s="164">
        <v>665</v>
      </c>
    </row>
    <row r="334" spans="39:43" ht="15" customHeight="1">
      <c r="AM334" s="161" t="s">
        <v>745</v>
      </c>
      <c r="AN334" s="162">
        <v>623</v>
      </c>
      <c r="AP334" s="161" t="s">
        <v>747</v>
      </c>
      <c r="AQ334" s="162">
        <v>803</v>
      </c>
    </row>
    <row r="335" spans="39:43" ht="15" customHeight="1">
      <c r="AM335" s="163" t="s">
        <v>754</v>
      </c>
      <c r="AN335" s="164">
        <v>398</v>
      </c>
      <c r="AP335" s="163" t="s">
        <v>741</v>
      </c>
      <c r="AQ335" s="164">
        <v>820</v>
      </c>
    </row>
    <row r="336" spans="39:43" ht="15" customHeight="1">
      <c r="AM336" s="161" t="s">
        <v>529</v>
      </c>
      <c r="AN336" s="162">
        <v>383</v>
      </c>
      <c r="AP336" s="161" t="s">
        <v>178</v>
      </c>
      <c r="AQ336" s="162">
        <v>621</v>
      </c>
    </row>
    <row r="337" spans="39:43" ht="15" customHeight="1">
      <c r="AM337" s="163" t="s">
        <v>303</v>
      </c>
      <c r="AN337" s="164">
        <v>501</v>
      </c>
      <c r="AP337" s="163" t="s">
        <v>755</v>
      </c>
      <c r="AQ337" s="164">
        <v>608</v>
      </c>
    </row>
    <row r="338" spans="39:43" ht="15" customHeight="1">
      <c r="AM338" s="161" t="s">
        <v>619</v>
      </c>
      <c r="AN338" s="162">
        <v>585</v>
      </c>
      <c r="AP338" s="161" t="s">
        <v>703</v>
      </c>
      <c r="AQ338" s="162">
        <v>849</v>
      </c>
    </row>
    <row r="339" spans="39:43" ht="15" customHeight="1">
      <c r="AM339" s="163" t="s">
        <v>337</v>
      </c>
      <c r="AN339" s="164">
        <v>387</v>
      </c>
      <c r="AP339" s="163" t="s">
        <v>752</v>
      </c>
      <c r="AQ339" s="164">
        <v>585</v>
      </c>
    </row>
    <row r="340" spans="39:43" ht="15" customHeight="1">
      <c r="AM340" s="161" t="s">
        <v>329</v>
      </c>
      <c r="AN340" s="162">
        <v>364</v>
      </c>
      <c r="AP340" s="161" t="s">
        <v>744</v>
      </c>
      <c r="AQ340" s="162">
        <v>574</v>
      </c>
    </row>
    <row r="341" spans="39:43" ht="15" customHeight="1">
      <c r="AM341" s="163" t="s">
        <v>202</v>
      </c>
      <c r="AN341" s="164">
        <v>451</v>
      </c>
      <c r="AP341" s="163" t="s">
        <v>337</v>
      </c>
      <c r="AQ341" s="164">
        <v>558</v>
      </c>
    </row>
    <row r="342" spans="39:43" ht="15" customHeight="1">
      <c r="AM342" s="161" t="s">
        <v>723</v>
      </c>
      <c r="AN342" s="162">
        <v>462</v>
      </c>
      <c r="AP342" s="161" t="s">
        <v>748</v>
      </c>
      <c r="AQ342" s="162">
        <v>659</v>
      </c>
    </row>
    <row r="343" spans="39:43" ht="15" customHeight="1">
      <c r="AM343" s="163" t="s">
        <v>756</v>
      </c>
      <c r="AN343" s="164">
        <v>351</v>
      </c>
      <c r="AP343" s="163" t="s">
        <v>613</v>
      </c>
      <c r="AQ343" s="164">
        <v>571</v>
      </c>
    </row>
    <row r="344" spans="39:43" ht="15" customHeight="1">
      <c r="AM344" s="161" t="s">
        <v>525</v>
      </c>
      <c r="AN344" s="162">
        <v>346</v>
      </c>
      <c r="AP344" s="161" t="s">
        <v>749</v>
      </c>
      <c r="AQ344" s="162">
        <v>537</v>
      </c>
    </row>
    <row r="345" spans="39:43" ht="15" customHeight="1">
      <c r="AM345" s="163" t="s">
        <v>757</v>
      </c>
      <c r="AN345" s="164">
        <v>408</v>
      </c>
      <c r="AP345" s="163" t="s">
        <v>329</v>
      </c>
      <c r="AQ345" s="164">
        <v>515</v>
      </c>
    </row>
    <row r="346" spans="39:43" ht="15" customHeight="1">
      <c r="AM346" s="161" t="s">
        <v>758</v>
      </c>
      <c r="AN346" s="162">
        <v>521</v>
      </c>
      <c r="AP346" s="161" t="s">
        <v>746</v>
      </c>
      <c r="AQ346" s="162">
        <v>538</v>
      </c>
    </row>
    <row r="347" spans="39:43" ht="15" customHeight="1">
      <c r="AM347" s="163" t="s">
        <v>759</v>
      </c>
      <c r="AN347" s="164">
        <v>324</v>
      </c>
      <c r="AP347" s="163" t="s">
        <v>751</v>
      </c>
      <c r="AQ347" s="164">
        <v>514</v>
      </c>
    </row>
    <row r="348" spans="39:43" ht="15" customHeight="1">
      <c r="AM348" s="161" t="s">
        <v>760</v>
      </c>
      <c r="AN348" s="162">
        <v>322</v>
      </c>
      <c r="AP348" s="161" t="s">
        <v>761</v>
      </c>
      <c r="AQ348" s="162">
        <v>506</v>
      </c>
    </row>
    <row r="349" spans="39:43" ht="15" customHeight="1">
      <c r="AM349" s="163" t="s">
        <v>755</v>
      </c>
      <c r="AN349" s="164">
        <v>502</v>
      </c>
      <c r="AP349" s="163" t="s">
        <v>501</v>
      </c>
      <c r="AQ349" s="164">
        <v>1348</v>
      </c>
    </row>
    <row r="350" spans="39:43" ht="15" customHeight="1">
      <c r="AM350" s="161" t="s">
        <v>536</v>
      </c>
      <c r="AN350" s="162">
        <v>301</v>
      </c>
      <c r="AP350" s="161" t="s">
        <v>678</v>
      </c>
      <c r="AQ350" s="162">
        <v>894</v>
      </c>
    </row>
    <row r="351" spans="39:43" ht="15" customHeight="1">
      <c r="AM351" s="163" t="s">
        <v>762</v>
      </c>
      <c r="AN351" s="164">
        <v>304</v>
      </c>
      <c r="AP351" s="163" t="s">
        <v>704</v>
      </c>
      <c r="AQ351" s="164">
        <v>788</v>
      </c>
    </row>
    <row r="352" spans="39:43" ht="15" customHeight="1">
      <c r="AM352" s="161" t="s">
        <v>380</v>
      </c>
      <c r="AN352" s="162">
        <v>290</v>
      </c>
      <c r="AP352" s="161" t="s">
        <v>303</v>
      </c>
      <c r="AQ352" s="162">
        <v>495</v>
      </c>
    </row>
    <row r="353" spans="39:43" ht="15" customHeight="1">
      <c r="AM353" s="163" t="s">
        <v>209</v>
      </c>
      <c r="AN353" s="164">
        <v>271</v>
      </c>
      <c r="AP353" s="163" t="s">
        <v>757</v>
      </c>
      <c r="AQ353" s="164">
        <v>784</v>
      </c>
    </row>
    <row r="354" spans="39:43" ht="15" customHeight="1">
      <c r="AM354" s="161" t="s">
        <v>763</v>
      </c>
      <c r="AN354" s="162">
        <v>260</v>
      </c>
      <c r="AP354" s="161" t="s">
        <v>202</v>
      </c>
      <c r="AQ354" s="162">
        <v>519</v>
      </c>
    </row>
    <row r="355" spans="39:43" ht="15" customHeight="1">
      <c r="AM355" s="163" t="s">
        <v>607</v>
      </c>
      <c r="AN355" s="164">
        <v>293</v>
      </c>
      <c r="AP355" s="163" t="s">
        <v>754</v>
      </c>
      <c r="AQ355" s="164">
        <v>507</v>
      </c>
    </row>
    <row r="356" spans="39:43" ht="15" customHeight="1">
      <c r="AM356" s="161" t="s">
        <v>590</v>
      </c>
      <c r="AN356" s="162">
        <v>264</v>
      </c>
      <c r="AP356" s="161" t="s">
        <v>500</v>
      </c>
      <c r="AQ356" s="162">
        <v>530</v>
      </c>
    </row>
    <row r="357" spans="39:43" ht="15" customHeight="1">
      <c r="AM357" s="163" t="s">
        <v>414</v>
      </c>
      <c r="AN357" s="164">
        <v>303</v>
      </c>
      <c r="AP357" s="163" t="s">
        <v>756</v>
      </c>
      <c r="AQ357" s="164">
        <v>483</v>
      </c>
    </row>
    <row r="358" spans="39:43" ht="15" customHeight="1">
      <c r="AM358" s="161" t="s">
        <v>764</v>
      </c>
      <c r="AN358" s="162">
        <v>264</v>
      </c>
      <c r="AP358" s="161" t="s">
        <v>765</v>
      </c>
      <c r="AQ358" s="162">
        <v>777</v>
      </c>
    </row>
    <row r="359" spans="39:43" ht="15" customHeight="1">
      <c r="AM359" s="163" t="s">
        <v>766</v>
      </c>
      <c r="AN359" s="164">
        <v>261</v>
      </c>
      <c r="AP359" s="163" t="s">
        <v>348</v>
      </c>
      <c r="AQ359" s="164">
        <v>1075</v>
      </c>
    </row>
    <row r="360" spans="39:43" ht="15" customHeight="1">
      <c r="AM360" s="161" t="s">
        <v>767</v>
      </c>
      <c r="AN360" s="162">
        <v>268</v>
      </c>
      <c r="AP360" s="161" t="s">
        <v>465</v>
      </c>
      <c r="AQ360" s="162">
        <v>491</v>
      </c>
    </row>
    <row r="361" spans="39:43" ht="15" customHeight="1">
      <c r="AM361" s="163" t="s">
        <v>178</v>
      </c>
      <c r="AN361" s="164">
        <v>275</v>
      </c>
      <c r="AP361" s="163" t="s">
        <v>717</v>
      </c>
      <c r="AQ361" s="164">
        <v>990</v>
      </c>
    </row>
    <row r="362" spans="39:43" ht="15" customHeight="1">
      <c r="AM362" s="161" t="s">
        <v>649</v>
      </c>
      <c r="AN362" s="162">
        <v>427</v>
      </c>
      <c r="AP362" s="161" t="s">
        <v>711</v>
      </c>
      <c r="AQ362" s="162">
        <v>1028</v>
      </c>
    </row>
    <row r="363" spans="39:43" ht="15" customHeight="1">
      <c r="AM363" s="163" t="s">
        <v>768</v>
      </c>
      <c r="AN363" s="164">
        <v>250</v>
      </c>
      <c r="AP363" s="163" t="s">
        <v>769</v>
      </c>
      <c r="AQ363" s="164">
        <v>460</v>
      </c>
    </row>
    <row r="364" spans="39:43" ht="15" customHeight="1">
      <c r="AM364" s="161" t="s">
        <v>613</v>
      </c>
      <c r="AN364" s="162">
        <v>410</v>
      </c>
      <c r="AP364" s="161" t="s">
        <v>750</v>
      </c>
      <c r="AQ364" s="162">
        <v>445</v>
      </c>
    </row>
    <row r="365" spans="39:43" ht="15" customHeight="1">
      <c r="AM365" s="163" t="s">
        <v>770</v>
      </c>
      <c r="AN365" s="164">
        <v>251</v>
      </c>
      <c r="AP365" s="163" t="s">
        <v>734</v>
      </c>
      <c r="AQ365" s="164">
        <v>635</v>
      </c>
    </row>
    <row r="366" spans="39:43" ht="15" customHeight="1">
      <c r="AM366" s="161" t="s">
        <v>771</v>
      </c>
      <c r="AN366" s="162">
        <v>277</v>
      </c>
      <c r="AP366" s="161" t="s">
        <v>209</v>
      </c>
      <c r="AQ366" s="162">
        <v>424</v>
      </c>
    </row>
    <row r="367" spans="39:43" ht="15" customHeight="1">
      <c r="AM367" s="163" t="s">
        <v>366</v>
      </c>
      <c r="AN367" s="164">
        <v>236</v>
      </c>
      <c r="AP367" s="163" t="s">
        <v>549</v>
      </c>
      <c r="AQ367" s="164">
        <v>428</v>
      </c>
    </row>
    <row r="368" spans="39:43" ht="15" customHeight="1">
      <c r="AM368" s="161" t="s">
        <v>436</v>
      </c>
      <c r="AN368" s="162">
        <v>221</v>
      </c>
      <c r="AP368" s="161" t="s">
        <v>772</v>
      </c>
      <c r="AQ368" s="162">
        <v>445</v>
      </c>
    </row>
    <row r="369" spans="39:43" ht="15" customHeight="1">
      <c r="AM369" s="163" t="s">
        <v>549</v>
      </c>
      <c r="AN369" s="164">
        <v>342</v>
      </c>
      <c r="AP369" s="163" t="s">
        <v>773</v>
      </c>
      <c r="AQ369" s="164">
        <v>1265</v>
      </c>
    </row>
    <row r="370" spans="39:43" ht="15" customHeight="1">
      <c r="AM370" s="161" t="s">
        <v>774</v>
      </c>
      <c r="AN370" s="162">
        <v>237</v>
      </c>
      <c r="AP370" s="161" t="s">
        <v>759</v>
      </c>
      <c r="AQ370" s="162">
        <v>396</v>
      </c>
    </row>
    <row r="371" spans="39:43" ht="15" customHeight="1">
      <c r="AM371" s="163" t="s">
        <v>775</v>
      </c>
      <c r="AN371" s="164">
        <v>260</v>
      </c>
      <c r="AP371" s="163" t="s">
        <v>343</v>
      </c>
      <c r="AQ371" s="164">
        <v>403</v>
      </c>
    </row>
    <row r="372" spans="39:43" ht="15" customHeight="1">
      <c r="AM372" s="161" t="s">
        <v>776</v>
      </c>
      <c r="AN372" s="162">
        <v>171</v>
      </c>
      <c r="AP372" s="161" t="s">
        <v>607</v>
      </c>
      <c r="AQ372" s="162">
        <v>385</v>
      </c>
    </row>
    <row r="373" spans="39:43" ht="15" customHeight="1">
      <c r="AM373" s="163" t="s">
        <v>498</v>
      </c>
      <c r="AN373" s="164">
        <v>290</v>
      </c>
      <c r="AP373" s="163" t="s">
        <v>774</v>
      </c>
      <c r="AQ373" s="164">
        <v>368</v>
      </c>
    </row>
    <row r="374" spans="39:43" ht="15" customHeight="1">
      <c r="AM374" s="161" t="s">
        <v>571</v>
      </c>
      <c r="AN374" s="162">
        <v>181</v>
      </c>
      <c r="AP374" s="161" t="s">
        <v>764</v>
      </c>
      <c r="AQ374" s="162">
        <v>367</v>
      </c>
    </row>
    <row r="375" spans="39:43" ht="15" customHeight="1">
      <c r="AM375" s="163" t="s">
        <v>576</v>
      </c>
      <c r="AN375" s="164">
        <v>184</v>
      </c>
      <c r="AP375" s="163" t="s">
        <v>771</v>
      </c>
      <c r="AQ375" s="164">
        <v>430</v>
      </c>
    </row>
    <row r="376" spans="39:43" ht="15" customHeight="1">
      <c r="AM376" s="161" t="s">
        <v>761</v>
      </c>
      <c r="AN376" s="162">
        <v>166</v>
      </c>
      <c r="AP376" s="161" t="s">
        <v>777</v>
      </c>
      <c r="AQ376" s="162">
        <v>351</v>
      </c>
    </row>
    <row r="377" spans="39:43" ht="15" customHeight="1">
      <c r="AM377" s="163" t="s">
        <v>736</v>
      </c>
      <c r="AN377" s="164">
        <v>154</v>
      </c>
      <c r="AP377" s="163" t="s">
        <v>766</v>
      </c>
      <c r="AQ377" s="164">
        <v>345</v>
      </c>
    </row>
    <row r="378" spans="39:43" ht="15" customHeight="1">
      <c r="AM378" s="161" t="s">
        <v>778</v>
      </c>
      <c r="AN378" s="162">
        <v>166</v>
      </c>
      <c r="AP378" s="161" t="s">
        <v>536</v>
      </c>
      <c r="AQ378" s="162">
        <v>331</v>
      </c>
    </row>
    <row r="379" spans="39:43" ht="15" customHeight="1">
      <c r="AM379" s="163" t="s">
        <v>779</v>
      </c>
      <c r="AN379" s="164">
        <v>196</v>
      </c>
      <c r="AP379" s="163" t="s">
        <v>436</v>
      </c>
      <c r="AQ379" s="164">
        <v>345</v>
      </c>
    </row>
    <row r="380" spans="39:43" ht="15" customHeight="1">
      <c r="AM380" s="161" t="s">
        <v>780</v>
      </c>
      <c r="AN380" s="162">
        <v>152</v>
      </c>
      <c r="AP380" s="161" t="s">
        <v>323</v>
      </c>
      <c r="AQ380" s="162">
        <v>556</v>
      </c>
    </row>
    <row r="381" spans="39:43" ht="15" customHeight="1">
      <c r="AM381" s="163" t="s">
        <v>781</v>
      </c>
      <c r="AN381" s="164">
        <v>133</v>
      </c>
      <c r="AP381" s="163" t="s">
        <v>760</v>
      </c>
      <c r="AQ381" s="164">
        <v>332</v>
      </c>
    </row>
    <row r="382" spans="39:43" ht="15" customHeight="1">
      <c r="AM382" s="161" t="s">
        <v>287</v>
      </c>
      <c r="AN382" s="162">
        <v>126</v>
      </c>
      <c r="AP382" s="161" t="s">
        <v>192</v>
      </c>
      <c r="AQ382" s="162">
        <v>301</v>
      </c>
    </row>
    <row r="383" spans="39:43" ht="15" customHeight="1">
      <c r="AM383" s="163" t="s">
        <v>782</v>
      </c>
      <c r="AN383" s="164">
        <v>124</v>
      </c>
      <c r="AP383" s="163" t="s">
        <v>762</v>
      </c>
      <c r="AQ383" s="164">
        <v>317</v>
      </c>
    </row>
    <row r="384" spans="39:43" ht="15" customHeight="1">
      <c r="AM384" s="161" t="s">
        <v>783</v>
      </c>
      <c r="AN384" s="162">
        <v>116</v>
      </c>
      <c r="AP384" s="161" t="s">
        <v>763</v>
      </c>
      <c r="AQ384" s="162">
        <v>297</v>
      </c>
    </row>
    <row r="385" spans="39:43" ht="15" customHeight="1">
      <c r="AM385" s="163" t="s">
        <v>784</v>
      </c>
      <c r="AN385" s="164">
        <v>111</v>
      </c>
      <c r="AP385" s="163" t="s">
        <v>768</v>
      </c>
      <c r="AQ385" s="164">
        <v>304</v>
      </c>
    </row>
    <row r="386" spans="39:43" ht="15" customHeight="1">
      <c r="AM386" s="161" t="s">
        <v>651</v>
      </c>
      <c r="AN386" s="162">
        <v>99</v>
      </c>
      <c r="AP386" s="161" t="s">
        <v>753</v>
      </c>
      <c r="AQ386" s="162">
        <v>356</v>
      </c>
    </row>
    <row r="387" spans="39:43" ht="15" customHeight="1">
      <c r="AM387" s="163" t="s">
        <v>785</v>
      </c>
      <c r="AN387" s="164">
        <v>104</v>
      </c>
      <c r="AP387" s="163" t="s">
        <v>770</v>
      </c>
      <c r="AQ387" s="164">
        <v>274</v>
      </c>
    </row>
    <row r="388" spans="39:43" ht="15" customHeight="1">
      <c r="AM388" s="161" t="s">
        <v>786</v>
      </c>
      <c r="AN388" s="162">
        <v>103</v>
      </c>
      <c r="AP388" s="161" t="s">
        <v>779</v>
      </c>
      <c r="AQ388" s="162">
        <v>259</v>
      </c>
    </row>
    <row r="389" spans="39:43" ht="15" customHeight="1">
      <c r="AM389" s="163" t="s">
        <v>772</v>
      </c>
      <c r="AN389" s="164">
        <v>164</v>
      </c>
      <c r="AP389" s="163" t="s">
        <v>287</v>
      </c>
      <c r="AQ389" s="164">
        <v>229</v>
      </c>
    </row>
    <row r="390" spans="39:43" ht="15" customHeight="1">
      <c r="AM390" s="161" t="s">
        <v>765</v>
      </c>
      <c r="AN390" s="162">
        <v>98</v>
      </c>
      <c r="AP390" s="161" t="s">
        <v>778</v>
      </c>
      <c r="AQ390" s="162">
        <v>268</v>
      </c>
    </row>
    <row r="391" spans="39:43" ht="15" customHeight="1">
      <c r="AM391" s="163" t="s">
        <v>323</v>
      </c>
      <c r="AN391" s="164">
        <v>72</v>
      </c>
      <c r="AP391" s="163" t="s">
        <v>787</v>
      </c>
      <c r="AQ391" s="164">
        <v>199</v>
      </c>
    </row>
    <row r="392" spans="39:43" ht="15" customHeight="1">
      <c r="AM392" s="161" t="s">
        <v>632</v>
      </c>
      <c r="AN392" s="162">
        <v>70</v>
      </c>
      <c r="AP392" s="161" t="s">
        <v>788</v>
      </c>
      <c r="AQ392" s="162">
        <v>188</v>
      </c>
    </row>
    <row r="393" spans="39:43" ht="15" customHeight="1">
      <c r="AM393" s="163" t="s">
        <v>773</v>
      </c>
      <c r="AN393" s="164">
        <v>972</v>
      </c>
      <c r="AP393" s="163" t="s">
        <v>776</v>
      </c>
      <c r="AQ393" s="164">
        <v>172</v>
      </c>
    </row>
    <row r="394" spans="39:43" ht="15" customHeight="1">
      <c r="AM394" s="161" t="s">
        <v>635</v>
      </c>
      <c r="AN394" s="162">
        <v>33</v>
      </c>
      <c r="AP394" s="161" t="s">
        <v>780</v>
      </c>
      <c r="AQ394" s="162">
        <v>168</v>
      </c>
    </row>
    <row r="395" spans="39:43" ht="15" customHeight="1">
      <c r="AM395" s="163" t="s">
        <v>365</v>
      </c>
      <c r="AN395" s="164">
        <v>27</v>
      </c>
      <c r="AP395" s="163" t="s">
        <v>785</v>
      </c>
      <c r="AQ395" s="164">
        <v>209</v>
      </c>
    </row>
    <row r="396" spans="39:43" ht="15" customHeight="1">
      <c r="AM396" s="161" t="s">
        <v>789</v>
      </c>
      <c r="AN396" s="162">
        <v>24</v>
      </c>
      <c r="AP396" s="161" t="s">
        <v>758</v>
      </c>
      <c r="AQ396" s="162">
        <v>289</v>
      </c>
    </row>
    <row r="397" spans="39:43" ht="15" customHeight="1">
      <c r="AM397" s="163" t="s">
        <v>790</v>
      </c>
      <c r="AN397" s="164">
        <v>27</v>
      </c>
      <c r="AP397" s="163" t="s">
        <v>786</v>
      </c>
      <c r="AQ397" s="164">
        <v>262</v>
      </c>
    </row>
    <row r="398" spans="39:43" ht="15" customHeight="1">
      <c r="AM398" s="161" t="s">
        <v>791</v>
      </c>
      <c r="AN398" s="162">
        <v>9</v>
      </c>
      <c r="AP398" s="161" t="s">
        <v>775</v>
      </c>
      <c r="AQ398" s="162">
        <v>234</v>
      </c>
    </row>
    <row r="399" spans="39:43" ht="15" customHeight="1">
      <c r="AM399" s="163" t="s">
        <v>792</v>
      </c>
      <c r="AN399" s="164">
        <v>9</v>
      </c>
      <c r="AP399" s="163" t="s">
        <v>784</v>
      </c>
      <c r="AQ399" s="164">
        <v>143</v>
      </c>
    </row>
    <row r="400" spans="39:43" ht="15" customHeight="1">
      <c r="AM400" s="161" t="s">
        <v>788</v>
      </c>
      <c r="AN400" s="162">
        <v>8</v>
      </c>
      <c r="AP400" s="161" t="s">
        <v>782</v>
      </c>
      <c r="AQ400" s="162">
        <v>130</v>
      </c>
    </row>
    <row r="401" spans="39:43" ht="15" customHeight="1">
      <c r="AM401" s="163" t="s">
        <v>721</v>
      </c>
      <c r="AN401" s="164">
        <v>5</v>
      </c>
      <c r="AP401" s="163" t="s">
        <v>793</v>
      </c>
      <c r="AQ401" s="164">
        <v>105</v>
      </c>
    </row>
    <row r="402" spans="39:43" ht="15" customHeight="1">
      <c r="AM402" s="161" t="s">
        <v>794</v>
      </c>
      <c r="AN402" s="162">
        <v>2</v>
      </c>
      <c r="AP402" s="161" t="s">
        <v>290</v>
      </c>
      <c r="AQ402" s="162">
        <v>97</v>
      </c>
    </row>
    <row r="403" spans="39:43" ht="15" customHeight="1">
      <c r="AM403" s="163" t="s">
        <v>384</v>
      </c>
      <c r="AN403" s="164">
        <v>2</v>
      </c>
      <c r="AP403" s="163" t="s">
        <v>795</v>
      </c>
      <c r="AQ403" s="164">
        <v>108</v>
      </c>
    </row>
    <row r="404" spans="39:43" ht="15" customHeight="1">
      <c r="AM404" s="161" t="s">
        <v>733</v>
      </c>
      <c r="AN404" s="162">
        <v>3</v>
      </c>
      <c r="AP404" s="161" t="s">
        <v>796</v>
      </c>
      <c r="AQ404" s="162">
        <v>121</v>
      </c>
    </row>
    <row r="405" spans="39:43" ht="15" customHeight="1">
      <c r="AM405" s="163" t="s">
        <v>797</v>
      </c>
      <c r="AN405" s="164">
        <v>1</v>
      </c>
      <c r="AP405" s="163" t="s">
        <v>798</v>
      </c>
      <c r="AQ405" s="164">
        <v>52</v>
      </c>
    </row>
    <row r="406" spans="39:43" ht="15" customHeight="1">
      <c r="AM406" s="161" t="s">
        <v>777</v>
      </c>
      <c r="AN406" s="162">
        <v>1</v>
      </c>
      <c r="AP406" s="161" t="s">
        <v>783</v>
      </c>
      <c r="AQ406" s="162">
        <v>45</v>
      </c>
    </row>
    <row r="407" spans="39:43" ht="15" customHeight="1">
      <c r="AM407" s="163" t="s">
        <v>402</v>
      </c>
      <c r="AN407" s="164">
        <v>1</v>
      </c>
      <c r="AP407" s="163" t="s">
        <v>643</v>
      </c>
      <c r="AQ407" s="164">
        <v>1512</v>
      </c>
    </row>
    <row r="408" spans="39:43" ht="15" customHeight="1">
      <c r="AM408" s="161" t="s">
        <v>740</v>
      </c>
      <c r="AN408" s="162">
        <v>1</v>
      </c>
      <c r="AP408" s="161" t="s">
        <v>799</v>
      </c>
      <c r="AQ408" s="162">
        <v>9144</v>
      </c>
    </row>
    <row r="409" spans="39:43" ht="15" customHeight="1">
      <c r="AM409" s="163" t="s">
        <v>665</v>
      </c>
      <c r="AN409" s="164">
        <v>3820</v>
      </c>
      <c r="AP409" s="163" t="s">
        <v>800</v>
      </c>
      <c r="AQ409" s="164">
        <v>31</v>
      </c>
    </row>
    <row r="410" spans="39:43" ht="15" customHeight="1">
      <c r="AM410" s="161" t="s">
        <v>280</v>
      </c>
      <c r="AN410" s="162">
        <v>1043</v>
      </c>
      <c r="AP410" s="161" t="s">
        <v>791</v>
      </c>
      <c r="AQ410" s="162">
        <v>18</v>
      </c>
    </row>
    <row r="411" spans="39:43" ht="15" customHeight="1">
      <c r="AM411" s="163" t="s">
        <v>615</v>
      </c>
      <c r="AN411" s="164">
        <v>1058</v>
      </c>
      <c r="AP411" s="163" t="s">
        <v>789</v>
      </c>
      <c r="AQ411" s="164">
        <v>17</v>
      </c>
    </row>
    <row r="412" spans="39:43" ht="15" customHeight="1">
      <c r="AM412" s="161" t="s">
        <v>630</v>
      </c>
      <c r="AN412" s="162">
        <v>954</v>
      </c>
      <c r="AP412" s="161" t="s">
        <v>790</v>
      </c>
      <c r="AQ412" s="162">
        <v>21</v>
      </c>
    </row>
    <row r="413" spans="39:43" ht="15" customHeight="1">
      <c r="AM413" s="163" t="s">
        <v>660</v>
      </c>
      <c r="AN413" s="164">
        <v>896</v>
      </c>
      <c r="AP413" s="163" t="s">
        <v>767</v>
      </c>
      <c r="AQ413" s="164">
        <v>15</v>
      </c>
    </row>
    <row r="414" spans="39:43" ht="15" customHeight="1">
      <c r="AM414" s="161" t="s">
        <v>578</v>
      </c>
      <c r="AN414" s="162">
        <v>882</v>
      </c>
      <c r="AP414" s="161" t="s">
        <v>794</v>
      </c>
      <c r="AQ414" s="162">
        <v>13</v>
      </c>
    </row>
    <row r="415" spans="39:43" ht="15" customHeight="1">
      <c r="AM415" s="163" t="s">
        <v>598</v>
      </c>
      <c r="AN415" s="164">
        <v>935</v>
      </c>
      <c r="AP415" s="163" t="s">
        <v>801</v>
      </c>
      <c r="AQ415" s="164">
        <v>11</v>
      </c>
    </row>
    <row r="416" spans="39:43" ht="15" customHeight="1">
      <c r="AM416" s="161" t="s">
        <v>198</v>
      </c>
      <c r="AN416" s="162">
        <v>798</v>
      </c>
      <c r="AP416" s="161" t="s">
        <v>802</v>
      </c>
      <c r="AQ416" s="162">
        <v>5</v>
      </c>
    </row>
    <row r="417" spans="39:43" ht="15" customHeight="1">
      <c r="AM417" s="163" t="s">
        <v>643</v>
      </c>
      <c r="AN417" s="164">
        <v>1060</v>
      </c>
      <c r="AP417" s="163" t="s">
        <v>698</v>
      </c>
      <c r="AQ417" s="164">
        <v>3</v>
      </c>
    </row>
    <row r="418" spans="39:43" ht="15" customHeight="1">
      <c r="AM418" s="161" t="s">
        <v>569</v>
      </c>
      <c r="AN418" s="162">
        <v>803</v>
      </c>
      <c r="AP418" s="161" t="s">
        <v>365</v>
      </c>
      <c r="AQ418" s="162">
        <v>2</v>
      </c>
    </row>
    <row r="419" spans="39:43" ht="15" customHeight="1">
      <c r="AM419" s="163" t="s">
        <v>573</v>
      </c>
      <c r="AN419" s="164">
        <v>778</v>
      </c>
      <c r="AP419" s="163" t="s">
        <v>781</v>
      </c>
      <c r="AQ419" s="164">
        <v>2</v>
      </c>
    </row>
    <row r="420" spans="39:43" ht="15" customHeight="1">
      <c r="AM420" s="161" t="s">
        <v>589</v>
      </c>
      <c r="AN420" s="162">
        <v>780</v>
      </c>
      <c r="AP420" s="161" t="s">
        <v>742</v>
      </c>
      <c r="AQ420" s="162">
        <v>3</v>
      </c>
    </row>
    <row r="421" spans="39:43" ht="15" customHeight="1">
      <c r="AM421" s="163" t="s">
        <v>640</v>
      </c>
      <c r="AN421" s="164">
        <v>758</v>
      </c>
      <c r="AP421" s="163" t="s">
        <v>803</v>
      </c>
      <c r="AQ421" s="164">
        <v>1</v>
      </c>
    </row>
    <row r="422" spans="39:43" ht="15" customHeight="1">
      <c r="AM422" s="161" t="s">
        <v>480</v>
      </c>
      <c r="AN422" s="162">
        <v>742</v>
      </c>
      <c r="AP422" s="161" t="s">
        <v>804</v>
      </c>
      <c r="AQ422" s="162">
        <v>1</v>
      </c>
    </row>
    <row r="423" spans="39:43" ht="15" customHeight="1">
      <c r="AM423" s="163" t="s">
        <v>617</v>
      </c>
      <c r="AN423" s="164">
        <v>717</v>
      </c>
      <c r="AP423" s="163" t="s">
        <v>805</v>
      </c>
      <c r="AQ423" s="164">
        <v>1</v>
      </c>
    </row>
    <row r="424" spans="39:43" ht="15" customHeight="1">
      <c r="AM424" s="161" t="s">
        <v>626</v>
      </c>
      <c r="AN424" s="162">
        <v>1069</v>
      </c>
      <c r="AP424" s="161" t="s">
        <v>806</v>
      </c>
      <c r="AQ424" s="162">
        <v>1</v>
      </c>
    </row>
    <row r="425" spans="39:43" ht="15" customHeight="1">
      <c r="AM425" s="163" t="s">
        <v>669</v>
      </c>
      <c r="AN425" s="164">
        <v>735</v>
      </c>
      <c r="AP425" s="163" t="s">
        <v>807</v>
      </c>
      <c r="AQ425" s="164">
        <v>1</v>
      </c>
    </row>
    <row r="426" spans="39:43" ht="15" customHeight="1">
      <c r="AM426" s="161" t="s">
        <v>611</v>
      </c>
      <c r="AN426" s="162">
        <v>694</v>
      </c>
      <c r="AP426" s="161" t="s">
        <v>402</v>
      </c>
      <c r="AQ426" s="162">
        <v>1</v>
      </c>
    </row>
    <row r="427" spans="39:43" ht="15" customHeight="1">
      <c r="AM427" s="163" t="s">
        <v>540</v>
      </c>
      <c r="AN427" s="164">
        <v>679</v>
      </c>
      <c r="AP427" s="163" t="s">
        <v>808</v>
      </c>
      <c r="AQ427" s="164">
        <v>1</v>
      </c>
    </row>
    <row r="428" spans="39:43" ht="15" customHeight="1">
      <c r="AM428" s="161" t="s">
        <v>638</v>
      </c>
      <c r="AN428" s="162">
        <v>674</v>
      </c>
      <c r="AP428" s="161" t="s">
        <v>665</v>
      </c>
      <c r="AQ428" s="162">
        <v>5349</v>
      </c>
    </row>
    <row r="429" spans="39:43" ht="15" customHeight="1">
      <c r="AM429" s="163" t="s">
        <v>376</v>
      </c>
      <c r="AN429" s="164">
        <v>702</v>
      </c>
      <c r="AP429" s="163" t="s">
        <v>669</v>
      </c>
      <c r="AQ429" s="164">
        <v>3181</v>
      </c>
    </row>
    <row r="430" spans="39:43" ht="15" customHeight="1">
      <c r="AM430" s="161" t="s">
        <v>600</v>
      </c>
      <c r="AN430" s="162">
        <v>678</v>
      </c>
      <c r="AP430" s="161" t="s">
        <v>660</v>
      </c>
      <c r="AQ430" s="162">
        <v>1693</v>
      </c>
    </row>
    <row r="431" spans="39:43" ht="15" customHeight="1">
      <c r="AM431" s="163" t="s">
        <v>556</v>
      </c>
      <c r="AN431" s="164">
        <v>656</v>
      </c>
      <c r="AP431" s="163" t="s">
        <v>626</v>
      </c>
      <c r="AQ431" s="164">
        <v>1408</v>
      </c>
    </row>
    <row r="432" spans="39:43" ht="15" customHeight="1">
      <c r="AM432" s="161" t="s">
        <v>586</v>
      </c>
      <c r="AN432" s="162">
        <v>614</v>
      </c>
      <c r="AP432" s="161" t="s">
        <v>615</v>
      </c>
      <c r="AQ432" s="162">
        <v>1360</v>
      </c>
    </row>
    <row r="433" spans="39:43" ht="15" customHeight="1">
      <c r="AM433" s="163" t="s">
        <v>451</v>
      </c>
      <c r="AN433" s="164">
        <v>585</v>
      </c>
      <c r="AP433" s="163" t="s">
        <v>630</v>
      </c>
      <c r="AQ433" s="164">
        <v>1303</v>
      </c>
    </row>
    <row r="434" spans="39:43" ht="15" customHeight="1">
      <c r="AM434" s="161" t="s">
        <v>594</v>
      </c>
      <c r="AN434" s="162">
        <v>555</v>
      </c>
      <c r="AP434" s="161" t="s">
        <v>640</v>
      </c>
      <c r="AQ434" s="162">
        <v>1198</v>
      </c>
    </row>
    <row r="435" spans="39:43" ht="15" customHeight="1">
      <c r="AM435" s="163" t="s">
        <v>512</v>
      </c>
      <c r="AN435" s="164">
        <v>573</v>
      </c>
      <c r="AP435" s="163" t="s">
        <v>638</v>
      </c>
      <c r="AQ435" s="164">
        <v>1111</v>
      </c>
    </row>
    <row r="436" spans="39:43" ht="15" customHeight="1">
      <c r="AM436" s="161" t="s">
        <v>507</v>
      </c>
      <c r="AN436" s="162">
        <v>518</v>
      </c>
      <c r="AP436" s="161" t="s">
        <v>578</v>
      </c>
      <c r="AQ436" s="162">
        <v>1065</v>
      </c>
    </row>
    <row r="437" spans="39:43" ht="15" customHeight="1">
      <c r="AM437" s="163" t="s">
        <v>467</v>
      </c>
      <c r="AN437" s="164">
        <v>508</v>
      </c>
      <c r="AP437" s="163" t="s">
        <v>617</v>
      </c>
      <c r="AQ437" s="164">
        <v>1030</v>
      </c>
    </row>
    <row r="438" spans="39:43" ht="15" customHeight="1">
      <c r="AM438" s="161" t="s">
        <v>520</v>
      </c>
      <c r="AN438" s="162">
        <v>453</v>
      </c>
      <c r="AP438" s="161" t="s">
        <v>589</v>
      </c>
      <c r="AQ438" s="162">
        <v>994</v>
      </c>
    </row>
    <row r="439" spans="39:43" ht="15" customHeight="1">
      <c r="AM439" s="163" t="s">
        <v>509</v>
      </c>
      <c r="AN439" s="164">
        <v>476</v>
      </c>
      <c r="AP439" s="163" t="s">
        <v>569</v>
      </c>
      <c r="AQ439" s="164">
        <v>966</v>
      </c>
    </row>
    <row r="440" spans="39:43" ht="15" customHeight="1">
      <c r="AM440" s="161" t="s">
        <v>517</v>
      </c>
      <c r="AN440" s="162">
        <v>441</v>
      </c>
      <c r="AP440" s="161" t="s">
        <v>573</v>
      </c>
      <c r="AQ440" s="162">
        <v>942</v>
      </c>
    </row>
    <row r="441" spans="39:43" ht="15" customHeight="1">
      <c r="AM441" s="163" t="s">
        <v>621</v>
      </c>
      <c r="AN441" s="164">
        <v>446</v>
      </c>
      <c r="AP441" s="163" t="s">
        <v>280</v>
      </c>
      <c r="AQ441" s="164">
        <v>911</v>
      </c>
    </row>
    <row r="442" spans="39:43" ht="15" customHeight="1">
      <c r="AM442" s="161" t="s">
        <v>418</v>
      </c>
      <c r="AN442" s="162">
        <v>466</v>
      </c>
      <c r="AP442" s="161" t="s">
        <v>600</v>
      </c>
      <c r="AQ442" s="162">
        <v>908</v>
      </c>
    </row>
    <row r="443" spans="39:43" ht="15" customHeight="1">
      <c r="AM443" s="163" t="s">
        <v>484</v>
      </c>
      <c r="AN443" s="164">
        <v>441</v>
      </c>
      <c r="AP443" s="163" t="s">
        <v>611</v>
      </c>
      <c r="AQ443" s="164">
        <v>958</v>
      </c>
    </row>
    <row r="444" spans="39:43" ht="15" customHeight="1">
      <c r="AM444" s="161" t="s">
        <v>552</v>
      </c>
      <c r="AN444" s="162">
        <v>408</v>
      </c>
      <c r="AP444" s="161" t="s">
        <v>586</v>
      </c>
      <c r="AQ444" s="162">
        <v>811</v>
      </c>
    </row>
    <row r="445" spans="39:43" ht="15" customHeight="1">
      <c r="AM445" s="163" t="s">
        <v>253</v>
      </c>
      <c r="AN445" s="164">
        <v>405</v>
      </c>
      <c r="AP445" s="163" t="s">
        <v>480</v>
      </c>
      <c r="AQ445" s="164">
        <v>815</v>
      </c>
    </row>
    <row r="446" spans="39:43" ht="15" customHeight="1">
      <c r="AM446" s="161" t="s">
        <v>407</v>
      </c>
      <c r="AN446" s="162">
        <v>395</v>
      </c>
      <c r="AP446" s="161" t="s">
        <v>594</v>
      </c>
      <c r="AQ446" s="162">
        <v>784</v>
      </c>
    </row>
    <row r="447" spans="39:43" ht="15" customHeight="1">
      <c r="AM447" s="163" t="s">
        <v>455</v>
      </c>
      <c r="AN447" s="164">
        <v>392</v>
      </c>
      <c r="AP447" s="163" t="s">
        <v>556</v>
      </c>
      <c r="AQ447" s="164">
        <v>808</v>
      </c>
    </row>
    <row r="448" spans="39:43" ht="15" customHeight="1">
      <c r="AM448" s="161" t="s">
        <v>438</v>
      </c>
      <c r="AN448" s="162">
        <v>370</v>
      </c>
      <c r="AP448" s="161" t="s">
        <v>621</v>
      </c>
      <c r="AQ448" s="162">
        <v>757</v>
      </c>
    </row>
    <row r="449" spans="39:43" ht="15" customHeight="1">
      <c r="AM449" s="163" t="s">
        <v>522</v>
      </c>
      <c r="AN449" s="164">
        <v>366</v>
      </c>
      <c r="AP449" s="163" t="s">
        <v>598</v>
      </c>
      <c r="AQ449" s="164">
        <v>1170</v>
      </c>
    </row>
    <row r="450" spans="39:43" ht="15" customHeight="1">
      <c r="AM450" s="161" t="s">
        <v>531</v>
      </c>
      <c r="AN450" s="162">
        <v>370</v>
      </c>
      <c r="AP450" s="161" t="s">
        <v>376</v>
      </c>
      <c r="AQ450" s="162">
        <v>699</v>
      </c>
    </row>
    <row r="451" spans="39:43" ht="15" customHeight="1">
      <c r="AM451" s="163" t="s">
        <v>527</v>
      </c>
      <c r="AN451" s="164">
        <v>345</v>
      </c>
      <c r="AP451" s="163" t="s">
        <v>540</v>
      </c>
      <c r="AQ451" s="164">
        <v>812</v>
      </c>
    </row>
    <row r="452" spans="39:43" ht="15" customHeight="1">
      <c r="AM452" s="161" t="s">
        <v>558</v>
      </c>
      <c r="AN452" s="162">
        <v>348</v>
      </c>
      <c r="AP452" s="161" t="s">
        <v>451</v>
      </c>
      <c r="AQ452" s="162">
        <v>638</v>
      </c>
    </row>
    <row r="453" spans="39:43" ht="15" customHeight="1">
      <c r="AM453" s="163" t="s">
        <v>592</v>
      </c>
      <c r="AN453" s="164">
        <v>324</v>
      </c>
      <c r="AP453" s="163" t="s">
        <v>507</v>
      </c>
      <c r="AQ453" s="164">
        <v>630</v>
      </c>
    </row>
    <row r="454" spans="39:43" ht="15" customHeight="1">
      <c r="AM454" s="161" t="s">
        <v>493</v>
      </c>
      <c r="AN454" s="162">
        <v>314</v>
      </c>
      <c r="AP454" s="161" t="s">
        <v>520</v>
      </c>
      <c r="AQ454" s="162">
        <v>568</v>
      </c>
    </row>
    <row r="455" spans="39:43" ht="15" customHeight="1">
      <c r="AM455" s="163" t="s">
        <v>412</v>
      </c>
      <c r="AN455" s="164">
        <v>326</v>
      </c>
      <c r="AP455" s="163" t="s">
        <v>509</v>
      </c>
      <c r="AQ455" s="164">
        <v>583</v>
      </c>
    </row>
    <row r="456" spans="39:43" ht="15" customHeight="1">
      <c r="AM456" s="161" t="s">
        <v>544</v>
      </c>
      <c r="AN456" s="162">
        <v>320</v>
      </c>
      <c r="AP456" s="161" t="s">
        <v>517</v>
      </c>
      <c r="AQ456" s="162">
        <v>554</v>
      </c>
    </row>
    <row r="457" spans="39:43" ht="15" customHeight="1">
      <c r="AM457" s="163" t="s">
        <v>542</v>
      </c>
      <c r="AN457" s="164">
        <v>280</v>
      </c>
      <c r="AP457" s="163" t="s">
        <v>552</v>
      </c>
      <c r="AQ457" s="164">
        <v>548</v>
      </c>
    </row>
    <row r="458" spans="39:43" ht="15" customHeight="1">
      <c r="AM458" s="161" t="s">
        <v>427</v>
      </c>
      <c r="AN458" s="162">
        <v>242</v>
      </c>
      <c r="AP458" s="161" t="s">
        <v>592</v>
      </c>
      <c r="AQ458" s="162">
        <v>542</v>
      </c>
    </row>
    <row r="459" spans="39:43" ht="15" customHeight="1">
      <c r="AM459" s="163" t="s">
        <v>228</v>
      </c>
      <c r="AN459" s="164">
        <v>250</v>
      </c>
      <c r="AP459" s="163" t="s">
        <v>198</v>
      </c>
      <c r="AQ459" s="164">
        <v>514</v>
      </c>
    </row>
    <row r="460" spans="39:43" ht="15" customHeight="1">
      <c r="AM460" s="161" t="s">
        <v>563</v>
      </c>
      <c r="AN460" s="162">
        <v>253</v>
      </c>
      <c r="AP460" s="161" t="s">
        <v>484</v>
      </c>
      <c r="AQ460" s="162">
        <v>512</v>
      </c>
    </row>
    <row r="461" spans="39:43" ht="15" customHeight="1">
      <c r="AM461" s="163" t="s">
        <v>409</v>
      </c>
      <c r="AN461" s="164">
        <v>225</v>
      </c>
      <c r="AP461" s="163" t="s">
        <v>522</v>
      </c>
      <c r="AQ461" s="164">
        <v>484</v>
      </c>
    </row>
    <row r="462" spans="39:43" ht="15" customHeight="1">
      <c r="AM462" s="161" t="s">
        <v>361</v>
      </c>
      <c r="AN462" s="162">
        <v>202</v>
      </c>
      <c r="AP462" s="161" t="s">
        <v>531</v>
      </c>
      <c r="AQ462" s="162">
        <v>493</v>
      </c>
    </row>
    <row r="463" spans="39:43" ht="15" customHeight="1">
      <c r="AM463" s="163" t="s">
        <v>487</v>
      </c>
      <c r="AN463" s="164">
        <v>194</v>
      </c>
      <c r="AP463" s="163" t="s">
        <v>558</v>
      </c>
      <c r="AQ463" s="164">
        <v>494</v>
      </c>
    </row>
    <row r="464" spans="39:43" ht="15" customHeight="1">
      <c r="AM464" s="161" t="s">
        <v>504</v>
      </c>
      <c r="AN464" s="162">
        <v>182</v>
      </c>
      <c r="AP464" s="161" t="s">
        <v>527</v>
      </c>
      <c r="AQ464" s="162">
        <v>475</v>
      </c>
    </row>
    <row r="465" spans="39:43" ht="15" customHeight="1">
      <c r="AM465" s="163" t="s">
        <v>472</v>
      </c>
      <c r="AN465" s="164">
        <v>111</v>
      </c>
      <c r="AP465" s="163" t="s">
        <v>418</v>
      </c>
      <c r="AQ465" s="164">
        <v>498</v>
      </c>
    </row>
    <row r="466" spans="39:43" ht="15" customHeight="1">
      <c r="AM466" s="161" t="s">
        <v>353</v>
      </c>
      <c r="AN466" s="162">
        <v>39</v>
      </c>
      <c r="AP466" s="161" t="s">
        <v>455</v>
      </c>
      <c r="AQ466" s="162">
        <v>442</v>
      </c>
    </row>
    <row r="467" spans="39:43" ht="15" customHeight="1">
      <c r="AM467" s="163" t="s">
        <v>371</v>
      </c>
      <c r="AN467" s="164">
        <v>16</v>
      </c>
      <c r="AP467" s="163" t="s">
        <v>467</v>
      </c>
      <c r="AQ467" s="164">
        <v>566</v>
      </c>
    </row>
    <row r="468" spans="39:43" ht="15" customHeight="1">
      <c r="AM468" s="161" t="s">
        <v>388</v>
      </c>
      <c r="AN468" s="162">
        <v>2</v>
      </c>
      <c r="AP468" s="161" t="s">
        <v>544</v>
      </c>
      <c r="AQ468" s="162">
        <v>448</v>
      </c>
    </row>
    <row r="469" spans="39:43" ht="15" customHeight="1">
      <c r="AM469" s="163" t="s">
        <v>392</v>
      </c>
      <c r="AN469" s="164">
        <v>1</v>
      </c>
      <c r="AP469" s="163" t="s">
        <v>563</v>
      </c>
      <c r="AQ469" s="164">
        <v>417</v>
      </c>
    </row>
    <row r="470" spans="39:43" ht="15" customHeight="1">
      <c r="AM470" s="161" t="s">
        <v>809</v>
      </c>
      <c r="AN470" s="162">
        <v>1</v>
      </c>
      <c r="AP470" s="161" t="s">
        <v>542</v>
      </c>
      <c r="AQ470" s="162">
        <v>409</v>
      </c>
    </row>
    <row r="471" spans="39:43" ht="15" customHeight="1">
      <c r="AM471" s="163" t="s">
        <v>799</v>
      </c>
      <c r="AN471" s="164">
        <v>12102</v>
      </c>
      <c r="AP471" s="163" t="s">
        <v>438</v>
      </c>
      <c r="AQ471" s="164">
        <v>410</v>
      </c>
    </row>
    <row r="472" spans="39:43" ht="15" customHeight="1">
      <c r="AM472" s="161" t="s">
        <v>810</v>
      </c>
      <c r="AN472" s="162">
        <v>2046</v>
      </c>
      <c r="AP472" s="161" t="s">
        <v>407</v>
      </c>
      <c r="AQ472" s="162">
        <v>407</v>
      </c>
    </row>
    <row r="473" spans="39:43" ht="15" customHeight="1">
      <c r="AM473" s="163" t="s">
        <v>811</v>
      </c>
      <c r="AN473" s="164">
        <v>1241</v>
      </c>
      <c r="AP473" s="163" t="s">
        <v>493</v>
      </c>
      <c r="AQ473" s="164">
        <v>401</v>
      </c>
    </row>
    <row r="474" spans="39:43" ht="15" customHeight="1">
      <c r="AM474" s="161" t="s">
        <v>812</v>
      </c>
      <c r="AN474" s="162">
        <v>1288</v>
      </c>
      <c r="AP474" s="161" t="s">
        <v>512</v>
      </c>
      <c r="AQ474" s="162">
        <v>692</v>
      </c>
    </row>
    <row r="475" spans="39:43" ht="15" customHeight="1">
      <c r="AM475" s="163" t="s">
        <v>813</v>
      </c>
      <c r="AN475" s="164">
        <v>1097</v>
      </c>
      <c r="AP475" s="163" t="s">
        <v>412</v>
      </c>
      <c r="AQ475" s="164">
        <v>343</v>
      </c>
    </row>
    <row r="476" spans="39:43" ht="15" customHeight="1">
      <c r="AM476" s="161" t="s">
        <v>814</v>
      </c>
      <c r="AN476" s="162">
        <v>1034</v>
      </c>
      <c r="AP476" s="161" t="s">
        <v>427</v>
      </c>
      <c r="AQ476" s="162">
        <v>277</v>
      </c>
    </row>
    <row r="477" spans="39:43" ht="15" customHeight="1">
      <c r="AM477" s="163" t="s">
        <v>815</v>
      </c>
      <c r="AN477" s="164">
        <v>802</v>
      </c>
      <c r="AP477" s="163" t="s">
        <v>487</v>
      </c>
      <c r="AQ477" s="164">
        <v>265</v>
      </c>
    </row>
    <row r="478" spans="39:43" ht="15" customHeight="1">
      <c r="AM478" s="161" t="s">
        <v>816</v>
      </c>
      <c r="AN478" s="162">
        <v>923</v>
      </c>
      <c r="AP478" s="161" t="s">
        <v>504</v>
      </c>
      <c r="AQ478" s="162">
        <v>282</v>
      </c>
    </row>
    <row r="479" spans="39:43" ht="15" customHeight="1">
      <c r="AM479" s="163" t="s">
        <v>817</v>
      </c>
      <c r="AN479" s="164">
        <v>659</v>
      </c>
      <c r="AP479" s="163" t="s">
        <v>409</v>
      </c>
      <c r="AQ479" s="164">
        <v>241</v>
      </c>
    </row>
    <row r="480" spans="39:43" ht="15" customHeight="1">
      <c r="AM480" s="161" t="s">
        <v>818</v>
      </c>
      <c r="AN480" s="162">
        <v>615</v>
      </c>
      <c r="AP480" s="161" t="s">
        <v>253</v>
      </c>
      <c r="AQ480" s="162">
        <v>217</v>
      </c>
    </row>
    <row r="481" spans="39:43" ht="15" customHeight="1">
      <c r="AM481" s="163" t="s">
        <v>819</v>
      </c>
      <c r="AN481" s="164">
        <v>513</v>
      </c>
      <c r="AP481" s="163" t="s">
        <v>361</v>
      </c>
      <c r="AQ481" s="164">
        <v>181</v>
      </c>
    </row>
    <row r="482" spans="39:43" ht="15" customHeight="1">
      <c r="AM482" s="161" t="s">
        <v>820</v>
      </c>
      <c r="AN482" s="162">
        <v>540</v>
      </c>
      <c r="AP482" s="161" t="s">
        <v>472</v>
      </c>
      <c r="AQ482" s="162">
        <v>172</v>
      </c>
    </row>
    <row r="483" spans="39:43" ht="15" customHeight="1">
      <c r="AM483" s="163" t="s">
        <v>821</v>
      </c>
      <c r="AN483" s="164">
        <v>474</v>
      </c>
      <c r="AP483" s="163" t="s">
        <v>228</v>
      </c>
      <c r="AQ483" s="164">
        <v>6</v>
      </c>
    </row>
    <row r="484" spans="39:43" ht="15" customHeight="1">
      <c r="AM484" s="161" t="s">
        <v>822</v>
      </c>
      <c r="AN484" s="162">
        <v>462</v>
      </c>
      <c r="AP484" s="161" t="s">
        <v>371</v>
      </c>
      <c r="AQ484" s="162">
        <v>2</v>
      </c>
    </row>
    <row r="485" spans="39:43" ht="15" customHeight="1">
      <c r="AM485" s="163" t="s">
        <v>823</v>
      </c>
      <c r="AN485" s="164">
        <v>324</v>
      </c>
      <c r="AP485" s="163" t="s">
        <v>353</v>
      </c>
      <c r="AQ485" s="164">
        <v>1</v>
      </c>
    </row>
    <row r="486" spans="39:43" ht="15" customHeight="1">
      <c r="AM486" s="161" t="s">
        <v>824</v>
      </c>
      <c r="AN486" s="162">
        <v>313</v>
      </c>
      <c r="AP486" s="161" t="s">
        <v>810</v>
      </c>
      <c r="AQ486" s="162">
        <v>2217</v>
      </c>
    </row>
    <row r="487" spans="39:43" ht="15" customHeight="1">
      <c r="AM487" s="163" t="s">
        <v>825</v>
      </c>
      <c r="AN487" s="164">
        <v>295</v>
      </c>
      <c r="AP487" s="163" t="s">
        <v>812</v>
      </c>
      <c r="AQ487" s="164">
        <v>1759</v>
      </c>
    </row>
    <row r="488" spans="39:43" ht="15" customHeight="1">
      <c r="AM488" s="161" t="s">
        <v>826</v>
      </c>
      <c r="AN488" s="162">
        <v>141</v>
      </c>
      <c r="AP488" s="161" t="s">
        <v>811</v>
      </c>
      <c r="AQ488" s="162">
        <v>1458</v>
      </c>
    </row>
    <row r="489" spans="39:43" ht="15" customHeight="1">
      <c r="AM489" s="163" t="s">
        <v>827</v>
      </c>
      <c r="AN489" s="164">
        <v>2</v>
      </c>
      <c r="AP489" s="163" t="s">
        <v>813</v>
      </c>
      <c r="AQ489" s="164">
        <v>1297</v>
      </c>
    </row>
    <row r="490" spans="39:43" ht="15" customHeight="1">
      <c r="AM490" s="161" t="s">
        <v>828</v>
      </c>
      <c r="AN490" s="162">
        <v>1</v>
      </c>
      <c r="AP490" s="161" t="s">
        <v>816</v>
      </c>
      <c r="AQ490" s="162">
        <v>1085</v>
      </c>
    </row>
    <row r="491" spans="39:43" ht="15" customHeight="1">
      <c r="AM491" s="163" t="s">
        <v>829</v>
      </c>
      <c r="AN491" s="164">
        <v>1234</v>
      </c>
      <c r="AP491" s="163" t="s">
        <v>817</v>
      </c>
      <c r="AQ491" s="164">
        <v>817</v>
      </c>
    </row>
    <row r="492" spans="39:43" ht="15" customHeight="1">
      <c r="AM492" s="161" t="s">
        <v>830</v>
      </c>
      <c r="AN492" s="162">
        <v>443</v>
      </c>
      <c r="AP492" s="161" t="s">
        <v>818</v>
      </c>
      <c r="AQ492" s="162">
        <v>800</v>
      </c>
    </row>
    <row r="493" spans="39:43" ht="15" customHeight="1">
      <c r="AM493" s="163" t="s">
        <v>831</v>
      </c>
      <c r="AN493" s="164">
        <v>236</v>
      </c>
      <c r="AP493" s="163" t="s">
        <v>819</v>
      </c>
      <c r="AQ493" s="164">
        <v>711</v>
      </c>
    </row>
    <row r="494" spans="39:43" ht="15" customHeight="1">
      <c r="AM494" s="161" t="s">
        <v>832</v>
      </c>
      <c r="AN494" s="162">
        <v>1</v>
      </c>
      <c r="AP494" s="161" t="s">
        <v>821</v>
      </c>
      <c r="AQ494" s="162">
        <v>695</v>
      </c>
    </row>
    <row r="495" spans="39:43" ht="15" customHeight="1">
      <c r="AP495" s="163" t="s">
        <v>820</v>
      </c>
      <c r="AQ495" s="164">
        <v>721</v>
      </c>
    </row>
    <row r="496" spans="39:43" ht="15" customHeight="1">
      <c r="AP496" s="161" t="s">
        <v>814</v>
      </c>
      <c r="AQ496" s="162">
        <v>1167</v>
      </c>
    </row>
    <row r="497" spans="42:43" ht="15" customHeight="1">
      <c r="AP497" s="163" t="s">
        <v>815</v>
      </c>
      <c r="AQ497" s="164">
        <v>776</v>
      </c>
    </row>
    <row r="498" spans="42:43" ht="15" customHeight="1">
      <c r="AP498" s="161" t="s">
        <v>822</v>
      </c>
      <c r="AQ498" s="162">
        <v>475</v>
      </c>
    </row>
    <row r="499" spans="42:43" ht="15" customHeight="1">
      <c r="AP499" s="163" t="s">
        <v>825</v>
      </c>
      <c r="AQ499" s="164">
        <v>370</v>
      </c>
    </row>
    <row r="500" spans="42:43" ht="15" customHeight="1">
      <c r="AP500" s="161" t="s">
        <v>823</v>
      </c>
      <c r="AQ500" s="162">
        <v>339</v>
      </c>
    </row>
    <row r="501" spans="42:43" ht="15" customHeight="1">
      <c r="AP501" s="163" t="s">
        <v>824</v>
      </c>
      <c r="AQ501" s="164">
        <v>568</v>
      </c>
    </row>
    <row r="502" spans="42:43" ht="15" customHeight="1">
      <c r="AP502" s="161" t="s">
        <v>833</v>
      </c>
      <c r="AQ502" s="162">
        <v>257</v>
      </c>
    </row>
    <row r="503" spans="42:43" ht="15" customHeight="1">
      <c r="AP503" s="163" t="s">
        <v>826</v>
      </c>
      <c r="AQ503" s="164">
        <v>152</v>
      </c>
    </row>
    <row r="504" spans="42:43" ht="15" customHeight="1">
      <c r="AP504" s="161" t="s">
        <v>834</v>
      </c>
      <c r="AQ504" s="162">
        <v>2</v>
      </c>
    </row>
    <row r="505" spans="42:43" ht="15" customHeight="1">
      <c r="AP505" s="163" t="s">
        <v>829</v>
      </c>
      <c r="AQ505" s="164">
        <v>1309</v>
      </c>
    </row>
    <row r="506" spans="42:43" ht="15" customHeight="1">
      <c r="AP506" s="161" t="s">
        <v>830</v>
      </c>
      <c r="AQ506" s="162">
        <v>467</v>
      </c>
    </row>
    <row r="507" spans="42:43" ht="15" customHeight="1">
      <c r="AP507" s="163" t="s">
        <v>831</v>
      </c>
      <c r="AQ507" s="164">
        <v>246</v>
      </c>
    </row>
  </sheetData>
  <autoFilter ref="A2:AS236" xr:uid="{00000000-0001-0000-0000-000000000000}">
    <sortState xmlns:xlrd2="http://schemas.microsoft.com/office/spreadsheetml/2017/richdata2" ref="A3:AS236">
      <sortCondition ref="AF2"/>
    </sortState>
  </autoFilter>
  <mergeCells count="6">
    <mergeCell ref="AC1:AD1"/>
    <mergeCell ref="X1:Y1"/>
    <mergeCell ref="B1:C1"/>
    <mergeCell ref="L1:M1"/>
    <mergeCell ref="P1:Q1"/>
    <mergeCell ref="F1:G1"/>
  </mergeCells>
  <phoneticPr fontId="3" type="noConversion"/>
  <conditionalFormatting sqref="E181 J181:K181 O181 R181:S181 U181:W181 L247:L1048576 L2:L243">
    <cfRule type="cellIs" dxfId="44" priority="23" operator="greaterThan">
      <formula>500</formula>
    </cfRule>
  </conditionalFormatting>
  <conditionalFormatting sqref="L3:L237">
    <cfRule type="cellIs" dxfId="43" priority="29" operator="lessThan">
      <formula>-100</formula>
    </cfRule>
  </conditionalFormatting>
  <conditionalFormatting sqref="L239">
    <cfRule type="cellIs" dxfId="42" priority="2" operator="lessThan">
      <formula>-100</formula>
    </cfRule>
  </conditionalFormatting>
  <conditionalFormatting sqref="M3:M237">
    <cfRule type="cellIs" dxfId="41" priority="15" operator="lessThan">
      <formula>-10%</formula>
    </cfRule>
  </conditionalFormatting>
  <conditionalFormatting sqref="M3:M1048576">
    <cfRule type="cellIs" dxfId="40" priority="3" operator="lessThan">
      <formula>-0.2</formula>
    </cfRule>
  </conditionalFormatting>
  <conditionalFormatting sqref="M3:N3 M4:M237 N4:N236">
    <cfRule type="cellIs" dxfId="39" priority="46" operator="greaterThan">
      <formula>0.2</formula>
    </cfRule>
  </conditionalFormatting>
  <conditionalFormatting sqref="M239:N239">
    <cfRule type="cellIs" dxfId="38" priority="5" operator="greaterThan">
      <formula>0.2</formula>
    </cfRule>
  </conditionalFormatting>
  <conditionalFormatting sqref="Y240 Y3:Y237">
    <cfRule type="cellIs" dxfId="37" priority="14" operator="greaterThan">
      <formula>0.5</formula>
    </cfRule>
  </conditionalFormatting>
  <conditionalFormatting sqref="AE3:AE237">
    <cfRule type="cellIs" dxfId="36" priority="9" operator="lessThan">
      <formula>-10%</formula>
    </cfRule>
    <cfRule type="cellIs" dxfId="35" priority="10" operator="lessThan">
      <formula>-0.2</formula>
    </cfRule>
    <cfRule type="cellIs" dxfId="34" priority="11" operator="greaterThan">
      <formula>0.2</formula>
    </cfRule>
  </conditionalFormatting>
  <conditionalFormatting sqref="AE240">
    <cfRule type="cellIs" dxfId="33" priority="6" operator="lessThan">
      <formula>-10%</formula>
    </cfRule>
    <cfRule type="cellIs" dxfId="32" priority="7" operator="lessThan">
      <formula>-0.2</formula>
    </cfRule>
    <cfRule type="cellIs" dxfId="31"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M211"/>
  <sheetViews>
    <sheetView zoomScale="85" zoomScaleNormal="85" workbookViewId="0">
      <pane xSplit="2" ySplit="2" topLeftCell="AD3" activePane="bottomRight" state="frozen"/>
      <selection pane="bottomRight" activeCell="AJ27" sqref="AJ27"/>
      <selection pane="bottomLeft"/>
      <selection pane="topRight"/>
    </sheetView>
  </sheetViews>
  <sheetFormatPr defaultRowHeight="15" customHeight="1"/>
  <cols>
    <col min="1" max="1" width="66.42578125" customWidth="1"/>
    <col min="2" max="2" width="13.85546875" bestFit="1" customWidth="1"/>
    <col min="3" max="3" width="15.140625" customWidth="1"/>
    <col min="4" max="4" width="15.42578125" customWidth="1"/>
    <col min="5" max="5" width="1" customWidth="1"/>
    <col min="6" max="6" width="13.85546875" bestFit="1" customWidth="1"/>
    <col min="7" max="7" width="12.28515625" customWidth="1"/>
    <col min="8" max="8" width="15.42578125" customWidth="1"/>
    <col min="9" max="9" width="13.42578125" customWidth="1"/>
    <col min="10" max="11" width="1" customWidth="1"/>
    <col min="12" max="12" width="12.5703125" customWidth="1"/>
    <col min="14" max="14" width="17.5703125" customWidth="1"/>
    <col min="15" max="15" width="1" customWidth="1"/>
    <col min="16" max="16" width="13.28515625" style="5" bestFit="1" customWidth="1"/>
    <col min="17" max="17" width="11.5703125" style="5" customWidth="1"/>
    <col min="18" max="19" width="1" customWidth="1"/>
    <col min="20" max="20" width="13.85546875" style="5" customWidth="1"/>
    <col min="21" max="22" width="0.85546875" customWidth="1"/>
    <col min="23" max="23" width="11.85546875" style="154" bestFit="1" customWidth="1"/>
    <col min="25" max="25" width="0.85546875" customWidth="1"/>
    <col min="26" max="27" width="7" hidden="1" customWidth="1"/>
    <col min="28" max="28" width="13.7109375" hidden="1" customWidth="1"/>
    <col min="29" max="29" width="7.42578125" style="14" hidden="1" customWidth="1"/>
    <col min="30" max="31" width="13.28515625" customWidth="1"/>
    <col min="33" max="33" width="20.28515625" bestFit="1" customWidth="1"/>
    <col min="36" max="36" width="23.5703125" customWidth="1"/>
    <col min="37" max="37" width="15.42578125" style="172" customWidth="1"/>
    <col min="38" max="38" width="9.140625" style="179"/>
  </cols>
  <sheetData>
    <row r="1" spans="1:39">
      <c r="B1" s="182">
        <v>45627</v>
      </c>
      <c r="C1" s="181"/>
      <c r="D1" s="2"/>
      <c r="F1" s="182">
        <v>45658</v>
      </c>
      <c r="G1" s="181"/>
      <c r="H1" s="2"/>
      <c r="L1" s="183"/>
      <c r="M1" s="183"/>
      <c r="N1" s="1"/>
      <c r="P1" s="184" t="s">
        <v>0</v>
      </c>
      <c r="Q1" s="184"/>
      <c r="R1" s="1"/>
      <c r="T1" s="10" t="s">
        <v>1</v>
      </c>
      <c r="U1" s="1"/>
      <c r="W1" s="181" t="s">
        <v>2</v>
      </c>
      <c r="X1" s="181"/>
      <c r="Z1" s="183" t="s">
        <v>835</v>
      </c>
      <c r="AA1" s="183"/>
      <c r="AB1" s="183"/>
      <c r="AC1" s="183"/>
      <c r="AD1" s="181" t="s">
        <v>3</v>
      </c>
      <c r="AE1" s="181"/>
    </row>
    <row r="2" spans="1:39">
      <c r="A2" t="s">
        <v>8</v>
      </c>
      <c r="B2" s="3" t="s">
        <v>9</v>
      </c>
      <c r="C2" s="3" t="s">
        <v>10</v>
      </c>
      <c r="D2" s="3" t="s">
        <v>11</v>
      </c>
      <c r="F2" s="3" t="s">
        <v>9</v>
      </c>
      <c r="G2" s="3" t="s">
        <v>10</v>
      </c>
      <c r="H2" s="3" t="s">
        <v>12</v>
      </c>
      <c r="I2" t="s">
        <v>13</v>
      </c>
      <c r="L2" t="s">
        <v>14</v>
      </c>
      <c r="M2" t="s">
        <v>15</v>
      </c>
      <c r="N2" t="s">
        <v>16</v>
      </c>
      <c r="P2" t="s">
        <v>4</v>
      </c>
      <c r="Q2" t="s">
        <v>7</v>
      </c>
      <c r="T2" s="5" t="s">
        <v>17</v>
      </c>
      <c r="W2" s="154" t="s">
        <v>18</v>
      </c>
      <c r="X2" t="s">
        <v>15</v>
      </c>
      <c r="Z2" t="s">
        <v>836</v>
      </c>
      <c r="AA2" t="s">
        <v>837</v>
      </c>
      <c r="AB2" t="s">
        <v>838</v>
      </c>
      <c r="AC2" s="14" t="s">
        <v>839</v>
      </c>
      <c r="AD2" t="s">
        <v>4</v>
      </c>
      <c r="AE2" t="s">
        <v>7</v>
      </c>
      <c r="AF2" t="s">
        <v>15</v>
      </c>
      <c r="AG2" t="s">
        <v>840</v>
      </c>
      <c r="AJ2" t="s">
        <v>837</v>
      </c>
      <c r="AK2" s="172" t="s">
        <v>841</v>
      </c>
      <c r="AL2" s="179" t="s">
        <v>842</v>
      </c>
    </row>
    <row r="3" spans="1:39" ht="13.5" customHeight="1">
      <c r="A3" t="s">
        <v>843</v>
      </c>
      <c r="B3" t="s">
        <v>799</v>
      </c>
      <c r="C3" s="19">
        <v>12102</v>
      </c>
      <c r="D3">
        <v>12102</v>
      </c>
      <c r="F3" t="s">
        <v>799</v>
      </c>
      <c r="G3" s="19">
        <v>9152</v>
      </c>
      <c r="H3">
        <v>9144</v>
      </c>
      <c r="I3" t="b">
        <f>IF(B3=F3,TRUE,FALSE)</f>
        <v>1</v>
      </c>
      <c r="L3" s="27">
        <f>G3-D3</f>
        <v>-2950</v>
      </c>
      <c r="M3" s="4">
        <f>G3/C3-1</f>
        <v>-0.24376136175838703</v>
      </c>
      <c r="N3" s="166">
        <f>H3-D3</f>
        <v>-2958</v>
      </c>
      <c r="P3" s="5">
        <v>16033.07</v>
      </c>
      <c r="Q3" s="5">
        <v>14874.52</v>
      </c>
      <c r="T3" s="5">
        <v>63752.03</v>
      </c>
      <c r="W3" s="152">
        <f>Q3-P3</f>
        <v>-1158.5499999999993</v>
      </c>
      <c r="X3" s="4">
        <f>IF(P3=0,0,Q3/P3-1)</f>
        <v>-7.2260022565859172E-2</v>
      </c>
      <c r="AD3" s="18">
        <v>280881.28000000003</v>
      </c>
      <c r="AE3" s="18">
        <v>218952.54</v>
      </c>
      <c r="AF3" s="4">
        <f>AE3/AD3-1</f>
        <v>-0.22048012598062783</v>
      </c>
      <c r="AG3" s="150">
        <f>(N3*2)-W3</f>
        <v>-4757.4500000000007</v>
      </c>
      <c r="AH3" s="158">
        <f>P3/AD3</f>
        <v>5.7081304955602589E-2</v>
      </c>
      <c r="AI3" s="158">
        <f>Q3/AE3</f>
        <v>6.7934904979864583E-2</v>
      </c>
      <c r="AJ3" t="s">
        <v>844</v>
      </c>
      <c r="AK3" s="172" t="s">
        <v>845</v>
      </c>
      <c r="AM3">
        <f>Q3/AE3</f>
        <v>6.7934904979864583E-2</v>
      </c>
    </row>
    <row r="4" spans="1:39" ht="13.9" customHeight="1">
      <c r="A4" t="s">
        <v>846</v>
      </c>
      <c r="B4" t="s">
        <v>250</v>
      </c>
      <c r="C4" s="19">
        <v>2813</v>
      </c>
      <c r="D4">
        <v>2813</v>
      </c>
      <c r="F4" t="s">
        <v>250</v>
      </c>
      <c r="G4" s="19">
        <v>3898</v>
      </c>
      <c r="H4">
        <v>3868</v>
      </c>
      <c r="I4" t="b">
        <f>IF(B4=F4,TRUE,FALSE)</f>
        <v>1</v>
      </c>
      <c r="L4" s="27">
        <f>G4-D4</f>
        <v>1085</v>
      </c>
      <c r="M4" s="4">
        <f>G4/C4-1</f>
        <v>0.38570920725204405</v>
      </c>
      <c r="N4" s="166">
        <f>H4-D4</f>
        <v>1055</v>
      </c>
      <c r="P4" s="5">
        <v>2237.79</v>
      </c>
      <c r="Q4" s="5">
        <v>9014.6</v>
      </c>
      <c r="T4" s="5">
        <v>27023.57</v>
      </c>
      <c r="W4" s="152">
        <f>Q4-P4</f>
        <v>6776.81</v>
      </c>
      <c r="X4" s="4">
        <f>IF(P4=0,0,Q4/P4-1)</f>
        <v>3.0283493982902776</v>
      </c>
      <c r="AD4" s="18">
        <v>56019.6</v>
      </c>
      <c r="AE4" s="18">
        <v>77765.100000000006</v>
      </c>
      <c r="AF4" s="4">
        <f>AE4/AD4-1</f>
        <v>0.38817663817663828</v>
      </c>
      <c r="AG4" s="150">
        <f>(N4*2)-W4</f>
        <v>-4666.8100000000004</v>
      </c>
      <c r="AH4" s="158">
        <f>P4/AD4</f>
        <v>3.9946554420238631E-2</v>
      </c>
      <c r="AI4" s="158">
        <f>Q4/AE4</f>
        <v>0.11592089510590226</v>
      </c>
      <c r="AJ4" t="s">
        <v>847</v>
      </c>
      <c r="AK4" s="172" t="s">
        <v>848</v>
      </c>
      <c r="AL4" s="179" t="s">
        <v>849</v>
      </c>
      <c r="AM4">
        <f>Q4/AE4</f>
        <v>0.11592089510590226</v>
      </c>
    </row>
    <row r="5" spans="1:39" ht="14.25" customHeight="1">
      <c r="A5" t="s">
        <v>850</v>
      </c>
      <c r="B5" t="s">
        <v>296</v>
      </c>
      <c r="C5" s="19">
        <v>3666</v>
      </c>
      <c r="D5">
        <v>3666</v>
      </c>
      <c r="F5" t="s">
        <v>296</v>
      </c>
      <c r="G5" s="19">
        <v>3039</v>
      </c>
      <c r="H5">
        <v>3028</v>
      </c>
      <c r="I5" t="b">
        <f>IF(B5=F5,TRUE,FALSE)</f>
        <v>1</v>
      </c>
      <c r="L5" s="27">
        <f>G5-D5</f>
        <v>-627</v>
      </c>
      <c r="M5" s="4">
        <f>G5/C5-1</f>
        <v>-0.17103109656301141</v>
      </c>
      <c r="N5" s="166">
        <f>H5-D5</f>
        <v>-638</v>
      </c>
      <c r="P5" s="5">
        <v>4025.25</v>
      </c>
      <c r="Q5" s="5">
        <v>6047.48</v>
      </c>
      <c r="T5" s="5">
        <v>29572.010000000002</v>
      </c>
      <c r="W5" s="152">
        <f>Q5-P5</f>
        <v>2022.2299999999996</v>
      </c>
      <c r="X5" s="4">
        <f>IF(P5=0,0,Q5/P5-1)</f>
        <v>0.50238618719334194</v>
      </c>
      <c r="Z5" t="s">
        <v>851</v>
      </c>
      <c r="AD5" s="18">
        <v>56314.35</v>
      </c>
      <c r="AE5" s="18">
        <v>54807.64</v>
      </c>
      <c r="AF5" s="4">
        <f>AE5/AD5-1</f>
        <v>-2.6755347438086385E-2</v>
      </c>
      <c r="AG5" s="150">
        <f>(N5*2)-W5</f>
        <v>-3298.2299999999996</v>
      </c>
      <c r="AH5" s="158">
        <f>P5/AD5</f>
        <v>7.1478228906131383E-2</v>
      </c>
      <c r="AI5" s="158">
        <f>Q5/AE5</f>
        <v>0.11034009127194674</v>
      </c>
      <c r="AJ5" t="s">
        <v>852</v>
      </c>
      <c r="AK5" s="172" t="s">
        <v>853</v>
      </c>
      <c r="AM5">
        <f>Q5/AE5</f>
        <v>0.11034009127194674</v>
      </c>
    </row>
    <row r="6" spans="1:39" ht="13.9" customHeight="1">
      <c r="A6" t="s">
        <v>854</v>
      </c>
      <c r="B6" t="s">
        <v>150</v>
      </c>
      <c r="C6" s="19">
        <v>2936</v>
      </c>
      <c r="D6">
        <v>2936</v>
      </c>
      <c r="F6" t="s">
        <v>150</v>
      </c>
      <c r="G6" s="19">
        <v>3481</v>
      </c>
      <c r="H6">
        <v>3462</v>
      </c>
      <c r="I6" t="b">
        <f>IF(B6=F6,TRUE,FALSE)</f>
        <v>1</v>
      </c>
      <c r="L6" s="27">
        <f>G6-D6</f>
        <v>545</v>
      </c>
      <c r="M6" s="4">
        <f>G6/C6-1</f>
        <v>0.18562670299727513</v>
      </c>
      <c r="N6" s="166">
        <f>H6-D6</f>
        <v>526</v>
      </c>
      <c r="P6" s="5">
        <v>4552.32</v>
      </c>
      <c r="Q6" s="5">
        <v>7834.8600000000006</v>
      </c>
      <c r="T6" s="5">
        <v>33474.080000000002</v>
      </c>
      <c r="W6" s="152">
        <f>Q6-P6</f>
        <v>3282.5400000000009</v>
      </c>
      <c r="X6" s="4">
        <f>IF(P6=0,0,Q6/P6-1)</f>
        <v>0.72106969633066242</v>
      </c>
      <c r="Z6" t="s">
        <v>855</v>
      </c>
      <c r="AD6" s="18">
        <v>79188.66</v>
      </c>
      <c r="AE6" s="18">
        <v>93898.01</v>
      </c>
      <c r="AF6" s="4">
        <f>AE6/AD6-1</f>
        <v>0.18575071228632978</v>
      </c>
      <c r="AG6" s="150">
        <f>(N6*2)-W6</f>
        <v>-2230.5400000000009</v>
      </c>
      <c r="AH6" s="158">
        <f>P6/AD6</f>
        <v>5.748701897468652E-2</v>
      </c>
      <c r="AI6" s="158">
        <f>Q6/AE6</f>
        <v>8.3440106984162932E-2</v>
      </c>
      <c r="AJ6" t="s">
        <v>856</v>
      </c>
      <c r="AK6" s="172" t="s">
        <v>857</v>
      </c>
      <c r="AM6">
        <f>Q6/AE6</f>
        <v>8.3440106984162932E-2</v>
      </c>
    </row>
    <row r="7" spans="1:39" ht="13.9" customHeight="1">
      <c r="A7" s="25" t="s">
        <v>858</v>
      </c>
      <c r="B7" s="24" t="s">
        <v>213</v>
      </c>
      <c r="C7" s="19">
        <v>2451</v>
      </c>
      <c r="D7">
        <v>2451</v>
      </c>
      <c r="E7" s="5"/>
      <c r="F7" s="24" t="s">
        <v>213</v>
      </c>
      <c r="G7" s="19">
        <v>3089</v>
      </c>
      <c r="H7">
        <v>3088</v>
      </c>
      <c r="I7" t="b">
        <f>IF(B7=F7,TRUE,FALSE)</f>
        <v>1</v>
      </c>
      <c r="J7" s="5"/>
      <c r="K7" s="5"/>
      <c r="L7" s="27">
        <f>G7-D7</f>
        <v>638</v>
      </c>
      <c r="M7" s="4">
        <f>G7/C7-1</f>
        <v>0.26030191758465926</v>
      </c>
      <c r="N7" s="166">
        <f>H7-D7</f>
        <v>637</v>
      </c>
      <c r="O7" s="5"/>
      <c r="P7" s="5">
        <v>4210.5</v>
      </c>
      <c r="Q7" s="5">
        <v>6933.5</v>
      </c>
      <c r="R7" s="5"/>
      <c r="S7" s="5"/>
      <c r="T7" s="5">
        <v>32346.29</v>
      </c>
      <c r="U7" s="5"/>
      <c r="V7" s="5"/>
      <c r="W7" s="152">
        <f>Q7-P7</f>
        <v>2723</v>
      </c>
      <c r="X7" s="4">
        <f>IF(P7=0,0,Q7/P7-1)</f>
        <v>0.64671654197838735</v>
      </c>
      <c r="Y7" s="5"/>
      <c r="Z7" s="5"/>
      <c r="AA7" s="5"/>
      <c r="AB7" s="5"/>
      <c r="AC7" s="15"/>
      <c r="AD7" s="18">
        <v>61060.29</v>
      </c>
      <c r="AE7" s="18">
        <v>79939.679999999993</v>
      </c>
      <c r="AF7" s="4">
        <f>AE7/AD7-1</f>
        <v>0.30919260291754247</v>
      </c>
      <c r="AG7" s="150">
        <f>(N7*2)-W7</f>
        <v>-1449</v>
      </c>
      <c r="AH7" s="158">
        <f>P7/AD7</f>
        <v>6.8956436335300728E-2</v>
      </c>
      <c r="AI7" s="158">
        <f>Q7/AE7</f>
        <v>8.6734147547250631E-2</v>
      </c>
      <c r="AJ7" t="s">
        <v>859</v>
      </c>
      <c r="AK7" s="172" t="s">
        <v>860</v>
      </c>
      <c r="AM7">
        <f>Q7/AE7</f>
        <v>8.6734147547250631E-2</v>
      </c>
    </row>
    <row r="8" spans="1:39" ht="13.5" customHeight="1">
      <c r="A8" t="s">
        <v>861</v>
      </c>
      <c r="B8" t="s">
        <v>105</v>
      </c>
      <c r="C8" s="19">
        <v>4066</v>
      </c>
      <c r="D8">
        <v>4066</v>
      </c>
      <c r="F8" t="s">
        <v>105</v>
      </c>
      <c r="G8" s="19">
        <v>4967</v>
      </c>
      <c r="H8">
        <v>4932</v>
      </c>
      <c r="I8" t="b">
        <f>IF(B8=F8,TRUE,FALSE)</f>
        <v>1</v>
      </c>
      <c r="L8" s="27">
        <f>G8-D8</f>
        <v>901</v>
      </c>
      <c r="M8" s="4">
        <f>G8/C8-1</f>
        <v>0.22159370388588284</v>
      </c>
      <c r="N8" s="166">
        <f>H8-D8</f>
        <v>866</v>
      </c>
      <c r="P8" s="5">
        <v>7192.54</v>
      </c>
      <c r="Q8" s="5">
        <v>10285.14</v>
      </c>
      <c r="T8" s="5">
        <v>47173.81</v>
      </c>
      <c r="W8" s="152">
        <f>Q8-P8</f>
        <v>3092.5999999999995</v>
      </c>
      <c r="X8" s="4">
        <f>IF(P8=0,0,Q8/P8-1)</f>
        <v>0.42997327786845818</v>
      </c>
      <c r="Z8" t="s">
        <v>862</v>
      </c>
      <c r="AD8" s="18">
        <v>101296.67</v>
      </c>
      <c r="AE8" s="18">
        <v>123354.34</v>
      </c>
      <c r="AF8" s="4">
        <f>AE8/AD8-1</f>
        <v>0.21775316009894508</v>
      </c>
      <c r="AG8" s="150">
        <f>(N8*2)-W8</f>
        <v>-1360.5999999999995</v>
      </c>
      <c r="AH8" s="158">
        <f>P8/AD8</f>
        <v>7.1004703313544262E-2</v>
      </c>
      <c r="AI8" s="158">
        <f>Q8/AE8</f>
        <v>8.3378825584896316E-2</v>
      </c>
      <c r="AJ8" s="173" t="s">
        <v>863</v>
      </c>
      <c r="AK8" s="172" t="s">
        <v>864</v>
      </c>
      <c r="AM8">
        <f>Q8/AE8</f>
        <v>8.3378825584896316E-2</v>
      </c>
    </row>
    <row r="9" spans="1:39" ht="12.75" customHeight="1">
      <c r="A9" t="s">
        <v>865</v>
      </c>
      <c r="B9" t="s">
        <v>428</v>
      </c>
      <c r="C9" s="19">
        <v>1242</v>
      </c>
      <c r="D9">
        <v>1242</v>
      </c>
      <c r="F9" t="s">
        <v>428</v>
      </c>
      <c r="G9" s="19">
        <v>1232</v>
      </c>
      <c r="H9">
        <v>1232</v>
      </c>
      <c r="I9" t="b">
        <f>IF(B9=F9,TRUE,FALSE)</f>
        <v>1</v>
      </c>
      <c r="L9" s="27">
        <f>G9-D9</f>
        <v>-10</v>
      </c>
      <c r="M9" s="4">
        <f>G9/C9-1</f>
        <v>-8.0515297906602612E-3</v>
      </c>
      <c r="N9" s="166">
        <f>H9-D9</f>
        <v>-10</v>
      </c>
      <c r="P9" s="5">
        <v>1196.1300000000001</v>
      </c>
      <c r="Q9" s="5">
        <v>2454.6</v>
      </c>
      <c r="T9" s="5">
        <v>10092.83</v>
      </c>
      <c r="W9" s="152">
        <f>Q9-P9</f>
        <v>1258.4699999999998</v>
      </c>
      <c r="X9" s="4">
        <f>IF(P9=0,0,Q9/P9-1)</f>
        <v>1.0521180808106139</v>
      </c>
      <c r="AD9" s="18">
        <v>12640.59</v>
      </c>
      <c r="AE9" s="18">
        <v>18793.689999999999</v>
      </c>
      <c r="AF9" s="4">
        <f>AE9/AD9-1</f>
        <v>0.48677316486018452</v>
      </c>
      <c r="AG9" s="150">
        <f>(N9*2)-W9</f>
        <v>-1278.4699999999998</v>
      </c>
      <c r="AH9" s="158">
        <f>P9/AD9</f>
        <v>9.4626121090866808E-2</v>
      </c>
      <c r="AI9" s="158">
        <f>Q9/AE9</f>
        <v>0.13060766672218177</v>
      </c>
      <c r="AJ9" t="s">
        <v>866</v>
      </c>
      <c r="AK9" s="172" t="s">
        <v>867</v>
      </c>
      <c r="AM9">
        <f>Q9/AE9</f>
        <v>0.13060766672218177</v>
      </c>
    </row>
    <row r="10" spans="1:39" ht="13.9" customHeight="1">
      <c r="A10" t="s">
        <v>868</v>
      </c>
      <c r="B10" t="s">
        <v>338</v>
      </c>
      <c r="C10" s="19">
        <v>2053</v>
      </c>
      <c r="D10">
        <v>2053</v>
      </c>
      <c r="F10" t="s">
        <v>338</v>
      </c>
      <c r="G10" s="19">
        <v>1815</v>
      </c>
      <c r="H10">
        <v>1800</v>
      </c>
      <c r="I10" t="b">
        <f>IF(B10=F10,TRUE,FALSE)</f>
        <v>1</v>
      </c>
      <c r="L10" s="27">
        <f>G10-D10</f>
        <v>-238</v>
      </c>
      <c r="M10" s="4">
        <f>G10/C10-1</f>
        <v>-0.11592791037506089</v>
      </c>
      <c r="N10" s="166">
        <f>H10-D10</f>
        <v>-253</v>
      </c>
      <c r="P10" s="5">
        <v>3279.24</v>
      </c>
      <c r="Q10" s="5">
        <v>4021.58</v>
      </c>
      <c r="T10" s="5">
        <v>15381.48</v>
      </c>
      <c r="W10" s="152">
        <f>Q10-P10</f>
        <v>742.34000000000015</v>
      </c>
      <c r="X10" s="4">
        <f>IF(P10=0,0,Q10/P10-1)</f>
        <v>0.2263756236201071</v>
      </c>
      <c r="Z10" t="s">
        <v>869</v>
      </c>
      <c r="AB10" t="s">
        <v>870</v>
      </c>
      <c r="AD10" s="18">
        <v>40957.35</v>
      </c>
      <c r="AE10" s="18">
        <v>36209.25</v>
      </c>
      <c r="AF10" s="4">
        <f>AE10/AD10-1</f>
        <v>-0.11592791037506089</v>
      </c>
      <c r="AG10" s="150">
        <f>(N10*2)-W10</f>
        <v>-1248.3400000000001</v>
      </c>
      <c r="AH10" s="158">
        <f>P10/AD10</f>
        <v>8.006475028291625E-2</v>
      </c>
      <c r="AI10" s="158">
        <f>Q10/AE10</f>
        <v>0.11106499029944006</v>
      </c>
      <c r="AJ10" t="s">
        <v>871</v>
      </c>
      <c r="AM10">
        <f>Q10/AE10</f>
        <v>0.11106499029944006</v>
      </c>
    </row>
    <row r="11" spans="1:39" ht="13.9" customHeight="1">
      <c r="A11" t="s">
        <v>872</v>
      </c>
      <c r="B11" t="s">
        <v>742</v>
      </c>
      <c r="C11" s="19">
        <v>572</v>
      </c>
      <c r="D11">
        <v>572</v>
      </c>
      <c r="E11" s="5"/>
      <c r="F11" t="s">
        <v>742</v>
      </c>
      <c r="G11" s="19">
        <v>3</v>
      </c>
      <c r="H11">
        <v>3</v>
      </c>
      <c r="I11" t="b">
        <f>IF(B11=F11,TRUE,FALSE)</f>
        <v>1</v>
      </c>
      <c r="J11" s="5"/>
      <c r="K11" s="5"/>
      <c r="L11" s="27">
        <f>G11-D11</f>
        <v>-569</v>
      </c>
      <c r="M11" s="4">
        <f>G11/C11-1</f>
        <v>-0.99475524475524479</v>
      </c>
      <c r="N11" s="166">
        <f>H11-D11</f>
        <v>-569</v>
      </c>
      <c r="O11" s="5"/>
      <c r="P11" s="5">
        <v>0</v>
      </c>
      <c r="Q11" s="5">
        <v>0</v>
      </c>
      <c r="R11" s="5"/>
      <c r="S11" s="5"/>
      <c r="T11" s="5">
        <v>0</v>
      </c>
      <c r="U11" s="5"/>
      <c r="V11" s="5"/>
      <c r="W11" s="152">
        <f>Q11-P11</f>
        <v>0</v>
      </c>
      <c r="X11" s="4">
        <f>IF(P11=0,0,Q11/P11-1)</f>
        <v>0</v>
      </c>
      <c r="Y11" s="5"/>
      <c r="Z11" s="5"/>
      <c r="AA11" s="5"/>
      <c r="AB11" s="5"/>
      <c r="AC11" s="15"/>
      <c r="AD11" s="18">
        <v>12006.43</v>
      </c>
      <c r="AE11" s="18">
        <v>71.97</v>
      </c>
      <c r="AF11" s="4">
        <f>AE11/AD11-1</f>
        <v>-0.9940057119393525</v>
      </c>
      <c r="AG11" s="150">
        <f>(N11*2)-W11</f>
        <v>-1138</v>
      </c>
      <c r="AH11" s="158">
        <f>P11/AD11</f>
        <v>0</v>
      </c>
      <c r="AI11" s="158">
        <f>Q11/AE11</f>
        <v>0</v>
      </c>
      <c r="AJ11" s="5" t="s">
        <v>873</v>
      </c>
      <c r="AM11">
        <f>Q11/AE11</f>
        <v>0</v>
      </c>
    </row>
    <row r="12" spans="1:39" ht="13.9" customHeight="1">
      <c r="A12" t="s">
        <v>874</v>
      </c>
      <c r="B12" t="s">
        <v>189</v>
      </c>
      <c r="C12" s="19">
        <v>2802</v>
      </c>
      <c r="D12">
        <v>2802</v>
      </c>
      <c r="F12" t="s">
        <v>189</v>
      </c>
      <c r="G12" s="19">
        <v>3089</v>
      </c>
      <c r="H12">
        <v>3077</v>
      </c>
      <c r="I12" t="b">
        <f>IF(B12=F12,TRUE,FALSE)</f>
        <v>1</v>
      </c>
      <c r="L12" s="27">
        <f>G12-D12</f>
        <v>287</v>
      </c>
      <c r="M12" s="4">
        <f>G12/C12-1</f>
        <v>0.10242683797287655</v>
      </c>
      <c r="N12" s="166">
        <f>H12-D12</f>
        <v>275</v>
      </c>
      <c r="P12" s="5">
        <v>3087.87</v>
      </c>
      <c r="Q12" s="5">
        <v>4762.47</v>
      </c>
      <c r="T12" s="5">
        <v>29568.61</v>
      </c>
      <c r="W12" s="152">
        <f>Q12-P12</f>
        <v>1674.6000000000004</v>
      </c>
      <c r="X12" s="4">
        <f>IF(P12=0,0,Q12/P12-1)</f>
        <v>0.54231557675679376</v>
      </c>
      <c r="AD12" s="18">
        <v>61445.31</v>
      </c>
      <c r="AE12" s="18">
        <v>69934.539999999994</v>
      </c>
      <c r="AF12" s="4">
        <f>AE12/AD12-1</f>
        <v>0.13815912068797442</v>
      </c>
      <c r="AG12" s="150">
        <f>(N12*2)-W12</f>
        <v>-1124.6000000000004</v>
      </c>
      <c r="AH12" s="158">
        <f>P12/AD12</f>
        <v>5.0253957543708379E-2</v>
      </c>
      <c r="AI12" s="158">
        <f>Q12/AE12</f>
        <v>6.8098967977768932E-2</v>
      </c>
      <c r="AJ12" t="s">
        <v>875</v>
      </c>
      <c r="AK12" s="172" t="s">
        <v>876</v>
      </c>
      <c r="AM12">
        <f>Q12/AE12</f>
        <v>6.8098967977768932E-2</v>
      </c>
    </row>
    <row r="13" spans="1:39" ht="13.9" customHeight="1">
      <c r="A13" t="s">
        <v>877</v>
      </c>
      <c r="B13" t="s">
        <v>166</v>
      </c>
      <c r="C13" s="19">
        <v>4817</v>
      </c>
      <c r="D13">
        <v>4817</v>
      </c>
      <c r="F13" t="s">
        <v>166</v>
      </c>
      <c r="G13" s="19">
        <v>5645</v>
      </c>
      <c r="H13">
        <v>5612</v>
      </c>
      <c r="I13" t="b">
        <f>IF(B13=F13,TRUE,FALSE)</f>
        <v>1</v>
      </c>
      <c r="L13" s="27">
        <f>G13-D13</f>
        <v>828</v>
      </c>
      <c r="M13" s="4">
        <f>G13/C13-1</f>
        <v>0.17189121860078882</v>
      </c>
      <c r="N13" s="166">
        <f>H13-D13</f>
        <v>795</v>
      </c>
      <c r="P13" s="5">
        <v>4058.89</v>
      </c>
      <c r="Q13" s="5">
        <v>6771.77</v>
      </c>
      <c r="T13" s="5">
        <v>35495.22</v>
      </c>
      <c r="W13" s="152">
        <f>Q13-P13</f>
        <v>2712.8800000000006</v>
      </c>
      <c r="X13" s="4">
        <f>IF(P13=0,0,Q13/P13-1)</f>
        <v>0.66837977870797194</v>
      </c>
      <c r="AD13" s="18">
        <v>129371.2</v>
      </c>
      <c r="AE13" s="18">
        <v>156688.17000000001</v>
      </c>
      <c r="AF13" s="4">
        <f>AE13/AD13-1</f>
        <v>0.2111518637842118</v>
      </c>
      <c r="AG13" s="150">
        <f>(N13*2)-W13</f>
        <v>-1122.8800000000006</v>
      </c>
      <c r="AH13" s="158">
        <f>P13/AD13</f>
        <v>3.1373984317993493E-2</v>
      </c>
      <c r="AI13" s="158">
        <f>Q13/AE13</f>
        <v>4.3218131911298724E-2</v>
      </c>
      <c r="AJ13" t="s">
        <v>878</v>
      </c>
      <c r="AM13">
        <f>Q13/AE13</f>
        <v>4.3218131911298724E-2</v>
      </c>
    </row>
    <row r="14" spans="1:39" ht="13.9" customHeight="1">
      <c r="A14" t="s">
        <v>879</v>
      </c>
      <c r="B14" t="s">
        <v>704</v>
      </c>
      <c r="C14" s="19">
        <v>739</v>
      </c>
      <c r="D14">
        <v>739</v>
      </c>
      <c r="F14" t="s">
        <v>704</v>
      </c>
      <c r="G14" s="19">
        <v>791</v>
      </c>
      <c r="H14">
        <v>788</v>
      </c>
      <c r="I14" t="b">
        <f>IF(B14=F14,TRUE,FALSE)</f>
        <v>1</v>
      </c>
      <c r="L14" s="27">
        <f>G14-D14</f>
        <v>52</v>
      </c>
      <c r="M14" s="4">
        <f>G14/C14-1</f>
        <v>7.0365358592692884E-2</v>
      </c>
      <c r="N14" s="166">
        <f>H14-D14</f>
        <v>49</v>
      </c>
      <c r="P14" s="5">
        <v>1230.8900000000001</v>
      </c>
      <c r="Q14" s="5">
        <v>2213.9</v>
      </c>
      <c r="T14" s="5">
        <v>7423.98</v>
      </c>
      <c r="W14" s="152">
        <f>Q14-P14</f>
        <v>983.01</v>
      </c>
      <c r="X14" s="4">
        <f>IF(P14=0,0,Q14/P14-1)</f>
        <v>0.79861726068129557</v>
      </c>
      <c r="Z14" t="s">
        <v>880</v>
      </c>
      <c r="AB14" t="s">
        <v>881</v>
      </c>
      <c r="AD14" s="18">
        <v>14723.1</v>
      </c>
      <c r="AE14" s="18">
        <v>15631.05</v>
      </c>
      <c r="AF14" s="4">
        <f>AE14/AD14-1</f>
        <v>6.1668398638873523E-2</v>
      </c>
      <c r="AG14" s="150">
        <f>(N14*2)-W14</f>
        <v>-885.01</v>
      </c>
      <c r="AH14" s="158">
        <f>P14/AD14</f>
        <v>8.3602638031392854E-2</v>
      </c>
      <c r="AI14" s="158">
        <f>Q14/AE14</f>
        <v>0.14163475902130696</v>
      </c>
      <c r="AJ14" t="s">
        <v>882</v>
      </c>
      <c r="AM14">
        <f>Q14/AE14</f>
        <v>0.14163475902130696</v>
      </c>
    </row>
    <row r="15" spans="1:39" ht="13.9" customHeight="1">
      <c r="A15" t="s">
        <v>883</v>
      </c>
      <c r="B15" t="s">
        <v>335</v>
      </c>
      <c r="C15" s="19">
        <v>2151</v>
      </c>
      <c r="D15">
        <v>2151</v>
      </c>
      <c r="F15" t="s">
        <v>335</v>
      </c>
      <c r="G15" s="19">
        <v>1905</v>
      </c>
      <c r="H15">
        <v>1905</v>
      </c>
      <c r="I15" t="b">
        <f>IF(B15=F15,TRUE,FALSE)</f>
        <v>1</v>
      </c>
      <c r="L15" s="27">
        <f>G15-D15</f>
        <v>-246</v>
      </c>
      <c r="M15" s="4">
        <f>G15/C15-1</f>
        <v>-0.11436541143654111</v>
      </c>
      <c r="N15" s="166">
        <f>H15-D15</f>
        <v>-246</v>
      </c>
      <c r="P15" s="5">
        <v>2828.41</v>
      </c>
      <c r="Q15" s="5">
        <v>3210.54</v>
      </c>
      <c r="T15" s="5">
        <v>9294.1999999999989</v>
      </c>
      <c r="W15" s="152">
        <f>Q15-P15</f>
        <v>382.13000000000011</v>
      </c>
      <c r="X15" s="4">
        <f>IF(P15=0,0,Q15/P15-1)</f>
        <v>0.13510417513726791</v>
      </c>
      <c r="AD15" s="18">
        <v>33541.31</v>
      </c>
      <c r="AE15" s="18">
        <v>37544.979999999996</v>
      </c>
      <c r="AF15" s="4">
        <f>AE15/AD15-1</f>
        <v>0.1193653438103639</v>
      </c>
      <c r="AG15" s="150">
        <f>(N15*2)-W15</f>
        <v>-874.13000000000011</v>
      </c>
      <c r="AH15" s="158">
        <f>P15/AD15</f>
        <v>8.4326163766412221E-2</v>
      </c>
      <c r="AI15" s="158">
        <f>Q15/AE15</f>
        <v>8.5511831408619746E-2</v>
      </c>
      <c r="AJ15" t="s">
        <v>884</v>
      </c>
      <c r="AM15">
        <f>Q15/AE15</f>
        <v>8.5511831408619746E-2</v>
      </c>
    </row>
    <row r="16" spans="1:39" ht="13.9" customHeight="1">
      <c r="A16" t="s">
        <v>885</v>
      </c>
      <c r="B16" t="s">
        <v>99</v>
      </c>
      <c r="C16" s="19">
        <v>2260</v>
      </c>
      <c r="D16">
        <v>2260</v>
      </c>
      <c r="F16" t="s">
        <v>99</v>
      </c>
      <c r="G16" s="19">
        <v>3028</v>
      </c>
      <c r="H16">
        <v>3017</v>
      </c>
      <c r="I16" t="b">
        <f>IF(B16=F16,TRUE,FALSE)</f>
        <v>1</v>
      </c>
      <c r="L16" s="27">
        <f>G16-D16</f>
        <v>768</v>
      </c>
      <c r="M16" s="4">
        <f>G16/C16-1</f>
        <v>0.33982300884955752</v>
      </c>
      <c r="N16" s="166">
        <f>H16-D16</f>
        <v>757</v>
      </c>
      <c r="P16" s="5">
        <v>3927.7</v>
      </c>
      <c r="Q16" s="5">
        <v>6231.07</v>
      </c>
      <c r="T16" s="5">
        <v>31033.48</v>
      </c>
      <c r="W16" s="152">
        <f>Q16-P16</f>
        <v>2303.37</v>
      </c>
      <c r="X16" s="4">
        <f>IF(P16=0,0,Q16/P16-1)</f>
        <v>0.58644244723374994</v>
      </c>
      <c r="AD16" s="18">
        <v>54514.400000000001</v>
      </c>
      <c r="AE16" s="18">
        <v>83957.73</v>
      </c>
      <c r="AF16" s="4">
        <f>AE16/AD16-1</f>
        <v>0.54010188133777493</v>
      </c>
      <c r="AG16" s="150">
        <f>(N16*2)-W16</f>
        <v>-789.36999999999989</v>
      </c>
      <c r="AH16" s="158">
        <f>P16/AD16</f>
        <v>7.2048853147058389E-2</v>
      </c>
      <c r="AI16" s="158">
        <f>Q16/AE16</f>
        <v>7.4216751691595279E-2</v>
      </c>
      <c r="AJ16" t="s">
        <v>886</v>
      </c>
      <c r="AM16">
        <f>Q16/AE16</f>
        <v>7.4216751691595279E-2</v>
      </c>
    </row>
    <row r="17" spans="1:39" ht="13.9" customHeight="1">
      <c r="A17" s="29" t="s">
        <v>887</v>
      </c>
      <c r="B17" t="s">
        <v>358</v>
      </c>
      <c r="C17" s="19">
        <v>2246</v>
      </c>
      <c r="D17">
        <v>2246</v>
      </c>
      <c r="F17" s="29" t="s">
        <v>358</v>
      </c>
      <c r="G17" s="19">
        <v>1793</v>
      </c>
      <c r="H17">
        <v>1788</v>
      </c>
      <c r="I17" t="b">
        <f>IF(B17=F17,TRUE,FALSE)</f>
        <v>1</v>
      </c>
      <c r="L17" s="27">
        <f>G17-D17</f>
        <v>-453</v>
      </c>
      <c r="M17" s="4">
        <f>G17/C17-1</f>
        <v>-0.20169189670525378</v>
      </c>
      <c r="N17" s="166">
        <f>H17-D17</f>
        <v>-458</v>
      </c>
      <c r="P17" s="5">
        <v>4432.95</v>
      </c>
      <c r="Q17" s="5">
        <v>4303.96</v>
      </c>
      <c r="T17" s="5">
        <v>22042.25</v>
      </c>
      <c r="W17" s="152">
        <f>Q17-P17</f>
        <v>-128.98999999999978</v>
      </c>
      <c r="X17" s="4">
        <f>IF(P17=0,0,Q17/P17-1)</f>
        <v>-2.9098004714693371E-2</v>
      </c>
      <c r="AD17" s="18">
        <v>24410.34</v>
      </c>
      <c r="AE17" s="18">
        <v>25252.65</v>
      </c>
      <c r="AF17" s="4">
        <f>AE17/AD17-1</f>
        <v>3.4506278896565989E-2</v>
      </c>
      <c r="AG17" s="150">
        <f>(N17*2)-W17</f>
        <v>-787.01000000000022</v>
      </c>
      <c r="AH17" s="158">
        <f>P17/AD17</f>
        <v>0.18160132140723972</v>
      </c>
      <c r="AI17" s="158">
        <f>Q17/AE17</f>
        <v>0.17043597404628821</v>
      </c>
      <c r="AJ17" s="5" t="s">
        <v>888</v>
      </c>
      <c r="AM17">
        <f>Q17/AE17</f>
        <v>0.17043597404628821</v>
      </c>
    </row>
    <row r="18" spans="1:39" ht="13.9" customHeight="1">
      <c r="A18" t="s">
        <v>889</v>
      </c>
      <c r="B18" t="s">
        <v>397</v>
      </c>
      <c r="C18" s="19">
        <v>1241</v>
      </c>
      <c r="D18">
        <v>1241</v>
      </c>
      <c r="F18" t="s">
        <v>397</v>
      </c>
      <c r="G18" s="19">
        <v>1604</v>
      </c>
      <c r="H18">
        <v>1599</v>
      </c>
      <c r="I18" t="b">
        <f>IF(B18=F18,TRUE,FALSE)</f>
        <v>1</v>
      </c>
      <c r="L18" s="27">
        <f>G18-D18</f>
        <v>363</v>
      </c>
      <c r="M18" s="4">
        <f>G18/C18-1</f>
        <v>0.29250604351329579</v>
      </c>
      <c r="N18" s="166">
        <f>H18-D18</f>
        <v>358</v>
      </c>
      <c r="P18" s="5">
        <v>1962.01</v>
      </c>
      <c r="Q18" s="5">
        <v>3446.4700000000003</v>
      </c>
      <c r="T18" s="5">
        <v>15457.199999999999</v>
      </c>
      <c r="W18" s="152">
        <f>Q18-P18</f>
        <v>1484.4600000000003</v>
      </c>
      <c r="X18" s="4">
        <f>IF(P18=0,0,Q18/P18-1)</f>
        <v>0.75660164830964183</v>
      </c>
      <c r="AD18" s="18">
        <v>23547.599999999999</v>
      </c>
      <c r="AE18" s="18">
        <v>30421.98</v>
      </c>
      <c r="AF18" s="4">
        <f>AE18/AD18-1</f>
        <v>0.29193548387096779</v>
      </c>
      <c r="AG18" s="150">
        <f>(N18*2)-W18</f>
        <v>-768.46000000000026</v>
      </c>
      <c r="AH18" s="158">
        <f>P18/AD18</f>
        <v>8.3321017853199481E-2</v>
      </c>
      <c r="AI18" s="158">
        <f>Q18/AE18</f>
        <v>0.11328881289120564</v>
      </c>
      <c r="AM18">
        <f>Q18/AE18</f>
        <v>0.11328881289120564</v>
      </c>
    </row>
    <row r="19" spans="1:39" ht="13.9" customHeight="1">
      <c r="A19" t="s">
        <v>890</v>
      </c>
      <c r="B19" t="s">
        <v>28</v>
      </c>
      <c r="C19" s="19">
        <v>37795</v>
      </c>
      <c r="D19">
        <v>37797</v>
      </c>
      <c r="F19" t="s">
        <v>28</v>
      </c>
      <c r="G19" s="19">
        <v>46706</v>
      </c>
      <c r="H19">
        <v>46566</v>
      </c>
      <c r="I19" t="b">
        <f>IF(B19=F19,TRUE,FALSE)</f>
        <v>1</v>
      </c>
      <c r="L19" s="27">
        <f>G19-D19</f>
        <v>8909</v>
      </c>
      <c r="M19" s="4">
        <f>G19/C19-1</f>
        <v>0.23577192750363807</v>
      </c>
      <c r="N19" s="166">
        <f>H19-D19</f>
        <v>8769</v>
      </c>
      <c r="P19" s="5">
        <v>12811.36</v>
      </c>
      <c r="Q19" s="5">
        <v>31079.4</v>
      </c>
      <c r="T19" s="5">
        <v>134334.64000000001</v>
      </c>
      <c r="W19" s="152">
        <f>Q19-P19</f>
        <v>18268.04</v>
      </c>
      <c r="X19" s="4">
        <f>IF(P19=0,0,Q19/P19-1)</f>
        <v>1.4259251164591427</v>
      </c>
      <c r="Z19" t="s">
        <v>891</v>
      </c>
      <c r="AD19" s="18">
        <v>687409.69</v>
      </c>
      <c r="AE19" s="18">
        <v>927658.54</v>
      </c>
      <c r="AF19" s="4">
        <f>AE19/AD19-1</f>
        <v>0.349498782887393</v>
      </c>
      <c r="AG19" s="150">
        <f>(N19*2)-W19</f>
        <v>-730.04000000000087</v>
      </c>
      <c r="AH19" s="158">
        <f>P19/AD19</f>
        <v>1.863715363104643E-2</v>
      </c>
      <c r="AI19" s="158">
        <f>Q19/AE19</f>
        <v>3.350306029630256E-2</v>
      </c>
      <c r="AJ19" t="s">
        <v>892</v>
      </c>
      <c r="AM19">
        <f>Q19/AE19</f>
        <v>3.350306029630256E-2</v>
      </c>
    </row>
    <row r="20" spans="1:39" ht="13.9" customHeight="1">
      <c r="A20" t="s">
        <v>893</v>
      </c>
      <c r="B20" t="s">
        <v>470</v>
      </c>
      <c r="C20" s="19">
        <v>1495</v>
      </c>
      <c r="D20">
        <v>1495</v>
      </c>
      <c r="E20" s="5"/>
      <c r="F20" t="s">
        <v>470</v>
      </c>
      <c r="G20" s="19">
        <v>1242</v>
      </c>
      <c r="H20">
        <v>1235</v>
      </c>
      <c r="I20" t="b">
        <f>IF(B20=F20,TRUE,FALSE)</f>
        <v>1</v>
      </c>
      <c r="J20" s="5"/>
      <c r="K20" s="5"/>
      <c r="L20" s="27">
        <f>G20-D20</f>
        <v>-253</v>
      </c>
      <c r="M20" s="4">
        <f>G20/C20-1</f>
        <v>-0.16923076923076918</v>
      </c>
      <c r="N20" s="166">
        <f>H20-D20</f>
        <v>-260</v>
      </c>
      <c r="O20" s="5"/>
      <c r="P20" s="5">
        <v>2923.23</v>
      </c>
      <c r="Q20" s="5">
        <v>3132.4900000000002</v>
      </c>
      <c r="R20" s="5"/>
      <c r="S20" s="5"/>
      <c r="T20" s="5">
        <v>13080.390000000001</v>
      </c>
      <c r="U20" s="5"/>
      <c r="V20" s="5"/>
      <c r="W20" s="152">
        <f>Q20-P20</f>
        <v>209.26000000000022</v>
      </c>
      <c r="X20" s="4">
        <f>IF(P20=0,0,Q20/P20-1)</f>
        <v>7.158519856460166E-2</v>
      </c>
      <c r="Y20" s="5"/>
      <c r="Z20" s="5"/>
      <c r="AA20" s="5"/>
      <c r="AB20" s="5"/>
      <c r="AC20" s="15"/>
      <c r="AD20" s="18">
        <v>29664.06</v>
      </c>
      <c r="AE20" s="18">
        <v>27301.58</v>
      </c>
      <c r="AF20" s="4">
        <f>AE20/AD20-1</f>
        <v>-7.9641154986876406E-2</v>
      </c>
      <c r="AG20" s="150">
        <f>(N20*2)-W20</f>
        <v>-729.26000000000022</v>
      </c>
      <c r="AH20" s="158">
        <f>P20/AD20</f>
        <v>9.8544501325846828E-2</v>
      </c>
      <c r="AI20" s="158">
        <f>Q20/AE20</f>
        <v>0.11473658301094662</v>
      </c>
      <c r="AM20">
        <f>Q20/AE20</f>
        <v>0.11473658301094662</v>
      </c>
    </row>
    <row r="21" spans="1:39" ht="13.9" customHeight="1">
      <c r="A21" t="s">
        <v>894</v>
      </c>
      <c r="B21" t="s">
        <v>98</v>
      </c>
      <c r="C21" s="19">
        <v>2118</v>
      </c>
      <c r="D21">
        <v>2118</v>
      </c>
      <c r="F21" t="s">
        <v>98</v>
      </c>
      <c r="G21" s="19">
        <v>2448</v>
      </c>
      <c r="H21">
        <v>2445</v>
      </c>
      <c r="I21" t="b">
        <f>IF(B21=F21,TRUE,FALSE)</f>
        <v>1</v>
      </c>
      <c r="L21" s="27">
        <f>G21-D21</f>
        <v>330</v>
      </c>
      <c r="M21" s="4">
        <f>G21/C21-1</f>
        <v>0.15580736543909346</v>
      </c>
      <c r="N21" s="166">
        <f>H21-D21</f>
        <v>327</v>
      </c>
      <c r="P21" s="5">
        <v>2964.4300000000003</v>
      </c>
      <c r="Q21" s="5">
        <v>4308.8899999999994</v>
      </c>
      <c r="T21" s="5">
        <v>20050.66</v>
      </c>
      <c r="W21" s="152">
        <f>Q21-P21</f>
        <v>1344.4599999999991</v>
      </c>
      <c r="X21" s="4">
        <f>IF(P21=0,0,Q21/P21-1)</f>
        <v>0.45353069561433368</v>
      </c>
      <c r="AD21" s="18">
        <v>55045.9</v>
      </c>
      <c r="AE21" s="18">
        <v>63623.44</v>
      </c>
      <c r="AF21" s="4">
        <f>AE21/AD21-1</f>
        <v>0.1558252294902982</v>
      </c>
      <c r="AG21" s="150">
        <f>(N21*2)-W21</f>
        <v>-690.45999999999913</v>
      </c>
      <c r="AH21" s="158">
        <f>P21/AD21</f>
        <v>5.3853783842211685E-2</v>
      </c>
      <c r="AI21" s="158">
        <f>Q21/AE21</f>
        <v>6.7724882527571584E-2</v>
      </c>
      <c r="AM21">
        <f>Q21/AE21</f>
        <v>6.7724882527571584E-2</v>
      </c>
    </row>
    <row r="22" spans="1:39" ht="13.9" customHeight="1">
      <c r="A22" t="s">
        <v>895</v>
      </c>
      <c r="B22" t="s">
        <v>685</v>
      </c>
      <c r="C22" s="19">
        <v>860</v>
      </c>
      <c r="D22">
        <v>860</v>
      </c>
      <c r="E22" s="5"/>
      <c r="F22" t="s">
        <v>685</v>
      </c>
      <c r="G22" s="19">
        <v>977</v>
      </c>
      <c r="H22">
        <v>971</v>
      </c>
      <c r="I22" t="b">
        <f>IF(B22=F22,TRUE,FALSE)</f>
        <v>1</v>
      </c>
      <c r="J22" s="5"/>
      <c r="K22" s="5"/>
      <c r="L22" s="27">
        <f>G22-D22</f>
        <v>117</v>
      </c>
      <c r="M22" s="4">
        <f>G22/C22-1</f>
        <v>0.13604651162790704</v>
      </c>
      <c r="N22" s="166">
        <f>H22-D22</f>
        <v>111</v>
      </c>
      <c r="O22" s="5"/>
      <c r="P22" s="5">
        <v>1430.09</v>
      </c>
      <c r="Q22" s="5">
        <v>2317.59</v>
      </c>
      <c r="R22" s="5"/>
      <c r="S22" s="5"/>
      <c r="T22" s="5">
        <v>6549.05</v>
      </c>
      <c r="U22" s="5"/>
      <c r="V22" s="5"/>
      <c r="W22" s="152">
        <f>Q22-P22</f>
        <v>887.50000000000023</v>
      </c>
      <c r="X22" s="4">
        <f>IF(P22=0,0,Q22/P22-1)</f>
        <v>0.62059031249781493</v>
      </c>
      <c r="Y22" s="5"/>
      <c r="Z22" s="5"/>
      <c r="AA22" s="5"/>
      <c r="AB22" s="5"/>
      <c r="AC22" s="15"/>
      <c r="AD22" s="18">
        <v>14611.4</v>
      </c>
      <c r="AE22" s="18">
        <v>16582.240000000002</v>
      </c>
      <c r="AF22" s="4">
        <f>AE22/AD22-1</f>
        <v>0.13488372093023271</v>
      </c>
      <c r="AG22" s="150">
        <f>(N22*2)-W22</f>
        <v>-665.50000000000023</v>
      </c>
      <c r="AH22" s="158">
        <f>P22/AD22</f>
        <v>9.7874946959223622E-2</v>
      </c>
      <c r="AI22" s="158">
        <f>Q22/AE22</f>
        <v>0.1397633854051081</v>
      </c>
      <c r="AM22">
        <f>Q22/AE22</f>
        <v>0.1397633854051081</v>
      </c>
    </row>
    <row r="23" spans="1:39" ht="13.9" customHeight="1">
      <c r="A23" s="56" t="s">
        <v>896</v>
      </c>
      <c r="B23" s="39" t="s">
        <v>772</v>
      </c>
      <c r="C23" s="19">
        <v>164</v>
      </c>
      <c r="D23">
        <v>164</v>
      </c>
      <c r="F23" s="39" t="s">
        <v>772</v>
      </c>
      <c r="G23" s="19">
        <v>445</v>
      </c>
      <c r="H23">
        <v>445</v>
      </c>
      <c r="I23" t="b">
        <f>IF(B23=F23,TRUE,FALSE)</f>
        <v>1</v>
      </c>
      <c r="L23" s="27">
        <f>G23-D23</f>
        <v>281</v>
      </c>
      <c r="M23" s="4">
        <f>G23/C24-1</f>
        <v>-0.80626904658249887</v>
      </c>
      <c r="N23" s="166">
        <f>H23-D23</f>
        <v>281</v>
      </c>
      <c r="P23" s="5">
        <v>468.23</v>
      </c>
      <c r="Q23" s="5">
        <v>1677.9</v>
      </c>
      <c r="T23" s="5">
        <v>5446.8</v>
      </c>
      <c r="W23" s="152">
        <f>Q23-P23</f>
        <v>1209.67</v>
      </c>
      <c r="X23" s="4">
        <f>IF(P23=0,0,Q23/P23-1)</f>
        <v>2.5834952907759008</v>
      </c>
      <c r="AD23" s="18">
        <v>3010.38</v>
      </c>
      <c r="AE23" s="18">
        <v>8855.57</v>
      </c>
      <c r="AF23" s="4">
        <f>AE23/AD23-1</f>
        <v>1.941678459197842</v>
      </c>
      <c r="AG23" s="150">
        <f>(N23*2)-W23</f>
        <v>-647.67000000000007</v>
      </c>
      <c r="AH23" s="158">
        <f>P23/AD23</f>
        <v>0.15553850344474784</v>
      </c>
      <c r="AI23" s="158">
        <f>Q23/AE23</f>
        <v>0.18947396949038856</v>
      </c>
      <c r="AM23">
        <f>Q23/AE23</f>
        <v>0.18947396949038856</v>
      </c>
    </row>
    <row r="24" spans="1:39" ht="13.9" customHeight="1">
      <c r="A24" t="s">
        <v>897</v>
      </c>
      <c r="B24" t="s">
        <v>423</v>
      </c>
      <c r="C24" s="19">
        <v>2297</v>
      </c>
      <c r="D24">
        <v>2297</v>
      </c>
      <c r="F24" t="s">
        <v>423</v>
      </c>
      <c r="G24" s="19">
        <v>2410</v>
      </c>
      <c r="H24">
        <v>2360</v>
      </c>
      <c r="I24" t="b">
        <f>IF(B24=F24,TRUE,FALSE)</f>
        <v>1</v>
      </c>
      <c r="L24" s="27">
        <f>G24-D24</f>
        <v>113</v>
      </c>
      <c r="M24" s="4">
        <f>G24/C24-1</f>
        <v>4.9194601654331649E-2</v>
      </c>
      <c r="N24" s="166">
        <f>H24-D24</f>
        <v>63</v>
      </c>
      <c r="P24" s="5">
        <v>1670.48</v>
      </c>
      <c r="Q24" s="5">
        <v>2425.73</v>
      </c>
      <c r="T24" s="5">
        <v>18303.91</v>
      </c>
      <c r="W24" s="152">
        <f>Q24-P24</f>
        <v>755.25</v>
      </c>
      <c r="X24" s="4">
        <f>IF(P24=0,0,Q24/P24-1)</f>
        <v>0.45211555959963601</v>
      </c>
      <c r="AD24" s="18">
        <v>64883.68</v>
      </c>
      <c r="AE24" s="18">
        <v>72299.3</v>
      </c>
      <c r="AF24" s="4">
        <f>AE24/AD24-1</f>
        <v>0.11429098966026596</v>
      </c>
      <c r="AG24" s="150">
        <f>(N24*2)-W24</f>
        <v>-629.25</v>
      </c>
      <c r="AH24" s="158">
        <f>P24/AD24</f>
        <v>2.5745765344998929E-2</v>
      </c>
      <c r="AI24" s="158">
        <f>Q24/AE24</f>
        <v>3.355122387077053E-2</v>
      </c>
      <c r="AM24">
        <f>Q24/AE24</f>
        <v>3.355122387077053E-2</v>
      </c>
    </row>
    <row r="25" spans="1:39" ht="13.9" customHeight="1">
      <c r="A25" t="s">
        <v>898</v>
      </c>
      <c r="B25" t="s">
        <v>810</v>
      </c>
      <c r="C25" s="151">
        <v>2046</v>
      </c>
      <c r="D25">
        <v>2046</v>
      </c>
      <c r="F25" t="s">
        <v>810</v>
      </c>
      <c r="G25" s="19">
        <v>2221</v>
      </c>
      <c r="H25">
        <v>2217</v>
      </c>
      <c r="I25" t="b">
        <f>IF(B25=F25,TRUE,FALSE)</f>
        <v>1</v>
      </c>
      <c r="L25" s="27">
        <f>G25-D25</f>
        <v>175</v>
      </c>
      <c r="M25" s="4">
        <f>G25/C25-1</f>
        <v>8.5532746823069328E-2</v>
      </c>
      <c r="N25" s="166">
        <f>H25-D25</f>
        <v>171</v>
      </c>
      <c r="P25" s="5">
        <v>2119.71</v>
      </c>
      <c r="Q25" s="5">
        <v>3069.93</v>
      </c>
      <c r="T25" s="5">
        <v>12025.5</v>
      </c>
      <c r="W25" s="152">
        <f>Q25-P25</f>
        <v>950.2199999999998</v>
      </c>
      <c r="X25" s="4">
        <f>IF(P25=0,0,Q25/P25-1)</f>
        <v>0.44827830222058673</v>
      </c>
      <c r="AD25" s="18">
        <v>61247.75</v>
      </c>
      <c r="AE25" s="18">
        <v>66518.95</v>
      </c>
      <c r="AF25" s="4">
        <f>AE25/AD25-1</f>
        <v>8.6063569682151453E-2</v>
      </c>
      <c r="AG25" s="150">
        <f>(N25*2)-W25</f>
        <v>-608.2199999999998</v>
      </c>
      <c r="AH25" s="158">
        <f>P25/AD25</f>
        <v>3.4608781547077243E-2</v>
      </c>
      <c r="AI25" s="158">
        <f>Q25/AE25</f>
        <v>4.615120954254389E-2</v>
      </c>
      <c r="AM25">
        <f>Q25/AE25</f>
        <v>4.615120954254389E-2</v>
      </c>
    </row>
    <row r="26" spans="1:39" ht="13.9" customHeight="1">
      <c r="A26" t="s">
        <v>899</v>
      </c>
      <c r="B26" t="s">
        <v>571</v>
      </c>
      <c r="C26" s="19">
        <v>181</v>
      </c>
      <c r="D26">
        <v>181</v>
      </c>
      <c r="F26" t="s">
        <v>571</v>
      </c>
      <c r="G26" s="19">
        <v>1390</v>
      </c>
      <c r="H26">
        <v>1390</v>
      </c>
      <c r="I26" t="b">
        <f>IF(B26=F26,TRUE,FALSE)</f>
        <v>1</v>
      </c>
      <c r="L26" s="27">
        <f>G26-D26</f>
        <v>1209</v>
      </c>
      <c r="M26" s="4">
        <f>G26/C26-1</f>
        <v>6.6795580110497239</v>
      </c>
      <c r="N26" s="166">
        <f>H26-D26</f>
        <v>1209</v>
      </c>
      <c r="P26" s="5">
        <v>404.13</v>
      </c>
      <c r="Q26" s="5">
        <v>3330.54</v>
      </c>
      <c r="T26" s="5">
        <v>21562.01</v>
      </c>
      <c r="W26" s="152">
        <f>Q26-P26</f>
        <v>2926.41</v>
      </c>
      <c r="X26" s="4">
        <f>IF(P26=0,0,Q26/P26-1)</f>
        <v>7.2412590008165694</v>
      </c>
      <c r="AD26" s="18">
        <v>4908.1899999999996</v>
      </c>
      <c r="AE26" s="18">
        <v>38913.11</v>
      </c>
      <c r="AF26" s="4">
        <f>AE26/AD26-1</f>
        <v>6.9281996010749385</v>
      </c>
      <c r="AG26" s="150">
        <f>(N26*2)-W26</f>
        <v>-508.40999999999985</v>
      </c>
      <c r="AH26" s="158">
        <f>P26/AD26</f>
        <v>8.2337888305057477E-2</v>
      </c>
      <c r="AI26" s="158">
        <f>Q26/AE26</f>
        <v>8.5589149774973006E-2</v>
      </c>
      <c r="AM26">
        <f>Q26/AE26</f>
        <v>8.5589149774973006E-2</v>
      </c>
    </row>
    <row r="27" spans="1:39" ht="13.9" customHeight="1">
      <c r="A27" t="s">
        <v>900</v>
      </c>
      <c r="B27" t="s">
        <v>709</v>
      </c>
      <c r="C27" s="19">
        <v>699</v>
      </c>
      <c r="D27">
        <v>699</v>
      </c>
      <c r="F27" t="s">
        <v>709</v>
      </c>
      <c r="G27" s="19">
        <v>866</v>
      </c>
      <c r="H27">
        <v>861</v>
      </c>
      <c r="I27" t="b">
        <f>IF(B27=F27,TRUE,FALSE)</f>
        <v>1</v>
      </c>
      <c r="L27" s="27">
        <f>G27-D27</f>
        <v>167</v>
      </c>
      <c r="M27" s="4">
        <f>G27/C27-1</f>
        <v>0.23891273247496425</v>
      </c>
      <c r="N27" s="166">
        <f>H27-D27</f>
        <v>162</v>
      </c>
      <c r="P27" s="5">
        <v>733.97</v>
      </c>
      <c r="Q27" s="5">
        <v>1548.21</v>
      </c>
      <c r="T27" s="5">
        <v>9870.4299999999985</v>
      </c>
      <c r="W27" s="152">
        <f>Q27-P27</f>
        <v>814.24</v>
      </c>
      <c r="X27" s="4">
        <f>IF(P27=0,0,Q27/P27-1)</f>
        <v>1.1093641429486221</v>
      </c>
      <c r="AD27" s="18">
        <v>13973.01</v>
      </c>
      <c r="AE27" s="18">
        <v>17311.34</v>
      </c>
      <c r="AF27" s="4">
        <f>AE27/AD27-1</f>
        <v>0.23891273247496425</v>
      </c>
      <c r="AG27" s="150">
        <f>(N27*2)-W27</f>
        <v>-490.24</v>
      </c>
      <c r="AH27" s="158">
        <f>P27/AD27</f>
        <v>5.2527694462395719E-2</v>
      </c>
      <c r="AI27" s="158">
        <f>Q27/AE27</f>
        <v>8.9433284771716109E-2</v>
      </c>
      <c r="AM27">
        <f>Q27/AE27</f>
        <v>8.9433284771716109E-2</v>
      </c>
    </row>
    <row r="28" spans="1:39" ht="13.9" customHeight="1">
      <c r="A28" t="s">
        <v>901</v>
      </c>
      <c r="B28" t="s">
        <v>678</v>
      </c>
      <c r="C28" s="19">
        <v>833</v>
      </c>
      <c r="D28">
        <v>833</v>
      </c>
      <c r="E28" s="5"/>
      <c r="F28" t="s">
        <v>678</v>
      </c>
      <c r="G28" s="19">
        <v>902</v>
      </c>
      <c r="H28">
        <v>894</v>
      </c>
      <c r="I28" t="b">
        <f>IF(B28=F28,TRUE,FALSE)</f>
        <v>1</v>
      </c>
      <c r="J28" s="5"/>
      <c r="K28" s="5"/>
      <c r="L28" s="27">
        <f>G28-D28</f>
        <v>69</v>
      </c>
      <c r="M28" s="4">
        <f>G28/C28-1</f>
        <v>8.2833133253301217E-2</v>
      </c>
      <c r="N28" s="166">
        <f>H28-D28</f>
        <v>61</v>
      </c>
      <c r="O28" s="5"/>
      <c r="P28" s="5">
        <v>1792.48</v>
      </c>
      <c r="Q28" s="5">
        <v>2395.2600000000002</v>
      </c>
      <c r="R28" s="5"/>
      <c r="S28" s="5"/>
      <c r="T28" s="5">
        <v>7779.01</v>
      </c>
      <c r="U28" s="5"/>
      <c r="V28" s="5"/>
      <c r="W28" s="152">
        <f>Q28-P28</f>
        <v>602.7800000000002</v>
      </c>
      <c r="X28" s="4">
        <f>IF(P28=0,0,Q28/P28-1)</f>
        <v>0.33628269213603512</v>
      </c>
      <c r="Y28" s="5"/>
      <c r="Z28" s="5"/>
      <c r="AA28" s="5"/>
      <c r="AB28" s="5"/>
      <c r="AC28" s="15"/>
      <c r="AD28" s="18">
        <v>22479.97</v>
      </c>
      <c r="AE28" s="18">
        <v>24333.4</v>
      </c>
      <c r="AF28" s="4">
        <f>AE28/AD28-1</f>
        <v>8.2448063765209634E-2</v>
      </c>
      <c r="AG28" s="150">
        <f>(N28*2)-W28</f>
        <v>-480.7800000000002</v>
      </c>
      <c r="AH28" s="158">
        <f>P28/AD28</f>
        <v>7.9736761214538987E-2</v>
      </c>
      <c r="AI28" s="158">
        <f>Q28/AE28</f>
        <v>9.8435072780622523E-2</v>
      </c>
      <c r="AM28">
        <f>Q28/AE28</f>
        <v>9.8435072780622523E-2</v>
      </c>
    </row>
    <row r="29" spans="1:39" ht="13.9" customHeight="1">
      <c r="A29" t="s">
        <v>902</v>
      </c>
      <c r="B29" t="s">
        <v>57</v>
      </c>
      <c r="C29" s="19">
        <v>2263</v>
      </c>
      <c r="D29">
        <v>2263</v>
      </c>
      <c r="E29" s="5"/>
      <c r="F29" t="s">
        <v>57</v>
      </c>
      <c r="G29" s="19">
        <v>2254</v>
      </c>
      <c r="H29">
        <v>2246</v>
      </c>
      <c r="I29" t="b">
        <f>IF(B29=F29,TRUE,FALSE)</f>
        <v>1</v>
      </c>
      <c r="J29" s="5"/>
      <c r="K29" s="5"/>
      <c r="L29" s="27">
        <f>G29-D29</f>
        <v>-9</v>
      </c>
      <c r="M29" s="4">
        <f>G29/C29-1</f>
        <v>-3.9770216526734403E-3</v>
      </c>
      <c r="N29" s="166">
        <f>H29-D29</f>
        <v>-17</v>
      </c>
      <c r="O29" s="5"/>
      <c r="P29" s="5">
        <v>4597.97</v>
      </c>
      <c r="Q29" s="5">
        <v>5031.0599999999995</v>
      </c>
      <c r="R29" s="5"/>
      <c r="S29" s="5"/>
      <c r="T29" s="5">
        <v>22963.579999999998</v>
      </c>
      <c r="U29" s="5"/>
      <c r="V29" s="5"/>
      <c r="W29" s="152">
        <f>Q29-P29</f>
        <v>433.08999999999924</v>
      </c>
      <c r="X29" s="4">
        <f>IF(P29=0,0,Q29/P29-1)</f>
        <v>9.4191567148110833E-2</v>
      </c>
      <c r="Y29" s="5"/>
      <c r="Z29" s="5"/>
      <c r="AA29" s="5"/>
      <c r="AB29" s="5"/>
      <c r="AC29" s="15"/>
      <c r="AD29" s="18">
        <v>32042.47</v>
      </c>
      <c r="AE29" s="18">
        <v>39345.57</v>
      </c>
      <c r="AF29" s="4">
        <f>AE29/AD29-1</f>
        <v>0.22791938324355132</v>
      </c>
      <c r="AG29" s="150">
        <f>(N29*2)-W29</f>
        <v>-467.08999999999924</v>
      </c>
      <c r="AH29" s="158">
        <f>P29/AD29</f>
        <v>0.14349611624821682</v>
      </c>
      <c r="AI29" s="158">
        <f>Q29/AE29</f>
        <v>0.12786852496990131</v>
      </c>
      <c r="AM29">
        <f>Q29/AE29</f>
        <v>0.12786852496990131</v>
      </c>
    </row>
    <row r="30" spans="1:39" ht="13.9" customHeight="1">
      <c r="A30" t="s">
        <v>903</v>
      </c>
      <c r="B30" t="s">
        <v>261</v>
      </c>
      <c r="C30" s="19">
        <v>2044</v>
      </c>
      <c r="D30">
        <v>2044</v>
      </c>
      <c r="F30" t="s">
        <v>261</v>
      </c>
      <c r="G30" s="19">
        <v>2301</v>
      </c>
      <c r="H30">
        <v>2294</v>
      </c>
      <c r="I30" t="b">
        <f>IF(B30=F30,TRUE,FALSE)</f>
        <v>1</v>
      </c>
      <c r="L30" s="27">
        <f>G30-D30</f>
        <v>257</v>
      </c>
      <c r="M30" s="4">
        <f>G30/C30-1</f>
        <v>0.12573385518590996</v>
      </c>
      <c r="N30" s="166">
        <f>H30-D30</f>
        <v>250</v>
      </c>
      <c r="P30" s="5">
        <v>2160.87</v>
      </c>
      <c r="Q30" s="5">
        <v>3121.07</v>
      </c>
      <c r="T30" s="5">
        <v>13741.31</v>
      </c>
      <c r="W30" s="152">
        <f>Q30-P30</f>
        <v>960.20000000000027</v>
      </c>
      <c r="X30" s="4">
        <f>IF(P30=0,0,Q30/P30-1)</f>
        <v>0.44435805948530005</v>
      </c>
      <c r="AD30" s="18">
        <v>44843.85</v>
      </c>
      <c r="AE30" s="18">
        <v>50463.05</v>
      </c>
      <c r="AF30" s="4">
        <f>AE30/AD30-1</f>
        <v>0.12530592266275087</v>
      </c>
      <c r="AG30" s="150">
        <f>(N30*2)-W30</f>
        <v>-460.20000000000027</v>
      </c>
      <c r="AH30" s="158">
        <f>P30/AD30</f>
        <v>4.8186540629317064E-2</v>
      </c>
      <c r="AI30" s="158">
        <f>Q30/AE30</f>
        <v>6.1848619930820671E-2</v>
      </c>
      <c r="AM30">
        <f>Q30/AE30</f>
        <v>6.1848619930820671E-2</v>
      </c>
    </row>
    <row r="31" spans="1:39" ht="13.9" customHeight="1">
      <c r="A31" t="s">
        <v>904</v>
      </c>
      <c r="B31" s="5" t="s">
        <v>340</v>
      </c>
      <c r="C31" s="19">
        <v>1580</v>
      </c>
      <c r="D31">
        <v>1580</v>
      </c>
      <c r="E31" s="5"/>
      <c r="F31" t="s">
        <v>340</v>
      </c>
      <c r="G31" s="19">
        <v>1658</v>
      </c>
      <c r="H31">
        <v>1652</v>
      </c>
      <c r="I31" t="b">
        <f>IF(B31=F31,TRUE,FALSE)</f>
        <v>1</v>
      </c>
      <c r="J31" s="5"/>
      <c r="K31" s="5"/>
      <c r="L31" s="27">
        <f>G31-D31</f>
        <v>78</v>
      </c>
      <c r="M31" s="4">
        <f>G31/C31-1</f>
        <v>4.9367088607594978E-2</v>
      </c>
      <c r="N31" s="166">
        <f>H31-D31</f>
        <v>72</v>
      </c>
      <c r="O31" s="5"/>
      <c r="P31" s="5">
        <v>2935.17</v>
      </c>
      <c r="Q31" s="5">
        <v>3490.55</v>
      </c>
      <c r="R31" s="5"/>
      <c r="S31" s="5"/>
      <c r="T31" s="5">
        <v>12328.93</v>
      </c>
      <c r="U31" s="5"/>
      <c r="V31" s="5"/>
      <c r="W31" s="152">
        <f>Q31-P31</f>
        <v>555.38000000000011</v>
      </c>
      <c r="X31" s="4">
        <f>IF(P31=0,0,Q31/P31-1)</f>
        <v>0.18921561613126325</v>
      </c>
      <c r="Y31" s="5"/>
      <c r="Z31" s="5"/>
      <c r="AA31" s="5"/>
      <c r="AB31" s="5"/>
      <c r="AC31" s="15"/>
      <c r="AD31" s="18">
        <v>28268.89</v>
      </c>
      <c r="AE31" s="18">
        <v>32332.09</v>
      </c>
      <c r="AF31" s="4">
        <f>AE31/AD31-1</f>
        <v>0.14373397752794692</v>
      </c>
      <c r="AG31" s="150">
        <f>(N31*2)-W31</f>
        <v>-411.38000000000011</v>
      </c>
      <c r="AH31" s="158">
        <f>P31/AD31</f>
        <v>0.10383039447251025</v>
      </c>
      <c r="AI31" s="158">
        <f>Q31/AE31</f>
        <v>0.10795930606403731</v>
      </c>
      <c r="AM31">
        <f>Q31/AE31</f>
        <v>0.10795930606403731</v>
      </c>
    </row>
    <row r="32" spans="1:39" ht="13.9" customHeight="1">
      <c r="A32" t="s">
        <v>905</v>
      </c>
      <c r="B32" t="s">
        <v>44</v>
      </c>
      <c r="C32" s="19">
        <v>3233</v>
      </c>
      <c r="D32">
        <v>3233</v>
      </c>
      <c r="F32" t="s">
        <v>44</v>
      </c>
      <c r="G32" s="19">
        <v>4682</v>
      </c>
      <c r="H32">
        <v>4670</v>
      </c>
      <c r="I32" t="b">
        <f>IF(B32=F32,TRUE,FALSE)</f>
        <v>1</v>
      </c>
      <c r="L32" s="27">
        <f>G32-D32</f>
        <v>1449</v>
      </c>
      <c r="M32" s="4">
        <f>G32/C32-1</f>
        <v>0.44819053510671214</v>
      </c>
      <c r="N32" s="166">
        <f>H32-D32</f>
        <v>1437</v>
      </c>
      <c r="P32" s="5">
        <v>3350.34</v>
      </c>
      <c r="Q32" s="5">
        <v>6619.91</v>
      </c>
      <c r="T32" s="5">
        <v>28646.87</v>
      </c>
      <c r="W32" s="152">
        <f>Q32-P32</f>
        <v>3269.5699999999997</v>
      </c>
      <c r="X32" s="4">
        <f>IF(P32=0,0,Q32/P32-1)</f>
        <v>0.97589199902099466</v>
      </c>
      <c r="AD32" s="18">
        <v>86600.84</v>
      </c>
      <c r="AE32" s="18">
        <v>129958.17</v>
      </c>
      <c r="AF32" s="4">
        <f>AE32/AD32-1</f>
        <v>0.50065715297911662</v>
      </c>
      <c r="AG32" s="150">
        <f>(N32*2)-W32</f>
        <v>-395.56999999999971</v>
      </c>
      <c r="AH32" s="158">
        <f>P32/AD32</f>
        <v>3.8687153611904924E-2</v>
      </c>
      <c r="AI32" s="158">
        <f>Q32/AE32</f>
        <v>5.0938775145879633E-2</v>
      </c>
    </row>
    <row r="33" spans="1:36">
      <c r="A33" t="s">
        <v>906</v>
      </c>
      <c r="B33" t="s">
        <v>267</v>
      </c>
      <c r="C33" s="19">
        <v>1761</v>
      </c>
      <c r="D33">
        <v>1761</v>
      </c>
      <c r="E33" s="5"/>
      <c r="F33" t="s">
        <v>267</v>
      </c>
      <c r="G33" s="19">
        <v>1531</v>
      </c>
      <c r="H33">
        <v>1528</v>
      </c>
      <c r="I33" t="b">
        <f>IF(B33=F33,TRUE,FALSE)</f>
        <v>1</v>
      </c>
      <c r="J33" s="5"/>
      <c r="K33" s="5"/>
      <c r="L33" s="27">
        <f>G33-D33</f>
        <v>-230</v>
      </c>
      <c r="M33" s="4">
        <f>G33/C33-1</f>
        <v>-0.13060760931289039</v>
      </c>
      <c r="N33" s="166">
        <f>H33-D33</f>
        <v>-233</v>
      </c>
      <c r="O33" s="5"/>
      <c r="P33" s="5">
        <v>3396.62</v>
      </c>
      <c r="Q33" s="5">
        <v>3324.98</v>
      </c>
      <c r="R33" s="5"/>
      <c r="S33" s="5"/>
      <c r="T33" s="5">
        <v>15564.619999999999</v>
      </c>
      <c r="U33" s="5"/>
      <c r="V33" s="5"/>
      <c r="W33" s="152">
        <f>Q33-P33</f>
        <v>-71.639999999999873</v>
      </c>
      <c r="X33" s="4">
        <f>IF(P33=0,0,Q33/P33-1)</f>
        <v>-2.1091555723042332E-2</v>
      </c>
      <c r="Y33" s="5"/>
      <c r="Z33" s="5"/>
      <c r="AA33" s="5"/>
      <c r="AB33" s="5"/>
      <c r="AC33" s="15"/>
      <c r="AD33" s="18">
        <v>28110.42</v>
      </c>
      <c r="AE33" s="18">
        <v>27438.7</v>
      </c>
      <c r="AF33" s="4">
        <f>AE33/AD33-1</f>
        <v>-2.3895765342531239E-2</v>
      </c>
      <c r="AG33" s="150">
        <f>(N33*2)-W33</f>
        <v>-394.36000000000013</v>
      </c>
      <c r="AH33" s="158">
        <f>P33/AD33</f>
        <v>0.12083135008299414</v>
      </c>
      <c r="AI33" s="158">
        <f>Q33/AE33</f>
        <v>0.12117848148782559</v>
      </c>
      <c r="AJ33" s="5"/>
    </row>
    <row r="34" spans="1:36">
      <c r="A34" t="s">
        <v>907</v>
      </c>
      <c r="B34" s="5" t="s">
        <v>710</v>
      </c>
      <c r="C34" s="19">
        <v>664</v>
      </c>
      <c r="D34">
        <v>664</v>
      </c>
      <c r="F34" t="s">
        <v>710</v>
      </c>
      <c r="G34" s="19">
        <v>891</v>
      </c>
      <c r="H34">
        <v>883</v>
      </c>
      <c r="I34" t="b">
        <f>IF(B34=F34,TRUE,FALSE)</f>
        <v>1</v>
      </c>
      <c r="L34" s="27">
        <f>G34-D34</f>
        <v>227</v>
      </c>
      <c r="M34" s="4">
        <f>G34/C34-1</f>
        <v>0.3418674698795181</v>
      </c>
      <c r="N34" s="166">
        <f>H34-D34</f>
        <v>219</v>
      </c>
      <c r="P34" s="5">
        <v>1092.92</v>
      </c>
      <c r="Q34" s="5">
        <v>1899.8400000000001</v>
      </c>
      <c r="T34" s="5">
        <v>6484.1100000000006</v>
      </c>
      <c r="W34" s="152">
        <f>Q34-P34</f>
        <v>806.92000000000007</v>
      </c>
      <c r="X34" s="4">
        <f>IF(P34=0,0,Q34/P34-1)</f>
        <v>0.73831570471763719</v>
      </c>
      <c r="AD34" s="18">
        <v>14574.8</v>
      </c>
      <c r="AE34" s="18">
        <v>19557.45</v>
      </c>
      <c r="AF34" s="4">
        <f>AE34/AD34-1</f>
        <v>0.3418674698795181</v>
      </c>
      <c r="AG34" s="150">
        <f>(N34*2)-W34</f>
        <v>-368.92000000000007</v>
      </c>
      <c r="AH34" s="158">
        <f>P34/AD34</f>
        <v>7.4986963800532436E-2</v>
      </c>
      <c r="AI34" s="158">
        <f>Q34/AE34</f>
        <v>9.7141498508241109E-2</v>
      </c>
    </row>
    <row r="35" spans="1:36">
      <c r="A35" t="s">
        <v>908</v>
      </c>
      <c r="B35" t="s">
        <v>767</v>
      </c>
      <c r="C35" s="19">
        <v>268</v>
      </c>
      <c r="D35">
        <v>268</v>
      </c>
      <c r="F35" t="s">
        <v>767</v>
      </c>
      <c r="G35" s="19">
        <v>15</v>
      </c>
      <c r="H35">
        <v>15</v>
      </c>
      <c r="I35" t="b">
        <f>IF(B35=F35,TRUE,FALSE)</f>
        <v>1</v>
      </c>
      <c r="L35" s="27">
        <f>G35-D35</f>
        <v>-253</v>
      </c>
      <c r="M35" s="4">
        <f>G35/C35-1</f>
        <v>-0.94402985074626866</v>
      </c>
      <c r="N35" s="166">
        <f>H35-D35</f>
        <v>-253</v>
      </c>
      <c r="P35" s="5">
        <v>158.13</v>
      </c>
      <c r="Q35" s="5">
        <v>17.260000000000002</v>
      </c>
      <c r="T35" s="5">
        <v>39.9</v>
      </c>
      <c r="W35" s="152">
        <f>Q35-P35</f>
        <v>-140.87</v>
      </c>
      <c r="X35" s="4">
        <f>IF(P35=0,0,Q35/P35-1)</f>
        <v>-0.89084930120786687</v>
      </c>
      <c r="AD35" s="18">
        <v>5326.65</v>
      </c>
      <c r="AE35" s="18">
        <v>299.25</v>
      </c>
      <c r="AF35" s="4">
        <f>AE35/AD35-1</f>
        <v>-0.9438202247191011</v>
      </c>
      <c r="AG35" s="150">
        <f>(N35*2)-W35</f>
        <v>-365.13</v>
      </c>
      <c r="AH35" s="158">
        <f>P35/AD35</f>
        <v>2.9686575990538144E-2</v>
      </c>
      <c r="AI35" s="158">
        <f>Q35/AE35</f>
        <v>5.7677527151211369E-2</v>
      </c>
      <c r="AJ35" s="5"/>
    </row>
    <row r="36" spans="1:36">
      <c r="A36" t="s">
        <v>909</v>
      </c>
      <c r="B36" t="s">
        <v>819</v>
      </c>
      <c r="C36" s="19">
        <v>513</v>
      </c>
      <c r="D36">
        <v>513</v>
      </c>
      <c r="F36" t="s">
        <v>819</v>
      </c>
      <c r="G36" s="19">
        <v>712</v>
      </c>
      <c r="H36">
        <v>711</v>
      </c>
      <c r="I36" t="b">
        <f>IF(B36=F36,TRUE,FALSE)</f>
        <v>1</v>
      </c>
      <c r="L36" s="27">
        <f>G36-D36</f>
        <v>199</v>
      </c>
      <c r="M36" s="4">
        <f>G36/C36-1</f>
        <v>0.3879142300194931</v>
      </c>
      <c r="N36" s="166">
        <f>H36-D36</f>
        <v>198</v>
      </c>
      <c r="P36" s="5">
        <v>928.99</v>
      </c>
      <c r="Q36" s="5">
        <v>1636.48</v>
      </c>
      <c r="T36" s="5">
        <v>4926.43</v>
      </c>
      <c r="W36" s="152">
        <f>Q36-P36</f>
        <v>707.49</v>
      </c>
      <c r="X36" s="4">
        <f>IF(P36=0,0,Q36/P36-1)</f>
        <v>0.76156901581287206</v>
      </c>
      <c r="AD36" s="18">
        <v>10234.35</v>
      </c>
      <c r="AE36" s="18">
        <v>14204.4</v>
      </c>
      <c r="AF36" s="4">
        <f>AE36/AD36-1</f>
        <v>0.3879142300194931</v>
      </c>
      <c r="AG36" s="150">
        <f>(N36*2)-W36</f>
        <v>-311.49</v>
      </c>
      <c r="AH36" s="158">
        <f>P36/AD36</f>
        <v>9.0771763717285417E-2</v>
      </c>
      <c r="AI36" s="158">
        <f>Q36/AE36</f>
        <v>0.11520937174396666</v>
      </c>
    </row>
    <row r="37" spans="1:36">
      <c r="A37" s="29" t="s">
        <v>910</v>
      </c>
      <c r="B37" s="29" t="s">
        <v>413</v>
      </c>
      <c r="C37" s="19">
        <v>1333</v>
      </c>
      <c r="D37">
        <v>1333</v>
      </c>
      <c r="F37" s="29" t="s">
        <v>413</v>
      </c>
      <c r="G37" s="19">
        <v>1001</v>
      </c>
      <c r="H37">
        <v>1000</v>
      </c>
      <c r="I37" t="b">
        <f>IF(B37=F37,TRUE,FALSE)</f>
        <v>1</v>
      </c>
      <c r="L37" s="27">
        <f>G37-D37</f>
        <v>-332</v>
      </c>
      <c r="M37" s="4">
        <f>G37/C37-1</f>
        <v>-0.24906226556639155</v>
      </c>
      <c r="N37" s="166">
        <f>H37-D37</f>
        <v>-333</v>
      </c>
      <c r="P37" s="5">
        <v>2880.05</v>
      </c>
      <c r="Q37" s="5">
        <v>2477.4299999999998</v>
      </c>
      <c r="T37" s="5">
        <v>8924.5</v>
      </c>
      <c r="W37" s="152">
        <f>Q37-P37</f>
        <v>-402.62000000000035</v>
      </c>
      <c r="X37" s="4">
        <f>IF(P37=0,0,Q37/P37-1)</f>
        <v>-0.13979618409402628</v>
      </c>
      <c r="AD37" s="18">
        <v>13306.68</v>
      </c>
      <c r="AE37" s="18">
        <v>14003.99</v>
      </c>
      <c r="AF37" s="4">
        <f>AE37/AD37-1</f>
        <v>5.240300360420469E-2</v>
      </c>
      <c r="AG37" s="150">
        <f>(N37*2)-W37</f>
        <v>-263.37999999999965</v>
      </c>
      <c r="AH37" s="158">
        <f>P37/AD37</f>
        <v>0.21643640637634631</v>
      </c>
      <c r="AI37" s="158">
        <f>Q37/AE37</f>
        <v>0.17690886668727984</v>
      </c>
    </row>
    <row r="38" spans="1:36">
      <c r="A38" t="s">
        <v>911</v>
      </c>
      <c r="B38" t="s">
        <v>700</v>
      </c>
      <c r="C38" s="19">
        <v>721</v>
      </c>
      <c r="D38">
        <v>721</v>
      </c>
      <c r="F38" t="s">
        <v>700</v>
      </c>
      <c r="G38" s="19">
        <v>938</v>
      </c>
      <c r="H38">
        <v>937</v>
      </c>
      <c r="I38" t="b">
        <f>IF(B38=F38,TRUE,FALSE)</f>
        <v>1</v>
      </c>
      <c r="L38" s="27">
        <f>G38-D38</f>
        <v>217</v>
      </c>
      <c r="M38" s="4">
        <f>G38/C38-1</f>
        <v>0.30097087378640786</v>
      </c>
      <c r="N38" s="166">
        <f>H38-D38</f>
        <v>216</v>
      </c>
      <c r="P38" s="5">
        <v>1253.9100000000001</v>
      </c>
      <c r="Q38" s="5">
        <v>1921.43</v>
      </c>
      <c r="T38" s="5">
        <v>7221.33</v>
      </c>
      <c r="W38" s="152">
        <f>Q38-P38</f>
        <v>667.52</v>
      </c>
      <c r="X38" s="4">
        <f>IF(P38=0,0,Q38/P38-1)</f>
        <v>0.53235080667671508</v>
      </c>
      <c r="AD38" s="18">
        <v>10086.790000000001</v>
      </c>
      <c r="AE38" s="18">
        <v>13094.64</v>
      </c>
      <c r="AF38" s="4">
        <f>AE38/AD38-1</f>
        <v>0.29819694868238544</v>
      </c>
      <c r="AG38" s="150">
        <f>(N38*2)-W38</f>
        <v>-235.51999999999998</v>
      </c>
      <c r="AH38" s="158">
        <f>P38/AD38</f>
        <v>0.12431209532467713</v>
      </c>
      <c r="AI38" s="158">
        <f>Q38/AE38</f>
        <v>0.14673408356396206</v>
      </c>
    </row>
    <row r="39" spans="1:36">
      <c r="A39" t="s">
        <v>912</v>
      </c>
      <c r="B39" t="s">
        <v>814</v>
      </c>
      <c r="C39" s="19">
        <v>1034</v>
      </c>
      <c r="D39">
        <v>1034</v>
      </c>
      <c r="F39" t="s">
        <v>814</v>
      </c>
      <c r="G39" s="19">
        <v>1169</v>
      </c>
      <c r="H39">
        <v>1167</v>
      </c>
      <c r="I39" t="b">
        <f>IF(B39=F39,TRUE,FALSE)</f>
        <v>1</v>
      </c>
      <c r="L39" s="27">
        <f>G39-D39</f>
        <v>135</v>
      </c>
      <c r="M39" s="4">
        <f>G39/C39-1</f>
        <v>0.13056092843326894</v>
      </c>
      <c r="N39" s="166">
        <f>H39-D39</f>
        <v>133</v>
      </c>
      <c r="P39" s="5">
        <v>856.73</v>
      </c>
      <c r="Q39" s="5">
        <v>1354.58</v>
      </c>
      <c r="T39" s="5">
        <v>5283.5</v>
      </c>
      <c r="W39" s="152">
        <f>Q39-P39</f>
        <v>497.84999999999991</v>
      </c>
      <c r="X39" s="4">
        <f>IF(P39=0,0,Q39/P39-1)</f>
        <v>0.58110489885961725</v>
      </c>
      <c r="AD39" s="18">
        <v>20608.349999999999</v>
      </c>
      <c r="AE39" s="18">
        <v>25706.31</v>
      </c>
      <c r="AF39" s="4">
        <f>AE39/AD39-1</f>
        <v>0.24737351607479519</v>
      </c>
      <c r="AG39" s="150">
        <f>(N39*2)-W39</f>
        <v>-231.84999999999991</v>
      </c>
      <c r="AH39" s="158">
        <f>P39/AD39</f>
        <v>4.1571984171464481E-2</v>
      </c>
      <c r="AI39" s="158">
        <f>Q39/AE39</f>
        <v>5.2694455174624434E-2</v>
      </c>
    </row>
    <row r="40" spans="1:36">
      <c r="A40" t="s">
        <v>913</v>
      </c>
      <c r="B40" t="s">
        <v>737</v>
      </c>
      <c r="C40" s="19">
        <v>534</v>
      </c>
      <c r="D40">
        <v>534</v>
      </c>
      <c r="F40" t="s">
        <v>737</v>
      </c>
      <c r="G40" s="19">
        <v>720</v>
      </c>
      <c r="H40">
        <v>718</v>
      </c>
      <c r="I40" t="b">
        <f>IF(B40=F40,TRUE,FALSE)</f>
        <v>1</v>
      </c>
      <c r="L40" s="27">
        <f>G40-D40</f>
        <v>186</v>
      </c>
      <c r="M40" s="4">
        <f>G40/C40-1</f>
        <v>0.348314606741573</v>
      </c>
      <c r="N40" s="166">
        <f>H40-D40</f>
        <v>184</v>
      </c>
      <c r="P40" s="5">
        <v>561.83000000000004</v>
      </c>
      <c r="Q40" s="5">
        <v>1154.8499999999999</v>
      </c>
      <c r="T40" s="5">
        <v>7237.7000000000007</v>
      </c>
      <c r="W40" s="152">
        <f>Q40-P40</f>
        <v>593.01999999999987</v>
      </c>
      <c r="X40" s="4">
        <f>IF(P40=0,0,Q40/P40-1)</f>
        <v>1.0555150134382285</v>
      </c>
      <c r="AD40" s="18">
        <v>10100.35</v>
      </c>
      <c r="AE40" s="18">
        <v>13644</v>
      </c>
      <c r="AF40" s="4">
        <f>AE40/AD40-1</f>
        <v>0.35084427767354587</v>
      </c>
      <c r="AG40" s="150">
        <f>(N40*2)-W40</f>
        <v>-225.01999999999987</v>
      </c>
      <c r="AH40" s="158">
        <f>P40/AD40</f>
        <v>5.5624805081012044E-2</v>
      </c>
      <c r="AI40" s="158">
        <f>Q40/AE40</f>
        <v>8.4641600703605976E-2</v>
      </c>
    </row>
    <row r="41" spans="1:36">
      <c r="A41" t="s">
        <v>914</v>
      </c>
      <c r="B41" t="s">
        <v>730</v>
      </c>
      <c r="C41" s="19">
        <v>739</v>
      </c>
      <c r="D41">
        <v>739</v>
      </c>
      <c r="F41" t="s">
        <v>730</v>
      </c>
      <c r="G41" s="19">
        <v>815</v>
      </c>
      <c r="H41">
        <v>811</v>
      </c>
      <c r="I41" t="b">
        <f>IF(B41=F41,TRUE,FALSE)</f>
        <v>1</v>
      </c>
      <c r="L41" s="27">
        <f>G41-D41</f>
        <v>76</v>
      </c>
      <c r="M41" s="4">
        <f>G41/C41-1</f>
        <v>0.10284167794316645</v>
      </c>
      <c r="N41" s="166">
        <f>H41-D41</f>
        <v>72</v>
      </c>
      <c r="P41" s="5">
        <v>752.85</v>
      </c>
      <c r="Q41" s="5">
        <v>1083.0899999999999</v>
      </c>
      <c r="T41" s="5">
        <v>7878.2999999999993</v>
      </c>
      <c r="W41" s="152">
        <f>Q41-P41</f>
        <v>330.2399999999999</v>
      </c>
      <c r="X41" s="4">
        <f>IF(P41=0,0,Q41/P41-1)</f>
        <v>0.43865311815102603</v>
      </c>
      <c r="AD41" s="18">
        <v>18438.05</v>
      </c>
      <c r="AE41" s="18">
        <v>20309.3</v>
      </c>
      <c r="AF41" s="4">
        <f>AE41/AD41-1</f>
        <v>0.10148849797022996</v>
      </c>
      <c r="AG41" s="150">
        <f>(N41*2)-W41</f>
        <v>-186.2399999999999</v>
      </c>
      <c r="AH41" s="158">
        <f>P41/AD41</f>
        <v>4.0831324353714199E-2</v>
      </c>
      <c r="AI41" s="158">
        <f>Q41/AE41</f>
        <v>5.332975533376335E-2</v>
      </c>
    </row>
    <row r="42" spans="1:36">
      <c r="A42" t="s">
        <v>915</v>
      </c>
      <c r="B42" t="s">
        <v>731</v>
      </c>
      <c r="C42" s="19">
        <v>464</v>
      </c>
      <c r="D42">
        <v>464</v>
      </c>
      <c r="F42" t="s">
        <v>731</v>
      </c>
      <c r="G42" s="19">
        <v>748</v>
      </c>
      <c r="H42">
        <v>748</v>
      </c>
      <c r="I42" t="b">
        <f>IF(B42=F42,TRUE,FALSE)</f>
        <v>1</v>
      </c>
      <c r="L42" s="27">
        <f>G42-D42</f>
        <v>284</v>
      </c>
      <c r="M42" s="4">
        <f>G42/C42-1</f>
        <v>0.61206896551724133</v>
      </c>
      <c r="N42" s="166">
        <f>H42-D42</f>
        <v>284</v>
      </c>
      <c r="P42" s="5">
        <v>1225.04</v>
      </c>
      <c r="Q42" s="5">
        <v>1971.43</v>
      </c>
      <c r="T42" s="5">
        <v>11492.16</v>
      </c>
      <c r="W42" s="152">
        <f>Q42-P42</f>
        <v>746.3900000000001</v>
      </c>
      <c r="X42" s="4">
        <f>IF(P42=0,0,Q42/P42-1)</f>
        <v>0.60927806438973442</v>
      </c>
      <c r="AD42" s="18">
        <v>9275.36</v>
      </c>
      <c r="AE42" s="18">
        <v>14952.52</v>
      </c>
      <c r="AF42" s="4">
        <f>AE42/AD42-1</f>
        <v>0.61206896551724133</v>
      </c>
      <c r="AG42" s="150">
        <f>(N42*2)-W42</f>
        <v>-178.3900000000001</v>
      </c>
      <c r="AH42" s="158">
        <f>P42/AD42</f>
        <v>0.1320746580186645</v>
      </c>
      <c r="AI42" s="158">
        <f>Q42/AE42</f>
        <v>0.13184600321551149</v>
      </c>
    </row>
    <row r="43" spans="1:36">
      <c r="A43" t="s">
        <v>916</v>
      </c>
      <c r="B43" t="s">
        <v>744</v>
      </c>
      <c r="C43" s="19">
        <v>508</v>
      </c>
      <c r="D43">
        <v>508</v>
      </c>
      <c r="F43" t="s">
        <v>744</v>
      </c>
      <c r="G43" s="19">
        <v>576</v>
      </c>
      <c r="H43">
        <v>574</v>
      </c>
      <c r="I43" t="b">
        <f>IF(B43=F43,TRUE,FALSE)</f>
        <v>1</v>
      </c>
      <c r="L43" s="27">
        <f>G43-D43</f>
        <v>68</v>
      </c>
      <c r="M43" s="4">
        <f>G43/C43-1</f>
        <v>0.13385826771653542</v>
      </c>
      <c r="N43" s="166">
        <f>H43-D43</f>
        <v>66</v>
      </c>
      <c r="P43" s="5">
        <v>505.27</v>
      </c>
      <c r="Q43" s="5">
        <v>778.44</v>
      </c>
      <c r="T43" s="5">
        <v>4070.9300000000003</v>
      </c>
      <c r="W43" s="152">
        <f>Q43-P43</f>
        <v>273.17000000000007</v>
      </c>
      <c r="X43" s="4">
        <f>IF(P43=0,0,Q43/P43-1)</f>
        <v>0.54064163714449709</v>
      </c>
      <c r="AD43" s="18">
        <v>10134.6</v>
      </c>
      <c r="AE43" s="18">
        <v>11451.3</v>
      </c>
      <c r="AF43" s="4">
        <f>AE43/AD43-1</f>
        <v>0.12992125984251968</v>
      </c>
      <c r="AG43" s="150">
        <f>(N43*2)-W43</f>
        <v>-141.17000000000007</v>
      </c>
      <c r="AH43" s="158">
        <f>P43/AD43</f>
        <v>4.9855939060249044E-2</v>
      </c>
      <c r="AI43" s="158">
        <f>Q43/AE43</f>
        <v>6.7978308139687207E-2</v>
      </c>
    </row>
    <row r="44" spans="1:36">
      <c r="A44" t="s">
        <v>917</v>
      </c>
      <c r="B44" t="s">
        <v>811</v>
      </c>
      <c r="C44" s="19">
        <v>1241</v>
      </c>
      <c r="D44">
        <v>1241</v>
      </c>
      <c r="F44" t="s">
        <v>811</v>
      </c>
      <c r="G44" s="19">
        <v>1464</v>
      </c>
      <c r="H44">
        <v>1458</v>
      </c>
      <c r="I44" t="b">
        <f>IF(B44=F44,TRUE,FALSE)</f>
        <v>1</v>
      </c>
      <c r="L44" s="27">
        <f>G44-D44</f>
        <v>223</v>
      </c>
      <c r="M44" s="4">
        <f>G44/C44-1</f>
        <v>0.17969379532634977</v>
      </c>
      <c r="N44" s="166">
        <f>H44-D44</f>
        <v>217</v>
      </c>
      <c r="P44" s="5">
        <v>946.15</v>
      </c>
      <c r="Q44" s="5">
        <v>1500.42</v>
      </c>
      <c r="T44" s="5">
        <v>4773.1499999999996</v>
      </c>
      <c r="W44" s="152">
        <f>Q44-P44</f>
        <v>554.2700000000001</v>
      </c>
      <c r="X44" s="4">
        <f>IF(P44=0,0,Q44/P44-1)</f>
        <v>0.58581620250488831</v>
      </c>
      <c r="AD44" s="18">
        <v>23388.09</v>
      </c>
      <c r="AE44" s="18">
        <v>28724.49</v>
      </c>
      <c r="AF44" s="4">
        <f>AE44/AD44-1</f>
        <v>0.2281674134142635</v>
      </c>
      <c r="AG44" s="150">
        <f>(N44*2)-W44</f>
        <v>-120.2700000000001</v>
      </c>
      <c r="AH44" s="158">
        <f>P44/AD44</f>
        <v>4.0454350911083375E-2</v>
      </c>
      <c r="AI44" s="158">
        <f>Q44/AE44</f>
        <v>5.2234869966359718E-2</v>
      </c>
    </row>
    <row r="45" spans="1:36">
      <c r="A45" s="5" t="s">
        <v>918</v>
      </c>
      <c r="B45" s="5" t="s">
        <v>56</v>
      </c>
      <c r="C45" s="19">
        <v>1800</v>
      </c>
      <c r="D45">
        <v>1800</v>
      </c>
      <c r="E45" s="5"/>
      <c r="F45" t="s">
        <v>56</v>
      </c>
      <c r="G45" s="19">
        <v>2258</v>
      </c>
      <c r="H45">
        <v>2251</v>
      </c>
      <c r="I45" t="b">
        <f>IF(B45=F45,TRUE,FALSE)</f>
        <v>1</v>
      </c>
      <c r="J45" s="5"/>
      <c r="K45" s="5"/>
      <c r="L45" s="27">
        <f>G45-D45</f>
        <v>458</v>
      </c>
      <c r="M45" s="4">
        <f>G45/C45-1</f>
        <v>0.25444444444444447</v>
      </c>
      <c r="N45" s="166">
        <f>H45-D45</f>
        <v>451</v>
      </c>
      <c r="O45" s="5"/>
      <c r="P45" s="5">
        <v>2821.23</v>
      </c>
      <c r="Q45" s="5">
        <v>3838.6499999999996</v>
      </c>
      <c r="R45" s="5"/>
      <c r="S45" s="5"/>
      <c r="T45" s="5">
        <v>15245.82</v>
      </c>
      <c r="U45" s="5"/>
      <c r="V45" s="5"/>
      <c r="W45" s="152">
        <f>Q45-P45</f>
        <v>1017.4199999999996</v>
      </c>
      <c r="X45" s="4">
        <f>IF(P45=0,0,Q45/P45-1)</f>
        <v>0.36062993800576337</v>
      </c>
      <c r="Y45" s="5"/>
      <c r="Z45" s="5"/>
      <c r="AA45" s="5"/>
      <c r="AB45" s="5"/>
      <c r="AC45" s="15"/>
      <c r="AD45" s="18">
        <v>48310.68</v>
      </c>
      <c r="AE45" s="18">
        <v>67320.42</v>
      </c>
      <c r="AF45" s="4">
        <f>AE45/AD45-1</f>
        <v>0.39348938992371862</v>
      </c>
      <c r="AG45" s="150">
        <f>(N45*2)-W45</f>
        <v>-115.41999999999962</v>
      </c>
      <c r="AH45" s="158">
        <f>P45/AD45</f>
        <v>5.8397646234745609E-2</v>
      </c>
      <c r="AI45" s="158">
        <f>Q45/AE45</f>
        <v>5.702058899810785E-2</v>
      </c>
    </row>
    <row r="46" spans="1:36">
      <c r="A46" t="s">
        <v>919</v>
      </c>
      <c r="B46" t="s">
        <v>815</v>
      </c>
      <c r="C46" s="19">
        <v>802</v>
      </c>
      <c r="D46">
        <v>802</v>
      </c>
      <c r="F46" t="s">
        <v>815</v>
      </c>
      <c r="G46" s="19">
        <v>779</v>
      </c>
      <c r="H46">
        <v>776</v>
      </c>
      <c r="I46" t="b">
        <f>IF(B46=F46,TRUE,FALSE)</f>
        <v>1</v>
      </c>
      <c r="L46" s="27">
        <f>G46-D46</f>
        <v>-23</v>
      </c>
      <c r="M46" s="4">
        <f>G46/C46-1</f>
        <v>-2.8678304239401542E-2</v>
      </c>
      <c r="N46" s="166">
        <f>H46-D46</f>
        <v>-26</v>
      </c>
      <c r="P46" s="5">
        <v>1224.9000000000001</v>
      </c>
      <c r="Q46" s="5">
        <v>1282.3</v>
      </c>
      <c r="T46" s="5">
        <v>4926.58</v>
      </c>
      <c r="W46" s="152">
        <f>Q46-P46</f>
        <v>57.399999999999864</v>
      </c>
      <c r="X46" s="4">
        <f>IF(P46=0,0,Q46/P46-1)</f>
        <v>4.6860968242305345E-2</v>
      </c>
      <c r="AD46" s="18">
        <v>13003.53</v>
      </c>
      <c r="AE46" s="18">
        <v>14736.31</v>
      </c>
      <c r="AF46" s="4">
        <f>AE46/AD46-1</f>
        <v>0.13325458548563351</v>
      </c>
      <c r="AG46" s="150">
        <f>(N46*2)-W46</f>
        <v>-109.39999999999986</v>
      </c>
      <c r="AH46" s="158">
        <f>P46/AD46</f>
        <v>9.4197498679204808E-2</v>
      </c>
      <c r="AI46" s="158">
        <f>Q46/AE46</f>
        <v>8.7016356197718428E-2</v>
      </c>
    </row>
    <row r="47" spans="1:36">
      <c r="A47" t="s">
        <v>920</v>
      </c>
      <c r="B47" t="s">
        <v>741</v>
      </c>
      <c r="C47" s="19">
        <v>720</v>
      </c>
      <c r="D47">
        <v>720</v>
      </c>
      <c r="F47" t="s">
        <v>741</v>
      </c>
      <c r="G47" s="19">
        <v>827</v>
      </c>
      <c r="H47">
        <v>820</v>
      </c>
      <c r="I47" t="b">
        <f>IF(B47=F47,TRUE,FALSE)</f>
        <v>1</v>
      </c>
      <c r="L47" s="27">
        <f>G47-D47</f>
        <v>107</v>
      </c>
      <c r="M47" s="4">
        <f>G47/C47-1</f>
        <v>0.14861111111111103</v>
      </c>
      <c r="N47" s="166">
        <f>H47-D47</f>
        <v>100</v>
      </c>
      <c r="P47" s="5">
        <v>1140.7</v>
      </c>
      <c r="Q47" s="5">
        <v>1444.37</v>
      </c>
      <c r="T47" s="5">
        <v>9265.86</v>
      </c>
      <c r="W47" s="152">
        <f>Q47-P47</f>
        <v>303.66999999999985</v>
      </c>
      <c r="X47" s="4">
        <f>IF(P47=0,0,Q47/P47-1)</f>
        <v>0.26621372841237823</v>
      </c>
      <c r="Z47" t="s">
        <v>921</v>
      </c>
      <c r="AC47" s="14" t="s">
        <v>922</v>
      </c>
      <c r="AD47" s="18">
        <v>21564</v>
      </c>
      <c r="AE47" s="18">
        <v>24768.65</v>
      </c>
      <c r="AF47" s="4">
        <f>AE47/AD47-1</f>
        <v>0.14861111111111125</v>
      </c>
      <c r="AG47" s="150">
        <f>(N47*2)-W47</f>
        <v>-103.66999999999985</v>
      </c>
      <c r="AH47" s="158">
        <f>P47/AD47</f>
        <v>5.2898349100352439E-2</v>
      </c>
      <c r="AI47" s="158">
        <f>Q47/AE47</f>
        <v>5.8314441844832067E-2</v>
      </c>
    </row>
    <row r="48" spans="1:36">
      <c r="A48" t="s">
        <v>923</v>
      </c>
      <c r="B48" t="s">
        <v>750</v>
      </c>
      <c r="C48" s="19">
        <v>441</v>
      </c>
      <c r="D48">
        <v>441</v>
      </c>
      <c r="F48" t="s">
        <v>750</v>
      </c>
      <c r="G48" s="19">
        <v>448</v>
      </c>
      <c r="H48">
        <v>445</v>
      </c>
      <c r="I48" t="b">
        <f>IF(B48=F48,TRUE,FALSE)</f>
        <v>1</v>
      </c>
      <c r="L48" s="27">
        <f>G48-D48</f>
        <v>7</v>
      </c>
      <c r="M48" s="4">
        <f>G48/C48-1</f>
        <v>1.5873015873015817E-2</v>
      </c>
      <c r="N48" s="166">
        <f>H48-D48</f>
        <v>4</v>
      </c>
      <c r="P48" s="5">
        <v>370.7</v>
      </c>
      <c r="Q48" s="5">
        <v>480.07</v>
      </c>
      <c r="T48" s="5">
        <v>1943.08</v>
      </c>
      <c r="W48" s="152">
        <f>Q48-P48</f>
        <v>109.37</v>
      </c>
      <c r="X48" s="4">
        <f>IF(P48=0,0,Q48/P48-1)</f>
        <v>0.29503641758834642</v>
      </c>
      <c r="AD48" s="18">
        <v>12944.39</v>
      </c>
      <c r="AE48" s="18">
        <v>13387.65</v>
      </c>
      <c r="AF48" s="4">
        <f>AE48/AD48-1</f>
        <v>3.4243405830634011E-2</v>
      </c>
      <c r="AG48" s="150">
        <f>(N48*2)-W48</f>
        <v>-101.37</v>
      </c>
      <c r="AH48" s="158">
        <f>P48/AD48</f>
        <v>2.8637888691549002E-2</v>
      </c>
      <c r="AI48" s="158">
        <f>Q48/AE48</f>
        <v>3.5859168711461685E-2</v>
      </c>
    </row>
    <row r="49" spans="1:36">
      <c r="A49" t="s">
        <v>924</v>
      </c>
      <c r="B49" t="s">
        <v>532</v>
      </c>
      <c r="C49" s="19">
        <v>1135</v>
      </c>
      <c r="D49">
        <v>1135</v>
      </c>
      <c r="F49" t="s">
        <v>532</v>
      </c>
      <c r="G49" s="19">
        <v>1220</v>
      </c>
      <c r="H49">
        <v>1216</v>
      </c>
      <c r="I49" t="b">
        <f>IF(B49=F49,TRUE,FALSE)</f>
        <v>1</v>
      </c>
      <c r="L49" s="27">
        <f>G49-D49</f>
        <v>85</v>
      </c>
      <c r="M49" s="4">
        <f>G49/C49-1</f>
        <v>7.4889867841409608E-2</v>
      </c>
      <c r="N49" s="166">
        <f>H49-D49</f>
        <v>81</v>
      </c>
      <c r="P49" s="5">
        <v>1005.6</v>
      </c>
      <c r="Q49" s="5">
        <v>1258.31</v>
      </c>
      <c r="T49" s="5">
        <v>9443.48</v>
      </c>
      <c r="W49" s="152">
        <f>Q49-P49</f>
        <v>252.70999999999992</v>
      </c>
      <c r="X49" s="4">
        <f>IF(P49=0,0,Q49/P49-1)</f>
        <v>0.25130270485282402</v>
      </c>
      <c r="AD49" s="18">
        <v>30588.25</v>
      </c>
      <c r="AE49" s="18">
        <v>35338.81</v>
      </c>
      <c r="AF49" s="4">
        <f>AE49/AD49-1</f>
        <v>0.15530669456408908</v>
      </c>
      <c r="AG49" s="150">
        <f>(N49*2)-W49</f>
        <v>-90.709999999999923</v>
      </c>
      <c r="AH49" s="158">
        <f>P49/AD49</f>
        <v>3.2875368809918842E-2</v>
      </c>
      <c r="AI49" s="158">
        <f>Q49/AE49</f>
        <v>3.5607028080458854E-2</v>
      </c>
    </row>
    <row r="50" spans="1:36">
      <c r="A50" t="s">
        <v>925</v>
      </c>
      <c r="B50" t="s">
        <v>729</v>
      </c>
      <c r="C50" s="19">
        <v>639</v>
      </c>
      <c r="D50">
        <v>639</v>
      </c>
      <c r="F50" t="s">
        <v>729</v>
      </c>
      <c r="G50" s="19">
        <v>698</v>
      </c>
      <c r="H50">
        <v>696</v>
      </c>
      <c r="I50" t="b">
        <f>IF(B50=F50,TRUE,FALSE)</f>
        <v>1</v>
      </c>
      <c r="L50" s="27">
        <f>G50-D50</f>
        <v>59</v>
      </c>
      <c r="M50" s="4">
        <f>G50/C50-1</f>
        <v>9.2331768388106417E-2</v>
      </c>
      <c r="N50" s="166">
        <f>H50-D50</f>
        <v>57</v>
      </c>
      <c r="P50" s="5">
        <v>443.94</v>
      </c>
      <c r="Q50" s="5">
        <v>644.89</v>
      </c>
      <c r="T50" s="5">
        <v>3201.5699999999997</v>
      </c>
      <c r="W50" s="152">
        <f>Q50-P50</f>
        <v>200.95</v>
      </c>
      <c r="X50" s="4">
        <f>IF(P50=0,0,Q50/P50-1)</f>
        <v>0.45265125917916826</v>
      </c>
      <c r="Z50" t="s">
        <v>926</v>
      </c>
      <c r="AB50" s="4" t="s">
        <v>927</v>
      </c>
      <c r="AD50" s="18">
        <v>12134.61</v>
      </c>
      <c r="AE50" s="18">
        <v>13236.03</v>
      </c>
      <c r="AF50" s="4">
        <f>AE50/AD50-1</f>
        <v>9.0766823161189336E-2</v>
      </c>
      <c r="AG50" s="150">
        <f>(N50*2)-W50</f>
        <v>-86.949999999999989</v>
      </c>
      <c r="AH50" s="158">
        <f>P50/AD50</f>
        <v>3.6584612113615515E-2</v>
      </c>
      <c r="AI50" s="158">
        <f>Q50/AE50</f>
        <v>4.8722313261604873E-2</v>
      </c>
    </row>
    <row r="51" spans="1:36">
      <c r="A51" t="s">
        <v>928</v>
      </c>
      <c r="B51" t="s">
        <v>822</v>
      </c>
      <c r="C51" s="19">
        <v>462</v>
      </c>
      <c r="D51">
        <v>462</v>
      </c>
      <c r="F51" t="s">
        <v>822</v>
      </c>
      <c r="G51" s="19">
        <v>475</v>
      </c>
      <c r="H51">
        <v>475</v>
      </c>
      <c r="I51" t="b">
        <f>IF(B51=F51,TRUE,FALSE)</f>
        <v>1</v>
      </c>
      <c r="L51" s="27">
        <f>G51-D51</f>
        <v>13</v>
      </c>
      <c r="M51" s="4">
        <f>G51/C51-1</f>
        <v>2.813852813852824E-2</v>
      </c>
      <c r="N51" s="166">
        <f>H51-D51</f>
        <v>13</v>
      </c>
      <c r="P51" s="5">
        <v>570.16</v>
      </c>
      <c r="Q51" s="5">
        <v>681.82</v>
      </c>
      <c r="T51" s="5">
        <v>1616.99</v>
      </c>
      <c r="W51" s="152">
        <f>Q51-P51</f>
        <v>111.66000000000008</v>
      </c>
      <c r="X51" s="4">
        <f>IF(P51=0,0,Q51/P51-1)</f>
        <v>0.19583976427669447</v>
      </c>
      <c r="AD51" s="18">
        <v>8754.9</v>
      </c>
      <c r="AE51" s="18">
        <v>9001.25</v>
      </c>
      <c r="AF51" s="4">
        <f>AE51/AD51-1</f>
        <v>2.813852813852824E-2</v>
      </c>
      <c r="AG51" s="150">
        <f>(N51*2)-W51</f>
        <v>-85.660000000000082</v>
      </c>
      <c r="AH51" s="158">
        <f>P51/AD51</f>
        <v>6.5124673040240319E-2</v>
      </c>
      <c r="AI51" s="158">
        <f>Q51/AE51</f>
        <v>7.5747257325371478E-2</v>
      </c>
    </row>
    <row r="52" spans="1:36">
      <c r="A52" s="29" t="s">
        <v>929</v>
      </c>
      <c r="B52" s="39" t="s">
        <v>362</v>
      </c>
      <c r="C52" s="19">
        <v>1867</v>
      </c>
      <c r="D52">
        <v>1867</v>
      </c>
      <c r="F52" s="39" t="s">
        <v>362</v>
      </c>
      <c r="G52" s="19">
        <v>1377</v>
      </c>
      <c r="H52">
        <v>1374</v>
      </c>
      <c r="I52" t="b">
        <f>IF(B52=F52,TRUE,FALSE)</f>
        <v>1</v>
      </c>
      <c r="L52" s="27">
        <f>G52-D52</f>
        <v>-490</v>
      </c>
      <c r="M52" s="4">
        <f>G52/C52-1</f>
        <v>-0.26245313336904119</v>
      </c>
      <c r="N52" s="166">
        <f>H52-D52</f>
        <v>-493</v>
      </c>
      <c r="P52" s="5">
        <v>3910.35</v>
      </c>
      <c r="Q52" s="5">
        <v>3009.2400000000002</v>
      </c>
      <c r="T52" s="5">
        <v>21610.22</v>
      </c>
      <c r="W52" s="152">
        <f>Q52-P52</f>
        <v>-901.10999999999967</v>
      </c>
      <c r="X52" s="4">
        <f>IF(P52=0,0,Q52/P52-1)</f>
        <v>-0.23044228777475151</v>
      </c>
      <c r="AD52" s="18">
        <v>55991.33</v>
      </c>
      <c r="AE52" s="18">
        <v>41236.25</v>
      </c>
      <c r="AF52" s="4">
        <f>AE52/AD52-1</f>
        <v>-0.26352437064809853</v>
      </c>
      <c r="AG52" s="150">
        <f>(N52*2)-W52</f>
        <v>-84.890000000000327</v>
      </c>
      <c r="AH52" s="158">
        <f>P52/AD52</f>
        <v>6.9838491066384734E-2</v>
      </c>
      <c r="AI52" s="158">
        <f>Q52/AE52</f>
        <v>7.2975597926581592E-2</v>
      </c>
    </row>
    <row r="53" spans="1:36">
      <c r="A53" t="s">
        <v>930</v>
      </c>
      <c r="B53" t="s">
        <v>658</v>
      </c>
      <c r="C53" s="19">
        <v>1088</v>
      </c>
      <c r="D53">
        <v>1088</v>
      </c>
      <c r="E53" s="5"/>
      <c r="F53" t="s">
        <v>658</v>
      </c>
      <c r="G53" s="19">
        <v>1335</v>
      </c>
      <c r="H53">
        <v>1332</v>
      </c>
      <c r="I53" t="b">
        <f>IF(B53=F53,TRUE,FALSE)</f>
        <v>1</v>
      </c>
      <c r="J53" s="5"/>
      <c r="K53" s="5"/>
      <c r="L53" s="27">
        <f>G53-D53</f>
        <v>247</v>
      </c>
      <c r="M53" s="4">
        <f>G53/C53-1</f>
        <v>0.22702205882352944</v>
      </c>
      <c r="N53" s="166">
        <f>H53-D53</f>
        <v>244</v>
      </c>
      <c r="O53" s="5"/>
      <c r="P53" s="5">
        <v>2427.73</v>
      </c>
      <c r="Q53" s="5">
        <v>2990.56</v>
      </c>
      <c r="R53" s="5"/>
      <c r="S53" s="5"/>
      <c r="T53" s="5">
        <v>11980.52</v>
      </c>
      <c r="U53" s="5"/>
      <c r="V53" s="5"/>
      <c r="W53" s="152">
        <f>Q53-P53</f>
        <v>562.82999999999993</v>
      </c>
      <c r="X53" s="4">
        <f>IF(P53=0,0,Q53/P53-1)</f>
        <v>0.23183385302319448</v>
      </c>
      <c r="Y53" s="5"/>
      <c r="Z53" s="5"/>
      <c r="AA53" s="5"/>
      <c r="AB53" s="5"/>
      <c r="AC53" s="15"/>
      <c r="AD53" s="18">
        <v>21685.65</v>
      </c>
      <c r="AE53" s="18">
        <v>26629.199999999997</v>
      </c>
      <c r="AF53" s="4">
        <f>AE53/AD53-1</f>
        <v>0.22796411451812593</v>
      </c>
      <c r="AG53" s="150">
        <f>(N53*2)-W53</f>
        <v>-74.829999999999927</v>
      </c>
      <c r="AH53" s="158">
        <f>P53/AD53</f>
        <v>0.11195099063205391</v>
      </c>
      <c r="AI53" s="158">
        <f>Q53/AE53</f>
        <v>0.11230378682048278</v>
      </c>
    </row>
    <row r="54" spans="1:36">
      <c r="A54" s="29" t="s">
        <v>931</v>
      </c>
      <c r="B54" s="29" t="s">
        <v>431</v>
      </c>
      <c r="C54" s="19">
        <v>1199</v>
      </c>
      <c r="D54">
        <v>1199</v>
      </c>
      <c r="F54" s="29" t="s">
        <v>431</v>
      </c>
      <c r="G54" s="19">
        <v>2220</v>
      </c>
      <c r="H54">
        <v>2220</v>
      </c>
      <c r="I54" t="b">
        <f>IF(B54=F54,TRUE,FALSE)</f>
        <v>1</v>
      </c>
      <c r="L54" s="27">
        <f>G54-D54</f>
        <v>1021</v>
      </c>
      <c r="M54" s="4">
        <f>G54/C54-1</f>
        <v>0.8515429524603837</v>
      </c>
      <c r="N54" s="166">
        <f>H54-D54</f>
        <v>1021</v>
      </c>
      <c r="P54" s="5">
        <v>2385.6799999999998</v>
      </c>
      <c r="Q54" s="5">
        <v>4488.7999999999993</v>
      </c>
      <c r="T54" s="5">
        <v>29670.28</v>
      </c>
      <c r="W54" s="152">
        <f>Q54-P54</f>
        <v>2103.1199999999994</v>
      </c>
      <c r="X54" s="4">
        <f>IF(P54=0,0,Q54/P54-1)</f>
        <v>0.88155997451460366</v>
      </c>
      <c r="AD54" s="18">
        <v>15854.01</v>
      </c>
      <c r="AE54" s="18">
        <v>39719.82</v>
      </c>
      <c r="AF54" s="4">
        <f>AE54/AD54-1</f>
        <v>1.5053484891204181</v>
      </c>
      <c r="AG54" s="150">
        <f>(N54*2)-W54</f>
        <v>-61.119999999999436</v>
      </c>
      <c r="AH54" s="158">
        <f>P54/AD54</f>
        <v>0.15047801786425011</v>
      </c>
      <c r="AI54" s="158">
        <f>Q54/AE54</f>
        <v>0.11301158967991293</v>
      </c>
    </row>
    <row r="55" spans="1:36">
      <c r="A55" t="s">
        <v>932</v>
      </c>
      <c r="B55" t="s">
        <v>823</v>
      </c>
      <c r="C55" s="19">
        <v>324</v>
      </c>
      <c r="D55">
        <v>324</v>
      </c>
      <c r="F55" t="s">
        <v>823</v>
      </c>
      <c r="G55" s="19">
        <v>341</v>
      </c>
      <c r="H55">
        <v>339</v>
      </c>
      <c r="I55" t="b">
        <f>IF(B55=F55,TRUE,FALSE)</f>
        <v>1</v>
      </c>
      <c r="L55" s="27">
        <f>G55-D55</f>
        <v>17</v>
      </c>
      <c r="M55" s="4">
        <f>G55/C55-1</f>
        <v>5.2469135802469147E-2</v>
      </c>
      <c r="N55" s="166">
        <f>H55-D55</f>
        <v>15</v>
      </c>
      <c r="P55" s="5">
        <v>650.4</v>
      </c>
      <c r="Q55" s="5">
        <v>719.83</v>
      </c>
      <c r="T55" s="5">
        <v>3000.7</v>
      </c>
      <c r="W55" s="152">
        <f>Q55-P55</f>
        <v>69.430000000000064</v>
      </c>
      <c r="X55" s="4">
        <f>IF(P55=0,0,Q55/P55-1)</f>
        <v>0.10674969249692512</v>
      </c>
      <c r="AD55" s="18">
        <v>6463.8</v>
      </c>
      <c r="AE55" s="18">
        <v>6802.95</v>
      </c>
      <c r="AF55" s="4">
        <f>AE55/AD55-1</f>
        <v>5.2469135802469147E-2</v>
      </c>
      <c r="AG55" s="150">
        <f>(N55*2)-W55</f>
        <v>-39.430000000000064</v>
      </c>
      <c r="AH55" s="158">
        <f>P55/AD55</f>
        <v>0.10062192518332869</v>
      </c>
      <c r="AI55" s="158">
        <f>Q55/AE55</f>
        <v>0.10581144944472619</v>
      </c>
    </row>
    <row r="56" spans="1:36">
      <c r="A56" t="s">
        <v>933</v>
      </c>
      <c r="B56" t="s">
        <v>757</v>
      </c>
      <c r="C56" s="19">
        <v>408</v>
      </c>
      <c r="D56">
        <v>408</v>
      </c>
      <c r="F56" t="s">
        <v>757</v>
      </c>
      <c r="G56" s="19">
        <v>785</v>
      </c>
      <c r="H56">
        <v>784</v>
      </c>
      <c r="I56" t="b">
        <f>IF(B56=F56,TRUE,FALSE)</f>
        <v>1</v>
      </c>
      <c r="L56" s="27">
        <f>G56-D56</f>
        <v>377</v>
      </c>
      <c r="M56" s="4">
        <f>G56/C56-1</f>
        <v>0.9240196078431373</v>
      </c>
      <c r="N56" s="166">
        <f>H56-D56</f>
        <v>376</v>
      </c>
      <c r="P56" s="5">
        <v>1208.6199999999999</v>
      </c>
      <c r="Q56" s="5">
        <v>1993.38</v>
      </c>
      <c r="T56" s="5">
        <v>13000.85</v>
      </c>
      <c r="W56" s="152">
        <f>Q56-P56</f>
        <v>784.76000000000022</v>
      </c>
      <c r="X56" s="4">
        <f>IF(P56=0,0,Q56/P56-1)</f>
        <v>0.64930251030100461</v>
      </c>
      <c r="AD56" s="18">
        <v>4075.92</v>
      </c>
      <c r="AE56" s="18">
        <v>7842.15</v>
      </c>
      <c r="AF56" s="4">
        <f>AE56/AD56-1</f>
        <v>0.92401960784313708</v>
      </c>
      <c r="AG56" s="150">
        <f>(N56*2)-W56</f>
        <v>-32.760000000000218</v>
      </c>
      <c r="AH56" s="158">
        <f>P56/AD56</f>
        <v>0.29652691907593864</v>
      </c>
      <c r="AI56" s="158">
        <f>Q56/AE56</f>
        <v>0.25418794590769117</v>
      </c>
    </row>
    <row r="57" spans="1:36">
      <c r="A57" t="s">
        <v>934</v>
      </c>
      <c r="B57" t="s">
        <v>446</v>
      </c>
      <c r="C57" s="19">
        <v>1969</v>
      </c>
      <c r="D57">
        <v>1969</v>
      </c>
      <c r="F57" t="s">
        <v>446</v>
      </c>
      <c r="G57" s="19">
        <v>1821</v>
      </c>
      <c r="H57">
        <v>1814</v>
      </c>
      <c r="I57" t="b">
        <f>IF(B57=F57,TRUE,FALSE)</f>
        <v>1</v>
      </c>
      <c r="L57" s="27">
        <f>G57-D57</f>
        <v>-148</v>
      </c>
      <c r="M57" s="4">
        <f>G57/C57-1</f>
        <v>-7.516505840528187E-2</v>
      </c>
      <c r="N57" s="166">
        <f>H57-D57</f>
        <v>-155</v>
      </c>
      <c r="P57" s="5">
        <v>1889.6</v>
      </c>
      <c r="Q57" s="5">
        <v>1609.6000000000001</v>
      </c>
      <c r="T57" s="5">
        <v>9029.58</v>
      </c>
      <c r="W57" s="152">
        <f>Q57-P57</f>
        <v>-279.99999999999977</v>
      </c>
      <c r="X57" s="4">
        <f>IF(P57=0,0,Q57/P57-1)</f>
        <v>-0.14817950889077047</v>
      </c>
      <c r="AD57" s="18">
        <v>56644.32</v>
      </c>
      <c r="AE57" s="18">
        <v>54581.760000000002</v>
      </c>
      <c r="AF57" s="4">
        <f>AE57/AD57-1</f>
        <v>-3.6412477014464928E-2</v>
      </c>
      <c r="AG57" s="150">
        <f>(N57*2)-W57</f>
        <v>-30.000000000000227</v>
      </c>
      <c r="AH57" s="158">
        <f>P57/AD57</f>
        <v>3.3359037587528631E-2</v>
      </c>
      <c r="AI57" s="158">
        <f>Q57/AE57</f>
        <v>2.9489704985694858E-2</v>
      </c>
    </row>
    <row r="58" spans="1:36">
      <c r="A58" t="s">
        <v>935</v>
      </c>
      <c r="B58" t="s">
        <v>717</v>
      </c>
      <c r="C58" s="19">
        <v>755</v>
      </c>
      <c r="D58">
        <v>755</v>
      </c>
      <c r="F58" t="s">
        <v>717</v>
      </c>
      <c r="G58" s="19">
        <v>994</v>
      </c>
      <c r="H58">
        <v>990</v>
      </c>
      <c r="I58" t="b">
        <f>IF(B58=F58,TRUE,FALSE)</f>
        <v>1</v>
      </c>
      <c r="L58" s="27">
        <f>G58-D58</f>
        <v>239</v>
      </c>
      <c r="M58" s="4">
        <f>G58/C58-1</f>
        <v>0.31655629139072849</v>
      </c>
      <c r="N58" s="166">
        <f>H58-D58</f>
        <v>235</v>
      </c>
      <c r="P58" s="5">
        <v>692.02</v>
      </c>
      <c r="Q58" s="5">
        <v>1188.49</v>
      </c>
      <c r="T58" s="5">
        <v>5125.7700000000004</v>
      </c>
      <c r="W58" s="152">
        <f>Q58-P58</f>
        <v>496.47</v>
      </c>
      <c r="X58" s="4">
        <f>IF(P58=0,0,Q58/P58-1)</f>
        <v>0.71742146180746236</v>
      </c>
      <c r="AD58" s="18">
        <v>7512.25</v>
      </c>
      <c r="AE58" s="18">
        <v>9890.2999999999993</v>
      </c>
      <c r="AF58" s="4">
        <f>AE58/AD58-1</f>
        <v>0.31655629139072827</v>
      </c>
      <c r="AG58" s="150">
        <f>(N58*2)-W58</f>
        <v>-26.470000000000027</v>
      </c>
      <c r="AH58" s="158">
        <f>P58/AD58</f>
        <v>9.2118872508236541E-2</v>
      </c>
      <c r="AI58" s="158">
        <f>Q58/AE58</f>
        <v>0.12016723456315785</v>
      </c>
    </row>
    <row r="59" spans="1:36">
      <c r="A59" t="s">
        <v>936</v>
      </c>
      <c r="B59" t="s">
        <v>826</v>
      </c>
      <c r="C59" s="19">
        <v>141</v>
      </c>
      <c r="D59">
        <v>141</v>
      </c>
      <c r="F59" t="s">
        <v>826</v>
      </c>
      <c r="G59" s="19">
        <v>152</v>
      </c>
      <c r="H59">
        <v>152</v>
      </c>
      <c r="I59" t="b">
        <f>IF(B59=F59,TRUE,FALSE)</f>
        <v>1</v>
      </c>
      <c r="L59" s="27">
        <f>G59-D59</f>
        <v>11</v>
      </c>
      <c r="M59" s="4">
        <f>G59/C59-1</f>
        <v>7.8014184397163122E-2</v>
      </c>
      <c r="N59" s="166">
        <f>H59-D59</f>
        <v>11</v>
      </c>
      <c r="P59" s="5">
        <v>73.95</v>
      </c>
      <c r="Q59" s="5">
        <v>116.5</v>
      </c>
      <c r="T59" s="5">
        <v>511.65</v>
      </c>
      <c r="W59" s="152">
        <f>Q59-P59</f>
        <v>42.55</v>
      </c>
      <c r="X59" s="4">
        <f>IF(P59=0,0,Q59/P59-1)</f>
        <v>0.57538877620013507</v>
      </c>
      <c r="AD59" s="18">
        <v>2671.95</v>
      </c>
      <c r="AE59" s="18">
        <v>2861.45</v>
      </c>
      <c r="AF59" s="4">
        <f>AE59/AD59-1</f>
        <v>7.0921985815602939E-2</v>
      </c>
      <c r="AG59" s="150">
        <f>(N59*2)-W59</f>
        <v>-20.549999999999997</v>
      </c>
      <c r="AH59" s="158">
        <f>P59/AD59</f>
        <v>2.7676416100600686E-2</v>
      </c>
      <c r="AI59" s="158">
        <f>Q59/AE59</f>
        <v>4.0713624211501168E-2</v>
      </c>
    </row>
    <row r="60" spans="1:36">
      <c r="A60" t="s">
        <v>937</v>
      </c>
      <c r="B60" t="s">
        <v>753</v>
      </c>
      <c r="C60" s="19">
        <v>410</v>
      </c>
      <c r="D60">
        <v>410</v>
      </c>
      <c r="F60" t="s">
        <v>753</v>
      </c>
      <c r="G60" s="19">
        <v>356</v>
      </c>
      <c r="H60">
        <v>356</v>
      </c>
      <c r="I60" t="b">
        <f>IF(B60=F60,TRUE,FALSE)</f>
        <v>1</v>
      </c>
      <c r="L60" s="27">
        <f>G60-D60</f>
        <v>-54</v>
      </c>
      <c r="M60" s="4">
        <f>G60/C60-1</f>
        <v>-0.13170731707317074</v>
      </c>
      <c r="N60" s="166">
        <f>H60-D60</f>
        <v>-54</v>
      </c>
      <c r="P60" s="5">
        <v>1475.61</v>
      </c>
      <c r="Q60" s="5">
        <v>1383.82</v>
      </c>
      <c r="T60" s="5">
        <v>3445.1500000000005</v>
      </c>
      <c r="W60" s="152">
        <f>Q60-P60</f>
        <v>-91.789999999999964</v>
      </c>
      <c r="X60" s="4">
        <f>IF(P60=0,0,Q60/P60-1)</f>
        <v>-6.2204783106647454E-2</v>
      </c>
      <c r="AD60" s="18">
        <v>8175.91</v>
      </c>
      <c r="AE60" s="18">
        <v>7116.4400000000005</v>
      </c>
      <c r="AF60" s="4">
        <f>AE60/AD60-1</f>
        <v>-0.12958435207823948</v>
      </c>
      <c r="AG60" s="150">
        <f>(N60*2)-W60</f>
        <v>-16.210000000000036</v>
      </c>
      <c r="AH60" s="158">
        <f>P60/AD60</f>
        <v>0.18048266186883172</v>
      </c>
      <c r="AI60" s="158">
        <f>Q60/AE60</f>
        <v>0.19445396855731234</v>
      </c>
      <c r="AJ60" s="5"/>
    </row>
    <row r="61" spans="1:36">
      <c r="A61" t="s">
        <v>938</v>
      </c>
      <c r="B61" t="s">
        <v>714</v>
      </c>
      <c r="C61" s="19">
        <v>654</v>
      </c>
      <c r="D61">
        <v>654</v>
      </c>
      <c r="F61" t="s">
        <v>714</v>
      </c>
      <c r="G61" s="19">
        <v>648</v>
      </c>
      <c r="H61">
        <v>647</v>
      </c>
      <c r="I61" t="b">
        <f>IF(B61=F61,TRUE,FALSE)</f>
        <v>1</v>
      </c>
      <c r="L61" s="27">
        <f>G61-D61</f>
        <v>-6</v>
      </c>
      <c r="M61" s="4">
        <f>G61/C61-1</f>
        <v>-9.1743119266054496E-3</v>
      </c>
      <c r="N61" s="166">
        <f>H61-D61</f>
        <v>-7</v>
      </c>
      <c r="P61" s="5">
        <v>0</v>
      </c>
      <c r="Q61" s="5">
        <v>348.31999999999994</v>
      </c>
      <c r="T61" s="5">
        <v>1570.51</v>
      </c>
      <c r="W61" s="152">
        <v>0</v>
      </c>
      <c r="X61" s="4">
        <f>IF(P61=0,0,Q61/P61-1)</f>
        <v>0</v>
      </c>
      <c r="Z61" t="s">
        <v>939</v>
      </c>
      <c r="AB61" t="s">
        <v>940</v>
      </c>
      <c r="AC61" s="14" t="s">
        <v>941</v>
      </c>
      <c r="AD61" s="18">
        <v>14078.73</v>
      </c>
      <c r="AE61" s="18">
        <v>14223.6</v>
      </c>
      <c r="AF61" s="4">
        <f>AE61/AD61-1</f>
        <v>1.028999064546321E-2</v>
      </c>
      <c r="AG61" s="150">
        <f>(N61*2)-W61</f>
        <v>-14</v>
      </c>
      <c r="AH61" s="158">
        <f>P61/AD61</f>
        <v>0</v>
      </c>
      <c r="AI61" s="158">
        <f>Q61/AE61</f>
        <v>2.4488877639978621E-2</v>
      </c>
      <c r="AJ61" s="5"/>
    </row>
    <row r="62" spans="1:36">
      <c r="A62" t="s">
        <v>942</v>
      </c>
      <c r="B62" t="s">
        <v>812</v>
      </c>
      <c r="C62" s="19">
        <v>1287</v>
      </c>
      <c r="D62">
        <v>1288</v>
      </c>
      <c r="F62" t="s">
        <v>812</v>
      </c>
      <c r="G62" s="19">
        <v>1762</v>
      </c>
      <c r="H62">
        <v>1759</v>
      </c>
      <c r="I62" t="b">
        <f>IF(B62=F62,TRUE,FALSE)</f>
        <v>1</v>
      </c>
      <c r="L62" s="27">
        <f>G62-D62</f>
        <v>474</v>
      </c>
      <c r="M62" s="4">
        <f>G62/C62-1</f>
        <v>0.36907536907536898</v>
      </c>
      <c r="N62" s="166">
        <f>H62-D62</f>
        <v>471</v>
      </c>
      <c r="P62" s="5">
        <v>2389.8000000000002</v>
      </c>
      <c r="Q62" s="5">
        <v>3333.63</v>
      </c>
      <c r="T62" s="5">
        <v>12445.57</v>
      </c>
      <c r="W62" s="152">
        <f>Q62-P62</f>
        <v>943.82999999999993</v>
      </c>
      <c r="X62" s="4">
        <f>IF(P62=0,0,Q62/P62-1)</f>
        <v>0.39494099924679893</v>
      </c>
      <c r="AD62" s="18">
        <v>28221.94</v>
      </c>
      <c r="AE62" s="18">
        <v>42668.57</v>
      </c>
      <c r="AF62" s="4">
        <f>AE62/AD62-1</f>
        <v>0.51189358350276426</v>
      </c>
      <c r="AG62" s="150">
        <f>(N62*2)-W62</f>
        <v>-1.8299999999999272</v>
      </c>
      <c r="AH62" s="158">
        <f>P62/AD62</f>
        <v>8.4678799543900965E-2</v>
      </c>
      <c r="AI62" s="158">
        <f>Q62/AE62</f>
        <v>7.8128467862878928E-2</v>
      </c>
    </row>
    <row r="63" spans="1:36">
      <c r="A63" t="s">
        <v>943</v>
      </c>
      <c r="B63" t="s">
        <v>319</v>
      </c>
      <c r="C63" s="19">
        <v>1613</v>
      </c>
      <c r="D63">
        <v>1613</v>
      </c>
      <c r="F63" t="s">
        <v>319</v>
      </c>
      <c r="G63" s="19">
        <v>1953</v>
      </c>
      <c r="H63">
        <v>1948</v>
      </c>
      <c r="I63" t="b">
        <f>IF(B63=F63,TRUE,FALSE)</f>
        <v>1</v>
      </c>
      <c r="L63" s="27">
        <f>G63-D63</f>
        <v>340</v>
      </c>
      <c r="M63" s="4">
        <f>G63/C63-1</f>
        <v>0.21078735275883442</v>
      </c>
      <c r="N63" s="166">
        <f>H63-D63</f>
        <v>335</v>
      </c>
      <c r="P63" s="5">
        <v>2340.5</v>
      </c>
      <c r="Q63" s="5">
        <v>3009.95</v>
      </c>
      <c r="T63" s="5">
        <v>10197.040000000001</v>
      </c>
      <c r="W63" s="152">
        <f>Q63-P63</f>
        <v>669.44999999999982</v>
      </c>
      <c r="X63" s="4">
        <f>IF(P63=0,0,Q63/P63-1)</f>
        <v>0.28602862636188831</v>
      </c>
      <c r="AB63" t="s">
        <v>944</v>
      </c>
      <c r="AD63" s="18">
        <v>28381.27</v>
      </c>
      <c r="AE63" s="18">
        <v>34222.269999999997</v>
      </c>
      <c r="AF63" s="4">
        <f>AE63/AD63-1</f>
        <v>0.20580474376234736</v>
      </c>
      <c r="AG63" s="150">
        <f>(N63*2)-W63</f>
        <v>0.5500000000001819</v>
      </c>
      <c r="AH63" s="158">
        <f>P63/AD63</f>
        <v>8.2466358975479256E-2</v>
      </c>
      <c r="AI63" s="158">
        <f>Q63/AE63</f>
        <v>8.7952961624112022E-2</v>
      </c>
    </row>
    <row r="64" spans="1:36">
      <c r="A64" t="s">
        <v>945</v>
      </c>
      <c r="B64" t="s">
        <v>782</v>
      </c>
      <c r="C64" s="19">
        <v>124</v>
      </c>
      <c r="D64">
        <v>124</v>
      </c>
      <c r="F64" t="s">
        <v>782</v>
      </c>
      <c r="G64" s="19">
        <v>131</v>
      </c>
      <c r="H64">
        <v>130</v>
      </c>
      <c r="I64" t="b">
        <f>IF(B64=F64,TRUE,FALSE)</f>
        <v>1</v>
      </c>
      <c r="L64" s="27">
        <f>G64-D64</f>
        <v>7</v>
      </c>
      <c r="M64" s="4">
        <f>G64/C64-1</f>
        <v>5.6451612903225756E-2</v>
      </c>
      <c r="N64" s="166">
        <f>H64-D64</f>
        <v>6</v>
      </c>
      <c r="P64" s="5">
        <v>0</v>
      </c>
      <c r="Q64" s="5">
        <v>0</v>
      </c>
      <c r="T64" s="5">
        <v>0</v>
      </c>
      <c r="W64" s="152">
        <f>Q64-P64</f>
        <v>0</v>
      </c>
      <c r="X64" s="4">
        <f>IF(P64=0,0,Q64/P64-1)</f>
        <v>0</v>
      </c>
      <c r="AD64" s="18">
        <v>4209.8</v>
      </c>
      <c r="AE64" s="18">
        <v>4447.45</v>
      </c>
      <c r="AF64" s="4">
        <f>AE64/AD64-1</f>
        <v>5.6451612903225756E-2</v>
      </c>
      <c r="AG64" s="150">
        <f>(N64*2)-W64</f>
        <v>12</v>
      </c>
      <c r="AH64" s="158">
        <f>P64/AD64</f>
        <v>0</v>
      </c>
      <c r="AI64" s="158">
        <f>Q64/AE64</f>
        <v>0</v>
      </c>
      <c r="AJ64" s="5"/>
    </row>
    <row r="65" spans="1:36">
      <c r="A65" t="s">
        <v>946</v>
      </c>
      <c r="B65" t="s">
        <v>440</v>
      </c>
      <c r="C65" s="19">
        <v>1257</v>
      </c>
      <c r="D65">
        <v>1257</v>
      </c>
      <c r="F65" t="s">
        <v>440</v>
      </c>
      <c r="G65" s="19">
        <v>1414</v>
      </c>
      <c r="H65">
        <v>1403</v>
      </c>
      <c r="I65" t="b">
        <f>IF(B65=F65,TRUE,FALSE)</f>
        <v>1</v>
      </c>
      <c r="L65" s="27">
        <f>G65-D65</f>
        <v>157</v>
      </c>
      <c r="M65" s="4">
        <f>G65/C65-1</f>
        <v>0.12490055688146384</v>
      </c>
      <c r="N65" s="166">
        <f>H65-D65</f>
        <v>146</v>
      </c>
      <c r="P65" s="5">
        <v>2886.14</v>
      </c>
      <c r="Q65" s="5">
        <v>3164.17</v>
      </c>
      <c r="T65" s="5">
        <v>11351.420000000002</v>
      </c>
      <c r="W65" s="152">
        <f>Q65-P65</f>
        <v>278.0300000000002</v>
      </c>
      <c r="X65" s="4">
        <f>IF(P65=0,0,Q65/P65-1)</f>
        <v>9.6332818227806039E-2</v>
      </c>
      <c r="Z65" t="s">
        <v>947</v>
      </c>
      <c r="AB65" t="s">
        <v>948</v>
      </c>
      <c r="AD65" s="18">
        <v>27619.439999999999</v>
      </c>
      <c r="AE65" s="18">
        <v>31843.86</v>
      </c>
      <c r="AF65" s="4">
        <f>AE65/AD65-1</f>
        <v>0.15295096497249761</v>
      </c>
      <c r="AG65" s="150">
        <f>(N65*2)-W65</f>
        <v>13.9699999999998</v>
      </c>
      <c r="AH65" s="158">
        <f>P65/AD65</f>
        <v>0.10449668784015896</v>
      </c>
      <c r="AI65" s="158">
        <f>Q65/AE65</f>
        <v>9.9365152340199964E-2</v>
      </c>
    </row>
    <row r="66" spans="1:36">
      <c r="A66" t="s">
        <v>949</v>
      </c>
      <c r="B66" t="s">
        <v>817</v>
      </c>
      <c r="C66" s="19">
        <v>659</v>
      </c>
      <c r="D66">
        <v>659</v>
      </c>
      <c r="F66" t="s">
        <v>817</v>
      </c>
      <c r="G66" s="19">
        <v>817</v>
      </c>
      <c r="H66">
        <v>817</v>
      </c>
      <c r="I66" t="b">
        <f>IF(B66=F66,TRUE,FALSE)</f>
        <v>1</v>
      </c>
      <c r="L66" s="27">
        <f>G66-D66</f>
        <v>158</v>
      </c>
      <c r="M66" s="4">
        <f>G66/C66-1</f>
        <v>0.23975720789074351</v>
      </c>
      <c r="N66" s="166">
        <f>H66-D66</f>
        <v>158</v>
      </c>
      <c r="P66" s="5">
        <v>655.47</v>
      </c>
      <c r="Q66" s="5">
        <v>951.69</v>
      </c>
      <c r="T66" s="5">
        <v>4292.1099999999997</v>
      </c>
      <c r="W66" s="152">
        <f>Q66-P66</f>
        <v>296.22000000000003</v>
      </c>
      <c r="X66" s="4">
        <f>IF(P66=0,0,Q66/P66-1)</f>
        <v>0.45191999633850521</v>
      </c>
      <c r="AD66" s="18">
        <v>10537.41</v>
      </c>
      <c r="AE66" s="18">
        <v>13063.83</v>
      </c>
      <c r="AF66" s="4">
        <f>AE66/AD66-1</f>
        <v>0.23975720789074351</v>
      </c>
      <c r="AG66" s="150">
        <f>(N66*2)-W66</f>
        <v>19.779999999999973</v>
      </c>
      <c r="AH66" s="158">
        <f>P66/AD66</f>
        <v>6.2204089999345194E-2</v>
      </c>
      <c r="AI66" s="158">
        <f>Q66/AE66</f>
        <v>7.2849233341217706E-2</v>
      </c>
    </row>
    <row r="67" spans="1:36">
      <c r="A67" t="s">
        <v>950</v>
      </c>
      <c r="B67" t="s">
        <v>748</v>
      </c>
      <c r="C67" s="19">
        <v>553</v>
      </c>
      <c r="D67">
        <v>553</v>
      </c>
      <c r="F67" t="s">
        <v>748</v>
      </c>
      <c r="G67" s="19">
        <v>659</v>
      </c>
      <c r="H67">
        <v>659</v>
      </c>
      <c r="I67" t="b">
        <f>IF(B67=F67,TRUE,FALSE)</f>
        <v>1</v>
      </c>
      <c r="L67" s="27">
        <f>G67-D67</f>
        <v>106</v>
      </c>
      <c r="M67" s="4">
        <f>G67/C67-1</f>
        <v>0.1916817359855334</v>
      </c>
      <c r="N67" s="166">
        <f>H67-D67</f>
        <v>106</v>
      </c>
      <c r="P67" s="5">
        <v>400.51</v>
      </c>
      <c r="Q67" s="5">
        <v>589.6</v>
      </c>
      <c r="T67" s="5">
        <v>4256.08</v>
      </c>
      <c r="W67" s="152">
        <f>Q67-P67</f>
        <v>189.09000000000003</v>
      </c>
      <c r="X67" s="4">
        <f>IF(P67=0,0,Q67/P67-1)</f>
        <v>0.47212304312002207</v>
      </c>
      <c r="AD67" s="18">
        <v>10501.47</v>
      </c>
      <c r="AE67" s="18">
        <v>12514.41</v>
      </c>
      <c r="AF67" s="4">
        <f>AE67/AD67-1</f>
        <v>0.19168173598553362</v>
      </c>
      <c r="AG67" s="150">
        <f>(N67*2)-W67</f>
        <v>22.909999999999968</v>
      </c>
      <c r="AH67" s="158">
        <f>P67/AD67</f>
        <v>3.8138470137990203E-2</v>
      </c>
      <c r="AI67" s="158">
        <f>Q67/AE67</f>
        <v>4.7113687341233029E-2</v>
      </c>
    </row>
    <row r="68" spans="1:36">
      <c r="A68" t="s">
        <v>951</v>
      </c>
      <c r="B68" t="s">
        <v>716</v>
      </c>
      <c r="C68" s="19">
        <v>733</v>
      </c>
      <c r="D68">
        <v>733</v>
      </c>
      <c r="F68" t="s">
        <v>716</v>
      </c>
      <c r="G68" s="19">
        <v>926</v>
      </c>
      <c r="H68">
        <v>922</v>
      </c>
      <c r="I68" t="b">
        <f>IF(B68=F68,TRUE,FALSE)</f>
        <v>1</v>
      </c>
      <c r="L68" s="27">
        <f>G68-D68</f>
        <v>193</v>
      </c>
      <c r="M68" s="4">
        <f>G68/C68-1</f>
        <v>0.26330150068212821</v>
      </c>
      <c r="N68" s="166">
        <f>H68-D68</f>
        <v>189</v>
      </c>
      <c r="P68" s="5">
        <v>929.44</v>
      </c>
      <c r="Q68" s="5">
        <v>1275.5900000000001</v>
      </c>
      <c r="T68" s="5">
        <v>9595.8599999999988</v>
      </c>
      <c r="W68" s="152">
        <f>Q68-P68</f>
        <v>346.15000000000009</v>
      </c>
      <c r="X68" s="4">
        <f>IF(P68=0,0,Q68/P68-1)</f>
        <v>0.37242855913238082</v>
      </c>
      <c r="AD68" s="18">
        <v>18288.349999999999</v>
      </c>
      <c r="AE68" s="18">
        <v>22978.95</v>
      </c>
      <c r="AF68" s="4">
        <f>AE68/AD68-1</f>
        <v>0.25648021828103706</v>
      </c>
      <c r="AG68" s="150">
        <f>(N68*2)-W68</f>
        <v>31.849999999999909</v>
      </c>
      <c r="AH68" s="158">
        <f>P68/AD68</f>
        <v>5.082142456809937E-2</v>
      </c>
      <c r="AI68" s="158">
        <f>Q68/AE68</f>
        <v>5.5511239634535088E-2</v>
      </c>
    </row>
    <row r="69" spans="1:36">
      <c r="A69" t="s">
        <v>952</v>
      </c>
      <c r="B69" t="s">
        <v>444</v>
      </c>
      <c r="C69" s="19">
        <v>952</v>
      </c>
      <c r="D69">
        <v>952</v>
      </c>
      <c r="F69" t="s">
        <v>444</v>
      </c>
      <c r="G69" s="19">
        <v>1129</v>
      </c>
      <c r="H69">
        <v>1125</v>
      </c>
      <c r="I69" t="b">
        <f>IF(B69=F69,TRUE,FALSE)</f>
        <v>1</v>
      </c>
      <c r="L69" s="27">
        <f>G69-D69</f>
        <v>177</v>
      </c>
      <c r="M69" s="4">
        <f>G69/C69-1</f>
        <v>0.18592436974789917</v>
      </c>
      <c r="N69" s="166">
        <f>H69-D69</f>
        <v>173</v>
      </c>
      <c r="P69" s="5">
        <v>2794.91</v>
      </c>
      <c r="Q69" s="5">
        <v>3108.3099999999995</v>
      </c>
      <c r="T69" s="5">
        <v>16609.46</v>
      </c>
      <c r="W69" s="152">
        <f>Q69-P69</f>
        <v>313.39999999999964</v>
      </c>
      <c r="X69" s="4">
        <f>IF(P69=0,0,Q69/P69-1)</f>
        <v>0.11213241213491654</v>
      </c>
      <c r="AB69" t="s">
        <v>953</v>
      </c>
      <c r="AD69" s="18">
        <v>28512.400000000001</v>
      </c>
      <c r="AE69" s="18">
        <v>33783.599999999999</v>
      </c>
      <c r="AF69" s="4">
        <f>AE69/AD69-1</f>
        <v>0.18487394957983172</v>
      </c>
      <c r="AG69" s="150">
        <f>(N69*2)-W69</f>
        <v>32.600000000000364</v>
      </c>
      <c r="AH69" s="158">
        <f>P69/AD69</f>
        <v>9.8024368345000765E-2</v>
      </c>
      <c r="AI69" s="158">
        <f>Q69/AE69</f>
        <v>9.2006476515232236E-2</v>
      </c>
    </row>
    <row r="70" spans="1:36">
      <c r="A70" t="s">
        <v>954</v>
      </c>
      <c r="B70" t="s">
        <v>393</v>
      </c>
      <c r="C70" s="19">
        <v>1265</v>
      </c>
      <c r="D70">
        <v>1265</v>
      </c>
      <c r="F70" t="s">
        <v>393</v>
      </c>
      <c r="G70" s="19">
        <v>1639</v>
      </c>
      <c r="H70">
        <v>1637</v>
      </c>
      <c r="I70" t="b">
        <f>IF(B70=F70,TRUE,FALSE)</f>
        <v>1</v>
      </c>
      <c r="L70" s="27">
        <f>G70-D70</f>
        <v>374</v>
      </c>
      <c r="M70" s="4">
        <f>G70/C70-1</f>
        <v>0.29565217391304355</v>
      </c>
      <c r="N70" s="166">
        <f>H70-D70</f>
        <v>372</v>
      </c>
      <c r="P70" s="5">
        <v>1400.85</v>
      </c>
      <c r="Q70" s="5">
        <v>2101.9300000000003</v>
      </c>
      <c r="T70" s="5">
        <v>8085.869999999999</v>
      </c>
      <c r="W70" s="152">
        <f>Q70-P70</f>
        <v>701.08000000000038</v>
      </c>
      <c r="X70" s="4">
        <f>IF(P70=0,0,Q70/P70-1)</f>
        <v>0.50046757325909308</v>
      </c>
      <c r="AA70" t="s">
        <v>955</v>
      </c>
      <c r="AB70" t="s">
        <v>956</v>
      </c>
      <c r="AC70" s="14" t="s">
        <v>957</v>
      </c>
      <c r="AD70" s="18">
        <v>21475.360000000001</v>
      </c>
      <c r="AE70" s="18">
        <v>27795.64</v>
      </c>
      <c r="AF70" s="4">
        <f>AE70/AD70-1</f>
        <v>0.29430379746835444</v>
      </c>
      <c r="AG70" s="150">
        <f>(N70*2)-W70</f>
        <v>42.919999999999618</v>
      </c>
      <c r="AH70" s="158">
        <f>P70/AD70</f>
        <v>6.5230571222088932E-2</v>
      </c>
      <c r="AI70" s="158">
        <f>Q70/AE70</f>
        <v>7.5620852766836819E-2</v>
      </c>
    </row>
    <row r="71" spans="1:36">
      <c r="A71" t="s">
        <v>958</v>
      </c>
      <c r="B71" t="s">
        <v>702</v>
      </c>
      <c r="C71" s="19">
        <v>791</v>
      </c>
      <c r="D71">
        <v>791</v>
      </c>
      <c r="F71" t="s">
        <v>702</v>
      </c>
      <c r="G71" s="19">
        <v>939</v>
      </c>
      <c r="H71">
        <v>936</v>
      </c>
      <c r="I71" t="b">
        <f>IF(B71=F71,TRUE,FALSE)</f>
        <v>1</v>
      </c>
      <c r="L71" s="27">
        <f>G71-D71</f>
        <v>148</v>
      </c>
      <c r="M71" s="4">
        <f>G71/C71-1</f>
        <v>0.18710493046776233</v>
      </c>
      <c r="N71" s="166">
        <f>H71-D71</f>
        <v>145</v>
      </c>
      <c r="P71" s="5">
        <v>979.55</v>
      </c>
      <c r="Q71" s="5">
        <v>1224.8000000000002</v>
      </c>
      <c r="T71" s="5">
        <v>7563.34</v>
      </c>
      <c r="W71" s="152">
        <f>Q71-P71</f>
        <v>245.25000000000023</v>
      </c>
      <c r="X71" s="4">
        <f>IF(P71=0,0,Q71/P71-1)</f>
        <v>0.25037006788831628</v>
      </c>
      <c r="AD71" s="18">
        <v>15792.1</v>
      </c>
      <c r="AE71" s="18">
        <v>18770.61</v>
      </c>
      <c r="AF71" s="4">
        <f>AE71/AD71-1</f>
        <v>0.18860759493670898</v>
      </c>
      <c r="AG71" s="150">
        <f>(N71*2)-W71</f>
        <v>44.749999999999773</v>
      </c>
      <c r="AH71" s="158">
        <f>P71/AD71</f>
        <v>6.2027849367721828E-2</v>
      </c>
      <c r="AI71" s="158">
        <f>Q71/AE71</f>
        <v>6.5250942830307607E-2</v>
      </c>
    </row>
    <row r="72" spans="1:36" ht="13.5" customHeight="1">
      <c r="A72" s="5" t="s">
        <v>959</v>
      </c>
      <c r="B72" t="s">
        <v>695</v>
      </c>
      <c r="C72" s="19">
        <v>956</v>
      </c>
      <c r="D72">
        <v>956</v>
      </c>
      <c r="E72" s="5"/>
      <c r="F72" t="s">
        <v>695</v>
      </c>
      <c r="G72" s="19">
        <v>996</v>
      </c>
      <c r="H72">
        <v>993</v>
      </c>
      <c r="I72" t="b">
        <f>IF(B72=F72,TRUE,FALSE)</f>
        <v>1</v>
      </c>
      <c r="J72" s="5"/>
      <c r="K72" s="5"/>
      <c r="L72" s="27">
        <f>G72-D72</f>
        <v>40</v>
      </c>
      <c r="M72" s="4">
        <f>G72/C72-1</f>
        <v>4.1841004184100417E-2</v>
      </c>
      <c r="N72" s="166">
        <f>H72-D72</f>
        <v>37</v>
      </c>
      <c r="O72" s="5"/>
      <c r="P72" s="5">
        <v>2515.34</v>
      </c>
      <c r="Q72" s="5">
        <v>2541.3500000000004</v>
      </c>
      <c r="R72" s="5"/>
      <c r="S72" s="5"/>
      <c r="T72" s="5">
        <v>10905.31</v>
      </c>
      <c r="U72" s="5"/>
      <c r="V72" s="5"/>
      <c r="W72" s="152">
        <f>Q72-P72</f>
        <v>26.010000000000218</v>
      </c>
      <c r="X72" s="4">
        <f>IF(P72=0,0,Q72/P72-1)</f>
        <v>1.0340550382850866E-2</v>
      </c>
      <c r="Y72" s="5"/>
      <c r="Z72" s="5"/>
      <c r="AA72" s="5"/>
      <c r="AB72" s="5"/>
      <c r="AC72" s="15"/>
      <c r="AD72" s="18">
        <v>17198.439999999999</v>
      </c>
      <c r="AE72" s="18">
        <v>17918.04</v>
      </c>
      <c r="AF72" s="4">
        <f>AE72/AD72-1</f>
        <v>4.1841004184100639E-2</v>
      </c>
      <c r="AG72" s="150">
        <f>(N72*2)-W72</f>
        <v>47.989999999999782</v>
      </c>
      <c r="AH72" s="158">
        <f>P72/AD72</f>
        <v>0.1462539625686981</v>
      </c>
      <c r="AI72" s="158">
        <f>Q72/AE72</f>
        <v>0.14183191911615334</v>
      </c>
    </row>
    <row r="73" spans="1:36">
      <c r="A73" t="s">
        <v>960</v>
      </c>
      <c r="B73" t="s">
        <v>554</v>
      </c>
      <c r="C73" s="19">
        <v>1230</v>
      </c>
      <c r="D73">
        <v>1230</v>
      </c>
      <c r="F73" t="s">
        <v>554</v>
      </c>
      <c r="G73" s="19">
        <v>2619</v>
      </c>
      <c r="H73">
        <v>2616</v>
      </c>
      <c r="I73" t="b">
        <f>IF(B73=F73,TRUE,FALSE)</f>
        <v>1</v>
      </c>
      <c r="L73" s="27">
        <f>G73-D73</f>
        <v>1389</v>
      </c>
      <c r="M73" s="4">
        <f>G73/C73-1</f>
        <v>1.1292682926829269</v>
      </c>
      <c r="N73" s="166">
        <f>H73-D73</f>
        <v>1386</v>
      </c>
      <c r="P73" s="5">
        <v>2880.97</v>
      </c>
      <c r="Q73" s="5">
        <v>5604.37</v>
      </c>
      <c r="T73" s="5">
        <v>34297.770000000004</v>
      </c>
      <c r="W73" s="152">
        <f>Q73-P73</f>
        <v>2723.4</v>
      </c>
      <c r="X73" s="4">
        <f>IF(P73=0,0,Q73/P73-1)</f>
        <v>0.94530661548020301</v>
      </c>
      <c r="AD73" s="18">
        <v>33121.550000000003</v>
      </c>
      <c r="AE73" s="18">
        <v>78513.820000000007</v>
      </c>
      <c r="AF73" s="4">
        <f>AE73/AD73-1</f>
        <v>1.3704754155527143</v>
      </c>
      <c r="AG73" s="150">
        <f>(N73*2)-W73</f>
        <v>48.599999999999909</v>
      </c>
      <c r="AH73" s="158">
        <f>P73/AD73</f>
        <v>8.6981738475403456E-2</v>
      </c>
      <c r="AI73" s="158">
        <f>Q73/AE73</f>
        <v>7.1380681770419521E-2</v>
      </c>
    </row>
    <row r="74" spans="1:36">
      <c r="A74" t="s">
        <v>961</v>
      </c>
      <c r="B74" t="s">
        <v>443</v>
      </c>
      <c r="C74" s="19">
        <v>932</v>
      </c>
      <c r="D74">
        <v>932</v>
      </c>
      <c r="F74" t="s">
        <v>443</v>
      </c>
      <c r="G74" s="19">
        <v>1031</v>
      </c>
      <c r="H74">
        <v>1017</v>
      </c>
      <c r="I74" t="b">
        <f>IF(B74=F74,TRUE,FALSE)</f>
        <v>1</v>
      </c>
      <c r="L74" s="27">
        <f>G74-D74</f>
        <v>99</v>
      </c>
      <c r="M74" s="4">
        <f>G74/C74-1</f>
        <v>0.10622317596566533</v>
      </c>
      <c r="N74" s="166">
        <f>H74-D74</f>
        <v>85</v>
      </c>
      <c r="P74" s="5">
        <v>1089.9100000000001</v>
      </c>
      <c r="Q74" s="5">
        <v>1209.78</v>
      </c>
      <c r="T74" s="5">
        <v>7151.8899999999994</v>
      </c>
      <c r="W74" s="152">
        <f>Q74-P74</f>
        <v>119.86999999999989</v>
      </c>
      <c r="X74" s="4">
        <f>IF(P74=0,0,Q74/P74-1)</f>
        <v>0.10998155811030252</v>
      </c>
      <c r="AD74" s="18">
        <v>18630.68</v>
      </c>
      <c r="AE74" s="18">
        <v>20609.689999999999</v>
      </c>
      <c r="AF74" s="4">
        <f>AE74/AD74-1</f>
        <v>0.10622317596566511</v>
      </c>
      <c r="AG74" s="150">
        <f>(N74*2)-W74</f>
        <v>50.130000000000109</v>
      </c>
      <c r="AH74" s="158">
        <f>P74/AD74</f>
        <v>5.8500816932071188E-2</v>
      </c>
      <c r="AI74" s="158">
        <f>Q74/AE74</f>
        <v>5.8699572870819505E-2</v>
      </c>
    </row>
    <row r="75" spans="1:36">
      <c r="A75" t="s">
        <v>962</v>
      </c>
      <c r="B75" t="s">
        <v>784</v>
      </c>
      <c r="C75" s="19">
        <v>111</v>
      </c>
      <c r="D75">
        <v>111</v>
      </c>
      <c r="F75" t="s">
        <v>784</v>
      </c>
      <c r="G75" s="19">
        <v>143</v>
      </c>
      <c r="H75">
        <v>143</v>
      </c>
      <c r="I75" t="b">
        <f>IF(B75=F75,TRUE,FALSE)</f>
        <v>1</v>
      </c>
      <c r="L75" s="27">
        <f>G75-D75</f>
        <v>32</v>
      </c>
      <c r="M75" s="4">
        <f>G75/C75-1</f>
        <v>0.28828828828828823</v>
      </c>
      <c r="N75" s="166">
        <f>H75-D75</f>
        <v>32</v>
      </c>
      <c r="P75" s="5">
        <v>0</v>
      </c>
      <c r="Q75" s="5">
        <v>0</v>
      </c>
      <c r="T75" s="5">
        <v>0</v>
      </c>
      <c r="W75" s="152">
        <v>0</v>
      </c>
      <c r="X75" s="4">
        <f>IF(P75=0,0,Q75/P75-1)</f>
        <v>0</v>
      </c>
      <c r="AD75" s="18">
        <v>3546.45</v>
      </c>
      <c r="AE75" s="18">
        <v>4568.8500000000004</v>
      </c>
      <c r="AF75" s="4">
        <f>AE75/AD75-1</f>
        <v>0.28828828828828845</v>
      </c>
      <c r="AG75" s="150">
        <f>(N75*2)-W75</f>
        <v>64</v>
      </c>
      <c r="AH75" s="158">
        <f>P75/AD75</f>
        <v>0</v>
      </c>
      <c r="AI75" s="158">
        <f>Q75/AE75</f>
        <v>0</v>
      </c>
      <c r="AJ75" s="5"/>
    </row>
    <row r="76" spans="1:36">
      <c r="A76" t="s">
        <v>963</v>
      </c>
      <c r="B76" t="s">
        <v>199</v>
      </c>
      <c r="C76" s="19">
        <v>996</v>
      </c>
      <c r="D76">
        <v>996</v>
      </c>
      <c r="F76" t="s">
        <v>199</v>
      </c>
      <c r="G76" s="19">
        <v>976</v>
      </c>
      <c r="H76">
        <v>971</v>
      </c>
      <c r="I76" t="b">
        <f>IF(B76=F76,TRUE,FALSE)</f>
        <v>1</v>
      </c>
      <c r="L76" s="27">
        <f>G76-D76</f>
        <v>-20</v>
      </c>
      <c r="M76" s="4">
        <f>G76/C76-1</f>
        <v>-2.008032128514059E-2</v>
      </c>
      <c r="N76" s="166">
        <f>H76-D76</f>
        <v>-25</v>
      </c>
      <c r="P76" s="5">
        <v>1880.81</v>
      </c>
      <c r="Q76" s="5">
        <v>1759.63</v>
      </c>
      <c r="T76" s="5">
        <v>6789.1</v>
      </c>
      <c r="W76" s="152">
        <f>Q76-P76</f>
        <v>-121.17999999999984</v>
      </c>
      <c r="X76" s="4">
        <f>IF(P76=0,0,Q76/P76-1)</f>
        <v>-6.4429687209234254E-2</v>
      </c>
      <c r="AD76" s="18">
        <v>19371.45</v>
      </c>
      <c r="AE76" s="18">
        <v>19451.25</v>
      </c>
      <c r="AF76" s="4">
        <f>AE76/AD76-1</f>
        <v>4.1194644696189719E-3</v>
      </c>
      <c r="AG76" s="150">
        <f>(N76*2)-W76</f>
        <v>71.179999999999836</v>
      </c>
      <c r="AH76" s="158">
        <f>P76/AD76</f>
        <v>9.7091854249423765E-2</v>
      </c>
      <c r="AI76" s="158">
        <f>Q76/AE76</f>
        <v>9.0463594884647516E-2</v>
      </c>
      <c r="AJ76" s="5"/>
    </row>
    <row r="77" spans="1:36">
      <c r="A77" t="s">
        <v>964</v>
      </c>
      <c r="B77" t="s">
        <v>825</v>
      </c>
      <c r="C77" s="19">
        <v>295</v>
      </c>
      <c r="D77">
        <v>295</v>
      </c>
      <c r="F77" t="s">
        <v>825</v>
      </c>
      <c r="G77" s="19">
        <v>372</v>
      </c>
      <c r="H77">
        <v>370</v>
      </c>
      <c r="I77" t="b">
        <f>IF(B77=F77,TRUE,FALSE)</f>
        <v>1</v>
      </c>
      <c r="L77" s="27">
        <f>G77-D77</f>
        <v>77</v>
      </c>
      <c r="M77" s="4">
        <f>G77/C77-1</f>
        <v>0.26101694915254248</v>
      </c>
      <c r="N77" s="166">
        <f>H77-D77</f>
        <v>75</v>
      </c>
      <c r="P77" s="5">
        <v>128.77000000000001</v>
      </c>
      <c r="Q77" s="5">
        <v>206.48</v>
      </c>
      <c r="T77" s="5">
        <v>1163.3499999999999</v>
      </c>
      <c r="W77" s="152">
        <f>Q77-P77</f>
        <v>77.70999999999998</v>
      </c>
      <c r="X77" s="4">
        <f>IF(P77=0,0,Q77/P77-1)</f>
        <v>0.60347907121223865</v>
      </c>
      <c r="AD77" s="18">
        <v>6475.25</v>
      </c>
      <c r="AE77" s="18">
        <v>8165.4</v>
      </c>
      <c r="AF77" s="4">
        <f>AE77/AD77-1</f>
        <v>0.26101694915254225</v>
      </c>
      <c r="AG77" s="150">
        <f>(N77*2)-W77</f>
        <v>72.29000000000002</v>
      </c>
      <c r="AH77" s="158">
        <f>P77/AD77</f>
        <v>1.9886490869078417E-2</v>
      </c>
      <c r="AI77" s="158">
        <f>Q77/AE77</f>
        <v>2.5287187400494772E-2</v>
      </c>
    </row>
    <row r="78" spans="1:36">
      <c r="A78" s="57" t="s">
        <v>965</v>
      </c>
      <c r="B78" s="39" t="s">
        <v>733</v>
      </c>
      <c r="C78" s="19">
        <v>3</v>
      </c>
      <c r="D78">
        <v>3</v>
      </c>
      <c r="F78" s="39" t="s">
        <v>733</v>
      </c>
      <c r="G78" s="19">
        <v>1048</v>
      </c>
      <c r="H78">
        <v>1048</v>
      </c>
      <c r="I78" t="b">
        <f>IF(B78=F78,TRUE,FALSE)</f>
        <v>1</v>
      </c>
      <c r="L78" s="27">
        <f>G78-D78</f>
        <v>1045</v>
      </c>
      <c r="M78" s="4">
        <f>G78/C79-1</f>
        <v>-0.32168284789644008</v>
      </c>
      <c r="N78" s="166">
        <f>H78-D78</f>
        <v>1045</v>
      </c>
      <c r="P78" s="5">
        <v>0</v>
      </c>
      <c r="Q78" s="5">
        <v>2010.92</v>
      </c>
      <c r="T78" s="5">
        <v>9148.42</v>
      </c>
      <c r="W78" s="152">
        <f>Q78-P78</f>
        <v>2010.92</v>
      </c>
      <c r="X78" s="4">
        <f>IF(P78=0,0,Q78/P78-1)</f>
        <v>0</v>
      </c>
      <c r="AD78" s="18">
        <v>29.97</v>
      </c>
      <c r="AE78" s="18">
        <v>10359.630000000001</v>
      </c>
      <c r="AF78" s="4">
        <f>AE78/AD78-1</f>
        <v>344.66666666666669</v>
      </c>
      <c r="AG78" s="150">
        <f>(N78*2)-W78</f>
        <v>79.079999999999927</v>
      </c>
      <c r="AH78" s="158">
        <f>P78/AD78</f>
        <v>0</v>
      </c>
      <c r="AI78" s="158">
        <f>Q78/AE78</f>
        <v>0.19411117964637731</v>
      </c>
    </row>
    <row r="79" spans="1:36">
      <c r="A79" t="s">
        <v>966</v>
      </c>
      <c r="B79" t="s">
        <v>468</v>
      </c>
      <c r="C79" s="19">
        <v>1545</v>
      </c>
      <c r="D79">
        <v>1545</v>
      </c>
      <c r="F79" t="s">
        <v>468</v>
      </c>
      <c r="G79" s="19">
        <v>1872</v>
      </c>
      <c r="H79">
        <v>1865</v>
      </c>
      <c r="I79" t="b">
        <f>IF(B79=F79,TRUE,FALSE)</f>
        <v>1</v>
      </c>
      <c r="L79" s="27">
        <f>G79-D79</f>
        <v>327</v>
      </c>
      <c r="M79" s="4">
        <f>G79/C79-1</f>
        <v>0.21165048543689324</v>
      </c>
      <c r="N79" s="166">
        <f>H79-D79</f>
        <v>320</v>
      </c>
      <c r="P79" s="5">
        <v>1707.1100000000001</v>
      </c>
      <c r="Q79" s="5">
        <v>2248.63</v>
      </c>
      <c r="T79" s="5">
        <v>13024.22</v>
      </c>
      <c r="W79" s="152">
        <f>Q79-P79</f>
        <v>541.52</v>
      </c>
      <c r="X79" s="4">
        <f>IF(P79=0,0,Q79/P79-1)</f>
        <v>0.31721447358401034</v>
      </c>
      <c r="AD79" s="18">
        <v>29987.279999999999</v>
      </c>
      <c r="AE79" s="18">
        <v>37401.29</v>
      </c>
      <c r="AF79" s="4">
        <f>AE79/AD79-1</f>
        <v>0.24723849578888113</v>
      </c>
      <c r="AG79" s="150">
        <f>(N79*2)-W79</f>
        <v>98.480000000000018</v>
      </c>
      <c r="AH79" s="158">
        <f>P79/AD79</f>
        <v>5.6927804055586242E-2</v>
      </c>
      <c r="AI79" s="158">
        <f>Q79/AE79</f>
        <v>6.0121723074257602E-2</v>
      </c>
    </row>
    <row r="80" spans="1:36">
      <c r="A80" t="s">
        <v>967</v>
      </c>
      <c r="B80" t="s">
        <v>821</v>
      </c>
      <c r="C80" s="19">
        <v>474</v>
      </c>
      <c r="D80">
        <v>474</v>
      </c>
      <c r="F80" t="s">
        <v>821</v>
      </c>
      <c r="G80" s="19">
        <v>700</v>
      </c>
      <c r="H80">
        <v>695</v>
      </c>
      <c r="I80" t="b">
        <f>IF(B80=F80,TRUE,FALSE)</f>
        <v>1</v>
      </c>
      <c r="L80" s="27">
        <f>G80-D80</f>
        <v>226</v>
      </c>
      <c r="M80" s="4">
        <f>G80/C80-1</f>
        <v>0.47679324894514763</v>
      </c>
      <c r="N80" s="166">
        <f>H80-D80</f>
        <v>221</v>
      </c>
      <c r="P80" s="5">
        <v>272.66000000000003</v>
      </c>
      <c r="Q80" s="5">
        <v>612.22</v>
      </c>
      <c r="T80" s="5">
        <v>3229.1</v>
      </c>
      <c r="W80" s="152">
        <f>Q80-P80</f>
        <v>339.56</v>
      </c>
      <c r="X80" s="4">
        <f>IF(P80=0,0,Q80/P80-1)</f>
        <v>1.2453605222621578</v>
      </c>
      <c r="AD80" s="18">
        <v>15618.3</v>
      </c>
      <c r="AE80" s="18">
        <v>23065</v>
      </c>
      <c r="AF80" s="4">
        <f>AE80/AD80-1</f>
        <v>0.47679324894514785</v>
      </c>
      <c r="AG80" s="150">
        <f>(N80*2)-W80</f>
        <v>102.44</v>
      </c>
      <c r="AH80" s="158">
        <f>P80/AD80</f>
        <v>1.7457725872854282E-2</v>
      </c>
      <c r="AI80" s="158">
        <f>Q80/AE80</f>
        <v>2.6543247344461306E-2</v>
      </c>
    </row>
    <row r="81" spans="1:36">
      <c r="A81" t="s">
        <v>968</v>
      </c>
      <c r="B81" t="s">
        <v>688</v>
      </c>
      <c r="C81" s="19">
        <v>887</v>
      </c>
      <c r="D81">
        <v>887</v>
      </c>
      <c r="F81" t="s">
        <v>688</v>
      </c>
      <c r="G81" s="19">
        <v>1034</v>
      </c>
      <c r="H81">
        <v>1025</v>
      </c>
      <c r="I81" t="b">
        <f>IF(B81=F81,TRUE,FALSE)</f>
        <v>1</v>
      </c>
      <c r="L81" s="27">
        <f>G81-D81</f>
        <v>147</v>
      </c>
      <c r="M81" s="4">
        <f>G81/C81-1</f>
        <v>0.1657271702367531</v>
      </c>
      <c r="N81" s="166">
        <f>H81-D81</f>
        <v>138</v>
      </c>
      <c r="P81" s="5">
        <v>852.86</v>
      </c>
      <c r="Q81" s="5">
        <v>1024.58</v>
      </c>
      <c r="T81" s="5">
        <v>4249.2300000000005</v>
      </c>
      <c r="W81" s="152">
        <f>Q81-P81</f>
        <v>171.71999999999991</v>
      </c>
      <c r="X81" s="4">
        <f>IF(P81=0,0,Q81/P81-1)</f>
        <v>0.20134605914218029</v>
      </c>
      <c r="AD81" s="18">
        <v>17248.77</v>
      </c>
      <c r="AE81" s="18">
        <v>20608.349999999999</v>
      </c>
      <c r="AF81" s="4">
        <f>AE81/AD81-1</f>
        <v>0.19477214897062223</v>
      </c>
      <c r="AG81" s="150">
        <f>(N81*2)-W81</f>
        <v>104.28000000000009</v>
      </c>
      <c r="AH81" s="158">
        <f>P81/AD81</f>
        <v>4.9444685041310193E-2</v>
      </c>
      <c r="AI81" s="158">
        <f>Q81/AE81</f>
        <v>4.9716741029728242E-2</v>
      </c>
    </row>
    <row r="82" spans="1:36">
      <c r="A82" t="s">
        <v>969</v>
      </c>
      <c r="B82" t="s">
        <v>818</v>
      </c>
      <c r="C82" s="19">
        <v>615</v>
      </c>
      <c r="D82">
        <v>615</v>
      </c>
      <c r="F82" t="s">
        <v>818</v>
      </c>
      <c r="G82" s="19">
        <v>801</v>
      </c>
      <c r="H82">
        <v>800</v>
      </c>
      <c r="I82" t="b">
        <f>IF(B82=F82,TRUE,FALSE)</f>
        <v>1</v>
      </c>
      <c r="L82" s="27">
        <f>G82-D82</f>
        <v>186</v>
      </c>
      <c r="M82" s="4">
        <f>G82/C82-1</f>
        <v>0.30243902439024395</v>
      </c>
      <c r="N82" s="166">
        <f>H82-D82</f>
        <v>185</v>
      </c>
      <c r="P82" s="5">
        <v>632.79999999999995</v>
      </c>
      <c r="Q82" s="5">
        <v>895.73</v>
      </c>
      <c r="T82" s="5">
        <v>5305.98</v>
      </c>
      <c r="W82" s="152">
        <f>Q82-P82</f>
        <v>262.93000000000006</v>
      </c>
      <c r="X82" s="4">
        <f>IF(P82=0,0,Q82/P82-1)</f>
        <v>0.41550252844500646</v>
      </c>
      <c r="AD82" s="18">
        <v>14729.25</v>
      </c>
      <c r="AE82" s="18">
        <v>19183.95</v>
      </c>
      <c r="AF82" s="4">
        <f>AE82/AD82-1</f>
        <v>0.30243902439024395</v>
      </c>
      <c r="AG82" s="150">
        <f>(N82*2)-W82</f>
        <v>107.06999999999994</v>
      </c>
      <c r="AH82" s="158">
        <f>P82/AD82</f>
        <v>4.2962133170392242E-2</v>
      </c>
      <c r="AI82" s="158">
        <f>Q82/AE82</f>
        <v>4.6691635455680398E-2</v>
      </c>
    </row>
    <row r="83" spans="1:36">
      <c r="A83" t="s">
        <v>970</v>
      </c>
      <c r="B83" t="s">
        <v>746</v>
      </c>
      <c r="C83" s="19">
        <v>485</v>
      </c>
      <c r="D83">
        <v>485</v>
      </c>
      <c r="F83" t="s">
        <v>746</v>
      </c>
      <c r="G83" s="19">
        <v>542</v>
      </c>
      <c r="H83">
        <v>538</v>
      </c>
      <c r="I83" t="b">
        <f>IF(B83=F83,TRUE,FALSE)</f>
        <v>1</v>
      </c>
      <c r="L83" s="27">
        <f>G83-D83</f>
        <v>57</v>
      </c>
      <c r="M83" s="4">
        <f>G83/C83-1</f>
        <v>0.11752577319587632</v>
      </c>
      <c r="N83" s="166">
        <f>H83-D83</f>
        <v>53</v>
      </c>
      <c r="P83" s="5">
        <v>487.73</v>
      </c>
      <c r="Q83" s="5">
        <v>482.78000000000003</v>
      </c>
      <c r="T83" s="5">
        <v>2951.49</v>
      </c>
      <c r="W83" s="152">
        <f>Q83-P83</f>
        <v>-4.9499999999999886</v>
      </c>
      <c r="X83" s="4">
        <f>IF(P83=0,0,Q83/P83-1)</f>
        <v>-1.014905788038456E-2</v>
      </c>
      <c r="AD83" s="18">
        <v>14525.75</v>
      </c>
      <c r="AE83" s="18">
        <v>16202.95</v>
      </c>
      <c r="AF83" s="4">
        <f>AE83/AD83-1</f>
        <v>0.11546391752577323</v>
      </c>
      <c r="AG83" s="150">
        <f>(N83*2)-W83</f>
        <v>110.94999999999999</v>
      </c>
      <c r="AH83" s="158">
        <f>P83/AD83</f>
        <v>3.3576923738877509E-2</v>
      </c>
      <c r="AI83" s="158">
        <f>Q83/AE83</f>
        <v>2.9795808787905907E-2</v>
      </c>
      <c r="AJ83" s="5"/>
    </row>
    <row r="84" spans="1:36" ht="13.9" customHeight="1">
      <c r="A84" t="s">
        <v>971</v>
      </c>
      <c r="B84" t="s">
        <v>677</v>
      </c>
      <c r="C84" s="19">
        <v>937</v>
      </c>
      <c r="D84">
        <v>937</v>
      </c>
      <c r="F84" t="s">
        <v>677</v>
      </c>
      <c r="G84" s="19">
        <v>995</v>
      </c>
      <c r="H84">
        <v>995</v>
      </c>
      <c r="I84" t="b">
        <f>IF(B84=F84,TRUE,FALSE)</f>
        <v>1</v>
      </c>
      <c r="L84" s="27">
        <f>G84-D84</f>
        <v>58</v>
      </c>
      <c r="M84" s="4">
        <f>G84/C84-1</f>
        <v>6.189967982924216E-2</v>
      </c>
      <c r="N84" s="166">
        <f>H84-D84</f>
        <v>58</v>
      </c>
      <c r="P84" s="5">
        <v>0</v>
      </c>
      <c r="Q84" s="5">
        <v>0</v>
      </c>
      <c r="T84" s="5">
        <v>0</v>
      </c>
      <c r="W84" s="152">
        <v>0</v>
      </c>
      <c r="X84" s="4">
        <f>IF(P84=0,0,Q84/P84-1)</f>
        <v>0</v>
      </c>
      <c r="AD84" s="18">
        <v>36496.15</v>
      </c>
      <c r="AE84" s="18">
        <v>38755.25</v>
      </c>
      <c r="AF84" s="4">
        <f>AE84/AD84-1</f>
        <v>6.189967982924216E-2</v>
      </c>
      <c r="AG84" s="150">
        <f>(N84*2)-W84</f>
        <v>116</v>
      </c>
      <c r="AH84" s="158">
        <f>P84/AD84</f>
        <v>0</v>
      </c>
      <c r="AI84" s="158">
        <f>Q84/AE84</f>
        <v>0</v>
      </c>
      <c r="AJ84" s="5"/>
    </row>
    <row r="85" spans="1:36" ht="13.9" customHeight="1">
      <c r="A85" t="s">
        <v>972</v>
      </c>
      <c r="B85" t="s">
        <v>820</v>
      </c>
      <c r="C85" s="19">
        <v>539</v>
      </c>
      <c r="D85">
        <v>540</v>
      </c>
      <c r="F85" t="s">
        <v>820</v>
      </c>
      <c r="G85" s="19">
        <v>723</v>
      </c>
      <c r="H85">
        <v>721</v>
      </c>
      <c r="I85" t="b">
        <f>IF(B85=F85,TRUE,FALSE)</f>
        <v>1</v>
      </c>
      <c r="L85" s="27">
        <f>G85-D85</f>
        <v>183</v>
      </c>
      <c r="M85" s="4">
        <f>G85/C85-1</f>
        <v>0.34137291280148419</v>
      </c>
      <c r="N85" s="166">
        <f>H85-D85</f>
        <v>181</v>
      </c>
      <c r="P85" s="5">
        <v>367.68</v>
      </c>
      <c r="Q85" s="5">
        <v>612.1</v>
      </c>
      <c r="T85" s="5">
        <v>5165.84</v>
      </c>
      <c r="W85" s="152">
        <f>Q85-P85</f>
        <v>244.42000000000002</v>
      </c>
      <c r="X85" s="4">
        <f>IF(P85=0,0,Q85/P85-1)</f>
        <v>0.66476283724978247</v>
      </c>
      <c r="Z85" t="s">
        <v>973</v>
      </c>
      <c r="AD85" s="18">
        <v>13398.15</v>
      </c>
      <c r="AE85" s="18">
        <v>18038.849999999999</v>
      </c>
      <c r="AF85" s="4">
        <f>AE85/AD85-1</f>
        <v>0.34636871508379885</v>
      </c>
      <c r="AG85" s="150">
        <f>(N85*2)-W85</f>
        <v>117.57999999999998</v>
      </c>
      <c r="AH85" s="158">
        <f>P85/AD85</f>
        <v>2.7442594686579867E-2</v>
      </c>
      <c r="AI85" s="158">
        <f>Q85/AE85</f>
        <v>3.3932318301887317E-2</v>
      </c>
    </row>
    <row r="86" spans="1:36" ht="13.9" customHeight="1">
      <c r="A86" t="s">
        <v>974</v>
      </c>
      <c r="B86" t="s">
        <v>689</v>
      </c>
      <c r="C86" s="19">
        <v>1167</v>
      </c>
      <c r="D86">
        <v>1167</v>
      </c>
      <c r="E86" s="5"/>
      <c r="F86" t="s">
        <v>689</v>
      </c>
      <c r="G86" s="19">
        <v>1009</v>
      </c>
      <c r="H86">
        <v>1004</v>
      </c>
      <c r="I86" t="b">
        <f>IF(B86=F86,TRUE,FALSE)</f>
        <v>1</v>
      </c>
      <c r="J86" s="5"/>
      <c r="K86" s="5"/>
      <c r="L86" s="27">
        <f>G86-D86</f>
        <v>-158</v>
      </c>
      <c r="M86" s="4">
        <f>G86/C86-1</f>
        <v>-0.13538988860325618</v>
      </c>
      <c r="N86" s="166">
        <f>H86-D86</f>
        <v>-163</v>
      </c>
      <c r="O86" s="5"/>
      <c r="P86" s="5">
        <v>3245.66</v>
      </c>
      <c r="Q86" s="5">
        <v>2780.3500000000004</v>
      </c>
      <c r="R86" s="5"/>
      <c r="S86" s="5"/>
      <c r="T86" s="5">
        <v>13201.240000000002</v>
      </c>
      <c r="U86" s="5"/>
      <c r="V86" s="5"/>
      <c r="W86" s="152">
        <f>Q86-P86</f>
        <v>-465.30999999999949</v>
      </c>
      <c r="X86" s="4">
        <f>IF(P86=0,0,Q86/P86-1)</f>
        <v>-0.14336375344305918</v>
      </c>
      <c r="Y86" s="5"/>
      <c r="Z86" s="5"/>
      <c r="AA86" s="5"/>
      <c r="AB86" s="5"/>
      <c r="AC86" s="15"/>
      <c r="AD86" s="18">
        <v>16418.34</v>
      </c>
      <c r="AE86" s="18">
        <v>15109.92</v>
      </c>
      <c r="AF86" s="4">
        <f>AE86/AD86-1</f>
        <v>-7.9692587679387805E-2</v>
      </c>
      <c r="AG86" s="150">
        <f>(N86*2)-W86</f>
        <v>139.30999999999949</v>
      </c>
      <c r="AH86" s="158">
        <f>P86/AD86</f>
        <v>0.19768502784081704</v>
      </c>
      <c r="AI86" s="158">
        <f>Q86/AE86</f>
        <v>0.18400825418003539</v>
      </c>
    </row>
    <row r="87" spans="1:36" ht="13.9" customHeight="1">
      <c r="A87" t="s">
        <v>975</v>
      </c>
      <c r="B87" t="s">
        <v>381</v>
      </c>
      <c r="C87" s="19">
        <v>1862</v>
      </c>
      <c r="D87">
        <v>1867</v>
      </c>
      <c r="E87" s="5"/>
      <c r="F87" t="s">
        <v>381</v>
      </c>
      <c r="G87" s="19">
        <v>2468</v>
      </c>
      <c r="H87">
        <v>2426</v>
      </c>
      <c r="I87" t="b">
        <f>IF(B87=F87,TRUE,FALSE)</f>
        <v>1</v>
      </c>
      <c r="J87" s="5"/>
      <c r="K87" s="5"/>
      <c r="L87" s="27">
        <f>G87-D87</f>
        <v>601</v>
      </c>
      <c r="M87" s="4">
        <f>G87/C87-1</f>
        <v>0.32545649838882929</v>
      </c>
      <c r="N87" s="166">
        <f>H87-D87</f>
        <v>559</v>
      </c>
      <c r="O87" s="5"/>
      <c r="P87" s="5">
        <v>1806.29</v>
      </c>
      <c r="Q87" s="5">
        <v>2775.51</v>
      </c>
      <c r="R87" s="5"/>
      <c r="S87" s="5"/>
      <c r="T87" s="5">
        <v>9424.86</v>
      </c>
      <c r="U87" s="5"/>
      <c r="V87" s="5"/>
      <c r="W87" s="152">
        <f>Q87-P87</f>
        <v>969.22000000000025</v>
      </c>
      <c r="X87" s="4">
        <f>IF(P87=0,0,Q87/P87-1)</f>
        <v>0.53658050479158947</v>
      </c>
      <c r="Y87" s="5"/>
      <c r="Z87" s="5"/>
      <c r="AA87" s="5"/>
      <c r="AB87" s="5"/>
      <c r="AC87" s="15"/>
      <c r="AD87" s="18">
        <v>37107</v>
      </c>
      <c r="AE87" s="18">
        <v>53255.85</v>
      </c>
      <c r="AF87" s="4">
        <f>AE87/AD87-1</f>
        <v>0.43519686312555583</v>
      </c>
      <c r="AG87" s="150">
        <f>(N87*2)-W87</f>
        <v>148.77999999999975</v>
      </c>
      <c r="AH87" s="158">
        <f>P87/AD87</f>
        <v>4.8677877489422483E-2</v>
      </c>
      <c r="AI87" s="158">
        <f>Q87/AE87</f>
        <v>5.2116528043398051E-2</v>
      </c>
    </row>
    <row r="88" spans="1:36" ht="13.9" customHeight="1">
      <c r="A88" t="s">
        <v>976</v>
      </c>
      <c r="B88" t="s">
        <v>813</v>
      </c>
      <c r="C88" s="19">
        <v>1097</v>
      </c>
      <c r="D88">
        <v>1097</v>
      </c>
      <c r="F88" t="s">
        <v>813</v>
      </c>
      <c r="G88" s="19">
        <v>1298</v>
      </c>
      <c r="H88">
        <v>1297</v>
      </c>
      <c r="I88" t="b">
        <f>IF(B88=F88,TRUE,FALSE)</f>
        <v>1</v>
      </c>
      <c r="L88" s="27">
        <f>G88-D88</f>
        <v>201</v>
      </c>
      <c r="M88" s="4">
        <f>G88/C88-1</f>
        <v>0.18322698268003657</v>
      </c>
      <c r="N88" s="166">
        <f>H88-D88</f>
        <v>200</v>
      </c>
      <c r="P88" s="5">
        <v>851.76</v>
      </c>
      <c r="Q88" s="5">
        <v>1094.02</v>
      </c>
      <c r="T88" s="5">
        <v>5524.72</v>
      </c>
      <c r="W88" s="152">
        <f>Q88-P88</f>
        <v>242.26</v>
      </c>
      <c r="X88" s="4">
        <f>IF(P88=0,0,Q88/P88-1)</f>
        <v>0.28442284211514979</v>
      </c>
      <c r="AD88" s="18">
        <v>16444.03</v>
      </c>
      <c r="AE88" s="18">
        <v>20764.03</v>
      </c>
      <c r="AF88" s="4">
        <f>AE88/AD88-1</f>
        <v>0.26270932368768496</v>
      </c>
      <c r="AG88" s="150">
        <f>(N88*2)-W88</f>
        <v>157.74</v>
      </c>
      <c r="AH88" s="158">
        <f>P88/AD88</f>
        <v>5.1797521653755195E-2</v>
      </c>
      <c r="AI88" s="158">
        <f>Q88/AE88</f>
        <v>5.2688230560252514E-2</v>
      </c>
    </row>
    <row r="89" spans="1:36" ht="14.45" customHeight="1">
      <c r="A89" t="s">
        <v>977</v>
      </c>
      <c r="B89" t="s">
        <v>425</v>
      </c>
      <c r="C89" s="19">
        <v>1690</v>
      </c>
      <c r="D89">
        <v>1690</v>
      </c>
      <c r="E89" s="12"/>
      <c r="F89" t="s">
        <v>425</v>
      </c>
      <c r="G89" s="19">
        <v>1768</v>
      </c>
      <c r="H89">
        <v>1751</v>
      </c>
      <c r="I89" t="b">
        <f>IF(B89=F89,TRUE,FALSE)</f>
        <v>1</v>
      </c>
      <c r="J89" s="12"/>
      <c r="K89" s="12"/>
      <c r="L89" s="27">
        <f>G89-D89</f>
        <v>78</v>
      </c>
      <c r="M89" s="4">
        <f>G89/C89-1</f>
        <v>4.6153846153846212E-2</v>
      </c>
      <c r="N89" s="166">
        <f>H89-D89</f>
        <v>61</v>
      </c>
      <c r="O89" s="12"/>
      <c r="P89" s="5">
        <v>2061.0100000000002</v>
      </c>
      <c r="Q89" s="5">
        <v>2013.6399999999999</v>
      </c>
      <c r="R89" s="12"/>
      <c r="S89" s="12"/>
      <c r="T89" s="5">
        <v>8412.85</v>
      </c>
      <c r="U89" s="12"/>
      <c r="V89" s="12"/>
      <c r="W89" s="152">
        <f>Q89-P89</f>
        <v>-47.370000000000346</v>
      </c>
      <c r="X89" s="4">
        <f>IF(P89=0,0,Q89/P89-1)</f>
        <v>-2.2983876837084916E-2</v>
      </c>
      <c r="Y89" s="5"/>
      <c r="Z89" s="5"/>
      <c r="AA89" s="5"/>
      <c r="AB89" s="5"/>
      <c r="AC89" s="15"/>
      <c r="AD89" s="18">
        <v>37141.11</v>
      </c>
      <c r="AE89" s="18">
        <v>42366.34</v>
      </c>
      <c r="AF89" s="4">
        <f>AE89/AD89-1</f>
        <v>0.14068588687844796</v>
      </c>
      <c r="AG89" s="150">
        <f>(N89*2)-W89</f>
        <v>169.37000000000035</v>
      </c>
      <c r="AH89" s="158">
        <f>P89/AD89</f>
        <v>5.5491340996539955E-2</v>
      </c>
      <c r="AI89" s="158">
        <f>Q89/AE89</f>
        <v>4.7529241374166378E-2</v>
      </c>
      <c r="AJ89" s="5"/>
    </row>
    <row r="90" spans="1:36" ht="13.9" customHeight="1">
      <c r="A90" s="58" t="s">
        <v>978</v>
      </c>
      <c r="B90" s="39" t="s">
        <v>765</v>
      </c>
      <c r="C90" s="19">
        <v>98</v>
      </c>
      <c r="D90">
        <v>98</v>
      </c>
      <c r="F90" s="39" t="s">
        <v>765</v>
      </c>
      <c r="G90" s="19">
        <v>777</v>
      </c>
      <c r="H90">
        <v>777</v>
      </c>
      <c r="I90" t="b">
        <f>IF(B90=F90,TRUE,FALSE)</f>
        <v>1</v>
      </c>
      <c r="L90" s="27">
        <f>G90-D90</f>
        <v>679</v>
      </c>
      <c r="M90" s="4">
        <f>G90/C91-1</f>
        <v>-0.5610169491525423</v>
      </c>
      <c r="N90" s="166">
        <f>H90-D90</f>
        <v>679</v>
      </c>
      <c r="P90" s="5">
        <v>172.73</v>
      </c>
      <c r="Q90" s="5">
        <v>1346.18</v>
      </c>
      <c r="T90" s="5">
        <v>7909.0300000000007</v>
      </c>
      <c r="W90" s="152">
        <f>Q90-P90</f>
        <v>1173.45</v>
      </c>
      <c r="X90" s="4">
        <f>IF(P90=0,0,Q90/P90-1)</f>
        <v>6.7935506281479778</v>
      </c>
      <c r="AD90" s="18">
        <v>849.32</v>
      </c>
      <c r="AE90" s="18">
        <v>9908.24</v>
      </c>
      <c r="AF90" s="4">
        <f>AE90/AD90-1</f>
        <v>10.666085809824329</v>
      </c>
      <c r="AG90" s="150">
        <f>(N90*2)-W90</f>
        <v>184.54999999999995</v>
      </c>
      <c r="AH90" s="158">
        <f>P90/AD90</f>
        <v>0.20337446427730418</v>
      </c>
      <c r="AI90" s="158">
        <f>Q90/AE90</f>
        <v>0.1358646944361461</v>
      </c>
    </row>
    <row r="91" spans="1:36" ht="13.9" customHeight="1">
      <c r="A91" t="s">
        <v>979</v>
      </c>
      <c r="B91" t="s">
        <v>264</v>
      </c>
      <c r="C91" s="19">
        <v>1770</v>
      </c>
      <c r="D91">
        <v>1770</v>
      </c>
      <c r="F91" t="s">
        <v>264</v>
      </c>
      <c r="G91" s="19">
        <v>1986</v>
      </c>
      <c r="H91">
        <v>1978</v>
      </c>
      <c r="I91" t="b">
        <f>IF(B91=F91,TRUE,FALSE)</f>
        <v>1</v>
      </c>
      <c r="L91" s="27">
        <f>G91-D91</f>
        <v>216</v>
      </c>
      <c r="M91" s="4">
        <f>G91/C91-1</f>
        <v>0.12203389830508482</v>
      </c>
      <c r="N91" s="166">
        <f>H91-D91</f>
        <v>208</v>
      </c>
      <c r="P91" s="5">
        <v>2265.38</v>
      </c>
      <c r="Q91" s="5">
        <v>2494.56</v>
      </c>
      <c r="T91" s="5">
        <v>11230.23</v>
      </c>
      <c r="W91" s="152">
        <f>Q91-P91</f>
        <v>229.17999999999984</v>
      </c>
      <c r="X91" s="4">
        <f>IF(P91=0,0,Q91/P91-1)</f>
        <v>0.10116625025382042</v>
      </c>
      <c r="AD91" s="18">
        <v>35311.5</v>
      </c>
      <c r="AE91" s="18">
        <v>39620.699999999997</v>
      </c>
      <c r="AF91" s="4">
        <f>AE91/AD91-1</f>
        <v>0.1220338983050846</v>
      </c>
      <c r="AG91" s="150">
        <f>(N91*2)-W91</f>
        <v>186.82000000000016</v>
      </c>
      <c r="AH91" s="158">
        <f>P91/AD91</f>
        <v>6.4154170737578411E-2</v>
      </c>
      <c r="AI91" s="158">
        <f>Q91/AE91</f>
        <v>6.2961027947512294E-2</v>
      </c>
    </row>
    <row r="92" spans="1:36" ht="13.9" customHeight="1">
      <c r="A92" t="s">
        <v>980</v>
      </c>
      <c r="B92" t="s">
        <v>210</v>
      </c>
      <c r="C92" s="19">
        <v>2359</v>
      </c>
      <c r="D92">
        <v>2359</v>
      </c>
      <c r="E92" s="5"/>
      <c r="F92" t="s">
        <v>210</v>
      </c>
      <c r="G92" s="19">
        <v>2686</v>
      </c>
      <c r="H92">
        <v>2674</v>
      </c>
      <c r="I92" t="b">
        <f>IF(B92=F92,TRUE,FALSE)</f>
        <v>1</v>
      </c>
      <c r="J92" s="5"/>
      <c r="K92" s="5"/>
      <c r="L92" s="27">
        <f>G92-D92</f>
        <v>327</v>
      </c>
      <c r="M92" s="4">
        <f>G92/C92-1</f>
        <v>0.13861805849936415</v>
      </c>
      <c r="N92" s="166">
        <f>H92-D92</f>
        <v>315</v>
      </c>
      <c r="O92" s="5"/>
      <c r="P92" s="5">
        <v>2139.84</v>
      </c>
      <c r="Q92" s="5">
        <v>2575.0500000000002</v>
      </c>
      <c r="R92" s="5"/>
      <c r="S92" s="5"/>
      <c r="T92" s="5">
        <v>14577.61</v>
      </c>
      <c r="U92" s="5"/>
      <c r="V92" s="5"/>
      <c r="W92" s="152">
        <f>Q92-P92</f>
        <v>435.21000000000004</v>
      </c>
      <c r="X92" s="4">
        <f>IF(P92=0,0,Q92/P92-1)</f>
        <v>0.20338436518618219</v>
      </c>
      <c r="Y92" s="5"/>
      <c r="Z92" s="5"/>
      <c r="AA92" s="5"/>
      <c r="AB92" s="5"/>
      <c r="AC92" s="15"/>
      <c r="AD92" s="18">
        <v>48123.18</v>
      </c>
      <c r="AE92" s="18">
        <v>58935.75</v>
      </c>
      <c r="AF92" s="4">
        <f>AE92/AD92-1</f>
        <v>0.22468527640941427</v>
      </c>
      <c r="AG92" s="150">
        <f>(N92*2)-W92</f>
        <v>194.78999999999996</v>
      </c>
      <c r="AH92" s="158">
        <f>P92/AD92</f>
        <v>4.4465889411298261E-2</v>
      </c>
      <c r="AI92" s="158">
        <f>Q92/AE92</f>
        <v>4.3692495641440045E-2</v>
      </c>
    </row>
    <row r="93" spans="1:36">
      <c r="A93" t="s">
        <v>981</v>
      </c>
      <c r="B93" t="s">
        <v>751</v>
      </c>
      <c r="C93" s="19">
        <v>419</v>
      </c>
      <c r="D93">
        <v>419</v>
      </c>
      <c r="F93" t="s">
        <v>751</v>
      </c>
      <c r="G93" s="19">
        <v>517</v>
      </c>
      <c r="H93">
        <v>514</v>
      </c>
      <c r="I93" t="b">
        <f>IF(B93=F93,TRUE,FALSE)</f>
        <v>1</v>
      </c>
      <c r="L93" s="27">
        <f>G93-D93</f>
        <v>98</v>
      </c>
      <c r="M93" s="4">
        <f>G93/C93-1</f>
        <v>0.23389021479713601</v>
      </c>
      <c r="N93" s="166">
        <f>H93-D93</f>
        <v>95</v>
      </c>
      <c r="P93" s="5">
        <v>348.16</v>
      </c>
      <c r="Q93" s="5">
        <v>339.72</v>
      </c>
      <c r="T93" s="5">
        <v>2342.89</v>
      </c>
      <c r="W93" s="152">
        <f>Q93-P93</f>
        <v>-8.4399999999999977</v>
      </c>
      <c r="X93" s="4">
        <f>IF(P93=0,0,Q93/P93-1)</f>
        <v>-2.4241727941176516E-2</v>
      </c>
      <c r="AD93" s="18">
        <v>11308.81</v>
      </c>
      <c r="AE93" s="18">
        <v>13953.83</v>
      </c>
      <c r="AF93" s="4">
        <f>AE93/AD93-1</f>
        <v>0.23389021479713601</v>
      </c>
      <c r="AG93" s="150">
        <f>(N93*2)-W93</f>
        <v>198.44</v>
      </c>
      <c r="AH93" s="158">
        <f>P93/AD93</f>
        <v>3.0786616805835453E-2</v>
      </c>
      <c r="AI93" s="158">
        <f>Q93/AE93</f>
        <v>2.4346003928670482E-2</v>
      </c>
      <c r="AJ93" s="5"/>
    </row>
    <row r="94" spans="1:36">
      <c r="A94" t="s">
        <v>982</v>
      </c>
      <c r="B94" t="s">
        <v>461</v>
      </c>
      <c r="C94" s="19">
        <v>1426</v>
      </c>
      <c r="D94">
        <v>1426</v>
      </c>
      <c r="F94" t="s">
        <v>461</v>
      </c>
      <c r="G94" s="19">
        <v>1585</v>
      </c>
      <c r="H94">
        <v>1579</v>
      </c>
      <c r="I94" t="b">
        <f>IF(B94=F94,TRUE,FALSE)</f>
        <v>1</v>
      </c>
      <c r="L94" s="27">
        <f>G94-D94</f>
        <v>159</v>
      </c>
      <c r="M94" s="4">
        <f>G94/C94-1</f>
        <v>0.11150070126227218</v>
      </c>
      <c r="N94" s="166">
        <f>H94-D94</f>
        <v>153</v>
      </c>
      <c r="P94" s="5">
        <v>193.57</v>
      </c>
      <c r="Q94" s="5">
        <v>290.15999999999997</v>
      </c>
      <c r="T94" s="5">
        <v>2379.83</v>
      </c>
      <c r="W94" s="152">
        <f>Q94-P94</f>
        <v>96.589999999999975</v>
      </c>
      <c r="X94" s="4">
        <f>IF(P94=0,0,Q94/P94-1)</f>
        <v>0.49899261249160509</v>
      </c>
      <c r="AD94" s="18">
        <v>26689.74</v>
      </c>
      <c r="AE94" s="18">
        <v>31664.16</v>
      </c>
      <c r="AF94" s="4">
        <f>AE94/AD94-1</f>
        <v>0.18637948515047342</v>
      </c>
      <c r="AG94" s="150">
        <f>(N94*2)-W94</f>
        <v>209.41000000000003</v>
      </c>
      <c r="AH94" s="158">
        <f>P94/AD94</f>
        <v>7.2525996881198538E-3</v>
      </c>
      <c r="AI94" s="158">
        <f>Q94/AE94</f>
        <v>9.1636727454636399E-3</v>
      </c>
    </row>
    <row r="95" spans="1:36">
      <c r="A95" t="s">
        <v>983</v>
      </c>
      <c r="B95" t="s">
        <v>131</v>
      </c>
      <c r="C95" s="19">
        <v>12704</v>
      </c>
      <c r="D95">
        <v>12705</v>
      </c>
      <c r="F95" t="s">
        <v>131</v>
      </c>
      <c r="G95" s="19">
        <v>13372</v>
      </c>
      <c r="H95">
        <v>13328</v>
      </c>
      <c r="I95" t="b">
        <f>IF(B95=F95,TRUE,FALSE)</f>
        <v>1</v>
      </c>
      <c r="L95" s="27">
        <f>G95-D95</f>
        <v>667</v>
      </c>
      <c r="M95" s="4">
        <f>G95/C95-1</f>
        <v>5.2581863979848764E-2</v>
      </c>
      <c r="N95" s="166">
        <f>H95-D95</f>
        <v>623</v>
      </c>
      <c r="P95" s="5">
        <v>11372.96</v>
      </c>
      <c r="Q95" s="5">
        <v>12381.189999999999</v>
      </c>
      <c r="T95" s="5">
        <v>52249.85</v>
      </c>
      <c r="W95" s="152">
        <f>Q95-P95</f>
        <v>1008.2299999999996</v>
      </c>
      <c r="X95" s="4">
        <f>IF(P95=0,0,Q95/P95-1)</f>
        <v>8.8651503214642435E-2</v>
      </c>
      <c r="Z95" t="s">
        <v>984</v>
      </c>
      <c r="AB95" t="s">
        <v>985</v>
      </c>
      <c r="AD95" s="18">
        <v>243115.3</v>
      </c>
      <c r="AE95" s="18">
        <v>251490.16</v>
      </c>
      <c r="AF95" s="4">
        <f>AE95/AD95-1</f>
        <v>3.4448099317484493E-2</v>
      </c>
      <c r="AG95" s="150">
        <f>(N95*2)-W95</f>
        <v>237.77000000000044</v>
      </c>
      <c r="AH95" s="158">
        <f>P95/AD95</f>
        <v>4.6780108039271899E-2</v>
      </c>
      <c r="AI95" s="158">
        <f>Q95/AE95</f>
        <v>4.9231309885046787E-2</v>
      </c>
    </row>
    <row r="96" spans="1:36">
      <c r="A96" t="s">
        <v>986</v>
      </c>
      <c r="B96" t="s">
        <v>354</v>
      </c>
      <c r="C96" s="19">
        <v>1241</v>
      </c>
      <c r="D96">
        <v>1241</v>
      </c>
      <c r="F96" t="s">
        <v>354</v>
      </c>
      <c r="G96" s="19">
        <v>1421</v>
      </c>
      <c r="H96">
        <v>1415</v>
      </c>
      <c r="I96" t="b">
        <f>IF(B96=F96,TRUE,FALSE)</f>
        <v>1</v>
      </c>
      <c r="L96" s="27">
        <f>G96-D96</f>
        <v>180</v>
      </c>
      <c r="M96" s="4">
        <f>G96/C96-1</f>
        <v>0.14504431909750193</v>
      </c>
      <c r="N96" s="166">
        <f>H96-D96</f>
        <v>174</v>
      </c>
      <c r="P96" s="5">
        <v>253.18</v>
      </c>
      <c r="Q96" s="5">
        <v>356.72</v>
      </c>
      <c r="T96" s="5">
        <v>2223.59</v>
      </c>
      <c r="W96" s="152">
        <f>Q96-P96</f>
        <v>103.54000000000002</v>
      </c>
      <c r="X96" s="4">
        <f>IF(P96=0,0,Q96/P96-1)</f>
        <v>0.40895805355873294</v>
      </c>
      <c r="AD96" s="18">
        <v>29734.36</v>
      </c>
      <c r="AE96" s="18">
        <v>34023.199999999997</v>
      </c>
      <c r="AF96" s="4">
        <f>AE96/AD96-1</f>
        <v>0.14423851732473802</v>
      </c>
      <c r="AG96" s="150">
        <f>(N96*2)-W96</f>
        <v>244.45999999999998</v>
      </c>
      <c r="AH96" s="158">
        <f>P96/AD96</f>
        <v>8.5147284152071873E-3</v>
      </c>
      <c r="AI96" s="158">
        <f>Q96/AE96</f>
        <v>1.0484610501069859E-2</v>
      </c>
    </row>
    <row r="97" spans="1:38" s="5" customFormat="1">
      <c r="A97" t="s">
        <v>987</v>
      </c>
      <c r="B97" t="s">
        <v>595</v>
      </c>
      <c r="C97" s="19">
        <v>1061</v>
      </c>
      <c r="D97">
        <v>1061</v>
      </c>
      <c r="E97"/>
      <c r="F97" t="s">
        <v>595</v>
      </c>
      <c r="G97" s="19">
        <v>1013</v>
      </c>
      <c r="H97">
        <v>1010</v>
      </c>
      <c r="I97" t="b">
        <f>IF(B97=F97,TRUE,FALSE)</f>
        <v>1</v>
      </c>
      <c r="J97"/>
      <c r="K97"/>
      <c r="L97" s="27">
        <f>G97-D97</f>
        <v>-48</v>
      </c>
      <c r="M97" s="4">
        <f>G97/C97-1</f>
        <v>-4.5240339302544785E-2</v>
      </c>
      <c r="N97" s="166">
        <f>H97-D97</f>
        <v>-51</v>
      </c>
      <c r="O97"/>
      <c r="P97" s="5">
        <v>2290.6799999999998</v>
      </c>
      <c r="Q97" s="5">
        <v>1941.5100000000002</v>
      </c>
      <c r="R97"/>
      <c r="S97"/>
      <c r="T97" s="5">
        <v>7371.7699999999995</v>
      </c>
      <c r="U97"/>
      <c r="V97"/>
      <c r="W97" s="152">
        <f>Q97-P97</f>
        <v>-349.16999999999962</v>
      </c>
      <c r="X97" s="4">
        <f>IF(P97=0,0,Q97/P97-1)</f>
        <v>-0.15243071926240226</v>
      </c>
      <c r="Y97"/>
      <c r="Z97"/>
      <c r="AA97"/>
      <c r="AB97"/>
      <c r="AC97" s="14"/>
      <c r="AD97" s="18">
        <v>20305.11</v>
      </c>
      <c r="AE97" s="18">
        <v>20209.349999999999</v>
      </c>
      <c r="AF97" s="4">
        <f>AE97/AD97-1</f>
        <v>-4.7160542346238454E-3</v>
      </c>
      <c r="AG97" s="150">
        <f>(N97*2)-W97</f>
        <v>247.16999999999962</v>
      </c>
      <c r="AH97" s="158">
        <f>P97/AD97</f>
        <v>0.11281298155981424</v>
      </c>
      <c r="AI97" s="158">
        <f>Q97/AE97</f>
        <v>9.6069888442725793E-2</v>
      </c>
      <c r="AJ97"/>
      <c r="AK97" s="152"/>
      <c r="AL97" s="180"/>
    </row>
    <row r="98" spans="1:38" s="5" customFormat="1">
      <c r="A98" t="s">
        <v>988</v>
      </c>
      <c r="B98" t="s">
        <v>816</v>
      </c>
      <c r="C98" s="19">
        <v>923</v>
      </c>
      <c r="D98">
        <v>923</v>
      </c>
      <c r="E98"/>
      <c r="F98" t="s">
        <v>816</v>
      </c>
      <c r="G98" s="19">
        <v>1088</v>
      </c>
      <c r="H98">
        <v>1085</v>
      </c>
      <c r="I98" t="b">
        <f>IF(B98=F98,TRUE,FALSE)</f>
        <v>1</v>
      </c>
      <c r="J98"/>
      <c r="K98"/>
      <c r="L98" s="27">
        <f>G98-D98</f>
        <v>165</v>
      </c>
      <c r="M98" s="4">
        <f>G98/C98-1</f>
        <v>0.17876489707475618</v>
      </c>
      <c r="N98" s="166">
        <f>H98-D98</f>
        <v>162</v>
      </c>
      <c r="O98"/>
      <c r="P98" s="5">
        <v>997.17</v>
      </c>
      <c r="Q98" s="5">
        <v>1056.3800000000001</v>
      </c>
      <c r="R98"/>
      <c r="S98"/>
      <c r="T98" s="5">
        <v>4213.3</v>
      </c>
      <c r="U98"/>
      <c r="V98"/>
      <c r="W98" s="152">
        <f>Q98-P98</f>
        <v>59.21000000000015</v>
      </c>
      <c r="X98" s="4">
        <f>IF(P98=0,0,Q98/P98-1)</f>
        <v>5.9378039852783449E-2</v>
      </c>
      <c r="Y98"/>
      <c r="Z98"/>
      <c r="AA98"/>
      <c r="AB98"/>
      <c r="AC98" s="14"/>
      <c r="AD98" s="18">
        <v>17490.849999999999</v>
      </c>
      <c r="AE98" s="18">
        <v>21476.639999999999</v>
      </c>
      <c r="AF98" s="4">
        <f>AE98/AD98-1</f>
        <v>0.22787857651286259</v>
      </c>
      <c r="AG98" s="150">
        <f>(N98*2)-W98</f>
        <v>264.78999999999985</v>
      </c>
      <c r="AH98" s="158">
        <f>P98/AD98</f>
        <v>5.7010951440324517E-2</v>
      </c>
      <c r="AI98" s="158">
        <f>Q98/AE98</f>
        <v>4.91873961662532E-2</v>
      </c>
      <c r="AJ98"/>
      <c r="AK98" s="152"/>
      <c r="AL98" s="180"/>
    </row>
    <row r="99" spans="1:38" s="5" customFormat="1">
      <c r="A99" t="s">
        <v>989</v>
      </c>
      <c r="B99" t="s">
        <v>773</v>
      </c>
      <c r="C99" s="19">
        <v>972</v>
      </c>
      <c r="D99">
        <v>972</v>
      </c>
      <c r="E99"/>
      <c r="F99" t="s">
        <v>773</v>
      </c>
      <c r="G99" s="19">
        <v>1275</v>
      </c>
      <c r="H99">
        <v>1265</v>
      </c>
      <c r="I99" t="b">
        <f>IF(B99=F99,TRUE,FALSE)</f>
        <v>1</v>
      </c>
      <c r="J99"/>
      <c r="K99"/>
      <c r="L99" s="27">
        <f>G99-D99</f>
        <v>303</v>
      </c>
      <c r="M99" s="4">
        <f>G99/C99-1</f>
        <v>0.31172839506172845</v>
      </c>
      <c r="N99" s="166">
        <f>H99-D99</f>
        <v>293</v>
      </c>
      <c r="O99"/>
      <c r="P99" s="5">
        <v>437.37</v>
      </c>
      <c r="Q99" s="5">
        <v>745.68</v>
      </c>
      <c r="R99"/>
      <c r="S99"/>
      <c r="T99" s="5">
        <v>2595.94</v>
      </c>
      <c r="U99"/>
      <c r="V99"/>
      <c r="W99" s="152">
        <f>Q99-P99</f>
        <v>308.30999999999995</v>
      </c>
      <c r="X99" s="4">
        <f>IF(P99=0,0,Q99/P99-1)</f>
        <v>0.70491803278688514</v>
      </c>
      <c r="Y99"/>
      <c r="Z99"/>
      <c r="AA99"/>
      <c r="AB99"/>
      <c r="AC99" s="14"/>
      <c r="AD99" s="18">
        <v>26232.400000000001</v>
      </c>
      <c r="AE99" s="18">
        <v>35386.79</v>
      </c>
      <c r="AF99" s="4">
        <f>AE99/AD99-1</f>
        <v>0.34897264451594201</v>
      </c>
      <c r="AG99" s="150">
        <f>(N99*2)-W99</f>
        <v>277.69000000000005</v>
      </c>
      <c r="AH99" s="158">
        <f>P99/AD99</f>
        <v>1.6672893063539744E-2</v>
      </c>
      <c r="AI99" s="158">
        <f>Q99/AE99</f>
        <v>2.1072270188960341E-2</v>
      </c>
      <c r="AJ99"/>
      <c r="AK99" s="152"/>
      <c r="AL99" s="180"/>
    </row>
    <row r="100" spans="1:38" s="5" customFormat="1">
      <c r="A100" t="s">
        <v>990</v>
      </c>
      <c r="B100" s="29" t="s">
        <v>720</v>
      </c>
      <c r="C100" s="19">
        <v>625</v>
      </c>
      <c r="D100">
        <v>625</v>
      </c>
      <c r="E100" s="19"/>
      <c r="F100" s="29" t="s">
        <v>720</v>
      </c>
      <c r="G100" s="19">
        <v>843</v>
      </c>
      <c r="H100">
        <v>843</v>
      </c>
      <c r="I100" t="b">
        <f>IF(B100=F100,TRUE,FALSE)</f>
        <v>1</v>
      </c>
      <c r="J100"/>
      <c r="K100"/>
      <c r="L100" s="27">
        <f>G100-D100</f>
        <v>218</v>
      </c>
      <c r="M100" s="4">
        <f>G100/C100-1</f>
        <v>0.3488</v>
      </c>
      <c r="N100" s="166">
        <f>H100-D100</f>
        <v>218</v>
      </c>
      <c r="O100"/>
      <c r="P100" s="19">
        <v>977.44</v>
      </c>
      <c r="Q100" s="19">
        <v>1122.54</v>
      </c>
      <c r="R100"/>
      <c r="S100"/>
      <c r="T100" s="5">
        <v>5324.3799999999992</v>
      </c>
      <c r="U100"/>
      <c r="V100"/>
      <c r="W100" s="154">
        <f>Q100-P100</f>
        <v>145.09999999999991</v>
      </c>
      <c r="X100" s="4">
        <f>IF(P100=0,0,Q100/P100-1)</f>
        <v>0.14844900965788166</v>
      </c>
      <c r="Y100"/>
      <c r="Z100"/>
      <c r="AA100"/>
      <c r="AB100"/>
      <c r="AC100" s="14"/>
      <c r="AD100" s="18">
        <v>12493.75</v>
      </c>
      <c r="AE100" s="18">
        <v>16851.57</v>
      </c>
      <c r="AF100" s="4">
        <f>AE100/AD100-1</f>
        <v>0.3488</v>
      </c>
      <c r="AG100" s="150">
        <f>(N100*2)-W100</f>
        <v>290.90000000000009</v>
      </c>
      <c r="AH100" s="158">
        <f>P100/AD100</f>
        <v>7.82343171585793E-2</v>
      </c>
      <c r="AI100" s="158">
        <f>Q100/AE100</f>
        <v>6.6613377863308884E-2</v>
      </c>
      <c r="AJ100"/>
      <c r="AK100" s="152"/>
      <c r="AL100" s="180"/>
    </row>
    <row r="101" spans="1:38" s="5" customFormat="1">
      <c r="A101" t="s">
        <v>991</v>
      </c>
      <c r="B101" t="s">
        <v>627</v>
      </c>
      <c r="C101" s="19">
        <v>1060</v>
      </c>
      <c r="D101">
        <v>1060</v>
      </c>
      <c r="F101" t="s">
        <v>627</v>
      </c>
      <c r="G101" s="19">
        <v>1029</v>
      </c>
      <c r="H101">
        <v>1019</v>
      </c>
      <c r="I101" t="b">
        <f>IF(B101=F101,TRUE,FALSE)</f>
        <v>1</v>
      </c>
      <c r="L101" s="27">
        <f>G101-D101</f>
        <v>-31</v>
      </c>
      <c r="M101" s="4">
        <f>G101/C101-1</f>
        <v>-2.9245283018867974E-2</v>
      </c>
      <c r="N101" s="166">
        <f>H101-D101</f>
        <v>-41</v>
      </c>
      <c r="P101" s="5">
        <v>2022.97</v>
      </c>
      <c r="Q101" s="5">
        <v>1646.73</v>
      </c>
      <c r="T101" s="5">
        <v>9335.4699999999993</v>
      </c>
      <c r="W101" s="152">
        <f>Q101-P101</f>
        <v>-376.24</v>
      </c>
      <c r="X101" s="4">
        <f>IF(P101=0,0,Q101/P101-1)</f>
        <v>-0.18598397405794453</v>
      </c>
      <c r="AC101" s="15"/>
      <c r="AD101" s="18">
        <v>31747</v>
      </c>
      <c r="AE101" s="18">
        <v>30818.55</v>
      </c>
      <c r="AF101" s="4">
        <f>AE101/AD101-1</f>
        <v>-2.9245283018867974E-2</v>
      </c>
      <c r="AG101" s="150">
        <f>(N101*2)-W101</f>
        <v>294.24</v>
      </c>
      <c r="AH101" s="158">
        <f>P101/AD101</f>
        <v>6.3721611490849525E-2</v>
      </c>
      <c r="AI101" s="158">
        <f>Q101/AE101</f>
        <v>5.3433078454372451E-2</v>
      </c>
      <c r="AJ101"/>
      <c r="AK101" s="152"/>
      <c r="AL101" s="180"/>
    </row>
    <row r="102" spans="1:38" s="5" customFormat="1">
      <c r="A102" s="29" t="s">
        <v>992</v>
      </c>
      <c r="B102" s="29" t="s">
        <v>672</v>
      </c>
      <c r="C102" s="19">
        <v>837</v>
      </c>
      <c r="D102">
        <v>837</v>
      </c>
      <c r="E102"/>
      <c r="F102" s="29" t="s">
        <v>672</v>
      </c>
      <c r="G102" s="19">
        <v>1164</v>
      </c>
      <c r="H102">
        <v>1164</v>
      </c>
      <c r="I102" t="b">
        <f>IF(B102=F102,TRUE,FALSE)</f>
        <v>1</v>
      </c>
      <c r="J102"/>
      <c r="K102"/>
      <c r="L102" s="27">
        <f>G102-D102</f>
        <v>327</v>
      </c>
      <c r="M102" s="4">
        <f>G102/C102-1</f>
        <v>0.39068100358422941</v>
      </c>
      <c r="N102" s="166">
        <f>H102-D102</f>
        <v>327</v>
      </c>
      <c r="O102"/>
      <c r="P102" s="5">
        <v>1382.38</v>
      </c>
      <c r="Q102" s="5">
        <v>1739.6000000000001</v>
      </c>
      <c r="R102"/>
      <c r="S102"/>
      <c r="T102" s="5">
        <v>8072.9400000000005</v>
      </c>
      <c r="U102"/>
      <c r="V102"/>
      <c r="W102" s="152">
        <f>Q102-P102</f>
        <v>357.22</v>
      </c>
      <c r="X102" s="4">
        <f>IF(P102=0,0,Q102/P102-1)</f>
        <v>0.25840940985836025</v>
      </c>
      <c r="Y102"/>
      <c r="Z102"/>
      <c r="AA102"/>
      <c r="AB102"/>
      <c r="AC102" s="14"/>
      <c r="AD102" s="18">
        <v>8052.59</v>
      </c>
      <c r="AE102" s="18">
        <v>11188.22</v>
      </c>
      <c r="AF102" s="4">
        <f>AE102/AD102-1</f>
        <v>0.38939397138063647</v>
      </c>
      <c r="AG102" s="150">
        <f>(N102*2)-W102</f>
        <v>296.77999999999997</v>
      </c>
      <c r="AH102" s="158">
        <f>P102/AD102</f>
        <v>0.17166899097060698</v>
      </c>
      <c r="AI102" s="158">
        <f>Q102/AE102</f>
        <v>0.1554849654368613</v>
      </c>
      <c r="AJ102"/>
      <c r="AK102" s="152"/>
      <c r="AL102" s="180"/>
    </row>
    <row r="103" spans="1:38" s="5" customFormat="1">
      <c r="A103" t="s">
        <v>993</v>
      </c>
      <c r="B103" t="s">
        <v>771</v>
      </c>
      <c r="C103" s="19">
        <v>276</v>
      </c>
      <c r="D103">
        <v>277</v>
      </c>
      <c r="E103"/>
      <c r="F103" t="s">
        <v>771</v>
      </c>
      <c r="G103" s="19">
        <v>433</v>
      </c>
      <c r="H103">
        <v>430</v>
      </c>
      <c r="I103" t="b">
        <f>IF(B103=F103,TRUE,FALSE)</f>
        <v>1</v>
      </c>
      <c r="J103"/>
      <c r="K103"/>
      <c r="L103" s="27">
        <f>G103-D103</f>
        <v>156</v>
      </c>
      <c r="M103" s="4">
        <f>G103/C103-1</f>
        <v>0.56884057971014501</v>
      </c>
      <c r="N103" s="166">
        <f>H103-D103</f>
        <v>153</v>
      </c>
      <c r="O103"/>
      <c r="P103" s="5">
        <v>0</v>
      </c>
      <c r="Q103" s="5">
        <v>0</v>
      </c>
      <c r="R103"/>
      <c r="S103"/>
      <c r="T103" s="5">
        <v>0</v>
      </c>
      <c r="U103"/>
      <c r="V103"/>
      <c r="W103" s="152">
        <f>Q103-P103</f>
        <v>0</v>
      </c>
      <c r="X103" s="4">
        <f>IF(P103=0,0,Q103/P103-1)</f>
        <v>0</v>
      </c>
      <c r="Y103"/>
      <c r="Z103"/>
      <c r="AA103"/>
      <c r="AB103"/>
      <c r="AC103" s="14"/>
      <c r="AD103" s="18">
        <v>8818.2000000000007</v>
      </c>
      <c r="AE103" s="18">
        <v>13355.1</v>
      </c>
      <c r="AF103" s="4">
        <f>AE103/AD103-1</f>
        <v>0.51449275362318825</v>
      </c>
      <c r="AG103" s="150">
        <f>(N103*2)-W103</f>
        <v>306</v>
      </c>
      <c r="AH103" s="158">
        <f>P103/AD103</f>
        <v>0</v>
      </c>
      <c r="AI103" s="158">
        <f>Q103/AE103</f>
        <v>0</v>
      </c>
      <c r="AK103" s="152"/>
      <c r="AL103" s="180"/>
    </row>
    <row r="104" spans="1:38" s="5" customFormat="1">
      <c r="A104" t="s">
        <v>994</v>
      </c>
      <c r="B104" t="s">
        <v>766</v>
      </c>
      <c r="C104" s="19">
        <v>261</v>
      </c>
      <c r="D104">
        <v>261</v>
      </c>
      <c r="E104"/>
      <c r="F104" t="s">
        <v>766</v>
      </c>
      <c r="G104" s="19">
        <v>348</v>
      </c>
      <c r="H104">
        <v>345</v>
      </c>
      <c r="I104" t="b">
        <f>IF(B104=F104,TRUE,FALSE)</f>
        <v>1</v>
      </c>
      <c r="J104"/>
      <c r="K104"/>
      <c r="L104" s="27">
        <f>G104-D104</f>
        <v>87</v>
      </c>
      <c r="M104" s="4">
        <f>G104/C104-1</f>
        <v>0.33333333333333326</v>
      </c>
      <c r="N104" s="166">
        <f>H104-D104</f>
        <v>84</v>
      </c>
      <c r="O104"/>
      <c r="P104" s="5">
        <v>140.44</v>
      </c>
      <c r="Q104" s="5">
        <v>0</v>
      </c>
      <c r="R104"/>
      <c r="S104"/>
      <c r="T104" s="5">
        <v>0</v>
      </c>
      <c r="U104"/>
      <c r="V104"/>
      <c r="W104" s="152">
        <f>Q104-P104</f>
        <v>-140.44</v>
      </c>
      <c r="X104" s="4">
        <f>IF(P104=0,0,Q104/P104-1)</f>
        <v>-1</v>
      </c>
      <c r="Y104"/>
      <c r="Z104"/>
      <c r="AA104"/>
      <c r="AB104"/>
      <c r="AC104" s="14"/>
      <c r="AD104" s="18">
        <v>7555.95</v>
      </c>
      <c r="AE104" s="18">
        <v>10045.65</v>
      </c>
      <c r="AF104" s="4">
        <f>AE104/AD104-1</f>
        <v>0.32950191570881215</v>
      </c>
      <c r="AG104" s="150">
        <f>(N104*2)-W104</f>
        <v>308.44</v>
      </c>
      <c r="AH104" s="158">
        <f>P104/AD104</f>
        <v>1.8586676724965095E-2</v>
      </c>
      <c r="AI104" s="158">
        <f>Q104/AE104</f>
        <v>0</v>
      </c>
      <c r="AK104" s="152"/>
      <c r="AL104" s="180"/>
    </row>
    <row r="105" spans="1:38">
      <c r="A105" t="s">
        <v>995</v>
      </c>
      <c r="B105" t="s">
        <v>824</v>
      </c>
      <c r="C105" s="19">
        <v>313</v>
      </c>
      <c r="D105">
        <v>313</v>
      </c>
      <c r="F105" t="s">
        <v>824</v>
      </c>
      <c r="G105" s="19">
        <v>570</v>
      </c>
      <c r="H105">
        <v>568</v>
      </c>
      <c r="I105" t="b">
        <f>IF(B105=F105,TRUE,FALSE)</f>
        <v>1</v>
      </c>
      <c r="L105" s="27">
        <f>G105-D105</f>
        <v>257</v>
      </c>
      <c r="M105" s="4">
        <f>G105/C105-1</f>
        <v>0.82108626198083057</v>
      </c>
      <c r="N105" s="166">
        <f>H105-D105</f>
        <v>255</v>
      </c>
      <c r="P105" s="5">
        <v>249.87</v>
      </c>
      <c r="Q105" s="5">
        <v>447.4</v>
      </c>
      <c r="T105" s="5">
        <v>1837.99</v>
      </c>
      <c r="W105" s="152">
        <f>Q105-P105</f>
        <v>197.52999999999997</v>
      </c>
      <c r="X105" s="4">
        <f>IF(P105=0,0,Q105/P105-1)</f>
        <v>0.79053107615960294</v>
      </c>
      <c r="AD105" s="18">
        <v>6256.87</v>
      </c>
      <c r="AE105" s="18">
        <v>11394.3</v>
      </c>
      <c r="AF105" s="4">
        <f>AE105/AD105-1</f>
        <v>0.82108626198083057</v>
      </c>
      <c r="AG105" s="150">
        <f>(N105*2)-W105</f>
        <v>312.47000000000003</v>
      </c>
      <c r="AH105" s="158">
        <f>P105/AD105</f>
        <v>3.9935303114816197E-2</v>
      </c>
      <c r="AI105" s="158">
        <f>Q105/AE105</f>
        <v>3.9265246658416929E-2</v>
      </c>
    </row>
    <row r="106" spans="1:38" s="5" customFormat="1">
      <c r="A106" t="s">
        <v>996</v>
      </c>
      <c r="B106" t="s">
        <v>786</v>
      </c>
      <c r="C106" s="19">
        <v>103</v>
      </c>
      <c r="D106">
        <v>103</v>
      </c>
      <c r="E106"/>
      <c r="F106" t="s">
        <v>786</v>
      </c>
      <c r="G106" s="19">
        <v>262</v>
      </c>
      <c r="H106">
        <v>262</v>
      </c>
      <c r="I106" t="b">
        <f>IF(B106=F106,TRUE,FALSE)</f>
        <v>1</v>
      </c>
      <c r="J106"/>
      <c r="K106"/>
      <c r="L106" s="27">
        <f>G106-D106</f>
        <v>159</v>
      </c>
      <c r="M106" s="4">
        <f>G106/C106-1</f>
        <v>1.5436893203883497</v>
      </c>
      <c r="N106" s="166">
        <f>H106-D106</f>
        <v>159</v>
      </c>
      <c r="O106"/>
      <c r="P106" s="5">
        <v>0</v>
      </c>
      <c r="Q106" s="5">
        <v>0</v>
      </c>
      <c r="R106"/>
      <c r="S106"/>
      <c r="T106" s="5">
        <v>0</v>
      </c>
      <c r="U106"/>
      <c r="V106"/>
      <c r="W106" s="152">
        <f>Q106-P106</f>
        <v>0</v>
      </c>
      <c r="X106" s="4">
        <f>IF(P106=0,0,Q106/P106-1)</f>
        <v>0</v>
      </c>
      <c r="Y106"/>
      <c r="Z106"/>
      <c r="AA106"/>
      <c r="AB106"/>
      <c r="AC106" s="14"/>
      <c r="AD106" s="18">
        <v>3084.85</v>
      </c>
      <c r="AE106" s="18">
        <v>8381.380000000001</v>
      </c>
      <c r="AF106" s="4">
        <f>AE106/AD106-1</f>
        <v>1.7169489602411789</v>
      </c>
      <c r="AG106" s="150">
        <f>(N106*2)-W106</f>
        <v>318</v>
      </c>
      <c r="AH106" s="158">
        <f>P106/AD106</f>
        <v>0</v>
      </c>
      <c r="AI106" s="158">
        <f>Q106/AE106</f>
        <v>0</v>
      </c>
      <c r="AK106" s="152"/>
      <c r="AL106" s="180"/>
    </row>
    <row r="107" spans="1:38" s="5" customFormat="1">
      <c r="A107" t="s">
        <v>997</v>
      </c>
      <c r="B107" t="s">
        <v>351</v>
      </c>
      <c r="C107" s="19">
        <v>1444</v>
      </c>
      <c r="D107">
        <v>1444</v>
      </c>
      <c r="E107"/>
      <c r="F107" t="s">
        <v>351</v>
      </c>
      <c r="G107" s="19">
        <v>1743</v>
      </c>
      <c r="H107">
        <v>1714</v>
      </c>
      <c r="I107" t="b">
        <f>IF(B107=F107,TRUE,FALSE)</f>
        <v>1</v>
      </c>
      <c r="J107"/>
      <c r="K107"/>
      <c r="L107" s="27">
        <f>G107-D107</f>
        <v>299</v>
      </c>
      <c r="M107" s="4">
        <f>G107/C107-1</f>
        <v>0.20706371191135742</v>
      </c>
      <c r="N107" s="166">
        <f>H107-D107</f>
        <v>270</v>
      </c>
      <c r="O107"/>
      <c r="P107" s="5">
        <v>405.61</v>
      </c>
      <c r="Q107" s="5">
        <v>625.11</v>
      </c>
      <c r="R107"/>
      <c r="S107"/>
      <c r="T107" s="5">
        <v>2802.37</v>
      </c>
      <c r="U107"/>
      <c r="V107"/>
      <c r="W107" s="152">
        <f>Q107-P107</f>
        <v>219.5</v>
      </c>
      <c r="X107" s="4">
        <f>IF(P107=0,0,Q107/P107-1)</f>
        <v>0.54116022780503448</v>
      </c>
      <c r="Y107"/>
      <c r="Z107" t="s">
        <v>998</v>
      </c>
      <c r="AA107"/>
      <c r="AB107" t="s">
        <v>999</v>
      </c>
      <c r="AC107" s="14"/>
      <c r="AD107" s="18">
        <v>43247.8</v>
      </c>
      <c r="AE107" s="18">
        <v>52172.9</v>
      </c>
      <c r="AF107" s="4">
        <f>AE107/AD107-1</f>
        <v>0.20637119113573399</v>
      </c>
      <c r="AG107" s="150">
        <f>(N107*2)-W107</f>
        <v>320.5</v>
      </c>
      <c r="AH107" s="158">
        <f>P107/AD107</f>
        <v>9.3787429649600674E-3</v>
      </c>
      <c r="AI107" s="158">
        <f>Q107/AE107</f>
        <v>1.1981507640940027E-2</v>
      </c>
      <c r="AJ107"/>
      <c r="AK107" s="152"/>
      <c r="AL107" s="180"/>
    </row>
    <row r="108" spans="1:38" s="5" customFormat="1">
      <c r="A108" t="s">
        <v>1000</v>
      </c>
      <c r="B108" t="s">
        <v>462</v>
      </c>
      <c r="C108" s="19">
        <v>2698</v>
      </c>
      <c r="D108">
        <v>2698</v>
      </c>
      <c r="E108"/>
      <c r="F108" t="s">
        <v>462</v>
      </c>
      <c r="G108" s="19">
        <v>3111</v>
      </c>
      <c r="H108">
        <v>3052</v>
      </c>
      <c r="I108" t="b">
        <f>IF(B108=F108,TRUE,FALSE)</f>
        <v>1</v>
      </c>
      <c r="J108"/>
      <c r="K108"/>
      <c r="L108" s="27">
        <f>G108-D108</f>
        <v>413</v>
      </c>
      <c r="M108" s="4">
        <f>G108/C108-1</f>
        <v>0.15307635285396581</v>
      </c>
      <c r="N108" s="166">
        <f>H108-D108</f>
        <v>354</v>
      </c>
      <c r="O108"/>
      <c r="P108" s="5">
        <v>886.83</v>
      </c>
      <c r="Q108" s="5">
        <v>1257.19</v>
      </c>
      <c r="R108"/>
      <c r="S108"/>
      <c r="T108" s="5">
        <v>8476.67</v>
      </c>
      <c r="U108"/>
      <c r="V108"/>
      <c r="W108" s="152">
        <f>Q108-P108</f>
        <v>370.36</v>
      </c>
      <c r="X108" s="4">
        <f>IF(P108=0,0,Q108/P108-1)</f>
        <v>0.41762231769335734</v>
      </c>
      <c r="Y108"/>
      <c r="Z108"/>
      <c r="AA108"/>
      <c r="AB108"/>
      <c r="AC108" s="14"/>
      <c r="AD108" s="18">
        <v>90409.26</v>
      </c>
      <c r="AE108" s="18">
        <v>114803.65</v>
      </c>
      <c r="AF108" s="4">
        <f>AE108/AD108-1</f>
        <v>0.2698218080758541</v>
      </c>
      <c r="AG108" s="150">
        <f>(N108*2)-W108</f>
        <v>337.64</v>
      </c>
      <c r="AH108" s="158">
        <f>P108/AD108</f>
        <v>9.8090615939119517E-3</v>
      </c>
      <c r="AI108" s="158">
        <f>Q108/AE108</f>
        <v>1.095078423029233E-2</v>
      </c>
      <c r="AJ108"/>
      <c r="AK108" s="152"/>
      <c r="AL108" s="180"/>
    </row>
    <row r="109" spans="1:38" s="5" customFormat="1" ht="15.75" customHeight="1">
      <c r="A109" t="s">
        <v>1001</v>
      </c>
      <c r="B109" t="s">
        <v>768</v>
      </c>
      <c r="C109" s="19">
        <v>250</v>
      </c>
      <c r="D109">
        <v>250</v>
      </c>
      <c r="E109"/>
      <c r="F109" t="s">
        <v>768</v>
      </c>
      <c r="G109" s="19">
        <v>310</v>
      </c>
      <c r="H109">
        <v>304</v>
      </c>
      <c r="I109" t="b">
        <f>IF(B109=F109,TRUE,FALSE)</f>
        <v>1</v>
      </c>
      <c r="J109"/>
      <c r="K109"/>
      <c r="L109" s="27">
        <f>G109-D109</f>
        <v>60</v>
      </c>
      <c r="M109" s="4">
        <f>G109/C109-1</f>
        <v>0.24</v>
      </c>
      <c r="N109" s="166">
        <f>H109-D109</f>
        <v>54</v>
      </c>
      <c r="O109"/>
      <c r="P109" s="5">
        <v>279.94</v>
      </c>
      <c r="Q109" s="5">
        <v>0</v>
      </c>
      <c r="R109"/>
      <c r="S109"/>
      <c r="T109" s="5">
        <v>0</v>
      </c>
      <c r="U109"/>
      <c r="V109"/>
      <c r="W109" s="152">
        <f>Q109-P109</f>
        <v>-279.94</v>
      </c>
      <c r="X109" s="4">
        <f>IF(P109=0,0,Q109/P109-1)</f>
        <v>-1</v>
      </c>
      <c r="Y109"/>
      <c r="Z109"/>
      <c r="AA109"/>
      <c r="AB109"/>
      <c r="AC109" s="14"/>
      <c r="AD109" s="18">
        <v>7487.5</v>
      </c>
      <c r="AE109" s="18">
        <v>9284.5</v>
      </c>
      <c r="AF109" s="4">
        <f>AE109/AD109-1</f>
        <v>0.24</v>
      </c>
      <c r="AG109" s="150">
        <f>(N109*2)-W109</f>
        <v>387.94</v>
      </c>
      <c r="AH109" s="158">
        <f>P109/AD109</f>
        <v>3.7387646076794658E-2</v>
      </c>
      <c r="AI109" s="158">
        <f>Q109/AE109</f>
        <v>0</v>
      </c>
      <c r="AK109" s="152"/>
      <c r="AL109" s="180"/>
    </row>
    <row r="110" spans="1:38" s="5" customFormat="1">
      <c r="A110" t="s">
        <v>1002</v>
      </c>
      <c r="B110" t="s">
        <v>206</v>
      </c>
      <c r="C110" s="19">
        <v>1444</v>
      </c>
      <c r="D110">
        <v>1444</v>
      </c>
      <c r="F110" t="s">
        <v>206</v>
      </c>
      <c r="G110" s="19">
        <v>1407</v>
      </c>
      <c r="H110">
        <v>1402</v>
      </c>
      <c r="I110" t="b">
        <f>IF(B110=F110,TRUE,FALSE)</f>
        <v>1</v>
      </c>
      <c r="L110" s="27">
        <f>G110-D110</f>
        <v>-37</v>
      </c>
      <c r="M110" s="4">
        <f>G110/C110-1</f>
        <v>-2.5623268698060975E-2</v>
      </c>
      <c r="N110" s="166">
        <f>H110-D110</f>
        <v>-42</v>
      </c>
      <c r="P110" s="5">
        <v>3581.95</v>
      </c>
      <c r="Q110" s="5">
        <v>3102.49</v>
      </c>
      <c r="T110" s="5">
        <v>16128.009999999998</v>
      </c>
      <c r="W110" s="152">
        <f>Q110-P110</f>
        <v>-479.46000000000004</v>
      </c>
      <c r="X110" s="4">
        <f>IF(P110=0,0,Q110/P110-1)</f>
        <v>-0.13385446474685581</v>
      </c>
      <c r="AC110" s="15"/>
      <c r="AD110" s="18">
        <v>32363.56</v>
      </c>
      <c r="AE110" s="18">
        <v>33958.93</v>
      </c>
      <c r="AF110" s="4">
        <f>AE110/AD110-1</f>
        <v>4.9295256764088968E-2</v>
      </c>
      <c r="AG110" s="150">
        <f>(N110*2)-W110</f>
        <v>395.46000000000004</v>
      </c>
      <c r="AH110" s="158">
        <f>P110/AD110</f>
        <v>0.11067849148857541</v>
      </c>
      <c r="AI110" s="158">
        <f>Q110/AE110</f>
        <v>9.1360063464897154E-2</v>
      </c>
      <c r="AJ110"/>
      <c r="AK110" s="152"/>
      <c r="AL110" s="180"/>
    </row>
    <row r="111" spans="1:38" s="5" customFormat="1">
      <c r="A111" t="s">
        <v>1003</v>
      </c>
      <c r="B111" t="s">
        <v>190</v>
      </c>
      <c r="C111" s="19">
        <v>3380</v>
      </c>
      <c r="D111">
        <v>3380</v>
      </c>
      <c r="E111"/>
      <c r="F111" t="s">
        <v>190</v>
      </c>
      <c r="G111" s="19">
        <v>4474</v>
      </c>
      <c r="H111">
        <v>4447</v>
      </c>
      <c r="I111" t="b">
        <f>IF(B111=F111,TRUE,FALSE)</f>
        <v>1</v>
      </c>
      <c r="J111"/>
      <c r="K111"/>
      <c r="L111" s="27">
        <f>G111-D111</f>
        <v>1094</v>
      </c>
      <c r="M111" s="4">
        <f>G111/C111-1</f>
        <v>0.32366863905325438</v>
      </c>
      <c r="N111" s="166">
        <f>H111-D111</f>
        <v>1067</v>
      </c>
      <c r="O111"/>
      <c r="P111" s="5">
        <v>3509.41</v>
      </c>
      <c r="Q111" s="5">
        <v>5227.5200000000004</v>
      </c>
      <c r="R111"/>
      <c r="S111"/>
      <c r="T111" s="5">
        <v>19982.05</v>
      </c>
      <c r="U111"/>
      <c r="V111"/>
      <c r="W111" s="152">
        <f>Q111-P111</f>
        <v>1718.1100000000006</v>
      </c>
      <c r="X111" s="4">
        <f>IF(P111=0,0,Q111/P111-1)</f>
        <v>0.48957232127337669</v>
      </c>
      <c r="Y111"/>
      <c r="Z111"/>
      <c r="AA111"/>
      <c r="AB111"/>
      <c r="AC111" s="14"/>
      <c r="AD111" s="18">
        <v>77499.09</v>
      </c>
      <c r="AE111" s="18">
        <v>101616.09</v>
      </c>
      <c r="AF111" s="4">
        <f>AE111/AD111-1</f>
        <v>0.31119075075591218</v>
      </c>
      <c r="AG111" s="150">
        <f>(N111*2)-W111</f>
        <v>415.88999999999942</v>
      </c>
      <c r="AH111" s="158">
        <f>P111/AD111</f>
        <v>4.5283241390318259E-2</v>
      </c>
      <c r="AI111" s="158">
        <f>Q111/AE111</f>
        <v>5.1443821544403065E-2</v>
      </c>
      <c r="AJ111"/>
      <c r="AK111" s="152"/>
      <c r="AL111" s="180"/>
    </row>
    <row r="112" spans="1:38" s="5" customFormat="1">
      <c r="A112" t="s">
        <v>1004</v>
      </c>
      <c r="B112" s="5" t="s">
        <v>449</v>
      </c>
      <c r="C112" s="19">
        <v>1728</v>
      </c>
      <c r="D112">
        <v>1728</v>
      </c>
      <c r="F112" t="s">
        <v>449</v>
      </c>
      <c r="G112" s="19">
        <v>1711</v>
      </c>
      <c r="H112">
        <v>1699</v>
      </c>
      <c r="I112" t="b">
        <f>IF(B112=F112,TRUE,FALSE)</f>
        <v>1</v>
      </c>
      <c r="L112" s="27">
        <f>G112-D112</f>
        <v>-17</v>
      </c>
      <c r="M112" s="4">
        <f>G112/C112-1</f>
        <v>-9.8379629629629095E-3</v>
      </c>
      <c r="N112" s="166">
        <f>H112-D112</f>
        <v>-29</v>
      </c>
      <c r="P112" s="5">
        <v>3241.65</v>
      </c>
      <c r="Q112" s="5">
        <v>2734.81</v>
      </c>
      <c r="T112" s="5">
        <v>11363.97</v>
      </c>
      <c r="W112" s="152">
        <f>Q112-P112</f>
        <v>-506.84000000000015</v>
      </c>
      <c r="X112" s="4">
        <f>IF(P112=0,0,Q112/P112-1)</f>
        <v>-0.15635247481992198</v>
      </c>
      <c r="AC112" s="15"/>
      <c r="AD112" s="18">
        <v>41583.72</v>
      </c>
      <c r="AE112" s="18">
        <v>46179.89</v>
      </c>
      <c r="AF112" s="4">
        <f>AE112/AD112-1</f>
        <v>0.11052811052017475</v>
      </c>
      <c r="AG112" s="150">
        <f>(N112*2)-W112</f>
        <v>448.84000000000015</v>
      </c>
      <c r="AH112" s="158">
        <f>P112/AD112</f>
        <v>7.7954786151888292E-2</v>
      </c>
      <c r="AI112" s="158">
        <f>Q112/AE112</f>
        <v>5.9220799356603057E-2</v>
      </c>
      <c r="AJ112"/>
      <c r="AK112" s="152"/>
      <c r="AL112" s="180"/>
    </row>
    <row r="113" spans="1:38" s="5" customFormat="1">
      <c r="A113" t="s">
        <v>1005</v>
      </c>
      <c r="B113" t="s">
        <v>87</v>
      </c>
      <c r="C113" s="19">
        <v>2988</v>
      </c>
      <c r="D113">
        <v>2988</v>
      </c>
      <c r="E113"/>
      <c r="F113" t="s">
        <v>87</v>
      </c>
      <c r="G113" s="19">
        <v>3320</v>
      </c>
      <c r="H113">
        <v>3318</v>
      </c>
      <c r="I113" t="b">
        <f>IF(B113=F113,TRUE,FALSE)</f>
        <v>1</v>
      </c>
      <c r="J113"/>
      <c r="K113"/>
      <c r="L113" s="27">
        <f>G113-D113</f>
        <v>332</v>
      </c>
      <c r="M113" s="4">
        <f>G113/C113-1</f>
        <v>0.11111111111111116</v>
      </c>
      <c r="N113" s="166">
        <f>H113-D113</f>
        <v>330</v>
      </c>
      <c r="O113"/>
      <c r="P113" s="5">
        <v>3600.22</v>
      </c>
      <c r="Q113" s="5">
        <v>3778.17</v>
      </c>
      <c r="R113"/>
      <c r="S113"/>
      <c r="T113" s="5">
        <v>13038.989999999998</v>
      </c>
      <c r="U113"/>
      <c r="V113"/>
      <c r="W113" s="152">
        <f>Q113-P113</f>
        <v>177.95000000000027</v>
      </c>
      <c r="X113" s="4">
        <f>IF(P113=0,0,Q113/P113-1)</f>
        <v>4.9427534983973231E-2</v>
      </c>
      <c r="Y113"/>
      <c r="Z113"/>
      <c r="AA113"/>
      <c r="AB113"/>
      <c r="AC113" s="14"/>
      <c r="AD113" s="18">
        <v>50583.09</v>
      </c>
      <c r="AE113" s="18">
        <v>61989.14</v>
      </c>
      <c r="AF113" s="4">
        <f>AE113/AD113-1</f>
        <v>0.22549136480195275</v>
      </c>
      <c r="AG113" s="150">
        <f>(N113*2)-W113</f>
        <v>482.04999999999973</v>
      </c>
      <c r="AH113" s="158">
        <f>P113/AD113</f>
        <v>7.1174378631277763E-2</v>
      </c>
      <c r="AI113" s="158">
        <f>Q113/AE113</f>
        <v>6.0948901694716208E-2</v>
      </c>
      <c r="AJ113"/>
      <c r="AK113" s="152"/>
      <c r="AL113" s="180"/>
    </row>
    <row r="114" spans="1:38" s="5" customFormat="1">
      <c r="A114" t="s">
        <v>1006</v>
      </c>
      <c r="B114" t="s">
        <v>734</v>
      </c>
      <c r="C114" s="19">
        <v>578</v>
      </c>
      <c r="D114">
        <v>578</v>
      </c>
      <c r="E114"/>
      <c r="F114" t="s">
        <v>734</v>
      </c>
      <c r="G114" s="19">
        <v>639</v>
      </c>
      <c r="H114">
        <v>635</v>
      </c>
      <c r="I114" t="b">
        <f>IF(B114=F114,TRUE,FALSE)</f>
        <v>1</v>
      </c>
      <c r="J114"/>
      <c r="K114"/>
      <c r="L114" s="27">
        <f>G114-D114</f>
        <v>61</v>
      </c>
      <c r="M114" s="4">
        <f>G114/C114-1</f>
        <v>0.10553633217993075</v>
      </c>
      <c r="N114" s="166">
        <f>H114-D114</f>
        <v>57</v>
      </c>
      <c r="P114" s="5">
        <v>370.04</v>
      </c>
      <c r="Q114" s="5">
        <v>0</v>
      </c>
      <c r="T114" s="5">
        <v>0</v>
      </c>
      <c r="W114" s="152">
        <f>Q114-P114</f>
        <v>-370.04</v>
      </c>
      <c r="X114" s="4">
        <f>IF(P114=0,0,Q114/P114-1)</f>
        <v>-1</v>
      </c>
      <c r="AC114" s="15"/>
      <c r="AD114" s="18">
        <v>17304.23</v>
      </c>
      <c r="AE114" s="18">
        <v>19133.62</v>
      </c>
      <c r="AF114" s="4">
        <f>AE114/AD114-1</f>
        <v>0.10571923743500866</v>
      </c>
      <c r="AG114" s="150">
        <f>(N114*2)-W114</f>
        <v>484.04</v>
      </c>
      <c r="AH114" s="158">
        <f>P114/AD114</f>
        <v>2.1384366712647717E-2</v>
      </c>
      <c r="AI114" s="158">
        <f>Q114/AE114</f>
        <v>0</v>
      </c>
      <c r="AJ114"/>
      <c r="AK114" s="152"/>
      <c r="AL114" s="180"/>
    </row>
    <row r="115" spans="1:38" s="5" customFormat="1">
      <c r="A115" t="s">
        <v>1007</v>
      </c>
      <c r="B115" t="s">
        <v>711</v>
      </c>
      <c r="C115" s="19">
        <v>805</v>
      </c>
      <c r="D115">
        <v>805</v>
      </c>
      <c r="E115"/>
      <c r="F115" t="s">
        <v>711</v>
      </c>
      <c r="G115" s="19">
        <v>1029</v>
      </c>
      <c r="H115">
        <v>1028</v>
      </c>
      <c r="I115" t="b">
        <f>IF(B115=F115,TRUE,FALSE)</f>
        <v>1</v>
      </c>
      <c r="J115"/>
      <c r="K115"/>
      <c r="L115" s="27">
        <f>G115-D115</f>
        <v>224</v>
      </c>
      <c r="M115" s="4">
        <f>G115/C115-1</f>
        <v>0.27826086956521734</v>
      </c>
      <c r="N115" s="166">
        <f>H115-D115</f>
        <v>223</v>
      </c>
      <c r="O115"/>
      <c r="P115" s="5">
        <v>635.07000000000005</v>
      </c>
      <c r="Q115" s="5">
        <v>588.18000000000006</v>
      </c>
      <c r="R115"/>
      <c r="S115"/>
      <c r="T115" s="5">
        <v>1717.5200000000002</v>
      </c>
      <c r="U115"/>
      <c r="V115"/>
      <c r="W115" s="152">
        <f>Q115-P115</f>
        <v>-46.889999999999986</v>
      </c>
      <c r="X115" s="4">
        <f>IF(P115=0,0,Q115/P115-1)</f>
        <v>-7.3834380461996307E-2</v>
      </c>
      <c r="Y115"/>
      <c r="Z115"/>
      <c r="AA115"/>
      <c r="AB115"/>
      <c r="AC115" s="14"/>
      <c r="AD115" s="18">
        <v>9391.9500000000007</v>
      </c>
      <c r="AE115" s="18">
        <v>14353.74</v>
      </c>
      <c r="AF115" s="4">
        <f>AE115/AD115-1</f>
        <v>0.52830242920799186</v>
      </c>
      <c r="AG115" s="150">
        <f>(N115*2)-W115</f>
        <v>492.89</v>
      </c>
      <c r="AH115" s="158">
        <f>P115/AD115</f>
        <v>6.7618545669429667E-2</v>
      </c>
      <c r="AI115" s="158">
        <f>Q115/AE115</f>
        <v>4.0977473466845576E-2</v>
      </c>
      <c r="AK115" s="152"/>
      <c r="AL115" s="180"/>
    </row>
    <row r="116" spans="1:38" s="5" customFormat="1">
      <c r="A116" t="s">
        <v>1008</v>
      </c>
      <c r="B116" t="s">
        <v>703</v>
      </c>
      <c r="C116" s="19">
        <v>922</v>
      </c>
      <c r="D116">
        <v>922</v>
      </c>
      <c r="E116"/>
      <c r="F116" t="s">
        <v>703</v>
      </c>
      <c r="G116" s="19">
        <v>857</v>
      </c>
      <c r="H116">
        <v>849</v>
      </c>
      <c r="I116" t="b">
        <f>IF(B116=F116,TRUE,FALSE)</f>
        <v>1</v>
      </c>
      <c r="J116"/>
      <c r="K116"/>
      <c r="L116" s="27">
        <f>G116-D116</f>
        <v>-65</v>
      </c>
      <c r="M116" s="4">
        <f>G116/C116-1</f>
        <v>-7.0498915401301487E-2</v>
      </c>
      <c r="N116" s="166">
        <f>H116-D116</f>
        <v>-73</v>
      </c>
      <c r="O116"/>
      <c r="P116" s="5">
        <v>1231.1199999999999</v>
      </c>
      <c r="Q116" s="5">
        <v>580.86</v>
      </c>
      <c r="R116"/>
      <c r="S116"/>
      <c r="T116" s="5">
        <v>4648.5099999999993</v>
      </c>
      <c r="U116"/>
      <c r="V116"/>
      <c r="W116" s="152">
        <f>Q116-P116</f>
        <v>-650.25999999999988</v>
      </c>
      <c r="X116" s="4">
        <f>IF(P116=0,0,Q116/P116-1)</f>
        <v>-0.52818571707063477</v>
      </c>
      <c r="Y116"/>
      <c r="Z116"/>
      <c r="AA116"/>
      <c r="AB116"/>
      <c r="AC116" s="14"/>
      <c r="AD116" s="18">
        <v>35911.9</v>
      </c>
      <c r="AE116" s="18">
        <v>33380.149999999994</v>
      </c>
      <c r="AF116" s="4">
        <f>AE116/AD116-1</f>
        <v>-7.0498915401301709E-2</v>
      </c>
      <c r="AG116" s="150">
        <f>(N116*2)-W116</f>
        <v>504.25999999999988</v>
      </c>
      <c r="AH116" s="158">
        <f>P116/AD116</f>
        <v>3.4281672648899107E-2</v>
      </c>
      <c r="AI116" s="158">
        <f>Q116/AE116</f>
        <v>1.7401359790174702E-2</v>
      </c>
      <c r="AJ116"/>
      <c r="AK116" s="152"/>
      <c r="AL116" s="180"/>
    </row>
    <row r="117" spans="1:38" s="5" customFormat="1">
      <c r="A117" t="s">
        <v>1009</v>
      </c>
      <c r="B117" t="s">
        <v>495</v>
      </c>
      <c r="C117" s="19">
        <v>1036</v>
      </c>
      <c r="D117">
        <v>1036</v>
      </c>
      <c r="E117"/>
      <c r="F117" t="s">
        <v>495</v>
      </c>
      <c r="G117" s="19">
        <v>1385</v>
      </c>
      <c r="H117">
        <v>1374</v>
      </c>
      <c r="I117" t="b">
        <f>IF(B117=F117,TRUE,FALSE)</f>
        <v>1</v>
      </c>
      <c r="J117"/>
      <c r="K117"/>
      <c r="L117" s="27">
        <f>G117-D117</f>
        <v>349</v>
      </c>
      <c r="M117" s="4">
        <f>G117/C117-1</f>
        <v>0.33687258687258681</v>
      </c>
      <c r="N117" s="166">
        <f>H117-D117</f>
        <v>338</v>
      </c>
      <c r="O117"/>
      <c r="P117" s="5">
        <v>388.19</v>
      </c>
      <c r="Q117" s="5">
        <v>552.44000000000005</v>
      </c>
      <c r="R117"/>
      <c r="S117"/>
      <c r="T117" s="5">
        <v>2934.77</v>
      </c>
      <c r="U117"/>
      <c r="V117"/>
      <c r="W117" s="152">
        <f>Q117-P117</f>
        <v>164.25000000000006</v>
      </c>
      <c r="X117" s="4">
        <f>IF(P117=0,0,Q117/P117-1)</f>
        <v>0.42311754553182745</v>
      </c>
      <c r="Y117"/>
      <c r="Z117"/>
      <c r="AA117"/>
      <c r="AB117"/>
      <c r="AC117" s="14"/>
      <c r="AD117" s="18">
        <v>19673.64</v>
      </c>
      <c r="AE117" s="18">
        <v>26301.15</v>
      </c>
      <c r="AF117" s="4">
        <f>AE117/AD117-1</f>
        <v>0.33687258687258703</v>
      </c>
      <c r="AG117" s="150">
        <f>(N117*2)-W117</f>
        <v>511.74999999999994</v>
      </c>
      <c r="AH117" s="158">
        <f>P117/AD117</f>
        <v>1.9731478262283948E-2</v>
      </c>
      <c r="AI117" s="158">
        <f>Q117/AE117</f>
        <v>2.1004404750362627E-2</v>
      </c>
      <c r="AJ117"/>
      <c r="AK117" s="152"/>
      <c r="AL117" s="180"/>
    </row>
    <row r="118" spans="1:38" s="5" customFormat="1">
      <c r="A118" t="s">
        <v>1010</v>
      </c>
      <c r="B118" t="s">
        <v>83</v>
      </c>
      <c r="C118" s="19">
        <v>926</v>
      </c>
      <c r="D118">
        <v>926</v>
      </c>
      <c r="E118"/>
      <c r="F118" t="s">
        <v>83</v>
      </c>
      <c r="G118" s="19">
        <v>1066</v>
      </c>
      <c r="H118">
        <v>1064</v>
      </c>
      <c r="I118" t="b">
        <f>IF(B118=F118,TRUE,FALSE)</f>
        <v>1</v>
      </c>
      <c r="J118"/>
      <c r="K118"/>
      <c r="L118" s="27">
        <f>G118-D118</f>
        <v>140</v>
      </c>
      <c r="M118" s="4">
        <f>G118/C118-1</f>
        <v>0.15118790496760259</v>
      </c>
      <c r="N118" s="166">
        <f>H118-D118</f>
        <v>138</v>
      </c>
      <c r="O118"/>
      <c r="P118" s="5">
        <v>2397.59</v>
      </c>
      <c r="Q118" s="5">
        <v>2155.92</v>
      </c>
      <c r="R118"/>
      <c r="S118"/>
      <c r="T118" s="5">
        <v>8240.14</v>
      </c>
      <c r="U118"/>
      <c r="V118"/>
      <c r="W118" s="152">
        <f>Q118-P118</f>
        <v>-241.67000000000007</v>
      </c>
      <c r="X118" s="4">
        <f>IF(P118=0,0,Q118/P118-1)</f>
        <v>-0.10079705037141462</v>
      </c>
      <c r="Y118"/>
      <c r="Z118"/>
      <c r="AA118"/>
      <c r="AB118"/>
      <c r="AC118" s="14"/>
      <c r="AD118" s="18">
        <v>15695.7</v>
      </c>
      <c r="AE118" s="18">
        <v>18034.8</v>
      </c>
      <c r="AF118" s="4">
        <f>AE118/AD118-1</f>
        <v>0.14902807775377958</v>
      </c>
      <c r="AG118" s="150">
        <f>(N118*2)-W118</f>
        <v>517.67000000000007</v>
      </c>
      <c r="AH118" s="158">
        <f>P118/AD118</f>
        <v>0.15275457609408946</v>
      </c>
      <c r="AI118" s="158">
        <f>Q118/AE118</f>
        <v>0.11954221837780292</v>
      </c>
      <c r="AK118" s="152"/>
      <c r="AL118" s="180"/>
    </row>
    <row r="119" spans="1:38" s="5" customFormat="1">
      <c r="A119" s="5" t="s">
        <v>1011</v>
      </c>
      <c r="B119" s="29" t="s">
        <v>196</v>
      </c>
      <c r="C119" s="19">
        <v>772</v>
      </c>
      <c r="D119">
        <v>772</v>
      </c>
      <c r="F119" s="29" t="s">
        <v>196</v>
      </c>
      <c r="G119" s="19">
        <v>1036</v>
      </c>
      <c r="H119">
        <v>1036</v>
      </c>
      <c r="I119" t="b">
        <f>IF(B119=F119,TRUE,FALSE)</f>
        <v>1</v>
      </c>
      <c r="L119" s="27">
        <f>G119-D119</f>
        <v>264</v>
      </c>
      <c r="M119" s="4">
        <f>G119/C119-1</f>
        <v>0.34196891191709855</v>
      </c>
      <c r="N119" s="166">
        <f>H119-D119</f>
        <v>264</v>
      </c>
      <c r="P119" s="5">
        <v>1638.17</v>
      </c>
      <c r="Q119" s="5">
        <v>1641.4</v>
      </c>
      <c r="T119" s="5">
        <v>5685.75</v>
      </c>
      <c r="W119" s="152">
        <f>Q119-P119</f>
        <v>3.2300000000000182</v>
      </c>
      <c r="X119" s="5">
        <f>IF(P119=0,0,Q119/P119-1)</f>
        <v>1.9717123375473378E-3</v>
      </c>
      <c r="AC119" s="15"/>
      <c r="AD119" s="18">
        <v>7712.28</v>
      </c>
      <c r="AE119" s="18">
        <v>12385.64</v>
      </c>
      <c r="AF119" s="4">
        <f>AE119/AD119-1</f>
        <v>0.60596347642979764</v>
      </c>
      <c r="AG119" s="150">
        <f>(N119*2)-W119</f>
        <v>524.77</v>
      </c>
      <c r="AH119" s="158">
        <f>P119/AD119</f>
        <v>0.21241059712562305</v>
      </c>
      <c r="AI119" s="158">
        <f>Q119/AE119</f>
        <v>0.13252443959294796</v>
      </c>
      <c r="AJ119"/>
      <c r="AK119" s="152"/>
      <c r="AL119" s="180"/>
    </row>
    <row r="120" spans="1:38" s="5" customFormat="1">
      <c r="A120" t="s">
        <v>1012</v>
      </c>
      <c r="B120" t="s">
        <v>752</v>
      </c>
      <c r="C120" s="19">
        <v>424</v>
      </c>
      <c r="D120">
        <v>424</v>
      </c>
      <c r="E120"/>
      <c r="F120" t="s">
        <v>752</v>
      </c>
      <c r="G120" s="19">
        <v>590</v>
      </c>
      <c r="H120">
        <v>585</v>
      </c>
      <c r="I120" t="b">
        <f>IF(B120=F120,TRUE,FALSE)</f>
        <v>1</v>
      </c>
      <c r="J120"/>
      <c r="K120"/>
      <c r="L120" s="27">
        <f>G120-D120</f>
        <v>166</v>
      </c>
      <c r="M120" s="4">
        <f>G120/C120-1</f>
        <v>0.39150943396226423</v>
      </c>
      <c r="N120" s="166">
        <f>H120-D120</f>
        <v>161</v>
      </c>
      <c r="O120"/>
      <c r="P120" s="5">
        <v>256.07</v>
      </c>
      <c r="Q120" s="5">
        <v>0</v>
      </c>
      <c r="R120"/>
      <c r="S120"/>
      <c r="T120" s="5">
        <v>0</v>
      </c>
      <c r="U120"/>
      <c r="V120"/>
      <c r="W120" s="152">
        <f>Q120-P120</f>
        <v>-256.07</v>
      </c>
      <c r="X120" s="4">
        <f>IF(P120=0,0,Q120/P120-1)</f>
        <v>-1</v>
      </c>
      <c r="Y120"/>
      <c r="Z120"/>
      <c r="AA120"/>
      <c r="AB120"/>
      <c r="AC120" s="14"/>
      <c r="AD120" s="18">
        <v>12291.76</v>
      </c>
      <c r="AE120" s="18">
        <v>17075.11</v>
      </c>
      <c r="AF120" s="4">
        <f>AE120/AD120-1</f>
        <v>0.38915094339622636</v>
      </c>
      <c r="AG120" s="150">
        <f>(N120*2)-W120</f>
        <v>578.06999999999994</v>
      </c>
      <c r="AH120" s="158">
        <f>P120/AD120</f>
        <v>2.0832655372379546E-2</v>
      </c>
      <c r="AI120" s="158">
        <f>Q120/AE120</f>
        <v>0</v>
      </c>
      <c r="AK120" s="152"/>
      <c r="AL120" s="180"/>
    </row>
    <row r="121" spans="1:38" s="5" customFormat="1">
      <c r="A121" s="59" t="s">
        <v>1013</v>
      </c>
      <c r="B121" s="39" t="s">
        <v>740</v>
      </c>
      <c r="C121" s="19">
        <v>1</v>
      </c>
      <c r="D121">
        <v>1</v>
      </c>
      <c r="E121"/>
      <c r="F121" s="39" t="s">
        <v>740</v>
      </c>
      <c r="G121" s="19">
        <v>811</v>
      </c>
      <c r="H121">
        <v>810</v>
      </c>
      <c r="I121" t="b">
        <f>IF(B121=F121,TRUE,FALSE)</f>
        <v>1</v>
      </c>
      <c r="J121"/>
      <c r="K121"/>
      <c r="L121" s="27">
        <f>G121-D121</f>
        <v>810</v>
      </c>
      <c r="M121" s="4">
        <f>G121/C122-1</f>
        <v>-0.57112638815441563</v>
      </c>
      <c r="N121" s="166">
        <f>H121-D121</f>
        <v>809</v>
      </c>
      <c r="O121"/>
      <c r="P121" s="5">
        <v>9.3000000000000007</v>
      </c>
      <c r="Q121" s="5">
        <v>1032.8900000000001</v>
      </c>
      <c r="R121"/>
      <c r="S121"/>
      <c r="T121" s="5">
        <v>3722.56</v>
      </c>
      <c r="U121"/>
      <c r="V121"/>
      <c r="W121" s="152">
        <f>Q121-P121</f>
        <v>1023.5900000000001</v>
      </c>
      <c r="X121" s="4">
        <f>IF(P121=0,0,Q121/P121-1)</f>
        <v>110.06344086021505</v>
      </c>
      <c r="Y121"/>
      <c r="Z121"/>
      <c r="AA121"/>
      <c r="AB121"/>
      <c r="AC121" s="14"/>
      <c r="AD121" s="18">
        <v>23.95</v>
      </c>
      <c r="AE121" s="18">
        <v>15581.130000000001</v>
      </c>
      <c r="AF121" s="4">
        <f>AE121/AD121-1</f>
        <v>649.56910229645098</v>
      </c>
      <c r="AG121" s="150">
        <f>(N121*2)-W121</f>
        <v>594.40999999999985</v>
      </c>
      <c r="AH121" s="158">
        <f>P121/AD121</f>
        <v>0.38830897703549067</v>
      </c>
      <c r="AI121" s="158">
        <f>Q121/AE121</f>
        <v>6.6291084151149496E-2</v>
      </c>
      <c r="AJ121"/>
      <c r="AK121" s="152"/>
      <c r="AL121" s="180"/>
    </row>
    <row r="122" spans="1:38" s="5" customFormat="1">
      <c r="A122" t="s">
        <v>1014</v>
      </c>
      <c r="B122" t="s">
        <v>434</v>
      </c>
      <c r="C122" s="19">
        <v>1891</v>
      </c>
      <c r="D122">
        <v>1891</v>
      </c>
      <c r="E122"/>
      <c r="F122" t="s">
        <v>434</v>
      </c>
      <c r="G122" s="19">
        <v>2488</v>
      </c>
      <c r="H122">
        <v>2472</v>
      </c>
      <c r="I122" t="b">
        <f>IF(B122=F122,TRUE,FALSE)</f>
        <v>1</v>
      </c>
      <c r="J122"/>
      <c r="K122"/>
      <c r="L122" s="27">
        <f>G122-D122</f>
        <v>597</v>
      </c>
      <c r="M122" s="4">
        <f>G122/C122-1</f>
        <v>0.31570597567424641</v>
      </c>
      <c r="N122" s="166">
        <f>H122-D122</f>
        <v>581</v>
      </c>
      <c r="O122"/>
      <c r="P122" s="5">
        <v>2343.2800000000002</v>
      </c>
      <c r="Q122" s="5">
        <v>2896.21</v>
      </c>
      <c r="R122"/>
      <c r="S122"/>
      <c r="T122" s="5">
        <v>15178.859999999999</v>
      </c>
      <c r="U122"/>
      <c r="V122"/>
      <c r="W122" s="152">
        <f>Q122-P122</f>
        <v>552.92999999999984</v>
      </c>
      <c r="X122" s="4">
        <f>IF(P122=0,0,Q122/P122-1)</f>
        <v>0.23596411867126421</v>
      </c>
      <c r="Y122"/>
      <c r="Z122" t="s">
        <v>1015</v>
      </c>
      <c r="AA122"/>
      <c r="AB122" t="s">
        <v>1016</v>
      </c>
      <c r="AC122" s="14" t="s">
        <v>1017</v>
      </c>
      <c r="AD122" s="18">
        <v>47130.55</v>
      </c>
      <c r="AE122" s="18">
        <v>63343.39</v>
      </c>
      <c r="AF122" s="4">
        <f>AE122/AD122-1</f>
        <v>0.34399853173790662</v>
      </c>
      <c r="AG122" s="150">
        <f>(N122*2)-W122</f>
        <v>609.07000000000016</v>
      </c>
      <c r="AH122" s="158">
        <f>P122/AD122</f>
        <v>4.9718919045077983E-2</v>
      </c>
      <c r="AI122" s="158">
        <f>Q122/AE122</f>
        <v>4.5722371347665478E-2</v>
      </c>
      <c r="AJ122"/>
      <c r="AK122" s="152"/>
      <c r="AL122" s="180"/>
    </row>
    <row r="123" spans="1:38" s="5" customFormat="1" ht="16.5">
      <c r="A123" s="25" t="s">
        <v>1018</v>
      </c>
      <c r="B123" s="24" t="s">
        <v>687</v>
      </c>
      <c r="C123" s="19">
        <v>854</v>
      </c>
      <c r="D123">
        <v>854</v>
      </c>
      <c r="F123" s="24" t="s">
        <v>687</v>
      </c>
      <c r="G123" s="19">
        <v>915</v>
      </c>
      <c r="H123">
        <v>915</v>
      </c>
      <c r="I123" t="b">
        <f>IF(B123=F123,TRUE,FALSE)</f>
        <v>1</v>
      </c>
      <c r="L123" s="27">
        <f>G123-D123</f>
        <v>61</v>
      </c>
      <c r="M123" s="4">
        <f>G123/C123-1</f>
        <v>7.1428571428571397E-2</v>
      </c>
      <c r="N123" s="166">
        <f>H123-D123</f>
        <v>61</v>
      </c>
      <c r="P123" s="5">
        <v>2664.36</v>
      </c>
      <c r="Q123" s="5">
        <v>2157.83</v>
      </c>
      <c r="T123" s="5">
        <v>8578.44</v>
      </c>
      <c r="W123" s="152">
        <f>Q123-P123</f>
        <v>-506.5300000000002</v>
      </c>
      <c r="X123" s="4">
        <f>IF(P123=0,0,Q123/P123-1)</f>
        <v>-0.19011319791619763</v>
      </c>
      <c r="AC123" s="15"/>
      <c r="AD123" s="18">
        <v>12707.47</v>
      </c>
      <c r="AE123" s="18">
        <v>13715.85</v>
      </c>
      <c r="AF123" s="4">
        <f>AE123/AD123-1</f>
        <v>7.935332524884986E-2</v>
      </c>
      <c r="AG123" s="150">
        <f>(N123*2)-W123</f>
        <v>628.5300000000002</v>
      </c>
      <c r="AH123" s="158">
        <f>P123/AD123</f>
        <v>0.20966880110675062</v>
      </c>
      <c r="AI123" s="158">
        <f>Q123/AE123</f>
        <v>0.15732382608442058</v>
      </c>
      <c r="AJ123"/>
      <c r="AK123" s="152"/>
      <c r="AL123" s="180"/>
    </row>
    <row r="124" spans="1:38" s="5" customFormat="1">
      <c r="A124" t="s">
        <v>1019</v>
      </c>
      <c r="B124" t="s">
        <v>288</v>
      </c>
      <c r="C124" s="19">
        <v>1517</v>
      </c>
      <c r="D124">
        <v>1517</v>
      </c>
      <c r="E124"/>
      <c r="F124" t="s">
        <v>288</v>
      </c>
      <c r="G124" s="19">
        <v>1653</v>
      </c>
      <c r="H124">
        <v>1646</v>
      </c>
      <c r="I124" t="b">
        <f>IF(B124=F124,TRUE,FALSE)</f>
        <v>1</v>
      </c>
      <c r="J124"/>
      <c r="K124"/>
      <c r="L124" s="27">
        <f>G124-D124</f>
        <v>136</v>
      </c>
      <c r="M124" s="4">
        <f>G124/C124-1</f>
        <v>8.9650626235992181E-2</v>
      </c>
      <c r="N124" s="166">
        <f>H124-D124</f>
        <v>129</v>
      </c>
      <c r="O124"/>
      <c r="P124" s="5">
        <v>386.21</v>
      </c>
      <c r="Q124" s="5">
        <v>0</v>
      </c>
      <c r="R124"/>
      <c r="S124"/>
      <c r="T124" s="5">
        <v>0</v>
      </c>
      <c r="U124"/>
      <c r="V124"/>
      <c r="W124" s="152">
        <f>Q124-P124</f>
        <v>-386.21</v>
      </c>
      <c r="X124" s="4">
        <f>IF(P124=0,0,Q124/P124-1)</f>
        <v>-1</v>
      </c>
      <c r="Y124"/>
      <c r="Z124"/>
      <c r="AA124"/>
      <c r="AB124"/>
      <c r="AC124" s="14"/>
      <c r="AD124" s="18">
        <v>51223.31</v>
      </c>
      <c r="AE124" s="18">
        <v>55219.99</v>
      </c>
      <c r="AF124" s="4">
        <f>AE124/AD124-1</f>
        <v>7.8024633706802682E-2</v>
      </c>
      <c r="AG124" s="150">
        <f>(N124*2)-W124</f>
        <v>644.21</v>
      </c>
      <c r="AH124" s="158">
        <f>P124/AD124</f>
        <v>7.5397314230571978E-3</v>
      </c>
      <c r="AI124" s="158">
        <f>Q124/AE124</f>
        <v>0</v>
      </c>
      <c r="AJ124"/>
      <c r="AK124" s="152"/>
      <c r="AL124" s="180"/>
    </row>
    <row r="125" spans="1:38">
      <c r="A125" t="s">
        <v>1020</v>
      </c>
      <c r="B125" t="s">
        <v>518</v>
      </c>
      <c r="C125" s="19">
        <v>983</v>
      </c>
      <c r="D125">
        <v>983</v>
      </c>
      <c r="F125" t="s">
        <v>518</v>
      </c>
      <c r="G125" s="19">
        <v>1111</v>
      </c>
      <c r="H125">
        <v>1107</v>
      </c>
      <c r="I125" t="b">
        <f>IF(B125=F125,TRUE,FALSE)</f>
        <v>1</v>
      </c>
      <c r="L125" s="27">
        <f>G125-D125</f>
        <v>128</v>
      </c>
      <c r="M125" s="4">
        <f>G125/C125-1</f>
        <v>0.13021363173957279</v>
      </c>
      <c r="N125" s="166">
        <f>H125-D125</f>
        <v>124</v>
      </c>
      <c r="P125" s="5">
        <v>463.41</v>
      </c>
      <c r="Q125" s="5">
        <v>48.63</v>
      </c>
      <c r="T125" s="5">
        <v>273.72000000000003</v>
      </c>
      <c r="W125" s="152">
        <f>Q125-P125</f>
        <v>-414.78000000000003</v>
      </c>
      <c r="X125" s="4">
        <f>IF(P125=0,0,Q125/P125-1)</f>
        <v>-0.89506052955266391</v>
      </c>
      <c r="AD125" s="18">
        <v>19610.849999999999</v>
      </c>
      <c r="AE125" s="18">
        <v>22164.45</v>
      </c>
      <c r="AF125" s="4">
        <f>AE125/AD125-1</f>
        <v>0.13021363173957279</v>
      </c>
      <c r="AG125" s="150">
        <f>(N125*2)-W125</f>
        <v>662.78</v>
      </c>
      <c r="AH125" s="158">
        <f>P125/AD125</f>
        <v>2.3630286295596572E-2</v>
      </c>
      <c r="AI125" s="158">
        <f>Q125/AE125</f>
        <v>2.1940539918653521E-3</v>
      </c>
    </row>
    <row r="126" spans="1:38">
      <c r="A126" s="56" t="s">
        <v>1021</v>
      </c>
      <c r="B126" s="39" t="s">
        <v>608</v>
      </c>
      <c r="C126" s="19">
        <v>482</v>
      </c>
      <c r="D126">
        <v>482</v>
      </c>
      <c r="F126" s="39" t="s">
        <v>608</v>
      </c>
      <c r="G126" s="19">
        <v>1376</v>
      </c>
      <c r="H126">
        <v>1376</v>
      </c>
      <c r="I126" t="b">
        <f>IF(B126=F126,TRUE,FALSE)</f>
        <v>1</v>
      </c>
      <c r="L126" s="27">
        <f>G126-D126</f>
        <v>894</v>
      </c>
      <c r="M126" s="4">
        <f>G126/C127-1</f>
        <v>-0.24767632586112631</v>
      </c>
      <c r="N126" s="166">
        <f>H126-D126</f>
        <v>894</v>
      </c>
      <c r="P126" s="5">
        <v>667.97</v>
      </c>
      <c r="Q126" s="5">
        <v>1526.97</v>
      </c>
      <c r="T126" s="5">
        <v>4080.65</v>
      </c>
      <c r="W126" s="152">
        <f>Q126-P126</f>
        <v>859</v>
      </c>
      <c r="X126" s="4">
        <f>IF(P126=0,0,Q126/P126-1)</f>
        <v>1.2859858975702503</v>
      </c>
      <c r="AD126" s="18">
        <v>4795.8599999999997</v>
      </c>
      <c r="AE126" s="18">
        <v>13290.68</v>
      </c>
      <c r="AF126" s="4">
        <f>AE126/AD126-1</f>
        <v>1.771281897303091</v>
      </c>
      <c r="AG126" s="150">
        <f>(N126*2)-W126</f>
        <v>929</v>
      </c>
      <c r="AH126" s="158">
        <f>P126/AD126</f>
        <v>0.13928054613771046</v>
      </c>
      <c r="AI126" s="158">
        <f>Q126/AE126</f>
        <v>0.11489028401857543</v>
      </c>
    </row>
    <row r="127" spans="1:38" ht="16.5">
      <c r="A127" s="25" t="s">
        <v>1022</v>
      </c>
      <c r="B127" s="24" t="s">
        <v>300</v>
      </c>
      <c r="C127" s="19">
        <v>1829</v>
      </c>
      <c r="D127">
        <v>1829</v>
      </c>
      <c r="E127" s="5"/>
      <c r="F127" s="24" t="s">
        <v>300</v>
      </c>
      <c r="G127" s="19">
        <v>1792</v>
      </c>
      <c r="H127">
        <v>1784</v>
      </c>
      <c r="I127" t="b">
        <f>IF(B127=F127,TRUE,FALSE)</f>
        <v>1</v>
      </c>
      <c r="J127" s="5"/>
      <c r="K127" s="5"/>
      <c r="L127" s="27">
        <f>G127-D127</f>
        <v>-37</v>
      </c>
      <c r="M127" s="4">
        <f>G127/C127-1</f>
        <v>-2.0229633679606396E-2</v>
      </c>
      <c r="N127" s="166">
        <f>H127-D127</f>
        <v>-45</v>
      </c>
      <c r="O127" s="5"/>
      <c r="P127" s="5">
        <v>3365.28</v>
      </c>
      <c r="Q127" s="5">
        <v>2260.9899999999998</v>
      </c>
      <c r="R127" s="5"/>
      <c r="S127" s="5"/>
      <c r="T127" s="5">
        <v>8285.09</v>
      </c>
      <c r="U127" s="5"/>
      <c r="V127" s="5"/>
      <c r="W127" s="152">
        <f>Q127-P127</f>
        <v>-1104.2900000000004</v>
      </c>
      <c r="X127" s="4">
        <f>IF(P127=0,0,Q127/P127-1)</f>
        <v>-0.32814208624542396</v>
      </c>
      <c r="Y127" s="5"/>
      <c r="Z127" s="5"/>
      <c r="AA127" s="5"/>
      <c r="AB127" s="5"/>
      <c r="AC127" s="15"/>
      <c r="AD127" s="18">
        <v>46103.54</v>
      </c>
      <c r="AE127" s="18">
        <v>47831.11</v>
      </c>
      <c r="AF127" s="4">
        <f>AE127/AD127-1</f>
        <v>3.7471526047674342E-2</v>
      </c>
      <c r="AG127" s="150">
        <f>(N127*2)-W127</f>
        <v>1014.2900000000004</v>
      </c>
      <c r="AH127" s="158">
        <f>P127/AD127</f>
        <v>7.2993960984340897E-2</v>
      </c>
      <c r="AI127" s="158">
        <f>Q127/AE127</f>
        <v>4.7270280785873454E-2</v>
      </c>
    </row>
    <row r="128" spans="1:38">
      <c r="A128" s="29" t="s">
        <v>1023</v>
      </c>
      <c r="B128" s="29" t="s">
        <v>701</v>
      </c>
      <c r="C128" s="19">
        <v>778</v>
      </c>
      <c r="D128">
        <v>778</v>
      </c>
      <c r="F128" s="29" t="s">
        <v>701</v>
      </c>
      <c r="G128" s="19">
        <v>1574</v>
      </c>
      <c r="H128">
        <v>1572</v>
      </c>
      <c r="I128" t="b">
        <f>IF(B128=F128,TRUE,FALSE)</f>
        <v>1</v>
      </c>
      <c r="L128" s="27">
        <f>G128-D128</f>
        <v>796</v>
      </c>
      <c r="M128" s="4">
        <f>G128/C128-1</f>
        <v>1.0231362467866325</v>
      </c>
      <c r="N128" s="166">
        <f>H128-D128</f>
        <v>794</v>
      </c>
      <c r="P128" s="5">
        <v>1391.11</v>
      </c>
      <c r="Q128" s="5">
        <v>1915.92</v>
      </c>
      <c r="T128" s="5">
        <v>7610.6100000000006</v>
      </c>
      <c r="W128" s="152">
        <f>Q128-P128</f>
        <v>524.81000000000017</v>
      </c>
      <c r="X128" s="4">
        <f>IF(P128=0,0,Q128/P128-1)</f>
        <v>0.37725988599032445</v>
      </c>
      <c r="AD128" s="18">
        <v>7423.04</v>
      </c>
      <c r="AE128" s="18">
        <v>16444.18</v>
      </c>
      <c r="AF128" s="4">
        <f>AE128/AD128-1</f>
        <v>1.2152891537698842</v>
      </c>
      <c r="AG128" s="150">
        <f>(N128*2)-W128</f>
        <v>1063.1899999999998</v>
      </c>
      <c r="AH128" s="158">
        <f>P128/AD128</f>
        <v>0.18740435185584342</v>
      </c>
      <c r="AI128" s="158">
        <f>Q128/AE128</f>
        <v>0.11651052226380397</v>
      </c>
    </row>
    <row r="129" spans="1:36">
      <c r="A129" t="s">
        <v>1024</v>
      </c>
      <c r="B129" t="s">
        <v>422</v>
      </c>
      <c r="C129" s="19">
        <v>1664</v>
      </c>
      <c r="D129">
        <v>1664</v>
      </c>
      <c r="F129" t="s">
        <v>422</v>
      </c>
      <c r="G129" s="19">
        <v>2463</v>
      </c>
      <c r="H129">
        <v>2452</v>
      </c>
      <c r="I129" t="b">
        <f>IF(B129=F129,TRUE,FALSE)</f>
        <v>1</v>
      </c>
      <c r="L129" s="27">
        <f>G129-D129</f>
        <v>799</v>
      </c>
      <c r="M129" s="4">
        <f>G129/C129-1</f>
        <v>0.48016826923076916</v>
      </c>
      <c r="N129" s="166">
        <f>H129-D129</f>
        <v>788</v>
      </c>
      <c r="P129" s="5">
        <v>3647.94</v>
      </c>
      <c r="Q129" s="5">
        <v>3965.7599999999998</v>
      </c>
      <c r="T129" s="5">
        <v>23674.469999999998</v>
      </c>
      <c r="W129" s="152">
        <f>Q129-P129</f>
        <v>317.81999999999971</v>
      </c>
      <c r="X129" s="4">
        <f>IF(P129=0,0,Q129/P129-1)</f>
        <v>8.7123143472754405E-2</v>
      </c>
      <c r="AD129" s="18">
        <v>36696.65</v>
      </c>
      <c r="AE129" s="18">
        <v>61849.37</v>
      </c>
      <c r="AF129" s="4">
        <f>AE129/AD129-1</f>
        <v>0.68542278382359156</v>
      </c>
      <c r="AG129" s="150">
        <f>(N129*2)-W129</f>
        <v>1258.1800000000003</v>
      </c>
      <c r="AH129" s="158">
        <f>P129/AD129</f>
        <v>9.9407984107541147E-2</v>
      </c>
      <c r="AI129" s="158">
        <f>Q129/AE129</f>
        <v>6.411965069328919E-2</v>
      </c>
    </row>
    <row r="130" spans="1:36">
      <c r="A130" s="29" t="s">
        <v>1025</v>
      </c>
      <c r="B130" s="29" t="s">
        <v>398</v>
      </c>
      <c r="C130" s="19">
        <v>695</v>
      </c>
      <c r="D130">
        <v>695</v>
      </c>
      <c r="F130" s="29" t="s">
        <v>398</v>
      </c>
      <c r="G130" s="19">
        <v>1631</v>
      </c>
      <c r="H130">
        <v>1630</v>
      </c>
      <c r="I130" t="b">
        <f>IF(B130=F130,TRUE,FALSE)</f>
        <v>1</v>
      </c>
      <c r="L130" s="27">
        <f>G130-D130</f>
        <v>936</v>
      </c>
      <c r="M130" s="4">
        <f>G130/C130-1</f>
        <v>1.3467625899280575</v>
      </c>
      <c r="N130" s="166">
        <f>H130-D130</f>
        <v>935</v>
      </c>
      <c r="P130" s="5">
        <v>1128.25</v>
      </c>
      <c r="Q130" s="5">
        <v>1633.9499999999998</v>
      </c>
      <c r="T130" s="5">
        <v>5156.91</v>
      </c>
      <c r="W130" s="152">
        <f>Q130-P130</f>
        <v>505.69999999999982</v>
      </c>
      <c r="X130" s="4">
        <f>IF(P130=0,0,Q130/P130-1)</f>
        <v>0.44821626412585847</v>
      </c>
      <c r="AD130" s="18">
        <v>6698.42</v>
      </c>
      <c r="AE130" s="18">
        <v>16119.3</v>
      </c>
      <c r="AF130" s="4">
        <f>AE130/AD130-1</f>
        <v>1.4064331588643291</v>
      </c>
      <c r="AG130" s="150">
        <f>(N130*2)-W130</f>
        <v>1364.3000000000002</v>
      </c>
      <c r="AH130" s="158">
        <f>P130/AD130</f>
        <v>0.16843524293788684</v>
      </c>
      <c r="AI130" s="158">
        <f>Q130/AE130</f>
        <v>0.10136606428318846</v>
      </c>
    </row>
    <row r="131" spans="1:36">
      <c r="A131" s="58" t="s">
        <v>1026</v>
      </c>
      <c r="B131" s="39" t="s">
        <v>414</v>
      </c>
      <c r="C131" s="19">
        <v>303</v>
      </c>
      <c r="D131">
        <v>303</v>
      </c>
      <c r="F131" s="39" t="s">
        <v>414</v>
      </c>
      <c r="G131" s="19">
        <v>1485</v>
      </c>
      <c r="H131">
        <v>1485</v>
      </c>
      <c r="I131" t="b">
        <f>IF(B131=F131,TRUE,FALSE)</f>
        <v>1</v>
      </c>
      <c r="L131" s="27">
        <f>G131-D131</f>
        <v>1182</v>
      </c>
      <c r="M131" s="4">
        <f>G131/C132-1</f>
        <v>0.36363636363636354</v>
      </c>
      <c r="N131" s="166">
        <f>H131-D131</f>
        <v>1182</v>
      </c>
      <c r="P131" s="5">
        <v>831.07</v>
      </c>
      <c r="Q131" s="5">
        <v>1803.42</v>
      </c>
      <c r="T131" s="5">
        <v>8110.59</v>
      </c>
      <c r="W131" s="152">
        <f>Q131-P131</f>
        <v>972.35</v>
      </c>
      <c r="X131" s="4">
        <f>IF(P131=0,0,Q131/P131-1)</f>
        <v>1.1699977137906554</v>
      </c>
      <c r="AD131" s="18">
        <v>3507.27</v>
      </c>
      <c r="AE131" s="18">
        <v>21189.149999999998</v>
      </c>
      <c r="AF131" s="4">
        <f>AE131/AD131-1</f>
        <v>5.0414938114259806</v>
      </c>
      <c r="AG131" s="150">
        <f>(N131*2)-W131</f>
        <v>1391.65</v>
      </c>
      <c r="AH131" s="158">
        <f>P131/AD131</f>
        <v>0.23695637917810719</v>
      </c>
      <c r="AI131" s="158">
        <f>Q131/AE131</f>
        <v>8.5110540064136611E-2</v>
      </c>
    </row>
    <row r="132" spans="1:36">
      <c r="A132" t="s">
        <v>1027</v>
      </c>
      <c r="B132" t="s">
        <v>501</v>
      </c>
      <c r="C132" s="19">
        <v>1089</v>
      </c>
      <c r="D132">
        <v>1089</v>
      </c>
      <c r="F132" t="s">
        <v>501</v>
      </c>
      <c r="G132" s="19">
        <v>1356</v>
      </c>
      <c r="H132">
        <v>1348</v>
      </c>
      <c r="I132" t="b">
        <f>IF(B132=F132,TRUE,FALSE)</f>
        <v>1</v>
      </c>
      <c r="L132" s="27">
        <f>G132-D132</f>
        <v>267</v>
      </c>
      <c r="M132" s="4">
        <f>G132/C132-1</f>
        <v>0.24517906336088147</v>
      </c>
      <c r="N132" s="166">
        <f>H132-D132</f>
        <v>259</v>
      </c>
      <c r="P132" s="5">
        <v>1103.23</v>
      </c>
      <c r="Q132" s="5">
        <v>174.59</v>
      </c>
      <c r="T132" s="5">
        <v>698.64</v>
      </c>
      <c r="W132" s="152">
        <f>Q132-P132</f>
        <v>-928.64</v>
      </c>
      <c r="X132" s="4">
        <f>IF(P132=0,0,Q132/P132-1)</f>
        <v>-0.84174650798110995</v>
      </c>
      <c r="AD132" s="18">
        <v>25069.11</v>
      </c>
      <c r="AE132" s="18">
        <v>36542.439999999995</v>
      </c>
      <c r="AF132" s="4">
        <f>AE132/AD132-1</f>
        <v>0.45766802251854943</v>
      </c>
      <c r="AG132" s="150">
        <f>(N132*2)-W132</f>
        <v>1446.6399999999999</v>
      </c>
      <c r="AH132" s="158">
        <f>P132/AD132</f>
        <v>4.4007545541106169E-2</v>
      </c>
      <c r="AI132" s="158">
        <f>Q132/AE132</f>
        <v>4.7777324119571661E-3</v>
      </c>
    </row>
    <row r="133" spans="1:36">
      <c r="A133" s="29" t="s">
        <v>1028</v>
      </c>
      <c r="B133" s="29" t="s">
        <v>327</v>
      </c>
      <c r="C133" s="19">
        <v>1601</v>
      </c>
      <c r="D133">
        <v>1601</v>
      </c>
      <c r="F133" s="29" t="s">
        <v>327</v>
      </c>
      <c r="G133" s="19">
        <v>1905</v>
      </c>
      <c r="H133">
        <v>1903</v>
      </c>
      <c r="I133" t="b">
        <f>IF(B133=F133,TRUE,FALSE)</f>
        <v>1</v>
      </c>
      <c r="L133" s="27">
        <f>G133-D133</f>
        <v>304</v>
      </c>
      <c r="M133" s="4">
        <f>G133/C133-1</f>
        <v>0.18988132417239223</v>
      </c>
      <c r="N133" s="166">
        <f>H133-D133</f>
        <v>302</v>
      </c>
      <c r="P133" s="5">
        <v>3547.55</v>
      </c>
      <c r="Q133" s="5">
        <v>2041.7400000000002</v>
      </c>
      <c r="T133" s="5">
        <v>15913.630000000001</v>
      </c>
      <c r="W133" s="152">
        <f>Q133-P133</f>
        <v>-1505.81</v>
      </c>
      <c r="X133" s="4">
        <f>IF(P133=0,0,Q133/P133-1)</f>
        <v>-0.42446477146199491</v>
      </c>
      <c r="AD133" s="18">
        <v>23009.99</v>
      </c>
      <c r="AE133" s="18">
        <v>36348.949999999997</v>
      </c>
      <c r="AF133" s="4">
        <f>AE133/AD133-1</f>
        <v>0.57970298987526703</v>
      </c>
      <c r="AG133" s="150">
        <f>(N133*2)-W133</f>
        <v>2109.81</v>
      </c>
      <c r="AH133" s="158">
        <f>P133/AD133</f>
        <v>0.1541743390588175</v>
      </c>
      <c r="AI133" s="158">
        <f>Q133/AE133</f>
        <v>5.6170535875176598E-2</v>
      </c>
    </row>
    <row r="134" spans="1:36">
      <c r="A134" t="s">
        <v>1029</v>
      </c>
      <c r="B134" t="s">
        <v>828</v>
      </c>
      <c r="C134" s="19">
        <v>1</v>
      </c>
      <c r="D134">
        <v>1</v>
      </c>
      <c r="G134" s="19">
        <v>0</v>
      </c>
      <c r="H134" t="s">
        <v>344</v>
      </c>
      <c r="I134" t="b">
        <f>IF(B134=F134,TRUE,FALSE)</f>
        <v>0</v>
      </c>
      <c r="L134" s="27">
        <f>G134-D134</f>
        <v>-1</v>
      </c>
      <c r="M134" s="4">
        <f>G134/C134-1</f>
        <v>-1</v>
      </c>
      <c r="N134" s="166" t="e">
        <f>H134-D134</f>
        <v>#VALUE!</v>
      </c>
      <c r="P134" s="5">
        <v>0</v>
      </c>
      <c r="Q134" s="5">
        <v>0</v>
      </c>
      <c r="T134" s="5">
        <v>0</v>
      </c>
      <c r="W134" s="152">
        <v>0</v>
      </c>
      <c r="X134" s="4">
        <f>IF(P134=0,0,Q134/P134-1)</f>
        <v>0</v>
      </c>
      <c r="AD134" s="18">
        <v>15.95</v>
      </c>
      <c r="AE134" s="18">
        <v>0</v>
      </c>
      <c r="AF134" s="4">
        <f>AE134/AD134-1</f>
        <v>-1</v>
      </c>
      <c r="AG134" s="150" t="e">
        <f>(N134*2)-W134</f>
        <v>#VALUE!</v>
      </c>
      <c r="AH134" s="158">
        <f>P134/AD134</f>
        <v>0</v>
      </c>
      <c r="AI134" s="158" t="e">
        <f>Q134/AE134</f>
        <v>#DIV/0!</v>
      </c>
      <c r="AJ134" s="5"/>
    </row>
    <row r="135" spans="1:36">
      <c r="A135" t="s">
        <v>1030</v>
      </c>
      <c r="B135" t="s">
        <v>797</v>
      </c>
      <c r="C135" s="19">
        <v>1</v>
      </c>
      <c r="D135">
        <v>1</v>
      </c>
      <c r="G135" s="19">
        <v>0</v>
      </c>
      <c r="H135" t="s">
        <v>344</v>
      </c>
      <c r="I135" t="b">
        <f>IF(B135=F135,TRUE,FALSE)</f>
        <v>0</v>
      </c>
      <c r="L135" s="27">
        <f>G135-D135</f>
        <v>-1</v>
      </c>
      <c r="M135" s="4">
        <f>G135/C135-1</f>
        <v>-1</v>
      </c>
      <c r="N135" s="166" t="e">
        <f>H135-D135</f>
        <v>#VALUE!</v>
      </c>
      <c r="P135" s="5">
        <v>1</v>
      </c>
      <c r="Q135" s="5">
        <v>0</v>
      </c>
      <c r="T135" s="5">
        <v>0</v>
      </c>
      <c r="W135" s="152">
        <f>Q135-P135</f>
        <v>-1</v>
      </c>
      <c r="X135" s="4">
        <f>IF(P135=0,0,Q135/P135-1)</f>
        <v>-1</v>
      </c>
      <c r="AD135" s="18">
        <v>19.95</v>
      </c>
      <c r="AE135" s="18">
        <v>0</v>
      </c>
      <c r="AF135" s="4">
        <f>AE135/AD135-1</f>
        <v>-1</v>
      </c>
      <c r="AG135" s="150" t="e">
        <f>(N135*2)-W135</f>
        <v>#VALUE!</v>
      </c>
      <c r="AH135" s="158">
        <f>P135/AD135</f>
        <v>5.0125313283208024E-2</v>
      </c>
      <c r="AI135" s="158" t="e">
        <f>Q135/AE135</f>
        <v>#DIV/0!</v>
      </c>
      <c r="AJ135" s="5"/>
    </row>
    <row r="136" spans="1:36">
      <c r="A136" t="s">
        <v>1031</v>
      </c>
      <c r="B136" t="s">
        <v>827</v>
      </c>
      <c r="C136" s="19">
        <v>2</v>
      </c>
      <c r="D136">
        <v>2</v>
      </c>
      <c r="G136" s="19">
        <v>0</v>
      </c>
      <c r="H136" t="s">
        <v>344</v>
      </c>
      <c r="I136" t="b">
        <f>IF(B136=F136,TRUE,FALSE)</f>
        <v>0</v>
      </c>
      <c r="L136" s="27">
        <f>G136-D136</f>
        <v>-2</v>
      </c>
      <c r="M136" s="4">
        <f>G136/C136-1</f>
        <v>-1</v>
      </c>
      <c r="N136" s="166" t="e">
        <f>H136-D136</f>
        <v>#VALUE!</v>
      </c>
      <c r="P136" s="5">
        <v>0</v>
      </c>
      <c r="Q136" s="5">
        <v>0</v>
      </c>
      <c r="T136" s="5">
        <v>0</v>
      </c>
      <c r="W136" s="152">
        <f>Q136-P136</f>
        <v>0</v>
      </c>
      <c r="X136" s="4">
        <f>IF(P136=0,0,Q136/P136-1)</f>
        <v>0</v>
      </c>
      <c r="AD136" s="18">
        <v>39.9</v>
      </c>
      <c r="AE136" s="18">
        <v>0</v>
      </c>
      <c r="AF136" s="4">
        <f>AE136/AD136-1</f>
        <v>-1</v>
      </c>
      <c r="AG136" s="150" t="e">
        <f>(N136*2)-W136</f>
        <v>#VALUE!</v>
      </c>
      <c r="AH136" s="158">
        <f>P136/AD136</f>
        <v>0</v>
      </c>
      <c r="AI136" s="158" t="e">
        <f>Q136/AE136</f>
        <v>#DIV/0!</v>
      </c>
      <c r="AJ136" s="5"/>
    </row>
    <row r="137" spans="1:36">
      <c r="A137" t="s">
        <v>1032</v>
      </c>
      <c r="B137" t="s">
        <v>1033</v>
      </c>
      <c r="C137" s="19">
        <v>0</v>
      </c>
      <c r="D137" t="s">
        <v>344</v>
      </c>
      <c r="G137" s="19">
        <v>0</v>
      </c>
      <c r="H137" t="s">
        <v>344</v>
      </c>
      <c r="I137" t="b">
        <f>IF(B137=F137,TRUE,FALSE)</f>
        <v>0</v>
      </c>
      <c r="L137" s="27"/>
      <c r="M137" s="4" t="e">
        <f>G137/C137-1</f>
        <v>#DIV/0!</v>
      </c>
      <c r="N137" s="166" t="e">
        <f>H137-D137</f>
        <v>#VALUE!</v>
      </c>
      <c r="P137" s="5">
        <v>0</v>
      </c>
      <c r="Q137" s="5">
        <v>0</v>
      </c>
      <c r="T137" s="5">
        <v>0</v>
      </c>
      <c r="W137" s="152">
        <f>Q137-P137</f>
        <v>0</v>
      </c>
      <c r="X137" s="4">
        <f>IF(P137=0,0,Q137/P137-1)</f>
        <v>0</v>
      </c>
      <c r="AD137" s="18">
        <v>0</v>
      </c>
      <c r="AE137" s="18">
        <v>0</v>
      </c>
      <c r="AF137" s="4" t="e">
        <f>AE137/AD137-1</f>
        <v>#DIV/0!</v>
      </c>
      <c r="AG137" s="150" t="e">
        <f>(N137*2)-W137</f>
        <v>#VALUE!</v>
      </c>
      <c r="AH137" s="158" t="e">
        <f>P137/AD137</f>
        <v>#DIV/0!</v>
      </c>
      <c r="AI137" s="158" t="e">
        <f>Q137/AE137</f>
        <v>#DIV/0!</v>
      </c>
      <c r="AJ137" s="5"/>
    </row>
    <row r="138" spans="1:36">
      <c r="A138" t="s">
        <v>1034</v>
      </c>
      <c r="B138" t="s">
        <v>1035</v>
      </c>
      <c r="C138" s="19">
        <v>0</v>
      </c>
      <c r="D138" t="s">
        <v>344</v>
      </c>
      <c r="E138" s="5"/>
      <c r="G138" s="19">
        <v>0</v>
      </c>
      <c r="H138" t="s">
        <v>344</v>
      </c>
      <c r="I138" t="b">
        <f>IF(B138=F138,TRUE,FALSE)</f>
        <v>0</v>
      </c>
      <c r="J138" s="5"/>
      <c r="K138" s="5"/>
      <c r="L138" s="27"/>
      <c r="M138" s="4" t="e">
        <f>G138/C138-1</f>
        <v>#DIV/0!</v>
      </c>
      <c r="N138" s="166" t="e">
        <f>H138-D138</f>
        <v>#VALUE!</v>
      </c>
      <c r="O138" s="5"/>
      <c r="P138" s="5">
        <v>0</v>
      </c>
      <c r="Q138" s="5">
        <v>0</v>
      </c>
      <c r="R138" s="5"/>
      <c r="S138" s="5"/>
      <c r="T138" s="5">
        <v>0</v>
      </c>
      <c r="U138" s="5"/>
      <c r="V138" s="5"/>
      <c r="W138" s="152">
        <f>Q138-P138</f>
        <v>0</v>
      </c>
      <c r="X138" s="4">
        <f>IF(P138=0,0,Q138/P138-1)</f>
        <v>0</v>
      </c>
      <c r="Y138" s="5"/>
      <c r="Z138" s="5"/>
      <c r="AA138" s="5"/>
      <c r="AB138" s="5"/>
      <c r="AC138" s="15"/>
      <c r="AD138" s="18">
        <v>0</v>
      </c>
      <c r="AE138" s="18">
        <v>0</v>
      </c>
      <c r="AF138" s="4" t="e">
        <f>AE138/AD138-1</f>
        <v>#DIV/0!</v>
      </c>
      <c r="AG138" s="150" t="e">
        <f>(N138*2)-W138</f>
        <v>#VALUE!</v>
      </c>
      <c r="AH138" s="158" t="e">
        <f>P138/AD138</f>
        <v>#DIV/0!</v>
      </c>
      <c r="AI138" s="158" t="e">
        <f>Q138/AE138</f>
        <v>#DIV/0!</v>
      </c>
    </row>
    <row r="139" spans="1:36" ht="16.5">
      <c r="A139" s="25" t="s">
        <v>1036</v>
      </c>
      <c r="B139" t="s">
        <v>1037</v>
      </c>
      <c r="C139" s="19">
        <v>806</v>
      </c>
      <c r="D139">
        <v>806</v>
      </c>
      <c r="E139" s="5"/>
      <c r="G139" s="19">
        <v>0</v>
      </c>
      <c r="H139" t="s">
        <v>344</v>
      </c>
      <c r="I139" t="b">
        <f>IF(B139=F139,TRUE,FALSE)</f>
        <v>0</v>
      </c>
      <c r="J139" s="5"/>
      <c r="K139" s="5"/>
      <c r="L139" s="27"/>
      <c r="M139" s="4">
        <f>G139/C139-1</f>
        <v>-1</v>
      </c>
      <c r="N139" s="166" t="e">
        <f>H139-D139</f>
        <v>#VALUE!</v>
      </c>
      <c r="O139" s="5"/>
      <c r="P139" s="5">
        <v>1841.9</v>
      </c>
      <c r="Q139" s="5">
        <v>0</v>
      </c>
      <c r="R139" s="5"/>
      <c r="S139" s="5"/>
      <c r="T139" s="5">
        <v>0</v>
      </c>
      <c r="U139" s="5"/>
      <c r="V139" s="5"/>
      <c r="W139" s="152">
        <f>Q139-P139</f>
        <v>-1841.9</v>
      </c>
      <c r="X139" s="4">
        <f>IF(P139=0,0,Q139/P139-1)</f>
        <v>-1</v>
      </c>
      <c r="Y139" s="5"/>
      <c r="Z139" s="5"/>
      <c r="AA139" s="5"/>
      <c r="AB139" s="5"/>
      <c r="AC139" s="15"/>
      <c r="AD139" s="18">
        <v>8039.6</v>
      </c>
      <c r="AE139" s="18">
        <v>0</v>
      </c>
      <c r="AF139" s="4">
        <f>AE139/AD139-1</f>
        <v>-1</v>
      </c>
      <c r="AG139" s="150" t="e">
        <f>(N139*2)-W139</f>
        <v>#VALUE!</v>
      </c>
      <c r="AH139" s="158">
        <f>P139/AD139</f>
        <v>0.22910343798198915</v>
      </c>
      <c r="AI139" s="158" t="e">
        <f>Q139/AE139</f>
        <v>#DIV/0!</v>
      </c>
    </row>
    <row r="140" spans="1:36">
      <c r="A140" t="s">
        <v>1038</v>
      </c>
      <c r="B140" t="s">
        <v>834</v>
      </c>
      <c r="C140" s="19">
        <v>0</v>
      </c>
      <c r="D140" t="s">
        <v>344</v>
      </c>
      <c r="F140" t="s">
        <v>834</v>
      </c>
      <c r="G140" s="19">
        <v>2</v>
      </c>
      <c r="H140">
        <v>2</v>
      </c>
      <c r="I140" t="b">
        <f>IF(B140=F140,TRUE,FALSE)</f>
        <v>1</v>
      </c>
      <c r="L140" s="27"/>
      <c r="M140" s="4" t="e">
        <f>G140/C140-1</f>
        <v>#DIV/0!</v>
      </c>
      <c r="N140" s="166" t="e">
        <f>H140-D140</f>
        <v>#VALUE!</v>
      </c>
      <c r="P140" s="5">
        <v>0</v>
      </c>
      <c r="Q140" s="5">
        <v>0</v>
      </c>
      <c r="T140" s="5">
        <v>0</v>
      </c>
      <c r="W140" s="152">
        <f>Q140-P140</f>
        <v>0</v>
      </c>
      <c r="X140" s="4">
        <f>IF(P140=0,0,Q140/P140-1)</f>
        <v>0</v>
      </c>
      <c r="AD140" s="18">
        <v>0</v>
      </c>
      <c r="AE140" s="18">
        <v>37.9</v>
      </c>
      <c r="AF140" s="4" t="e">
        <f>AE140/AD140-1</f>
        <v>#DIV/0!</v>
      </c>
      <c r="AG140" s="150" t="e">
        <f>(N140*2)-W140</f>
        <v>#VALUE!</v>
      </c>
      <c r="AH140" s="158" t="e">
        <f>P140/AD140</f>
        <v>#DIV/0!</v>
      </c>
      <c r="AI140" s="158">
        <f>Q140/AE140</f>
        <v>0</v>
      </c>
      <c r="AJ140" s="5"/>
    </row>
    <row r="141" spans="1:36">
      <c r="A141" t="s">
        <v>1039</v>
      </c>
      <c r="B141" t="s">
        <v>807</v>
      </c>
      <c r="C141" s="19">
        <v>0</v>
      </c>
      <c r="D141" t="s">
        <v>344</v>
      </c>
      <c r="F141" t="s">
        <v>807</v>
      </c>
      <c r="G141" s="19">
        <v>1</v>
      </c>
      <c r="H141">
        <v>1</v>
      </c>
      <c r="I141" t="b">
        <f>IF(B141=F141,TRUE,FALSE)</f>
        <v>1</v>
      </c>
      <c r="L141" s="27"/>
      <c r="M141" s="4" t="e">
        <f>G141/C141-1</f>
        <v>#DIV/0!</v>
      </c>
      <c r="N141" s="166" t="e">
        <f>H141-D141</f>
        <v>#VALUE!</v>
      </c>
      <c r="P141" s="5">
        <v>0</v>
      </c>
      <c r="Q141" s="5">
        <v>0</v>
      </c>
      <c r="T141" s="5">
        <v>0</v>
      </c>
      <c r="W141" s="152">
        <f>Q141-P141</f>
        <v>0</v>
      </c>
      <c r="X141" s="4">
        <f>IF(P141=0,0,Q141/P141-1)</f>
        <v>0</v>
      </c>
      <c r="AD141" s="18">
        <v>0</v>
      </c>
      <c r="AE141" s="18">
        <v>18.95</v>
      </c>
      <c r="AF141" s="4" t="e">
        <f>AE141/AD141-1</f>
        <v>#DIV/0!</v>
      </c>
      <c r="AG141" s="150" t="e">
        <f>(N141*2)-W141</f>
        <v>#VALUE!</v>
      </c>
      <c r="AH141" s="158" t="e">
        <f>P141/AD141</f>
        <v>#DIV/0!</v>
      </c>
      <c r="AI141" s="158">
        <f>Q141/AE141</f>
        <v>0</v>
      </c>
      <c r="AJ141" s="5"/>
    </row>
    <row r="142" spans="1:36">
      <c r="A142" t="s">
        <v>1040</v>
      </c>
      <c r="B142" t="s">
        <v>805</v>
      </c>
      <c r="C142" s="19">
        <v>0</v>
      </c>
      <c r="D142" t="s">
        <v>344</v>
      </c>
      <c r="F142" t="s">
        <v>805</v>
      </c>
      <c r="G142" s="19">
        <v>1</v>
      </c>
      <c r="H142">
        <v>1</v>
      </c>
      <c r="I142" t="b">
        <f>IF(B142=F142,TRUE,FALSE)</f>
        <v>1</v>
      </c>
      <c r="L142" s="27"/>
      <c r="M142" s="4" t="e">
        <f>G142/C142-1</f>
        <v>#DIV/0!</v>
      </c>
      <c r="N142" s="166" t="e">
        <f>H142-D142</f>
        <v>#VALUE!</v>
      </c>
      <c r="P142" s="5">
        <v>0</v>
      </c>
      <c r="Q142" s="5">
        <v>0</v>
      </c>
      <c r="T142" s="5">
        <v>0</v>
      </c>
      <c r="W142" s="152">
        <f>Q142-P142</f>
        <v>0</v>
      </c>
      <c r="X142" s="4">
        <f>IF(P142=0,0,Q142/P142-1)</f>
        <v>0</v>
      </c>
      <c r="AD142" s="18">
        <v>0</v>
      </c>
      <c r="AE142" s="18">
        <v>18.96</v>
      </c>
      <c r="AF142" s="4" t="e">
        <f>AE142/AD142-1</f>
        <v>#DIV/0!</v>
      </c>
      <c r="AG142" s="150" t="e">
        <f>(N142*2)-W142</f>
        <v>#VALUE!</v>
      </c>
      <c r="AH142" s="158" t="e">
        <f>P142/AD142</f>
        <v>#DIV/0!</v>
      </c>
      <c r="AI142" s="158">
        <f>Q142/AE142</f>
        <v>0</v>
      </c>
      <c r="AJ142" s="5"/>
    </row>
    <row r="143" spans="1:36">
      <c r="A143" s="29"/>
      <c r="B143" s="29"/>
      <c r="C143" s="19"/>
      <c r="F143" s="29"/>
      <c r="G143" s="19"/>
      <c r="M143" s="4"/>
      <c r="N143" s="4"/>
      <c r="W143" s="152"/>
      <c r="X143" s="4"/>
      <c r="AD143" s="18">
        <v>0</v>
      </c>
      <c r="AE143" s="18">
        <v>0</v>
      </c>
      <c r="AF143" s="4"/>
    </row>
    <row r="144" spans="1:36">
      <c r="M144" s="4"/>
      <c r="N144" s="4"/>
      <c r="Q144" s="4"/>
    </row>
    <row r="145" spans="3:32">
      <c r="C145" s="3" t="s">
        <v>680</v>
      </c>
      <c r="D145" s="3" t="s">
        <v>11</v>
      </c>
      <c r="E145" s="3"/>
      <c r="F145" s="3"/>
      <c r="G145" s="3" t="s">
        <v>680</v>
      </c>
      <c r="H145" s="3" t="s">
        <v>12</v>
      </c>
      <c r="I145" s="3"/>
      <c r="J145" s="3"/>
      <c r="K145" s="3"/>
      <c r="L145" s="3" t="s">
        <v>681</v>
      </c>
      <c r="M145" s="33"/>
      <c r="N145" s="33"/>
      <c r="O145" s="3"/>
      <c r="P145" s="35" t="s">
        <v>682</v>
      </c>
      <c r="Q145" s="35" t="s">
        <v>682</v>
      </c>
      <c r="R145" s="3"/>
      <c r="T145" s="35" t="s">
        <v>683</v>
      </c>
      <c r="U145" s="3"/>
      <c r="W145" s="153" t="s">
        <v>684</v>
      </c>
      <c r="X145" s="3"/>
      <c r="Y145" s="3"/>
      <c r="Z145" s="3"/>
      <c r="AA145" s="3"/>
      <c r="AB145" s="36"/>
      <c r="AC145" s="37" t="s">
        <v>3</v>
      </c>
      <c r="AD145" s="37" t="s">
        <v>3</v>
      </c>
      <c r="AE145" s="37" t="s">
        <v>3</v>
      </c>
    </row>
    <row r="146" spans="3:32">
      <c r="C146" s="19">
        <f>SUM(C3:C142)</f>
        <v>215754</v>
      </c>
      <c r="D146">
        <f>SUM(D3:D142)</f>
        <v>215765</v>
      </c>
      <c r="G146" s="19">
        <f>SUM(G3:G142)</f>
        <v>251722</v>
      </c>
      <c r="H146">
        <f>SUM(H3:H141)</f>
        <v>250703</v>
      </c>
      <c r="L146" s="19">
        <f>H146-D146</f>
        <v>34938</v>
      </c>
      <c r="M146" s="4"/>
      <c r="N146" s="4"/>
      <c r="P146" s="19">
        <f>SUM(P3:P142)</f>
        <v>248084.08999999994</v>
      </c>
      <c r="Q146" s="5">
        <f>SUM(Q3:Q142)</f>
        <v>331372.33999999997</v>
      </c>
      <c r="T146" s="19">
        <f>SUM(T3:T142)</f>
        <v>1516609.2300000004</v>
      </c>
      <c r="W146" s="155">
        <f>SUM(W3:W136)</f>
        <v>84781.829999999929</v>
      </c>
      <c r="X146" s="4">
        <f>IF(P146=0,0,Q146/P146-1)</f>
        <v>0.3357258823006346</v>
      </c>
      <c r="AD146" s="32">
        <f>SUM(AD3:AD143)</f>
        <v>4536415.4099999983</v>
      </c>
      <c r="AE146" s="32">
        <f>SUM(AE3:AE143)</f>
        <v>5536315.4100000001</v>
      </c>
      <c r="AF146" s="4">
        <f>AE146/AD146-1</f>
        <v>0.22041632205812522</v>
      </c>
    </row>
    <row r="147" spans="3:32">
      <c r="M147" s="4"/>
      <c r="N147" s="4"/>
      <c r="X147" s="4"/>
    </row>
    <row r="148" spans="3:32">
      <c r="G148" s="27">
        <f>G146-C146</f>
        <v>35968</v>
      </c>
      <c r="M148" s="4"/>
      <c r="N148" s="4"/>
      <c r="Q148" s="35" t="s">
        <v>690</v>
      </c>
      <c r="T148" s="28">
        <f>Q146/T146</f>
        <v>0.21849553164067179</v>
      </c>
      <c r="X148" s="4"/>
      <c r="AD148" s="3" t="s">
        <v>691</v>
      </c>
      <c r="AE148" s="3" t="s">
        <v>691</v>
      </c>
    </row>
    <row r="149" spans="3:32">
      <c r="G149" s="4">
        <f>G146/C146-1</f>
        <v>0.16670838084114314</v>
      </c>
      <c r="M149" s="4"/>
      <c r="N149" s="4"/>
      <c r="X149" s="4"/>
      <c r="AD149" s="34">
        <f>P146/AD146</f>
        <v>5.4687251404077215E-2</v>
      </c>
      <c r="AE149" s="34">
        <f>Q146/AE146</f>
        <v>5.9854310215320616E-2</v>
      </c>
    </row>
    <row r="150" spans="3:32">
      <c r="M150" s="4"/>
      <c r="N150" s="4"/>
      <c r="X150" s="4"/>
    </row>
    <row r="151" spans="3:32">
      <c r="M151" s="4"/>
      <c r="N151" s="4"/>
    </row>
    <row r="152" spans="3:32">
      <c r="M152" s="4"/>
      <c r="N152" s="4"/>
      <c r="X152" s="4"/>
    </row>
    <row r="153" spans="3:32">
      <c r="M153" s="4"/>
      <c r="N153" s="4"/>
      <c r="X153" s="4"/>
    </row>
    <row r="154" spans="3:32">
      <c r="M154" s="4"/>
      <c r="N154" s="4"/>
      <c r="X154" s="4"/>
    </row>
    <row r="155" spans="3:32">
      <c r="M155" s="4"/>
      <c r="N155" s="4"/>
      <c r="X155" s="4"/>
    </row>
    <row r="156" spans="3:32">
      <c r="M156" s="4"/>
      <c r="N156" s="4"/>
      <c r="X156" s="4"/>
    </row>
    <row r="157" spans="3:32">
      <c r="M157" s="4"/>
      <c r="N157" s="4"/>
      <c r="X157" s="4"/>
    </row>
    <row r="158" spans="3:32">
      <c r="M158" s="4"/>
      <c r="N158" s="4"/>
      <c r="X158" s="4"/>
    </row>
    <row r="159" spans="3:32">
      <c r="M159" s="4"/>
      <c r="N159" s="4"/>
      <c r="X159" s="4"/>
    </row>
    <row r="160" spans="3:32">
      <c r="M160" s="4"/>
      <c r="N160" s="4"/>
      <c r="X160" s="4"/>
    </row>
    <row r="161" spans="13:24">
      <c r="M161" s="4"/>
      <c r="N161" s="4"/>
      <c r="X161" s="4"/>
    </row>
    <row r="162" spans="13:24">
      <c r="M162" s="4"/>
      <c r="N162" s="4"/>
      <c r="X162" s="4"/>
    </row>
    <row r="163" spans="13:24">
      <c r="M163" s="4"/>
      <c r="N163" s="4"/>
      <c r="X163" s="4"/>
    </row>
    <row r="164" spans="13:24">
      <c r="M164" s="4"/>
      <c r="N164" s="4"/>
      <c r="X164" s="4"/>
    </row>
    <row r="165" spans="13:24">
      <c r="M165" s="4"/>
      <c r="N165" s="4"/>
      <c r="X165" s="4"/>
    </row>
    <row r="166" spans="13:24">
      <c r="M166" s="4"/>
      <c r="N166" s="4"/>
      <c r="X166" s="4"/>
    </row>
    <row r="167" spans="13:24">
      <c r="M167" s="4"/>
      <c r="N167" s="4"/>
      <c r="X167" s="4"/>
    </row>
    <row r="168" spans="13:24">
      <c r="M168" s="4"/>
      <c r="N168" s="4"/>
      <c r="X168" s="4"/>
    </row>
    <row r="169" spans="13:24">
      <c r="M169" s="4"/>
      <c r="N169" s="4"/>
      <c r="X169" s="4"/>
    </row>
    <row r="170" spans="13:24">
      <c r="M170" s="4"/>
      <c r="N170" s="4"/>
      <c r="X170" s="4"/>
    </row>
    <row r="171" spans="13:24">
      <c r="M171" s="4"/>
      <c r="N171" s="4"/>
      <c r="X171" s="4"/>
    </row>
    <row r="172" spans="13:24">
      <c r="M172" s="4"/>
      <c r="N172" s="4"/>
      <c r="X172" s="4"/>
    </row>
    <row r="173" spans="13:24">
      <c r="M173" s="4"/>
      <c r="N173" s="4"/>
      <c r="X173" s="4"/>
    </row>
    <row r="174" spans="13:24">
      <c r="M174" s="4"/>
      <c r="N174" s="4"/>
      <c r="X174" s="4"/>
    </row>
    <row r="175" spans="13:24">
      <c r="M175" s="4"/>
      <c r="N175" s="4"/>
      <c r="X175" s="4"/>
    </row>
    <row r="176" spans="13:24">
      <c r="M176" s="4"/>
      <c r="N176" s="4"/>
      <c r="X176" s="4"/>
    </row>
    <row r="177" spans="13:24">
      <c r="M177" s="4"/>
      <c r="N177" s="4"/>
      <c r="X177" s="4"/>
    </row>
    <row r="178" spans="13:24">
      <c r="M178" s="4"/>
      <c r="N178" s="4"/>
      <c r="X178" s="4"/>
    </row>
    <row r="179" spans="13:24">
      <c r="M179" s="4"/>
      <c r="N179" s="4"/>
      <c r="X179" s="4"/>
    </row>
    <row r="180" spans="13:24">
      <c r="M180" s="4"/>
      <c r="N180" s="4"/>
      <c r="X180" s="4"/>
    </row>
    <row r="181" spans="13:24">
      <c r="M181" s="4"/>
      <c r="N181" s="4"/>
      <c r="X181" s="4"/>
    </row>
    <row r="182" spans="13:24">
      <c r="M182" s="4"/>
      <c r="N182" s="4"/>
      <c r="X182" s="4"/>
    </row>
    <row r="183" spans="13:24">
      <c r="M183" s="4"/>
      <c r="N183" s="4"/>
      <c r="X183" s="4"/>
    </row>
    <row r="184" spans="13:24">
      <c r="M184" s="4"/>
      <c r="N184" s="4"/>
      <c r="X184" s="4"/>
    </row>
    <row r="185" spans="13:24">
      <c r="M185" s="4"/>
      <c r="N185" s="4"/>
      <c r="X185" s="4"/>
    </row>
    <row r="186" spans="13:24">
      <c r="M186" s="4"/>
      <c r="N186" s="4"/>
      <c r="X186" s="4"/>
    </row>
    <row r="187" spans="13:24">
      <c r="M187" s="4"/>
      <c r="N187" s="4"/>
      <c r="X187" s="4"/>
    </row>
    <row r="188" spans="13:24">
      <c r="M188" s="4"/>
      <c r="N188" s="4"/>
      <c r="X188" s="4"/>
    </row>
    <row r="189" spans="13:24">
      <c r="M189" s="4"/>
      <c r="N189" s="4"/>
      <c r="X189" s="4"/>
    </row>
    <row r="190" spans="13:24">
      <c r="M190" s="4"/>
      <c r="N190" s="4"/>
      <c r="X190" s="4"/>
    </row>
    <row r="191" spans="13:24">
      <c r="M191" s="4"/>
      <c r="N191" s="4"/>
      <c r="X191" s="4"/>
    </row>
    <row r="192" spans="13:24">
      <c r="M192" s="4"/>
      <c r="N192" s="4"/>
      <c r="X192" s="4"/>
    </row>
    <row r="193" spans="3:24">
      <c r="M193" s="6"/>
      <c r="N193" s="6"/>
      <c r="P193" s="11"/>
      <c r="Q193" s="11"/>
      <c r="W193" s="156"/>
      <c r="X193" s="6"/>
    </row>
    <row r="194" spans="3:24" ht="15" customHeight="1">
      <c r="M194" s="6"/>
      <c r="N194" s="6"/>
      <c r="P194" s="11"/>
      <c r="Q194" s="11"/>
      <c r="W194" s="156"/>
      <c r="X194" s="6"/>
    </row>
    <row r="195" spans="3:24" ht="15" customHeight="1">
      <c r="M195" s="6"/>
      <c r="N195" s="6"/>
      <c r="P195" s="11"/>
      <c r="Q195" s="11"/>
      <c r="W195" s="156"/>
      <c r="X195" s="6"/>
    </row>
    <row r="196" spans="3:24" ht="15" customHeight="1">
      <c r="M196" s="6"/>
      <c r="N196" s="6"/>
      <c r="P196" s="11"/>
      <c r="Q196" s="11"/>
      <c r="W196" s="156"/>
      <c r="X196" s="6"/>
    </row>
    <row r="197" spans="3:24" ht="15" customHeight="1">
      <c r="M197" s="6"/>
      <c r="P197" s="11"/>
      <c r="Q197" s="11"/>
      <c r="W197" s="156"/>
      <c r="X197" s="6"/>
    </row>
    <row r="198" spans="3:24" ht="15" customHeight="1">
      <c r="M198" s="6"/>
      <c r="N198" s="6"/>
      <c r="P198" s="11"/>
      <c r="Q198" s="11"/>
      <c r="W198" s="156"/>
      <c r="X198" s="6"/>
    </row>
    <row r="199" spans="3:24" ht="15" customHeight="1">
      <c r="M199" s="6"/>
      <c r="N199" s="6"/>
      <c r="P199" s="11"/>
      <c r="Q199" s="11"/>
      <c r="W199" s="156"/>
      <c r="X199" s="6"/>
    </row>
    <row r="200" spans="3:24" ht="15" customHeight="1">
      <c r="M200" s="6"/>
      <c r="N200" s="6"/>
      <c r="P200" s="11"/>
      <c r="Q200" s="11"/>
      <c r="W200" s="156"/>
      <c r="X200" s="6"/>
    </row>
    <row r="201" spans="3:24" ht="15" customHeight="1">
      <c r="M201" s="6"/>
      <c r="N201" s="6"/>
      <c r="P201" s="11"/>
      <c r="Q201" s="11"/>
      <c r="W201" s="156"/>
      <c r="X201" s="6"/>
    </row>
    <row r="202" spans="3:24">
      <c r="P202" s="11"/>
      <c r="Q202" s="11"/>
      <c r="W202" s="156"/>
    </row>
    <row r="203" spans="3:24" ht="15" customHeight="1">
      <c r="C203" s="8"/>
      <c r="G203" s="8"/>
      <c r="L203" s="8"/>
      <c r="P203" s="11"/>
      <c r="Q203" s="11"/>
      <c r="W203" s="156"/>
    </row>
    <row r="204" spans="3:24">
      <c r="P204" s="11"/>
      <c r="Q204" s="11"/>
      <c r="W204" s="156"/>
    </row>
    <row r="205" spans="3:24" ht="15" customHeight="1">
      <c r="P205" s="11"/>
      <c r="Q205" s="11"/>
      <c r="W205" s="156"/>
    </row>
    <row r="206" spans="3:24" ht="15" customHeight="1">
      <c r="C206" s="9"/>
      <c r="G206" s="9"/>
      <c r="P206" s="7"/>
      <c r="Q206" s="7"/>
    </row>
    <row r="208" spans="3:24" ht="15" customHeight="1">
      <c r="C208" s="8"/>
      <c r="G208" s="8"/>
    </row>
    <row r="211" spans="3:17" ht="15" customHeight="1">
      <c r="C211" s="9"/>
      <c r="G211" s="9"/>
      <c r="P211" s="7"/>
      <c r="Q211" s="7"/>
    </row>
  </sheetData>
  <autoFilter ref="A2:AK2" xr:uid="{97EDC353-A3BB-4027-BC75-3196C26C68C7}">
    <sortState xmlns:xlrd2="http://schemas.microsoft.com/office/spreadsheetml/2017/richdata2" ref="A3:AK142">
      <sortCondition ref="AG2"/>
    </sortState>
  </autoFilter>
  <mergeCells count="7">
    <mergeCell ref="AD1:AE1"/>
    <mergeCell ref="Z1:AC1"/>
    <mergeCell ref="B1:C1"/>
    <mergeCell ref="F1:G1"/>
    <mergeCell ref="L1:M1"/>
    <mergeCell ref="W1:X1"/>
    <mergeCell ref="P1:Q1"/>
  </mergeCells>
  <phoneticPr fontId="3" type="noConversion"/>
  <conditionalFormatting sqref="E100 J100:K100 O100 R100:S100 U100:V100">
    <cfRule type="cellIs" dxfId="30" priority="15" operator="greaterThan">
      <formula>500</formula>
    </cfRule>
    <cfRule type="cellIs" dxfId="29" priority="21" operator="lessThan">
      <formula>-100</formula>
    </cfRule>
  </conditionalFormatting>
  <conditionalFormatting sqref="L2:L202">
    <cfRule type="cellIs" dxfId="28" priority="1" operator="greaterThan">
      <formula>500</formula>
    </cfRule>
  </conditionalFormatting>
  <conditionalFormatting sqref="L3:L201">
    <cfRule type="cellIs" dxfId="27" priority="2" operator="lessThan">
      <formula>-100</formula>
    </cfRule>
  </conditionalFormatting>
  <conditionalFormatting sqref="L204:L1048576">
    <cfRule type="cellIs" dxfId="26" priority="19" operator="greaterThan">
      <formula>500</formula>
    </cfRule>
  </conditionalFormatting>
  <conditionalFormatting sqref="M2">
    <cfRule type="cellIs" dxfId="25" priority="20" operator="lessThan">
      <formula>-20%</formula>
    </cfRule>
  </conditionalFormatting>
  <conditionalFormatting sqref="M3:M1048576">
    <cfRule type="cellIs" dxfId="24" priority="3" operator="lessThan">
      <formula>-0.2</formula>
    </cfRule>
  </conditionalFormatting>
  <conditionalFormatting sqref="M3:N145">
    <cfRule type="cellIs" dxfId="23" priority="5" operator="greaterThan">
      <formula>0.2</formula>
    </cfRule>
  </conditionalFormatting>
  <conditionalFormatting sqref="N146:N197 M146:M201">
    <cfRule type="cellIs" dxfId="22" priority="24" operator="greaterThan">
      <formula>0.2</formula>
    </cfRule>
  </conditionalFormatting>
  <conditionalFormatting sqref="X3:X143 X146:X150 X152:X201">
    <cfRule type="cellIs" dxfId="21" priority="12" operator="greaterThan">
      <formula>0.5</formula>
    </cfRule>
  </conditionalFormatting>
  <conditionalFormatting sqref="AF3:AF143">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F146">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K184"/>
  <sheetViews>
    <sheetView tabSelected="1" zoomScale="85" zoomScaleNormal="85" workbookViewId="0">
      <pane xSplit="2" ySplit="2" topLeftCell="AJ6" activePane="bottomRight" state="frozen"/>
      <selection pane="bottomRight" activeCell="AW28" sqref="AW28"/>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5.85546875" customWidth="1"/>
    <col min="5" max="5" width="1" customWidth="1"/>
    <col min="6" max="6" width="13" customWidth="1"/>
    <col min="7" max="8" width="18" customWidth="1"/>
    <col min="9" max="9" width="14.140625" bestFit="1" customWidth="1"/>
    <col min="10" max="11" width="1" customWidth="1"/>
    <col min="12" max="12" width="11.7109375" customWidth="1"/>
    <col min="14" max="15" width="1" customWidth="1"/>
    <col min="16" max="16" width="13.28515625" style="5" bestFit="1" customWidth="1"/>
    <col min="17" max="17" width="12.28515625" style="5" customWidth="1"/>
    <col min="18" max="18" width="1" customWidth="1"/>
    <col min="19" max="19" width="14.140625" style="5" customWidth="1"/>
    <col min="20" max="21" width="1" customWidth="1"/>
    <col min="22" max="22" width="10.7109375" style="152" bestFit="1" customWidth="1"/>
    <col min="24" max="25" width="0.85546875" customWidth="1"/>
    <col min="26" max="26" width="19.140625" hidden="1" customWidth="1"/>
    <col min="27" max="28" width="7" hidden="1" customWidth="1"/>
    <col min="29" max="29" width="7" style="16" hidden="1" customWidth="1"/>
    <col min="30" max="31" width="13.28515625" customWidth="1"/>
    <col min="32" max="32" width="8.28515625" customWidth="1"/>
    <col min="36" max="36" width="9.140625" style="172"/>
  </cols>
  <sheetData>
    <row r="1" spans="1:37">
      <c r="B1" s="182">
        <v>45627</v>
      </c>
      <c r="C1" s="181"/>
      <c r="D1" s="2"/>
      <c r="F1" s="182">
        <v>45658</v>
      </c>
      <c r="G1" s="181"/>
      <c r="H1" s="2"/>
      <c r="L1" s="183"/>
      <c r="M1" s="183"/>
      <c r="N1" s="1"/>
      <c r="P1" s="184" t="s">
        <v>0</v>
      </c>
      <c r="Q1" s="184"/>
      <c r="S1" s="10" t="s">
        <v>1</v>
      </c>
      <c r="T1" s="1"/>
      <c r="V1" s="181" t="s">
        <v>2</v>
      </c>
      <c r="W1" s="181"/>
      <c r="Z1" s="183" t="s">
        <v>835</v>
      </c>
      <c r="AA1" s="183"/>
      <c r="AB1" s="183"/>
      <c r="AC1" s="183"/>
      <c r="AD1" s="181" t="s">
        <v>3</v>
      </c>
      <c r="AE1" s="181"/>
    </row>
    <row r="2" spans="1:37">
      <c r="A2" s="3" t="s">
        <v>8</v>
      </c>
      <c r="B2" s="3" t="s">
        <v>9</v>
      </c>
      <c r="C2" s="3" t="s">
        <v>10</v>
      </c>
      <c r="D2" s="3" t="s">
        <v>11</v>
      </c>
      <c r="F2" s="3" t="s">
        <v>9</v>
      </c>
      <c r="G2" s="3" t="s">
        <v>10</v>
      </c>
      <c r="H2" s="3" t="s">
        <v>12</v>
      </c>
      <c r="I2" t="s">
        <v>13</v>
      </c>
      <c r="L2" t="s">
        <v>14</v>
      </c>
      <c r="M2" t="s">
        <v>15</v>
      </c>
      <c r="P2" t="s">
        <v>4</v>
      </c>
      <c r="Q2" t="s">
        <v>7</v>
      </c>
      <c r="S2" s="5" t="s">
        <v>17</v>
      </c>
      <c r="V2" s="152" t="s">
        <v>18</v>
      </c>
      <c r="W2" t="s">
        <v>15</v>
      </c>
      <c r="Z2" t="s">
        <v>836</v>
      </c>
      <c r="AA2" t="s">
        <v>837</v>
      </c>
      <c r="AB2" t="s">
        <v>1041</v>
      </c>
      <c r="AD2" t="s">
        <v>4</v>
      </c>
      <c r="AE2" t="s">
        <v>7</v>
      </c>
      <c r="AF2" t="s">
        <v>15</v>
      </c>
      <c r="AG2" t="s">
        <v>22</v>
      </c>
      <c r="AH2" t="s">
        <v>837</v>
      </c>
      <c r="AI2" t="s">
        <v>1042</v>
      </c>
      <c r="AJ2" s="172" t="s">
        <v>841</v>
      </c>
    </row>
    <row r="3" spans="1:37" ht="13.9" customHeight="1">
      <c r="A3" t="s">
        <v>1043</v>
      </c>
      <c r="B3" t="s">
        <v>237</v>
      </c>
      <c r="C3">
        <v>4325</v>
      </c>
      <c r="D3">
        <v>4313</v>
      </c>
      <c r="F3" t="s">
        <v>237</v>
      </c>
      <c r="G3">
        <v>3555</v>
      </c>
      <c r="H3">
        <v>3552</v>
      </c>
      <c r="I3" t="b">
        <f>IF(B3=F3,TRUE,FALSE)</f>
        <v>1</v>
      </c>
      <c r="L3">
        <f>G3-C3</f>
        <v>-770</v>
      </c>
      <c r="M3" s="4">
        <f>G3/C3-1</f>
        <v>-0.17803468208092488</v>
      </c>
      <c r="N3" s="4"/>
      <c r="P3" s="5">
        <v>6014.8</v>
      </c>
      <c r="Q3" s="5">
        <v>7328.99</v>
      </c>
      <c r="S3" s="5">
        <v>25931.35</v>
      </c>
      <c r="V3" s="152">
        <f>Q3-P3</f>
        <v>1314.1899999999996</v>
      </c>
      <c r="W3" s="4">
        <f>IF(P4=0,0,Q3/P4-1)</f>
        <v>0.16015145782909368</v>
      </c>
      <c r="AD3" s="18">
        <v>67991.759999999995</v>
      </c>
      <c r="AE3" s="18">
        <v>65722.47</v>
      </c>
      <c r="AF3" s="4">
        <f>AE3/AD3-1</f>
        <v>-3.3375956145273999E-2</v>
      </c>
      <c r="AG3" s="150">
        <f>(L3*2)-V3</f>
        <v>-2854.1899999999996</v>
      </c>
      <c r="AH3" t="s">
        <v>1044</v>
      </c>
      <c r="AJ3" s="172" t="s">
        <v>1045</v>
      </c>
      <c r="AK3">
        <f>Q3/AE3</f>
        <v>0.11151422032677712</v>
      </c>
    </row>
    <row r="4" spans="1:37" ht="13.9" customHeight="1">
      <c r="A4" t="s">
        <v>1046</v>
      </c>
      <c r="B4" t="s">
        <v>92</v>
      </c>
      <c r="C4">
        <v>5045</v>
      </c>
      <c r="D4">
        <v>5029</v>
      </c>
      <c r="F4" t="s">
        <v>92</v>
      </c>
      <c r="G4">
        <v>3420</v>
      </c>
      <c r="H4">
        <v>3415</v>
      </c>
      <c r="I4" t="b">
        <f>IF(B4=F4,TRUE,FALSE)</f>
        <v>1</v>
      </c>
      <c r="L4">
        <f>G4-C4</f>
        <v>-1625</v>
      </c>
      <c r="M4" s="4">
        <f>G4/C4-1</f>
        <v>-0.32210109018830524</v>
      </c>
      <c r="P4" s="5">
        <v>6317.27</v>
      </c>
      <c r="Q4" s="5">
        <v>5546.96</v>
      </c>
      <c r="S4" s="5">
        <v>21855.88</v>
      </c>
      <c r="V4" s="152">
        <f>Q4-P4</f>
        <v>-770.3100000000004</v>
      </c>
      <c r="W4" s="4">
        <f>IF(P4=0,0,Q4/P4-1)</f>
        <v>-0.12193716589602788</v>
      </c>
      <c r="Z4" s="5"/>
      <c r="AA4" s="5"/>
      <c r="AB4" s="5"/>
      <c r="AC4" s="17"/>
      <c r="AD4" s="18">
        <v>55277.58</v>
      </c>
      <c r="AE4" s="18">
        <v>47815.18</v>
      </c>
      <c r="AF4" s="4">
        <f>AE4/AD4-1</f>
        <v>-0.1349986739651049</v>
      </c>
      <c r="AG4" s="150">
        <f>(L4*2)-V4</f>
        <v>-2479.6899999999996</v>
      </c>
      <c r="AH4" t="s">
        <v>1047</v>
      </c>
      <c r="AJ4" s="172" t="s">
        <v>1048</v>
      </c>
      <c r="AK4">
        <f>Q4/AE4</f>
        <v>0.11600834713996684</v>
      </c>
    </row>
    <row r="5" spans="1:37" ht="13.9" customHeight="1">
      <c r="A5" t="s">
        <v>1049</v>
      </c>
      <c r="B5" t="s">
        <v>220</v>
      </c>
      <c r="C5">
        <v>2277</v>
      </c>
      <c r="D5">
        <v>2241</v>
      </c>
      <c r="F5" t="s">
        <v>220</v>
      </c>
      <c r="G5">
        <v>2363</v>
      </c>
      <c r="H5">
        <v>2347</v>
      </c>
      <c r="I5" t="b">
        <f>IF(B5=F5,TRUE,FALSE)</f>
        <v>1</v>
      </c>
      <c r="L5">
        <f>G5-C5</f>
        <v>86</v>
      </c>
      <c r="M5" s="4">
        <f>G5/C5-1</f>
        <v>3.7768994290733326E-2</v>
      </c>
      <c r="N5" s="6"/>
      <c r="P5" s="5">
        <v>3614.93</v>
      </c>
      <c r="Q5" s="5">
        <v>5902.06</v>
      </c>
      <c r="S5" s="5">
        <v>24260.5</v>
      </c>
      <c r="V5" s="152">
        <f>Q5-P5</f>
        <v>2287.1300000000006</v>
      </c>
      <c r="W5" s="4">
        <f>IF(P5=0,0,Q5/P5-1)</f>
        <v>0.6326899829318966</v>
      </c>
      <c r="AD5" s="18">
        <v>61423.839999999997</v>
      </c>
      <c r="AE5" s="18">
        <v>63777.37</v>
      </c>
      <c r="AF5" s="4">
        <f>AE5/AD5-1</f>
        <v>3.8316230310576627E-2</v>
      </c>
      <c r="AG5" s="150">
        <f>(L5*2)-V5</f>
        <v>-2115.1300000000006</v>
      </c>
      <c r="AH5" t="s">
        <v>1050</v>
      </c>
      <c r="AJ5" s="172" t="s">
        <v>1051</v>
      </c>
      <c r="AK5">
        <f>Q5/AE5</f>
        <v>9.2541602138815071E-2</v>
      </c>
    </row>
    <row r="6" spans="1:37" ht="13.9" customHeight="1">
      <c r="A6" t="s">
        <v>1052</v>
      </c>
      <c r="B6" t="s">
        <v>674</v>
      </c>
      <c r="C6">
        <v>1730</v>
      </c>
      <c r="D6">
        <v>1587</v>
      </c>
      <c r="F6" t="s">
        <v>674</v>
      </c>
      <c r="G6">
        <v>1218</v>
      </c>
      <c r="H6">
        <v>1208</v>
      </c>
      <c r="I6" t="b">
        <f>IF(B6=F6,TRUE,FALSE)</f>
        <v>1</v>
      </c>
      <c r="L6">
        <f>G6-C6</f>
        <v>-512</v>
      </c>
      <c r="M6" s="4">
        <f>G6/C6-1</f>
        <v>-0.29595375722543349</v>
      </c>
      <c r="N6" s="4"/>
      <c r="P6" s="5">
        <v>957.51</v>
      </c>
      <c r="Q6" s="5">
        <v>1501.5900000000001</v>
      </c>
      <c r="S6" s="5">
        <v>7326.63</v>
      </c>
      <c r="V6" s="152">
        <f>Q6-P6</f>
        <v>544.08000000000015</v>
      </c>
      <c r="W6" s="4">
        <f>IF(P6=0,0,Q6/P6-1)</f>
        <v>0.56822383056051651</v>
      </c>
      <c r="AD6" s="18">
        <v>36897.949999999997</v>
      </c>
      <c r="AE6" s="18">
        <v>27982.52</v>
      </c>
      <c r="AF6" s="4">
        <f>AE6/AD6-1</f>
        <v>-0.24162399266083878</v>
      </c>
      <c r="AG6" s="150">
        <f>(L6*2)-V6</f>
        <v>-1568.0800000000002</v>
      </c>
      <c r="AI6" t="s">
        <v>1053</v>
      </c>
      <c r="AK6">
        <f>Q6/AE6</f>
        <v>5.3661714527497885E-2</v>
      </c>
    </row>
    <row r="7" spans="1:37" ht="13.9" customHeight="1">
      <c r="A7" t="s">
        <v>1054</v>
      </c>
      <c r="B7" t="s">
        <v>223</v>
      </c>
      <c r="C7">
        <v>1678</v>
      </c>
      <c r="D7">
        <v>1667</v>
      </c>
      <c r="F7" t="s">
        <v>223</v>
      </c>
      <c r="G7">
        <v>2083</v>
      </c>
      <c r="H7">
        <v>2078</v>
      </c>
      <c r="I7" t="b">
        <f>IF(B7=F7,TRUE,FALSE)</f>
        <v>1</v>
      </c>
      <c r="L7">
        <f>G7-C7</f>
        <v>405</v>
      </c>
      <c r="M7" s="4">
        <f>G7/C7-1</f>
        <v>0.24135876042908233</v>
      </c>
      <c r="N7" s="4"/>
      <c r="P7" s="5">
        <v>2021.33</v>
      </c>
      <c r="Q7" s="5">
        <v>4044.5</v>
      </c>
      <c r="S7" s="5">
        <v>17157.260000000002</v>
      </c>
      <c r="V7" s="152">
        <f>Q7-P7</f>
        <v>2023.17</v>
      </c>
      <c r="W7" s="4">
        <f>IF(P7=0,0,Q7/P7-1)</f>
        <v>1.0009102917386077</v>
      </c>
      <c r="AD7" s="18">
        <v>24809.22</v>
      </c>
      <c r="AE7" s="18">
        <v>35390.199999999997</v>
      </c>
      <c r="AF7" s="4">
        <f>AE7/AD7-1</f>
        <v>0.42649385994400446</v>
      </c>
      <c r="AG7" s="150">
        <f>(L7*2)-V7</f>
        <v>-1213.17</v>
      </c>
      <c r="AI7" t="s">
        <v>1055</v>
      </c>
      <c r="AK7">
        <f>Q7/AE7</f>
        <v>0.11428305010991745</v>
      </c>
    </row>
    <row r="8" spans="1:37" ht="13.9" customHeight="1">
      <c r="A8" t="s">
        <v>1056</v>
      </c>
      <c r="B8" t="s">
        <v>170</v>
      </c>
      <c r="C8">
        <v>2420</v>
      </c>
      <c r="D8">
        <v>2405</v>
      </c>
      <c r="F8" t="s">
        <v>170</v>
      </c>
      <c r="G8">
        <v>2862</v>
      </c>
      <c r="H8">
        <v>2846</v>
      </c>
      <c r="I8" t="b">
        <f>IF(B8=F8,TRUE,FALSE)</f>
        <v>1</v>
      </c>
      <c r="L8">
        <f>G8-C8</f>
        <v>442</v>
      </c>
      <c r="M8" s="4">
        <f>G8/C8-1</f>
        <v>0.18264462809917359</v>
      </c>
      <c r="N8" s="4"/>
      <c r="P8" s="5">
        <v>2698.5</v>
      </c>
      <c r="Q8" s="5">
        <v>4480.33</v>
      </c>
      <c r="S8" s="5">
        <v>17245.89</v>
      </c>
      <c r="V8" s="152">
        <f>Q8-P8</f>
        <v>1781.83</v>
      </c>
      <c r="W8" s="4">
        <f>IF(P8=0,0,Q8/P8-1)</f>
        <v>0.66030387252177136</v>
      </c>
      <c r="AD8" s="18">
        <v>48279</v>
      </c>
      <c r="AE8" s="18">
        <v>57057</v>
      </c>
      <c r="AF8" s="4">
        <f>AE8/AD8-1</f>
        <v>0.18181818181818188</v>
      </c>
      <c r="AG8" s="150">
        <f>(L8*2)-V8</f>
        <v>-897.82999999999993</v>
      </c>
      <c r="AI8" t="s">
        <v>1057</v>
      </c>
      <c r="AK8">
        <f>Q8/AE8</f>
        <v>7.8523756944809578E-2</v>
      </c>
    </row>
    <row r="9" spans="1:37" ht="13.9" customHeight="1">
      <c r="A9" t="s">
        <v>1058</v>
      </c>
      <c r="B9" t="s">
        <v>458</v>
      </c>
      <c r="C9">
        <v>3567</v>
      </c>
      <c r="D9">
        <v>3531</v>
      </c>
      <c r="F9" t="s">
        <v>458</v>
      </c>
      <c r="G9">
        <v>4203</v>
      </c>
      <c r="H9">
        <v>4180</v>
      </c>
      <c r="I9" t="b">
        <f>IF(B9=F9,TRUE,FALSE)</f>
        <v>1</v>
      </c>
      <c r="L9">
        <f>G9-C9</f>
        <v>636</v>
      </c>
      <c r="M9" s="4">
        <f>G9/C9-1</f>
        <v>0.17830109335576116</v>
      </c>
      <c r="N9" s="4"/>
      <c r="P9" s="5">
        <v>2133.1</v>
      </c>
      <c r="Q9" s="5">
        <v>4211.0599999999995</v>
      </c>
      <c r="S9" s="5">
        <v>13836.529999999999</v>
      </c>
      <c r="V9" s="152">
        <f>Q9-P9</f>
        <v>2077.9599999999996</v>
      </c>
      <c r="W9" s="4">
        <f>IF(P9=0,0,Q9/P9-1)</f>
        <v>0.97415029768880945</v>
      </c>
      <c r="Z9" s="5"/>
      <c r="AA9" s="5" t="s">
        <v>1059</v>
      </c>
      <c r="AB9" s="5"/>
      <c r="AC9" s="17"/>
      <c r="AD9" s="18">
        <v>67594.649999999994</v>
      </c>
      <c r="AE9" s="18">
        <v>79627.899999999994</v>
      </c>
      <c r="AF9" s="4">
        <f>AE9/AD9-1</f>
        <v>0.17802074572469873</v>
      </c>
      <c r="AG9" s="150">
        <f>(L9*2)-V9</f>
        <v>-805.95999999999958</v>
      </c>
      <c r="AI9" t="s">
        <v>1060</v>
      </c>
      <c r="AK9">
        <f>Q9/AE9</f>
        <v>5.2884227764389113E-2</v>
      </c>
    </row>
    <row r="10" spans="1:37" ht="13.9" customHeight="1">
      <c r="A10" t="s">
        <v>1061</v>
      </c>
      <c r="B10" t="s">
        <v>732</v>
      </c>
      <c r="C10">
        <v>588</v>
      </c>
      <c r="D10">
        <v>580</v>
      </c>
      <c r="F10" t="s">
        <v>732</v>
      </c>
      <c r="G10">
        <v>704</v>
      </c>
      <c r="H10">
        <v>699</v>
      </c>
      <c r="I10" t="b">
        <f>IF(B10=F10,TRUE,FALSE)</f>
        <v>1</v>
      </c>
      <c r="L10">
        <f>G10-C10</f>
        <v>116</v>
      </c>
      <c r="M10" s="4">
        <f>G10/C10-1</f>
        <v>0.19727891156462585</v>
      </c>
      <c r="N10" s="4"/>
      <c r="P10" s="5">
        <v>371.38</v>
      </c>
      <c r="Q10" s="5">
        <v>1403.88</v>
      </c>
      <c r="S10" s="5">
        <v>7623.380000000001</v>
      </c>
      <c r="V10" s="152">
        <f>Q10-P10</f>
        <v>1032.5</v>
      </c>
      <c r="W10" s="4">
        <f>IF(P10=0,0,Q10/P10-1)</f>
        <v>2.7801712531638758</v>
      </c>
      <c r="Z10" t="s">
        <v>1062</v>
      </c>
      <c r="AD10" s="18">
        <v>11736.48</v>
      </c>
      <c r="AE10" s="18">
        <v>14051.84</v>
      </c>
      <c r="AF10" s="4">
        <f>AE10/AD10-1</f>
        <v>0.19727891156462585</v>
      </c>
      <c r="AG10" s="150">
        <f>(L10*2)-V10</f>
        <v>-800.5</v>
      </c>
      <c r="AI10" t="s">
        <v>1063</v>
      </c>
      <c r="AK10">
        <f>Q10/AE10</f>
        <v>9.9907200765166709E-2</v>
      </c>
    </row>
    <row r="11" spans="1:37" ht="13.9" customHeight="1">
      <c r="A11" t="s">
        <v>1064</v>
      </c>
      <c r="B11" t="s">
        <v>389</v>
      </c>
      <c r="C11">
        <v>1264</v>
      </c>
      <c r="D11">
        <v>1259</v>
      </c>
      <c r="F11" t="s">
        <v>389</v>
      </c>
      <c r="G11">
        <v>1379</v>
      </c>
      <c r="H11">
        <v>1372</v>
      </c>
      <c r="I11" t="b">
        <f>IF(B11=F11,TRUE,FALSE)</f>
        <v>1</v>
      </c>
      <c r="L11">
        <f>G11-C11</f>
        <v>115</v>
      </c>
      <c r="M11" s="4">
        <f>G11/C11-1</f>
        <v>9.0981012658227778E-2</v>
      </c>
      <c r="N11" s="4"/>
      <c r="P11" s="5">
        <v>1916.42</v>
      </c>
      <c r="Q11" s="5">
        <v>2889</v>
      </c>
      <c r="S11" s="5">
        <v>14820.32</v>
      </c>
      <c r="V11" s="152">
        <f>Q11-P11</f>
        <v>972.57999999999993</v>
      </c>
      <c r="W11" s="4">
        <f>IF(P11=0,0,Q11/P11-1)</f>
        <v>0.50749835631020335</v>
      </c>
      <c r="AD11" s="18">
        <v>30619.25</v>
      </c>
      <c r="AE11" s="18">
        <v>34486.199999999997</v>
      </c>
      <c r="AF11" s="4">
        <f>AE11/AD11-1</f>
        <v>0.12629146696930849</v>
      </c>
      <c r="AG11" s="150">
        <f>(L11*2)-V11</f>
        <v>-742.57999999999993</v>
      </c>
      <c r="AI11" t="s">
        <v>1065</v>
      </c>
      <c r="AK11">
        <f>Q11/AE11</f>
        <v>8.3772639490578851E-2</v>
      </c>
    </row>
    <row r="12" spans="1:37" ht="13.9" customHeight="1">
      <c r="A12" t="s">
        <v>1066</v>
      </c>
      <c r="B12" t="s">
        <v>707</v>
      </c>
      <c r="C12">
        <v>626</v>
      </c>
      <c r="D12">
        <v>616</v>
      </c>
      <c r="F12" t="s">
        <v>707</v>
      </c>
      <c r="G12">
        <v>925</v>
      </c>
      <c r="H12">
        <v>925</v>
      </c>
      <c r="I12" t="b">
        <f>IF(B12=F12,TRUE,FALSE)</f>
        <v>1</v>
      </c>
      <c r="L12">
        <f>G12-C12</f>
        <v>299</v>
      </c>
      <c r="M12" s="4">
        <f>G12/C12-1</f>
        <v>0.47763578274760388</v>
      </c>
      <c r="N12" s="4"/>
      <c r="P12" s="5">
        <v>939.35</v>
      </c>
      <c r="Q12" s="5">
        <v>2241.63</v>
      </c>
      <c r="S12" s="5">
        <v>7252.23</v>
      </c>
      <c r="V12" s="152">
        <f>Q12-P12</f>
        <v>1302.2800000000002</v>
      </c>
      <c r="W12" s="4">
        <f>IF(P12=0,0,Q12/P12-1)</f>
        <v>1.3863629105232342</v>
      </c>
      <c r="AD12" s="18">
        <v>8732.7000000000007</v>
      </c>
      <c r="AE12" s="18">
        <v>12875.85</v>
      </c>
      <c r="AF12" s="4">
        <f>AE12/AD12-1</f>
        <v>0.47444089456868999</v>
      </c>
      <c r="AG12" s="150">
        <f>(L12*2)-V12</f>
        <v>-704.2800000000002</v>
      </c>
      <c r="AH12" t="s">
        <v>1067</v>
      </c>
      <c r="AK12">
        <f>Q12/AE12</f>
        <v>0.17409569076992976</v>
      </c>
    </row>
    <row r="13" spans="1:37" ht="13.9" customHeight="1">
      <c r="A13" t="s">
        <v>1068</v>
      </c>
      <c r="B13" t="s">
        <v>72</v>
      </c>
      <c r="C13">
        <v>4172</v>
      </c>
      <c r="D13">
        <v>4128</v>
      </c>
      <c r="F13" t="s">
        <v>72</v>
      </c>
      <c r="G13">
        <v>5313</v>
      </c>
      <c r="H13">
        <v>5291</v>
      </c>
      <c r="I13" t="b">
        <f>IF(B13=F13,TRUE,FALSE)</f>
        <v>1</v>
      </c>
      <c r="L13">
        <f>G13-C13</f>
        <v>1141</v>
      </c>
      <c r="M13" s="4">
        <f>G13/C13-1</f>
        <v>0.27348993288590595</v>
      </c>
      <c r="N13" s="4"/>
      <c r="P13" s="5">
        <v>4036.66</v>
      </c>
      <c r="Q13" s="5">
        <v>6995.88</v>
      </c>
      <c r="S13" s="5">
        <v>29844.260000000002</v>
      </c>
      <c r="V13" s="152">
        <f>Q13-P13</f>
        <v>2959.2200000000003</v>
      </c>
      <c r="W13" s="4">
        <f>IF(P13=0,0,Q13/P13-1)</f>
        <v>0.73308626438689428</v>
      </c>
      <c r="AA13" t="s">
        <v>1069</v>
      </c>
      <c r="AD13" s="18">
        <v>76781.31</v>
      </c>
      <c r="AE13" s="18">
        <v>100816.76</v>
      </c>
      <c r="AF13" s="4">
        <f>AE13/AD13-1</f>
        <v>0.31303776921753479</v>
      </c>
      <c r="AG13" s="150">
        <f>(L13*2)-V13</f>
        <v>-677.22000000000025</v>
      </c>
      <c r="AI13" t="s">
        <v>1070</v>
      </c>
      <c r="AK13">
        <f>Q13/AE13</f>
        <v>6.9392033626155022E-2</v>
      </c>
    </row>
    <row r="14" spans="1:37" ht="13.9" customHeight="1">
      <c r="A14" t="s">
        <v>1071</v>
      </c>
      <c r="B14" t="s">
        <v>67</v>
      </c>
      <c r="C14">
        <v>9003</v>
      </c>
      <c r="D14">
        <v>8920</v>
      </c>
      <c r="F14" t="s">
        <v>67</v>
      </c>
      <c r="G14">
        <v>11432</v>
      </c>
      <c r="H14">
        <v>11376</v>
      </c>
      <c r="I14" t="b">
        <f>IF(B14=F14,TRUE,FALSE)</f>
        <v>1</v>
      </c>
      <c r="L14">
        <f>G14-C14</f>
        <v>2429</v>
      </c>
      <c r="M14" s="4">
        <f>G14/C14-1</f>
        <v>0.2697989559035876</v>
      </c>
      <c r="N14" s="4"/>
      <c r="P14" s="5">
        <v>3991.42</v>
      </c>
      <c r="Q14" s="5">
        <v>9526.5</v>
      </c>
      <c r="S14" s="5">
        <v>45322.2</v>
      </c>
      <c r="V14" s="152">
        <f>Q14-P14</f>
        <v>5535.08</v>
      </c>
      <c r="W14" s="4">
        <f>IF(P14=0,0,Q14/P14-1)</f>
        <v>1.3867445670964216</v>
      </c>
      <c r="Z14" t="s">
        <v>1072</v>
      </c>
      <c r="AD14" s="18">
        <v>166591.35</v>
      </c>
      <c r="AE14" s="18">
        <v>213672.72</v>
      </c>
      <c r="AF14" s="4">
        <f>AE14/AD14-1</f>
        <v>0.28261593414063801</v>
      </c>
      <c r="AG14" s="150">
        <f>(L14*2)-V14</f>
        <v>-677.07999999999993</v>
      </c>
      <c r="AK14">
        <f>Q14/AE14</f>
        <v>4.4584540319419344E-2</v>
      </c>
    </row>
    <row r="15" spans="1:37" ht="13.9" customHeight="1">
      <c r="A15" t="s">
        <v>1073</v>
      </c>
      <c r="B15" t="s">
        <v>229</v>
      </c>
      <c r="C15">
        <v>1266</v>
      </c>
      <c r="D15">
        <v>1243</v>
      </c>
      <c r="F15" t="s">
        <v>229</v>
      </c>
      <c r="G15">
        <v>1661</v>
      </c>
      <c r="H15">
        <v>1653</v>
      </c>
      <c r="I15" t="b">
        <f>IF(B15=F15,TRUE,FALSE)</f>
        <v>1</v>
      </c>
      <c r="L15">
        <f>G15-C15</f>
        <v>395</v>
      </c>
      <c r="M15" s="4">
        <f>G15/C15-1</f>
        <v>0.31200631911532395</v>
      </c>
      <c r="N15" s="4"/>
      <c r="P15" s="5">
        <v>2270.7199999999998</v>
      </c>
      <c r="Q15" s="5">
        <v>3716.09</v>
      </c>
      <c r="S15" s="5">
        <v>22470.12</v>
      </c>
      <c r="V15" s="152">
        <f>Q15-P15</f>
        <v>1445.3700000000003</v>
      </c>
      <c r="W15" s="4">
        <f>IF(P15=0,0,Q15/P15-1)</f>
        <v>0.63652497886133053</v>
      </c>
      <c r="AD15" s="18">
        <v>34118.699999999997</v>
      </c>
      <c r="AE15" s="18">
        <v>49783.4</v>
      </c>
      <c r="AF15" s="4">
        <f>AE15/AD15-1</f>
        <v>0.45912358911681883</v>
      </c>
      <c r="AG15" s="150">
        <f>(L15*2)-V15</f>
        <v>-655.37000000000035</v>
      </c>
      <c r="AK15">
        <f>Q15/AE15</f>
        <v>7.4645162845446478E-2</v>
      </c>
    </row>
    <row r="16" spans="1:37" ht="13.9" customHeight="1">
      <c r="A16" t="s">
        <v>1074</v>
      </c>
      <c r="B16" t="s">
        <v>724</v>
      </c>
      <c r="C16">
        <v>980</v>
      </c>
      <c r="D16">
        <v>969</v>
      </c>
      <c r="E16" s="5"/>
      <c r="F16" t="s">
        <v>724</v>
      </c>
      <c r="G16">
        <v>1196</v>
      </c>
      <c r="H16">
        <v>1189</v>
      </c>
      <c r="I16" t="b">
        <f>IF(B16=F16,TRUE,FALSE)</f>
        <v>1</v>
      </c>
      <c r="J16" s="5"/>
      <c r="K16" s="5"/>
      <c r="L16">
        <f>G16-C16</f>
        <v>216</v>
      </c>
      <c r="M16" s="4">
        <f>G16/C16-1</f>
        <v>0.2204081632653061</v>
      </c>
      <c r="N16" s="5"/>
      <c r="O16" s="5"/>
      <c r="P16" s="5">
        <v>2245.84</v>
      </c>
      <c r="Q16" s="5">
        <v>3228.6899999999996</v>
      </c>
      <c r="S16" s="5">
        <v>17312.09</v>
      </c>
      <c r="V16" s="152">
        <f>Q16-P16</f>
        <v>982.84999999999945</v>
      </c>
      <c r="W16" s="4">
        <f>IF(P16=0,0,Q16/P16-1)</f>
        <v>0.43763135397000652</v>
      </c>
      <c r="Z16" s="5"/>
      <c r="AA16" s="5"/>
      <c r="AB16" s="5"/>
      <c r="AC16" s="17"/>
      <c r="AD16" s="18">
        <v>29351</v>
      </c>
      <c r="AE16" s="18">
        <v>35820.199999999997</v>
      </c>
      <c r="AF16" s="4">
        <f>AE16/AD16-1</f>
        <v>0.2204081632653061</v>
      </c>
      <c r="AG16" s="150">
        <f>(L16*2)-V16</f>
        <v>-550.84999999999945</v>
      </c>
      <c r="AI16" t="s">
        <v>1075</v>
      </c>
      <c r="AK16">
        <f>Q16/AE16</f>
        <v>9.0136012640912103E-2</v>
      </c>
    </row>
    <row r="17" spans="1:37" ht="13.9" customHeight="1">
      <c r="A17" t="s">
        <v>1076</v>
      </c>
      <c r="B17" t="s">
        <v>236</v>
      </c>
      <c r="C17">
        <v>2881</v>
      </c>
      <c r="D17">
        <v>2857</v>
      </c>
      <c r="F17" t="s">
        <v>236</v>
      </c>
      <c r="G17">
        <v>3096</v>
      </c>
      <c r="H17">
        <v>3073</v>
      </c>
      <c r="I17" t="b">
        <f>IF(B17=F17,TRUE,FALSE)</f>
        <v>1</v>
      </c>
      <c r="L17">
        <f>G17-C17</f>
        <v>215</v>
      </c>
      <c r="M17" s="4">
        <f>G17/C17-1</f>
        <v>7.4626865671641784E-2</v>
      </c>
      <c r="N17" s="6"/>
      <c r="P17" s="5">
        <v>3827.28</v>
      </c>
      <c r="Q17" s="5">
        <v>4777.2300000000005</v>
      </c>
      <c r="S17" s="5">
        <v>16494.48</v>
      </c>
      <c r="V17" s="152">
        <f>Q17-P17</f>
        <v>949.95000000000027</v>
      </c>
      <c r="W17" s="4">
        <f>IF(P17=0,0,Q17/P17-1)</f>
        <v>0.24820499153445796</v>
      </c>
      <c r="AD17" s="18">
        <v>70269.179999999993</v>
      </c>
      <c r="AE17" s="18">
        <v>77220.25</v>
      </c>
      <c r="AF17" s="4">
        <f>AE17/AD17-1</f>
        <v>9.8920607868200561E-2</v>
      </c>
      <c r="AG17" s="150">
        <f>(L17*2)-V17</f>
        <v>-519.95000000000027</v>
      </c>
      <c r="AK17">
        <f>Q17/AE17</f>
        <v>6.1864990077084708E-2</v>
      </c>
    </row>
    <row r="18" spans="1:37" ht="13.9" customHeight="1">
      <c r="A18" t="s">
        <v>1077</v>
      </c>
      <c r="B18" t="s">
        <v>513</v>
      </c>
      <c r="C18">
        <v>1080</v>
      </c>
      <c r="D18">
        <v>1073</v>
      </c>
      <c r="F18" t="s">
        <v>513</v>
      </c>
      <c r="G18">
        <v>1385</v>
      </c>
      <c r="H18">
        <v>1378</v>
      </c>
      <c r="I18" t="b">
        <f>IF(B18=F18,TRUE,FALSE)</f>
        <v>1</v>
      </c>
      <c r="L18">
        <f>G18-C18</f>
        <v>305</v>
      </c>
      <c r="M18" s="4">
        <f>G18/C18-1</f>
        <v>0.28240740740740744</v>
      </c>
      <c r="N18" s="4"/>
      <c r="P18" s="5">
        <v>896.74</v>
      </c>
      <c r="Q18" s="5">
        <v>2022.5600000000002</v>
      </c>
      <c r="S18" s="5">
        <v>8812.8700000000008</v>
      </c>
      <c r="V18" s="152">
        <f>Q18-P18</f>
        <v>1125.8200000000002</v>
      </c>
      <c r="W18" s="4">
        <f>IF(P18=0,0,Q18/P18-1)</f>
        <v>1.2554586613734195</v>
      </c>
      <c r="AD18" s="18">
        <v>20490.21</v>
      </c>
      <c r="AE18" s="18">
        <v>26301.15</v>
      </c>
      <c r="AF18" s="4">
        <f>AE18/AD18-1</f>
        <v>0.28359592215013918</v>
      </c>
      <c r="AG18" s="150">
        <f>(L18*2)-V18</f>
        <v>-515.82000000000016</v>
      </c>
      <c r="AI18" t="s">
        <v>1078</v>
      </c>
      <c r="AK18">
        <f>Q18/AE18</f>
        <v>7.6900059503101581E-2</v>
      </c>
    </row>
    <row r="19" spans="1:37" ht="13.9" customHeight="1">
      <c r="A19" t="s">
        <v>1079</v>
      </c>
      <c r="B19" t="s">
        <v>723</v>
      </c>
      <c r="C19">
        <v>471</v>
      </c>
      <c r="D19">
        <v>462</v>
      </c>
      <c r="F19" t="s">
        <v>723</v>
      </c>
      <c r="G19">
        <v>829</v>
      </c>
      <c r="H19">
        <v>824</v>
      </c>
      <c r="I19" t="b">
        <f>IF(B19=F19,TRUE,FALSE)</f>
        <v>1</v>
      </c>
      <c r="L19">
        <f>G19-C19</f>
        <v>358</v>
      </c>
      <c r="M19" s="4">
        <f>G19/C19-1</f>
        <v>0.76008492569002128</v>
      </c>
      <c r="N19" s="4"/>
      <c r="P19" s="5">
        <v>640.24</v>
      </c>
      <c r="Q19" s="5">
        <v>1811.58</v>
      </c>
      <c r="S19" s="5">
        <v>10271</v>
      </c>
      <c r="V19" s="152">
        <f>Q19-P19</f>
        <v>1171.3399999999999</v>
      </c>
      <c r="W19" s="4">
        <f>IF(P19=0,0,Q19/P19-1)</f>
        <v>1.8295326752467824</v>
      </c>
      <c r="Z19" t="s">
        <v>1080</v>
      </c>
      <c r="AD19" s="18">
        <v>11299.29</v>
      </c>
      <c r="AE19" s="18">
        <v>19887.71</v>
      </c>
      <c r="AF19" s="4">
        <f>AE19/AD19-1</f>
        <v>0.76008492569002106</v>
      </c>
      <c r="AG19" s="150">
        <f>(L19*2)-V19</f>
        <v>-455.33999999999992</v>
      </c>
      <c r="AI19" t="s">
        <v>1081</v>
      </c>
      <c r="AK19">
        <f>Q19/AE19</f>
        <v>9.1090427203534247E-2</v>
      </c>
    </row>
    <row r="20" spans="1:37" ht="13.9" customHeight="1">
      <c r="A20" t="s">
        <v>1082</v>
      </c>
      <c r="B20" t="s">
        <v>485</v>
      </c>
      <c r="C20">
        <v>1055</v>
      </c>
      <c r="D20">
        <v>1048</v>
      </c>
      <c r="F20" t="s">
        <v>485</v>
      </c>
      <c r="G20">
        <v>1367</v>
      </c>
      <c r="H20">
        <v>1358</v>
      </c>
      <c r="I20" t="b">
        <f>IF(B20=F20,TRUE,FALSE)</f>
        <v>1</v>
      </c>
      <c r="L20">
        <f>G20-C20</f>
        <v>312</v>
      </c>
      <c r="M20" s="4">
        <f>G20/C20-1</f>
        <v>0.29573459715639805</v>
      </c>
      <c r="N20" s="6"/>
      <c r="P20" s="5">
        <v>2404.39</v>
      </c>
      <c r="Q20" s="5">
        <v>3474.0299999999997</v>
      </c>
      <c r="S20" s="5">
        <v>17636.61</v>
      </c>
      <c r="V20" s="152">
        <f>Q20-P20</f>
        <v>1069.6399999999999</v>
      </c>
      <c r="W20" s="4">
        <f>IF(P20=0,0,Q20/P20-1)</f>
        <v>0.44486959270334681</v>
      </c>
      <c r="AD20" s="18">
        <v>29557.439999999999</v>
      </c>
      <c r="AE20" s="18">
        <v>39018.339999999997</v>
      </c>
      <c r="AF20" s="4">
        <f>AE20/AD20-1</f>
        <v>0.32008523065597005</v>
      </c>
      <c r="AG20" s="150">
        <f>(L20*2)-V20</f>
        <v>-445.63999999999987</v>
      </c>
      <c r="AK20">
        <f>Q20/AE20</f>
        <v>8.9035822641352763E-2</v>
      </c>
    </row>
    <row r="21" spans="1:37" ht="13.9" customHeight="1">
      <c r="A21" t="s">
        <v>1083</v>
      </c>
      <c r="B21" t="s">
        <v>641</v>
      </c>
      <c r="C21">
        <v>1056</v>
      </c>
      <c r="D21">
        <v>1028</v>
      </c>
      <c r="F21" t="s">
        <v>641</v>
      </c>
      <c r="G21">
        <v>998</v>
      </c>
      <c r="H21">
        <v>986</v>
      </c>
      <c r="I21" t="b">
        <f>IF(B21=F21,TRUE,FALSE)</f>
        <v>1</v>
      </c>
      <c r="L21">
        <f>G21-C21</f>
        <v>-58</v>
      </c>
      <c r="M21" s="4">
        <f>G21/C21-1</f>
        <v>-5.4924242424242431E-2</v>
      </c>
      <c r="N21" s="6"/>
      <c r="P21" s="5">
        <v>1343.18</v>
      </c>
      <c r="Q21" s="5">
        <v>1658.82</v>
      </c>
      <c r="S21" s="5">
        <v>9625.2200000000012</v>
      </c>
      <c r="V21" s="152">
        <f>Q21-P21</f>
        <v>315.63999999999987</v>
      </c>
      <c r="W21" s="4">
        <f>IF(P21=0,0,Q21/P21-1)</f>
        <v>0.2349945651364671</v>
      </c>
      <c r="Z21" t="s">
        <v>1084</v>
      </c>
      <c r="AD21" s="18">
        <v>33391.53</v>
      </c>
      <c r="AE21" s="18">
        <v>32851.15</v>
      </c>
      <c r="AF21" s="4">
        <f>AE21/AD21-1</f>
        <v>-1.6183145845667934E-2</v>
      </c>
      <c r="AG21" s="150">
        <f>(L21*2)-V21</f>
        <v>-431.63999999999987</v>
      </c>
      <c r="AK21">
        <f>Q21/AE21</f>
        <v>5.0495035942425145E-2</v>
      </c>
    </row>
    <row r="22" spans="1:37" ht="13.9" customHeight="1">
      <c r="A22" t="s">
        <v>1085</v>
      </c>
      <c r="B22" t="s">
        <v>410</v>
      </c>
      <c r="C22">
        <v>1294</v>
      </c>
      <c r="D22">
        <v>1251</v>
      </c>
      <c r="F22" t="s">
        <v>410</v>
      </c>
      <c r="G22">
        <v>1496</v>
      </c>
      <c r="H22">
        <v>1478</v>
      </c>
      <c r="I22" t="b">
        <f>IF(B22=F22,TRUE,FALSE)</f>
        <v>1</v>
      </c>
      <c r="L22">
        <f>G22-C22</f>
        <v>202</v>
      </c>
      <c r="M22" s="4">
        <f>G22/C22-1</f>
        <v>0.15610510046367843</v>
      </c>
      <c r="N22" s="4"/>
      <c r="P22" s="5">
        <v>1345.63</v>
      </c>
      <c r="Q22" s="5">
        <v>2150.4399999999996</v>
      </c>
      <c r="S22" s="5">
        <v>7921.4400000000005</v>
      </c>
      <c r="V22" s="152">
        <f>Q22-P22</f>
        <v>804.80999999999949</v>
      </c>
      <c r="W22" s="4">
        <f>IF(P22=0,0,Q22/P22-1)</f>
        <v>0.59809160021699825</v>
      </c>
      <c r="AD22" s="18">
        <v>31043.06</v>
      </c>
      <c r="AE22" s="18">
        <v>36360.04</v>
      </c>
      <c r="AF22" s="4">
        <f>AE22/AD22-1</f>
        <v>0.17127757379588227</v>
      </c>
      <c r="AG22" s="150">
        <f>(L22*2)-V22</f>
        <v>-400.80999999999949</v>
      </c>
      <c r="AK22">
        <f>Q22/AE22</f>
        <v>5.9142949237679592E-2</v>
      </c>
    </row>
    <row r="23" spans="1:37" ht="13.9" customHeight="1">
      <c r="A23" t="s">
        <v>1086</v>
      </c>
      <c r="B23" t="s">
        <v>281</v>
      </c>
      <c r="C23">
        <v>1244</v>
      </c>
      <c r="D23">
        <v>1240</v>
      </c>
      <c r="F23" t="s">
        <v>281</v>
      </c>
      <c r="G23">
        <v>976</v>
      </c>
      <c r="H23">
        <v>976</v>
      </c>
      <c r="I23" t="b">
        <f>IF(B23=F23,TRUE,FALSE)</f>
        <v>1</v>
      </c>
      <c r="L23">
        <f>G23-C23</f>
        <v>-268</v>
      </c>
      <c r="M23" s="4">
        <f>G23/C23-1</f>
        <v>-0.21543408360128613</v>
      </c>
      <c r="P23" s="5">
        <v>3080.48</v>
      </c>
      <c r="Q23" s="5">
        <v>2943.9700000000003</v>
      </c>
      <c r="S23" s="5">
        <v>12553.55</v>
      </c>
      <c r="V23" s="152">
        <f>Q23-P23</f>
        <v>-136.50999999999976</v>
      </c>
      <c r="W23" s="4">
        <f>IF(P23=0,0,Q23/P23-1)</f>
        <v>-4.431452241209155E-2</v>
      </c>
      <c r="Z23" s="5"/>
      <c r="AA23" s="5"/>
      <c r="AB23" s="5"/>
      <c r="AC23" s="17"/>
      <c r="AD23" s="18">
        <v>23345.49</v>
      </c>
      <c r="AE23" s="18">
        <v>19296.240000000002</v>
      </c>
      <c r="AF23" s="4">
        <f>AE23/AD23-1</f>
        <v>-0.17344891882757651</v>
      </c>
      <c r="AG23" s="150">
        <f>(L23*2)-V23</f>
        <v>-399.49000000000024</v>
      </c>
      <c r="AK23">
        <f>Q23/AE23</f>
        <v>0.15256702860246349</v>
      </c>
    </row>
    <row r="24" spans="1:37" ht="13.9" customHeight="1">
      <c r="A24" t="s">
        <v>1087</v>
      </c>
      <c r="B24" t="s">
        <v>378</v>
      </c>
      <c r="C24">
        <v>1308</v>
      </c>
      <c r="D24">
        <v>1290</v>
      </c>
      <c r="F24" t="s">
        <v>378</v>
      </c>
      <c r="G24">
        <v>1466</v>
      </c>
      <c r="H24">
        <v>1459</v>
      </c>
      <c r="I24" t="b">
        <f>IF(B24=F24,TRUE,FALSE)</f>
        <v>1</v>
      </c>
      <c r="L24">
        <f>G24-C24</f>
        <v>158</v>
      </c>
      <c r="M24" s="4">
        <f>G24/C24-1</f>
        <v>0.12079510703363905</v>
      </c>
      <c r="N24" s="4"/>
      <c r="P24" s="5">
        <v>1076.3399999999999</v>
      </c>
      <c r="Q24" s="5">
        <v>1760.27</v>
      </c>
      <c r="S24" s="5">
        <v>7023.61</v>
      </c>
      <c r="V24" s="152">
        <f>Q24-P24</f>
        <v>683.93000000000006</v>
      </c>
      <c r="W24" s="4">
        <f>IF(P24=0,0,Q24/P24-1)</f>
        <v>0.63542189271048199</v>
      </c>
      <c r="AD24" s="18">
        <v>20882.939999999999</v>
      </c>
      <c r="AE24" s="18">
        <v>25887.37</v>
      </c>
      <c r="AF24" s="4">
        <f>AE24/AD24-1</f>
        <v>0.2396420235848018</v>
      </c>
      <c r="AG24" s="150">
        <f>(L24*2)-V24</f>
        <v>-367.93000000000006</v>
      </c>
      <c r="AK24">
        <f>Q24/AE24</f>
        <v>6.7997251169199496E-2</v>
      </c>
    </row>
    <row r="25" spans="1:37" ht="13.9" customHeight="1">
      <c r="A25" s="57" t="s">
        <v>1088</v>
      </c>
      <c r="B25" s="39" t="s">
        <v>758</v>
      </c>
      <c r="C25" s="39">
        <v>521</v>
      </c>
      <c r="D25">
        <v>521</v>
      </c>
      <c r="F25" s="39" t="s">
        <v>758</v>
      </c>
      <c r="G25" s="39">
        <v>289</v>
      </c>
      <c r="H25">
        <v>289</v>
      </c>
      <c r="I25" t="b">
        <f>IF(B25=F25,TRUE,FALSE)</f>
        <v>1</v>
      </c>
      <c r="L25">
        <f>G25-C25</f>
        <v>-232</v>
      </c>
      <c r="M25" s="4">
        <f>G25/C25-1</f>
        <v>-0.44529750479846453</v>
      </c>
      <c r="N25" s="4"/>
      <c r="P25" s="5">
        <v>2020.69</v>
      </c>
      <c r="Q25" s="5">
        <v>1919.01</v>
      </c>
      <c r="S25" s="5">
        <v>7921.71</v>
      </c>
      <c r="V25" s="152">
        <f>Q25-P25</f>
        <v>-101.68000000000006</v>
      </c>
      <c r="W25" s="4">
        <f>IF(P25=0,0,Q25/P25-1)</f>
        <v>-5.0319445337978608E-2</v>
      </c>
      <c r="AD25" s="18">
        <v>12420.79</v>
      </c>
      <c r="AE25" s="18">
        <v>7800.11</v>
      </c>
      <c r="AF25" s="4">
        <f>AE25/AD25-1</f>
        <v>-0.37201176414704706</v>
      </c>
      <c r="AG25" s="150">
        <f>(L25*2)-V25</f>
        <v>-362.31999999999994</v>
      </c>
      <c r="AI25" t="s">
        <v>1089</v>
      </c>
      <c r="AK25">
        <f>Q25/AE25</f>
        <v>0.24602345351539914</v>
      </c>
    </row>
    <row r="26" spans="1:37">
      <c r="A26" t="s">
        <v>1090</v>
      </c>
      <c r="B26" t="s">
        <v>567</v>
      </c>
      <c r="C26">
        <v>945</v>
      </c>
      <c r="D26">
        <v>913</v>
      </c>
      <c r="F26" t="s">
        <v>567</v>
      </c>
      <c r="G26">
        <v>1196</v>
      </c>
      <c r="H26">
        <v>1194</v>
      </c>
      <c r="I26" t="b">
        <f>IF(B26=F26,TRUE,FALSE)</f>
        <v>1</v>
      </c>
      <c r="L26">
        <f>G26-C26</f>
        <v>251</v>
      </c>
      <c r="M26" s="4">
        <f>G26/C26-1</f>
        <v>0.26560846560846563</v>
      </c>
      <c r="N26" s="6"/>
      <c r="P26" s="5">
        <v>2151.6</v>
      </c>
      <c r="Q26" s="5">
        <v>2981.88</v>
      </c>
      <c r="S26" s="5">
        <v>15862.85</v>
      </c>
      <c r="V26" s="152">
        <f>Q26-P26</f>
        <v>830.2800000000002</v>
      </c>
      <c r="W26" s="4">
        <f>IF(P26=0,0,Q26/P26-1)</f>
        <v>0.38588957055214745</v>
      </c>
      <c r="AD26" s="18">
        <v>20780.55</v>
      </c>
      <c r="AE26" s="18">
        <v>26300.04</v>
      </c>
      <c r="AF26" s="4">
        <f>AE26/AD26-1</f>
        <v>0.26560846560846563</v>
      </c>
      <c r="AG26" s="150">
        <f>(L26*2)-V26</f>
        <v>-328.2800000000002</v>
      </c>
      <c r="AK26">
        <f>Q26/AE26</f>
        <v>0.1133792952406156</v>
      </c>
    </row>
    <row r="27" spans="1:37">
      <c r="A27" s="59" t="s">
        <v>1091</v>
      </c>
      <c r="B27" s="39" t="s">
        <v>721</v>
      </c>
      <c r="C27" s="39">
        <v>5</v>
      </c>
      <c r="D27">
        <v>5</v>
      </c>
      <c r="F27" s="39" t="s">
        <v>721</v>
      </c>
      <c r="G27" s="39">
        <v>964</v>
      </c>
      <c r="H27">
        <v>963</v>
      </c>
      <c r="I27" t="b">
        <f>IF(B27=F27,TRUE,FALSE)</f>
        <v>1</v>
      </c>
      <c r="L27">
        <f>G27-C27</f>
        <v>959</v>
      </c>
      <c r="M27" s="4">
        <f>G27/C27-1</f>
        <v>191.8</v>
      </c>
      <c r="N27" s="4"/>
      <c r="P27" s="5">
        <v>119.41</v>
      </c>
      <c r="Q27" s="5">
        <v>2360.4599999999996</v>
      </c>
      <c r="S27" s="5">
        <v>10893.73</v>
      </c>
      <c r="V27" s="152">
        <f>Q27-P27</f>
        <v>2241.0499999999997</v>
      </c>
      <c r="W27" s="4">
        <f>IF(P27=0,0,Q27/P27-1)</f>
        <v>18.767691148145044</v>
      </c>
      <c r="AD27" s="18">
        <v>149.94999999999999</v>
      </c>
      <c r="AE27" s="18">
        <v>19552.61</v>
      </c>
      <c r="AF27" s="4">
        <f>AE27/AD27-1</f>
        <v>129.39419806602203</v>
      </c>
      <c r="AG27" s="150">
        <f>(L27*2)-V27</f>
        <v>-323.04999999999973</v>
      </c>
      <c r="AI27" t="s">
        <v>1092</v>
      </c>
      <c r="AK27">
        <f>Q27/AE27</f>
        <v>0.12072352489002744</v>
      </c>
    </row>
    <row r="28" spans="1:37">
      <c r="A28" t="s">
        <v>1093</v>
      </c>
      <c r="B28" t="s">
        <v>136</v>
      </c>
      <c r="C28">
        <v>5291</v>
      </c>
      <c r="D28">
        <v>5250</v>
      </c>
      <c r="F28" t="s">
        <v>136</v>
      </c>
      <c r="G28">
        <v>7209</v>
      </c>
      <c r="H28">
        <v>7176</v>
      </c>
      <c r="I28" t="b">
        <f>IF(B28=F28,TRUE,FALSE)</f>
        <v>1</v>
      </c>
      <c r="L28">
        <f>G28-C28</f>
        <v>1918</v>
      </c>
      <c r="M28" s="4">
        <f>G28/C28-1</f>
        <v>0.36250236250236245</v>
      </c>
      <c r="N28" s="4"/>
      <c r="P28" s="5">
        <v>4187.3900000000003</v>
      </c>
      <c r="Q28" s="5">
        <v>8321.9600000000009</v>
      </c>
      <c r="S28" s="5">
        <v>58803.56</v>
      </c>
      <c r="V28" s="152">
        <f>Q28-P28</f>
        <v>4134.5700000000006</v>
      </c>
      <c r="W28" s="4">
        <f>IF(P28=0,0,Q28/P28-1)</f>
        <v>0.98738593730223378</v>
      </c>
      <c r="Z28" t="s">
        <v>1094</v>
      </c>
      <c r="AD28" s="18">
        <v>130171.37</v>
      </c>
      <c r="AE28" s="18">
        <v>180685.94</v>
      </c>
      <c r="AF28" s="4">
        <f>AE28/AD28-1</f>
        <v>0.38806206003670396</v>
      </c>
      <c r="AG28" s="150">
        <f>(L28*2)-V28</f>
        <v>-298.57000000000062</v>
      </c>
      <c r="AK28">
        <f>Q28/AE28</f>
        <v>4.6057595848354338E-2</v>
      </c>
    </row>
    <row r="29" spans="1:37">
      <c r="A29" t="s">
        <v>1095</v>
      </c>
      <c r="B29" t="s">
        <v>686</v>
      </c>
      <c r="C29">
        <v>856</v>
      </c>
      <c r="D29">
        <v>844</v>
      </c>
      <c r="F29" t="s">
        <v>686</v>
      </c>
      <c r="G29">
        <v>1056</v>
      </c>
      <c r="H29">
        <v>1051</v>
      </c>
      <c r="I29" t="b">
        <f>IF(B29=F29,TRUE,FALSE)</f>
        <v>1</v>
      </c>
      <c r="L29">
        <f>G29-C29</f>
        <v>200</v>
      </c>
      <c r="M29" s="4">
        <f>G29/C29-1</f>
        <v>0.23364485981308403</v>
      </c>
      <c r="N29" s="4"/>
      <c r="P29" s="5">
        <v>1999.3</v>
      </c>
      <c r="Q29" s="5">
        <v>2686.1099999999997</v>
      </c>
      <c r="S29" s="5">
        <v>12321.47</v>
      </c>
      <c r="V29" s="152">
        <f>Q29-P29</f>
        <v>686.80999999999972</v>
      </c>
      <c r="W29" s="4">
        <f>IF(P29=0,0,Q29/P29-1)</f>
        <v>0.34352523383184108</v>
      </c>
      <c r="AD29" s="18">
        <v>16221.2</v>
      </c>
      <c r="AE29" s="18">
        <v>20011.2</v>
      </c>
      <c r="AF29" s="4">
        <f>AE29/AD29-1</f>
        <v>0.23364485981308403</v>
      </c>
      <c r="AG29" s="150">
        <f>(L29*2)-V29</f>
        <v>-286.80999999999972</v>
      </c>
      <c r="AK29">
        <f>Q29/AE29</f>
        <v>0.13423033101463178</v>
      </c>
    </row>
    <row r="30" spans="1:37">
      <c r="A30" t="s">
        <v>1096</v>
      </c>
      <c r="B30" t="s">
        <v>696</v>
      </c>
      <c r="C30">
        <v>875</v>
      </c>
      <c r="D30">
        <v>866</v>
      </c>
      <c r="F30" t="s">
        <v>696</v>
      </c>
      <c r="G30">
        <v>1010</v>
      </c>
      <c r="H30">
        <v>1007</v>
      </c>
      <c r="I30" t="b">
        <f>IF(B30=F30,TRUE,FALSE)</f>
        <v>1</v>
      </c>
      <c r="L30">
        <f>G30-C30</f>
        <v>135</v>
      </c>
      <c r="M30" s="4">
        <f>G30/C30-1</f>
        <v>0.15428571428571436</v>
      </c>
      <c r="P30" s="5">
        <v>589.66999999999996</v>
      </c>
      <c r="Q30" s="5">
        <v>1136.25</v>
      </c>
      <c r="S30" s="5">
        <v>4471.32</v>
      </c>
      <c r="V30" s="152">
        <f>Q30-P30</f>
        <v>546.58000000000004</v>
      </c>
      <c r="W30" s="4">
        <f>IF(P30=0,0,Q30/P30-1)</f>
        <v>0.92692522936557742</v>
      </c>
      <c r="AD30" s="18">
        <v>17436.3</v>
      </c>
      <c r="AE30" s="18">
        <v>20129.55</v>
      </c>
      <c r="AF30" s="4">
        <f>AE30/AD30-1</f>
        <v>0.15446224256292918</v>
      </c>
      <c r="AG30" s="150">
        <f>(L30*2)-V30</f>
        <v>-276.58000000000004</v>
      </c>
    </row>
    <row r="31" spans="1:37">
      <c r="A31" t="s">
        <v>1097</v>
      </c>
      <c r="B31" t="s">
        <v>781</v>
      </c>
      <c r="C31">
        <v>133</v>
      </c>
      <c r="D31">
        <v>133</v>
      </c>
      <c r="G31">
        <v>2</v>
      </c>
      <c r="H31">
        <v>2</v>
      </c>
      <c r="I31" t="b">
        <f>IF(B31=F31,TRUE,FALSE)</f>
        <v>0</v>
      </c>
      <c r="L31">
        <f>G31-C31</f>
        <v>-131</v>
      </c>
      <c r="M31" s="4">
        <f>G31/C31-1</f>
        <v>-0.98496240601503759</v>
      </c>
      <c r="N31" s="4"/>
      <c r="P31" s="5">
        <v>0</v>
      </c>
      <c r="Q31" s="5">
        <v>0</v>
      </c>
      <c r="S31" s="5">
        <v>0</v>
      </c>
      <c r="V31" s="152">
        <f>Q31-P31</f>
        <v>0</v>
      </c>
      <c r="W31" s="4">
        <f>IF(P31=0,0,Q31/P31-1)</f>
        <v>0</v>
      </c>
      <c r="AD31" s="18">
        <v>3584.35</v>
      </c>
      <c r="AE31" s="18">
        <v>53.9</v>
      </c>
      <c r="AF31" s="4">
        <f>AE31/AD31-1</f>
        <v>-0.98496240601503759</v>
      </c>
      <c r="AG31" s="150">
        <f>(L31*2)-V31</f>
        <v>-262</v>
      </c>
    </row>
    <row r="32" spans="1:37">
      <c r="A32" t="s">
        <v>1098</v>
      </c>
      <c r="B32" t="s">
        <v>175</v>
      </c>
      <c r="C32">
        <v>901</v>
      </c>
      <c r="D32">
        <v>899</v>
      </c>
      <c r="F32" t="s">
        <v>175</v>
      </c>
      <c r="G32">
        <v>737</v>
      </c>
      <c r="H32">
        <v>737</v>
      </c>
      <c r="I32" t="b">
        <f>IF(B32=F32,TRUE,FALSE)</f>
        <v>1</v>
      </c>
      <c r="L32">
        <f>G32-C32</f>
        <v>-164</v>
      </c>
      <c r="M32" s="4">
        <f>G32/C32-1</f>
        <v>-0.18201997780244172</v>
      </c>
      <c r="N32" s="4"/>
      <c r="P32" s="5">
        <v>1552.27</v>
      </c>
      <c r="Q32" s="5">
        <v>1474.73</v>
      </c>
      <c r="S32" s="5">
        <v>6687.7699999999995</v>
      </c>
      <c r="V32" s="152">
        <f>Q32-P32</f>
        <v>-77.539999999999964</v>
      </c>
      <c r="W32" s="4">
        <f>IF(P32=0,0,Q32/P32-1)</f>
        <v>-4.9952649990014586E-2</v>
      </c>
      <c r="AD32" s="18">
        <v>15362.99</v>
      </c>
      <c r="AE32" s="18">
        <v>13240.64</v>
      </c>
      <c r="AF32" s="4">
        <f>AE32/AD32-1</f>
        <v>-0.13814693624092711</v>
      </c>
      <c r="AG32" s="150">
        <f>(L32*2)-V32</f>
        <v>-250.46000000000004</v>
      </c>
    </row>
    <row r="33" spans="1:36">
      <c r="A33" t="s">
        <v>1099</v>
      </c>
      <c r="B33" t="s">
        <v>587</v>
      </c>
      <c r="C33">
        <v>1090</v>
      </c>
      <c r="D33">
        <v>1082</v>
      </c>
      <c r="F33" t="s">
        <v>587</v>
      </c>
      <c r="G33">
        <v>1221</v>
      </c>
      <c r="H33">
        <v>1218</v>
      </c>
      <c r="I33" t="b">
        <f>IF(B33=F33,TRUE,FALSE)</f>
        <v>1</v>
      </c>
      <c r="L33">
        <f>G33-C33</f>
        <v>131</v>
      </c>
      <c r="M33" s="4">
        <f>G33/C33-1</f>
        <v>0.12018348623853203</v>
      </c>
      <c r="N33" s="4"/>
      <c r="P33" s="5">
        <v>1564.92</v>
      </c>
      <c r="Q33" s="5">
        <v>2063.7799999999997</v>
      </c>
      <c r="S33" s="5">
        <v>11392.730000000001</v>
      </c>
      <c r="V33" s="152">
        <f>Q33-P33</f>
        <v>498.85999999999967</v>
      </c>
      <c r="W33" s="4">
        <f>IF(P33=0,0,Q33/P33-1)</f>
        <v>0.3187766786800601</v>
      </c>
      <c r="AD33" s="18">
        <v>15221.12</v>
      </c>
      <c r="AE33" s="18">
        <v>18269.810000000001</v>
      </c>
      <c r="AF33" s="4">
        <f>AE33/AD33-1</f>
        <v>0.20029340810663077</v>
      </c>
      <c r="AG33" s="150">
        <f>(L33*2)-V33</f>
        <v>-236.85999999999967</v>
      </c>
      <c r="AJ33"/>
    </row>
    <row r="34" spans="1:36">
      <c r="A34" t="s">
        <v>1100</v>
      </c>
      <c r="B34" t="s">
        <v>403</v>
      </c>
      <c r="C34">
        <v>1424</v>
      </c>
      <c r="D34">
        <v>1402</v>
      </c>
      <c r="F34" t="s">
        <v>403</v>
      </c>
      <c r="G34">
        <v>1496</v>
      </c>
      <c r="H34">
        <v>1475</v>
      </c>
      <c r="I34" t="b">
        <f>IF(B34=F34,TRUE,FALSE)</f>
        <v>1</v>
      </c>
      <c r="L34">
        <f>G34-C34</f>
        <v>72</v>
      </c>
      <c r="M34" s="4">
        <f>G34/C34-1</f>
        <v>5.0561797752809001E-2</v>
      </c>
      <c r="N34" s="4"/>
      <c r="P34" s="5">
        <v>1647.37</v>
      </c>
      <c r="Q34" s="5">
        <v>2025.8000000000002</v>
      </c>
      <c r="S34" s="5">
        <v>7447.8399999999992</v>
      </c>
      <c r="V34" s="152">
        <f>Q34-P34</f>
        <v>378.43000000000029</v>
      </c>
      <c r="W34" s="4">
        <f>IF(P34=0,0,Q34/P34-1)</f>
        <v>0.2297176711971205</v>
      </c>
      <c r="AD34" s="18">
        <v>31269.78</v>
      </c>
      <c r="AE34" s="18">
        <v>34393.040000000001</v>
      </c>
      <c r="AF34" s="4">
        <f>AE34/AD34-1</f>
        <v>9.9881099259412798E-2</v>
      </c>
      <c r="AG34" s="150">
        <f>(L34*2)-V34</f>
        <v>-234.43000000000029</v>
      </c>
    </row>
    <row r="35" spans="1:36">
      <c r="A35" t="s">
        <v>1101</v>
      </c>
      <c r="B35" s="5" t="s">
        <v>233</v>
      </c>
      <c r="C35">
        <v>1684</v>
      </c>
      <c r="D35">
        <v>1643</v>
      </c>
      <c r="F35" t="s">
        <v>233</v>
      </c>
      <c r="G35">
        <v>1725</v>
      </c>
      <c r="H35">
        <v>1703</v>
      </c>
      <c r="I35" t="b">
        <f>IF(B35=F35,TRUE,FALSE)</f>
        <v>1</v>
      </c>
      <c r="L35">
        <f>G35-C35</f>
        <v>41</v>
      </c>
      <c r="M35" s="4">
        <f>G35/C35-1</f>
        <v>2.4346793349168561E-2</v>
      </c>
      <c r="P35" s="5">
        <v>2986.58</v>
      </c>
      <c r="Q35" s="5">
        <v>3299.27</v>
      </c>
      <c r="S35" s="5">
        <v>12793.869999999999</v>
      </c>
      <c r="V35" s="152">
        <f>Q35-P35</f>
        <v>312.69000000000005</v>
      </c>
      <c r="W35" s="4">
        <f>IF(P35=0,0,Q35/P35-1)</f>
        <v>0.10469835062178157</v>
      </c>
      <c r="Z35" s="5"/>
      <c r="AA35" s="5"/>
      <c r="AB35" s="5"/>
      <c r="AC35" s="17"/>
      <c r="AD35" s="18">
        <v>50435.8</v>
      </c>
      <c r="AE35" s="18">
        <v>51633.8</v>
      </c>
      <c r="AF35" s="4">
        <f>AE35/AD35-1</f>
        <v>2.3752969121140222E-2</v>
      </c>
      <c r="AG35" s="150">
        <f>(L35*2)-V35</f>
        <v>-230.69000000000005</v>
      </c>
    </row>
    <row r="36" spans="1:36">
      <c r="A36" t="s">
        <v>1102</v>
      </c>
      <c r="B36" t="s">
        <v>667</v>
      </c>
      <c r="C36">
        <v>871</v>
      </c>
      <c r="D36">
        <v>867</v>
      </c>
      <c r="F36" t="s">
        <v>667</v>
      </c>
      <c r="G36">
        <v>726</v>
      </c>
      <c r="H36">
        <v>722</v>
      </c>
      <c r="I36" t="b">
        <f>IF(B36=F36,TRUE,FALSE)</f>
        <v>1</v>
      </c>
      <c r="L36">
        <f>G36-C36</f>
        <v>-145</v>
      </c>
      <c r="M36" s="4">
        <f>G36/C36-1</f>
        <v>-0.16647531572904706</v>
      </c>
      <c r="N36" s="4"/>
      <c r="P36" s="5">
        <v>1470.93</v>
      </c>
      <c r="Q36" s="5">
        <v>1403.84</v>
      </c>
      <c r="S36" s="5">
        <v>6633.1100000000006</v>
      </c>
      <c r="V36" s="152">
        <f>Q36-P36</f>
        <v>-67.090000000000146</v>
      </c>
      <c r="W36" s="4">
        <f>IF(P36=0,0,Q36/P36-1)</f>
        <v>-4.5610600096537612E-2</v>
      </c>
      <c r="Z36" t="s">
        <v>1103</v>
      </c>
      <c r="AD36" s="18">
        <v>12185.29</v>
      </c>
      <c r="AE36" s="18">
        <v>12986.74</v>
      </c>
      <c r="AF36" s="4">
        <f>AE36/AD36-1</f>
        <v>6.5771926642697709E-2</v>
      </c>
      <c r="AG36" s="150">
        <f>(L36*2)-V36</f>
        <v>-222.90999999999985</v>
      </c>
    </row>
    <row r="37" spans="1:36">
      <c r="A37" t="s">
        <v>1104</v>
      </c>
      <c r="B37" t="s">
        <v>254</v>
      </c>
      <c r="C37">
        <v>1277</v>
      </c>
      <c r="D37">
        <v>1265</v>
      </c>
      <c r="F37" t="s">
        <v>254</v>
      </c>
      <c r="G37">
        <v>1281</v>
      </c>
      <c r="H37">
        <v>1279</v>
      </c>
      <c r="I37" t="b">
        <f>IF(B37=F37,TRUE,FALSE)</f>
        <v>1</v>
      </c>
      <c r="L37">
        <f>G37-C37</f>
        <v>4</v>
      </c>
      <c r="M37" s="4">
        <f>G37/C37-1</f>
        <v>3.1323414252153459E-3</v>
      </c>
      <c r="N37" s="4"/>
      <c r="P37" s="5">
        <v>2636.27</v>
      </c>
      <c r="Q37" s="5">
        <v>2861.1</v>
      </c>
      <c r="S37" s="5">
        <v>22209.95</v>
      </c>
      <c r="V37" s="152">
        <f>Q37-P37</f>
        <v>224.82999999999993</v>
      </c>
      <c r="W37" s="4">
        <f>IF(P37=0,0,Q37/P37-1)</f>
        <v>8.5283373857761191E-2</v>
      </c>
      <c r="AA37" t="s">
        <v>1105</v>
      </c>
      <c r="AD37" s="18">
        <v>32116.23</v>
      </c>
      <c r="AE37" s="18">
        <v>34574.19</v>
      </c>
      <c r="AF37" s="4">
        <f>AE37/AD37-1</f>
        <v>7.6533266824904578E-2</v>
      </c>
      <c r="AG37" s="150">
        <f>(L37*2)-V37</f>
        <v>-216.82999999999993</v>
      </c>
    </row>
    <row r="38" spans="1:36">
      <c r="A38" t="s">
        <v>1106</v>
      </c>
      <c r="B38" t="s">
        <v>829</v>
      </c>
      <c r="C38">
        <v>1253</v>
      </c>
      <c r="D38">
        <v>1234</v>
      </c>
      <c r="F38" t="s">
        <v>829</v>
      </c>
      <c r="G38">
        <v>1319</v>
      </c>
      <c r="H38">
        <v>1309</v>
      </c>
      <c r="I38" t="b">
        <f>IF(B38=F38,TRUE,FALSE)</f>
        <v>1</v>
      </c>
      <c r="L38">
        <f>G38-C38</f>
        <v>66</v>
      </c>
      <c r="M38" s="4">
        <f>G38/C38-1</f>
        <v>5.2673583399840407E-2</v>
      </c>
      <c r="N38" s="4"/>
      <c r="P38" s="5">
        <v>557.58000000000004</v>
      </c>
      <c r="Q38" s="5">
        <v>900.66</v>
      </c>
      <c r="S38" s="5">
        <v>3513.24</v>
      </c>
      <c r="V38" s="152">
        <f>Q38-P38</f>
        <v>343.07999999999993</v>
      </c>
      <c r="W38" s="4">
        <f>IF(P38=0,0,Q38/P38-1)</f>
        <v>0.6153018400946948</v>
      </c>
      <c r="AD38" s="18">
        <v>24977.4</v>
      </c>
      <c r="AE38" s="18">
        <v>26314.05</v>
      </c>
      <c r="AF38" s="4">
        <f>AE38/AD38-1</f>
        <v>5.3514376996804947E-2</v>
      </c>
      <c r="AG38" s="150">
        <f>(L38*2)-V38</f>
        <v>-211.07999999999993</v>
      </c>
    </row>
    <row r="39" spans="1:36">
      <c r="A39" t="s">
        <v>1107</v>
      </c>
      <c r="B39" t="s">
        <v>452</v>
      </c>
      <c r="C39">
        <v>1306</v>
      </c>
      <c r="D39">
        <v>1263</v>
      </c>
      <c r="F39" t="s">
        <v>452</v>
      </c>
      <c r="G39">
        <v>1317</v>
      </c>
      <c r="H39">
        <v>1310</v>
      </c>
      <c r="I39" t="b">
        <f>IF(B39=F39,TRUE,FALSE)</f>
        <v>1</v>
      </c>
      <c r="L39">
        <f>G39-C39</f>
        <v>11</v>
      </c>
      <c r="M39" s="4">
        <f>G39/C39-1</f>
        <v>8.4226646248086734E-3</v>
      </c>
      <c r="N39" s="4"/>
      <c r="P39" s="5">
        <v>1320.18</v>
      </c>
      <c r="Q39" s="5">
        <v>1551.3000000000002</v>
      </c>
      <c r="S39" s="5">
        <v>5387.3099999999995</v>
      </c>
      <c r="V39" s="152">
        <f>Q39-P39</f>
        <v>231.12000000000012</v>
      </c>
      <c r="W39" s="4">
        <f>IF(P39=0,0,Q39/P39-1)</f>
        <v>0.17506703631323006</v>
      </c>
      <c r="AD39" s="18">
        <v>24729.75</v>
      </c>
      <c r="AE39" s="18">
        <v>24957.15</v>
      </c>
      <c r="AF39" s="4">
        <f>AE39/AD39-1</f>
        <v>9.1954022988507411E-3</v>
      </c>
      <c r="AG39" s="150">
        <f>(L39*2)-V39</f>
        <v>-209.12000000000012</v>
      </c>
    </row>
    <row r="40" spans="1:36">
      <c r="A40" t="s">
        <v>1108</v>
      </c>
      <c r="B40" t="s">
        <v>405</v>
      </c>
      <c r="C40">
        <v>1321</v>
      </c>
      <c r="D40">
        <v>1317</v>
      </c>
      <c r="F40" t="s">
        <v>405</v>
      </c>
      <c r="G40">
        <v>1486</v>
      </c>
      <c r="H40">
        <v>1483</v>
      </c>
      <c r="I40" t="b">
        <f>IF(B40=F40,TRUE,FALSE)</f>
        <v>1</v>
      </c>
      <c r="L40">
        <f>G40-C40</f>
        <v>165</v>
      </c>
      <c r="M40" s="4">
        <f>G40/C40-1</f>
        <v>0.12490537471612417</v>
      </c>
      <c r="N40" s="4"/>
      <c r="P40" s="5">
        <v>762.84</v>
      </c>
      <c r="Q40" s="5">
        <v>1299.4100000000001</v>
      </c>
      <c r="S40" s="5">
        <v>6894.7800000000007</v>
      </c>
      <c r="V40" s="152">
        <f>Q40-P40</f>
        <v>536.57000000000005</v>
      </c>
      <c r="W40" s="4">
        <f>IF(P40=0,0,Q40/P40-1)</f>
        <v>0.70338472025588583</v>
      </c>
      <c r="Z40" t="s">
        <v>1109</v>
      </c>
      <c r="AD40" s="18">
        <v>31637.95</v>
      </c>
      <c r="AE40" s="18">
        <v>35589.699999999997</v>
      </c>
      <c r="AF40" s="4">
        <f>AE40/AD40-1</f>
        <v>0.12490537471612395</v>
      </c>
      <c r="AG40" s="150">
        <f>(L40*2)-V40</f>
        <v>-206.57000000000005</v>
      </c>
    </row>
    <row r="41" spans="1:36">
      <c r="A41" t="s">
        <v>1110</v>
      </c>
      <c r="B41" t="s">
        <v>119</v>
      </c>
      <c r="C41">
        <v>5992</v>
      </c>
      <c r="D41">
        <v>5911</v>
      </c>
      <c r="F41" t="s">
        <v>119</v>
      </c>
      <c r="G41">
        <v>6847</v>
      </c>
      <c r="H41">
        <v>6802</v>
      </c>
      <c r="I41" t="b">
        <f>IF(B41=F41,TRUE,FALSE)</f>
        <v>1</v>
      </c>
      <c r="L41">
        <f>G41-C41</f>
        <v>855</v>
      </c>
      <c r="M41" s="4">
        <f>G41/C41-1</f>
        <v>0.14269025367156218</v>
      </c>
      <c r="N41" s="4"/>
      <c r="P41" s="5">
        <v>3622.11</v>
      </c>
      <c r="Q41" s="5">
        <v>5529.76</v>
      </c>
      <c r="S41" s="5">
        <v>37463.57</v>
      </c>
      <c r="V41" s="152">
        <f>Q41-P41</f>
        <v>1907.65</v>
      </c>
      <c r="W41" s="4">
        <f>IF(P41=0,0,Q41/P41-1)</f>
        <v>0.5266681575104013</v>
      </c>
      <c r="AD41" s="18">
        <v>183791.72</v>
      </c>
      <c r="AE41" s="18">
        <v>215052.88</v>
      </c>
      <c r="AF41" s="4">
        <f>AE41/AD41-1</f>
        <v>0.17009014334269246</v>
      </c>
      <c r="AG41" s="150">
        <f>(L41*2)-V41</f>
        <v>-197.65000000000009</v>
      </c>
    </row>
    <row r="42" spans="1:36">
      <c r="A42" t="s">
        <v>1111</v>
      </c>
      <c r="B42" t="s">
        <v>373</v>
      </c>
      <c r="C42">
        <v>1030</v>
      </c>
      <c r="D42">
        <v>1023</v>
      </c>
      <c r="F42" t="s">
        <v>373</v>
      </c>
      <c r="G42">
        <v>1470</v>
      </c>
      <c r="H42">
        <v>1465</v>
      </c>
      <c r="I42" t="b">
        <f>IF(B42=F42,TRUE,FALSE)</f>
        <v>1</v>
      </c>
      <c r="L42">
        <f>G42-C42</f>
        <v>440</v>
      </c>
      <c r="M42" s="4">
        <f>G42/C42-1</f>
        <v>0.42718446601941751</v>
      </c>
      <c r="N42" s="4"/>
      <c r="P42" s="5">
        <v>1637.71</v>
      </c>
      <c r="Q42" s="5">
        <v>2690.62</v>
      </c>
      <c r="S42" s="5">
        <v>9504.0499999999993</v>
      </c>
      <c r="V42" s="152">
        <f>Q42-P42</f>
        <v>1052.9099999999999</v>
      </c>
      <c r="W42" s="4">
        <f>IF(P42=0,0,Q42/P42-1)</f>
        <v>0.64291602298331196</v>
      </c>
      <c r="AD42" s="18">
        <v>19518.5</v>
      </c>
      <c r="AE42" s="18">
        <v>28585.63</v>
      </c>
      <c r="AF42" s="4">
        <f>AE42/AD42-1</f>
        <v>0.46454030791300571</v>
      </c>
      <c r="AG42" s="150">
        <f>(L42*2)-V42</f>
        <v>-172.90999999999985</v>
      </c>
    </row>
    <row r="43" spans="1:36">
      <c r="A43" t="s">
        <v>1112</v>
      </c>
      <c r="B43" t="s">
        <v>372</v>
      </c>
      <c r="C43">
        <v>1336</v>
      </c>
      <c r="D43">
        <v>1329</v>
      </c>
      <c r="F43" t="s">
        <v>372</v>
      </c>
      <c r="G43">
        <v>1359</v>
      </c>
      <c r="H43">
        <v>1355</v>
      </c>
      <c r="I43" t="b">
        <f>IF(B43=F43,TRUE,FALSE)</f>
        <v>1</v>
      </c>
      <c r="L43">
        <f>G43-C43</f>
        <v>23</v>
      </c>
      <c r="M43" s="4">
        <f>G43/C43-1</f>
        <v>1.7215568862275488E-2</v>
      </c>
      <c r="N43" s="4"/>
      <c r="P43" s="5">
        <v>1964.93</v>
      </c>
      <c r="Q43" s="5">
        <v>2177.64</v>
      </c>
      <c r="S43" s="5">
        <v>10245.200000000001</v>
      </c>
      <c r="V43" s="152">
        <f>Q43-P43</f>
        <v>212.70999999999981</v>
      </c>
      <c r="W43" s="4">
        <f>IF(P43=0,0,Q43/P43-1)</f>
        <v>0.10825322021649608</v>
      </c>
      <c r="AD43" s="18">
        <v>21330.66</v>
      </c>
      <c r="AE43" s="18">
        <v>22964.42</v>
      </c>
      <c r="AF43" s="4">
        <f>AE43/AD43-1</f>
        <v>7.6592097947273841E-2</v>
      </c>
      <c r="AG43" s="150">
        <f>(L43*2)-V43</f>
        <v>-166.70999999999981</v>
      </c>
    </row>
    <row r="44" spans="1:36">
      <c r="A44" t="s">
        <v>1113</v>
      </c>
      <c r="B44" t="s">
        <v>783</v>
      </c>
      <c r="C44">
        <v>128</v>
      </c>
      <c r="D44">
        <v>116</v>
      </c>
      <c r="F44" t="s">
        <v>783</v>
      </c>
      <c r="G44">
        <v>46</v>
      </c>
      <c r="H44">
        <v>45</v>
      </c>
      <c r="I44" t="b">
        <f>IF(B44=F44,TRUE,FALSE)</f>
        <v>1</v>
      </c>
      <c r="L44">
        <f>G44-C44</f>
        <v>-82</v>
      </c>
      <c r="M44" s="4">
        <f>G44/C44-1</f>
        <v>-0.640625</v>
      </c>
      <c r="N44" s="6"/>
      <c r="P44" s="5">
        <v>0</v>
      </c>
      <c r="Q44" s="5">
        <v>0</v>
      </c>
      <c r="S44" s="5">
        <v>0</v>
      </c>
      <c r="V44" s="152">
        <f>Q44-P44</f>
        <v>0</v>
      </c>
      <c r="W44" s="4">
        <f>IF(P44=0,0,Q44/P44-1)</f>
        <v>0</v>
      </c>
      <c r="AD44" s="18">
        <v>2430.7199999999998</v>
      </c>
      <c r="AE44" s="18">
        <v>873.54</v>
      </c>
      <c r="AF44" s="4">
        <f>AE44/AD44-1</f>
        <v>-0.640625</v>
      </c>
      <c r="AG44" s="150">
        <f>(L44*2)-V44</f>
        <v>-164</v>
      </c>
    </row>
    <row r="45" spans="1:36">
      <c r="A45" t="s">
        <v>1114</v>
      </c>
      <c r="B45" t="s">
        <v>708</v>
      </c>
      <c r="C45">
        <v>685</v>
      </c>
      <c r="D45">
        <v>671</v>
      </c>
      <c r="F45" t="s">
        <v>708</v>
      </c>
      <c r="G45">
        <v>926</v>
      </c>
      <c r="H45">
        <v>919</v>
      </c>
      <c r="I45" t="b">
        <f>IF(B45=F45,TRUE,FALSE)</f>
        <v>1</v>
      </c>
      <c r="L45">
        <f>G45-C45</f>
        <v>241</v>
      </c>
      <c r="M45" s="4">
        <f>G45/C45-1</f>
        <v>0.35182481751824812</v>
      </c>
      <c r="P45" s="5">
        <v>948.46</v>
      </c>
      <c r="Q45" s="5">
        <v>1592.1799999999998</v>
      </c>
      <c r="S45" s="5">
        <v>8841.16</v>
      </c>
      <c r="V45" s="152">
        <f>Q45-P45</f>
        <v>643.7199999999998</v>
      </c>
      <c r="W45" s="4">
        <f>IF(P45=0,0,Q45/P45-1)</f>
        <v>0.67870020875946246</v>
      </c>
      <c r="Z45" s="5"/>
      <c r="AA45" s="5"/>
      <c r="AB45" s="5"/>
      <c r="AC45" s="17"/>
      <c r="AD45" s="18">
        <v>25347.7</v>
      </c>
      <c r="AE45" s="18">
        <v>34215.699999999997</v>
      </c>
      <c r="AF45" s="4">
        <f>AE45/AD45-1</f>
        <v>0.34985422740524763</v>
      </c>
      <c r="AG45" s="150">
        <f>(L45*2)-V45</f>
        <v>-161.7199999999998</v>
      </c>
    </row>
    <row r="46" spans="1:36">
      <c r="A46" t="s">
        <v>1115</v>
      </c>
      <c r="B46" t="s">
        <v>713</v>
      </c>
      <c r="C46">
        <v>695</v>
      </c>
      <c r="D46">
        <v>686</v>
      </c>
      <c r="F46" t="s">
        <v>713</v>
      </c>
      <c r="G46">
        <v>807</v>
      </c>
      <c r="H46">
        <v>803</v>
      </c>
      <c r="I46" t="b">
        <f>IF(B46=F46,TRUE,FALSE)</f>
        <v>1</v>
      </c>
      <c r="L46">
        <f>G46-C46</f>
        <v>112</v>
      </c>
      <c r="M46" s="4">
        <f>G46/C46-1</f>
        <v>0.16115107913669058</v>
      </c>
      <c r="N46" s="4"/>
      <c r="P46" s="5">
        <v>627.80999999999995</v>
      </c>
      <c r="Q46" s="5">
        <v>1010.03</v>
      </c>
      <c r="S46" s="5">
        <v>3161.71</v>
      </c>
      <c r="V46" s="152">
        <f>Q46-P46</f>
        <v>382.22</v>
      </c>
      <c r="W46" s="4">
        <f>IF(P46=0,0,Q46/P46-1)</f>
        <v>0.6088147687994776</v>
      </c>
      <c r="AD46" s="18">
        <v>13893.05</v>
      </c>
      <c r="AE46" s="18">
        <v>16131.93</v>
      </c>
      <c r="AF46" s="4">
        <f>AE46/AD46-1</f>
        <v>0.1611510791366908</v>
      </c>
      <c r="AG46" s="150">
        <f>(L46*2)-V46</f>
        <v>-158.22000000000003</v>
      </c>
    </row>
    <row r="47" spans="1:36">
      <c r="A47" t="s">
        <v>1116</v>
      </c>
      <c r="B47" t="s">
        <v>697</v>
      </c>
      <c r="C47">
        <v>769</v>
      </c>
      <c r="D47">
        <v>766</v>
      </c>
      <c r="F47" t="s">
        <v>697</v>
      </c>
      <c r="G47">
        <v>1023</v>
      </c>
      <c r="H47">
        <v>1019</v>
      </c>
      <c r="I47" t="b">
        <f>IF(B47=F47,TRUE,FALSE)</f>
        <v>1</v>
      </c>
      <c r="L47">
        <f>G47-C47</f>
        <v>254</v>
      </c>
      <c r="M47" s="4">
        <f>G47/C47-1</f>
        <v>0.33029908972691802</v>
      </c>
      <c r="N47" s="4"/>
      <c r="P47" s="5">
        <v>1112.48</v>
      </c>
      <c r="Q47" s="5">
        <v>1778.4099999999999</v>
      </c>
      <c r="S47" s="5">
        <v>8278.58</v>
      </c>
      <c r="V47" s="152">
        <f>Q47-P47</f>
        <v>665.92999999999984</v>
      </c>
      <c r="W47" s="4">
        <f>IF(P47=0,0,Q47/P47-1)</f>
        <v>0.59859952538472583</v>
      </c>
      <c r="Z47" t="s">
        <v>1117</v>
      </c>
      <c r="AD47" s="18">
        <v>14572.55</v>
      </c>
      <c r="AE47" s="18">
        <v>17606.150000000001</v>
      </c>
      <c r="AF47" s="4">
        <f>AE47/AD47-1</f>
        <v>0.20817221419724086</v>
      </c>
      <c r="AG47" s="150">
        <f>(L47*2)-V47</f>
        <v>-157.92999999999984</v>
      </c>
    </row>
    <row r="48" spans="1:36">
      <c r="A48" t="s">
        <v>1118</v>
      </c>
      <c r="B48" t="s">
        <v>386</v>
      </c>
      <c r="C48">
        <v>1488</v>
      </c>
      <c r="D48">
        <v>1482</v>
      </c>
      <c r="F48" t="s">
        <v>386</v>
      </c>
      <c r="G48">
        <v>1612</v>
      </c>
      <c r="H48">
        <v>1611</v>
      </c>
      <c r="I48" t="b">
        <f>IF(B48=F48,TRUE,FALSE)</f>
        <v>1</v>
      </c>
      <c r="L48">
        <f>G48-C48</f>
        <v>124</v>
      </c>
      <c r="M48" s="4">
        <f>G48/C48-1</f>
        <v>8.3333333333333259E-2</v>
      </c>
      <c r="N48" s="4"/>
      <c r="P48" s="5">
        <v>1110.93</v>
      </c>
      <c r="Q48" s="5">
        <v>1515.79</v>
      </c>
      <c r="S48" s="5">
        <v>9894.9599999999991</v>
      </c>
      <c r="V48" s="152">
        <f>Q48-P48</f>
        <v>404.8599999999999</v>
      </c>
      <c r="W48" s="4">
        <f>IF(P48=0,0,Q48/P48-1)</f>
        <v>0.36443340264463098</v>
      </c>
      <c r="AD48" s="18">
        <v>25264.13</v>
      </c>
      <c r="AE48" s="18">
        <v>27387.88</v>
      </c>
      <c r="AF48" s="4">
        <f>AE48/AD48-1</f>
        <v>8.4061869535978495E-2</v>
      </c>
      <c r="AG48" s="150">
        <f>(L48*2)-V48</f>
        <v>-156.8599999999999</v>
      </c>
    </row>
    <row r="49" spans="1:33">
      <c r="A49" t="s">
        <v>1119</v>
      </c>
      <c r="B49" t="s">
        <v>692</v>
      </c>
      <c r="C49">
        <v>848</v>
      </c>
      <c r="D49">
        <v>830</v>
      </c>
      <c r="F49" t="s">
        <v>692</v>
      </c>
      <c r="G49">
        <v>1107</v>
      </c>
      <c r="H49">
        <v>1105</v>
      </c>
      <c r="I49" t="b">
        <f>IF(B49=F49,TRUE,FALSE)</f>
        <v>1</v>
      </c>
      <c r="L49">
        <f>G49-C49</f>
        <v>259</v>
      </c>
      <c r="M49" s="4">
        <f>G49/C49-1</f>
        <v>0.30542452830188682</v>
      </c>
      <c r="P49" s="5">
        <v>700.78</v>
      </c>
      <c r="Q49" s="5">
        <v>1365.53</v>
      </c>
      <c r="S49" s="5">
        <v>5663.51</v>
      </c>
      <c r="V49" s="152">
        <f>Q49-P49</f>
        <v>664.75</v>
      </c>
      <c r="W49" s="4">
        <f>IF(P49=0,0,Q49/P49-1)</f>
        <v>0.94858586146864932</v>
      </c>
      <c r="AD49" s="18">
        <v>16069.599999999999</v>
      </c>
      <c r="AE49" s="18">
        <v>20977.65</v>
      </c>
      <c r="AF49" s="4">
        <f>AE49/AD49-1</f>
        <v>0.30542452830188704</v>
      </c>
      <c r="AG49" s="150">
        <f>(L49*2)-V49</f>
        <v>-146.75</v>
      </c>
    </row>
    <row r="50" spans="1:33">
      <c r="A50" t="s">
        <v>1120</v>
      </c>
      <c r="B50" t="s">
        <v>739</v>
      </c>
      <c r="C50">
        <v>523</v>
      </c>
      <c r="D50">
        <v>520</v>
      </c>
      <c r="F50" t="s">
        <v>739</v>
      </c>
      <c r="G50">
        <v>639</v>
      </c>
      <c r="H50">
        <v>634</v>
      </c>
      <c r="I50" t="b">
        <f>IF(B50=F50,TRUE,FALSE)</f>
        <v>1</v>
      </c>
      <c r="L50">
        <f>G50-C50</f>
        <v>116</v>
      </c>
      <c r="M50" s="4">
        <f>G50/C50-1</f>
        <v>0.22179732313575529</v>
      </c>
      <c r="N50" s="4"/>
      <c r="P50" s="5">
        <v>432.21</v>
      </c>
      <c r="Q50" s="5">
        <v>759.90000000000009</v>
      </c>
      <c r="S50" s="5">
        <v>3484.13</v>
      </c>
      <c r="V50" s="152">
        <f>Q50-P50</f>
        <v>327.69000000000011</v>
      </c>
      <c r="W50" s="4">
        <f>IF(P50=0,0,Q50/P50-1)</f>
        <v>0.75817311029360757</v>
      </c>
      <c r="AD50" s="18">
        <v>9910.85</v>
      </c>
      <c r="AE50" s="18">
        <v>14145.62</v>
      </c>
      <c r="AF50" s="4">
        <f>AE50/AD50-1</f>
        <v>0.42728625698098543</v>
      </c>
      <c r="AG50" s="150">
        <f>(L50*2)-V50</f>
        <v>-95.690000000000111</v>
      </c>
    </row>
    <row r="51" spans="1:33">
      <c r="A51" t="s">
        <v>1121</v>
      </c>
      <c r="B51" t="s">
        <v>725</v>
      </c>
      <c r="C51">
        <v>507</v>
      </c>
      <c r="D51">
        <v>503</v>
      </c>
      <c r="F51" t="s">
        <v>725</v>
      </c>
      <c r="G51">
        <v>812</v>
      </c>
      <c r="H51">
        <v>810</v>
      </c>
      <c r="I51" t="b">
        <f>IF(B51=F51,TRUE,FALSE)</f>
        <v>1</v>
      </c>
      <c r="L51">
        <f>G51-C51</f>
        <v>305</v>
      </c>
      <c r="M51" s="4">
        <f>G51/C51-1</f>
        <v>0.60157790927021693</v>
      </c>
      <c r="N51" s="4"/>
      <c r="P51" s="5">
        <v>811.22</v>
      </c>
      <c r="Q51" s="5">
        <v>1510.38</v>
      </c>
      <c r="S51" s="5">
        <v>7844.55</v>
      </c>
      <c r="V51" s="152">
        <f>Q51-P51</f>
        <v>699.16000000000008</v>
      </c>
      <c r="W51" s="4">
        <f>IF(P51=0,0,Q51/P51-1)</f>
        <v>0.86186238011883343</v>
      </c>
      <c r="AD51" s="18">
        <v>12596.43</v>
      </c>
      <c r="AE51" s="18">
        <v>20196.330000000002</v>
      </c>
      <c r="AF51" s="4">
        <f>AE51/AD51-1</f>
        <v>0.6033376123234917</v>
      </c>
      <c r="AG51" s="150">
        <f>(L51*2)-V51</f>
        <v>-89.160000000000082</v>
      </c>
    </row>
    <row r="52" spans="1:33">
      <c r="A52" t="s">
        <v>1122</v>
      </c>
      <c r="B52" t="s">
        <v>456</v>
      </c>
      <c r="C52">
        <v>1191</v>
      </c>
      <c r="D52">
        <v>1187</v>
      </c>
      <c r="F52" t="s">
        <v>456</v>
      </c>
      <c r="G52">
        <v>1350</v>
      </c>
      <c r="H52">
        <v>1345</v>
      </c>
      <c r="I52" t="b">
        <f>IF(B52=F52,TRUE,FALSE)</f>
        <v>1</v>
      </c>
      <c r="L52">
        <f>G52-C52</f>
        <v>159</v>
      </c>
      <c r="M52" s="4">
        <f>G52/C52-1</f>
        <v>0.13350125944584379</v>
      </c>
      <c r="N52" s="6"/>
      <c r="P52" s="5">
        <v>2310.5</v>
      </c>
      <c r="Q52" s="5">
        <v>2713.03</v>
      </c>
      <c r="S52" s="5">
        <v>9079.0499999999993</v>
      </c>
      <c r="V52" s="152">
        <f>Q52-P52</f>
        <v>402.5300000000002</v>
      </c>
      <c r="W52" s="4">
        <f>IF(P52=0,0,Q52/P52-1)</f>
        <v>0.17421770179614815</v>
      </c>
      <c r="AD52" s="18">
        <v>23026.29</v>
      </c>
      <c r="AE52" s="18">
        <v>26912.55</v>
      </c>
      <c r="AF52" s="4">
        <f>AE52/AD52-1</f>
        <v>0.16877490902789805</v>
      </c>
      <c r="AG52" s="150">
        <f>(L52*2)-V52</f>
        <v>-84.5300000000002</v>
      </c>
    </row>
    <row r="53" spans="1:33">
      <c r="A53" t="s">
        <v>1123</v>
      </c>
      <c r="B53" t="s">
        <v>705</v>
      </c>
      <c r="C53">
        <v>747</v>
      </c>
      <c r="D53">
        <v>738</v>
      </c>
      <c r="F53" t="s">
        <v>705</v>
      </c>
      <c r="G53">
        <v>740</v>
      </c>
      <c r="H53">
        <v>736</v>
      </c>
      <c r="I53" t="b">
        <f>IF(B53=F53,TRUE,FALSE)</f>
        <v>1</v>
      </c>
      <c r="L53">
        <f>G53-C53</f>
        <v>-7</v>
      </c>
      <c r="M53" s="4">
        <f>G53/C53-1</f>
        <v>-9.3708165997322679E-3</v>
      </c>
      <c r="N53" s="4"/>
      <c r="P53" s="5">
        <v>44.07</v>
      </c>
      <c r="Q53" s="5">
        <v>100.91</v>
      </c>
      <c r="S53" s="5">
        <v>538.57000000000005</v>
      </c>
      <c r="V53" s="152">
        <f>Q53-P53</f>
        <v>56.839999999999996</v>
      </c>
      <c r="W53" s="4">
        <f>IF(P53=0,0,Q53/P53-1)</f>
        <v>1.2897662809167234</v>
      </c>
      <c r="Z53" t="s">
        <v>1124</v>
      </c>
      <c r="AD53" s="18">
        <v>14932.53</v>
      </c>
      <c r="AE53" s="18">
        <v>14732.63</v>
      </c>
      <c r="AF53" s="4">
        <f>AE53/AD53-1</f>
        <v>-1.338688085676043E-2</v>
      </c>
      <c r="AG53" s="150">
        <f>(L53*2)-V53</f>
        <v>-70.84</v>
      </c>
    </row>
    <row r="54" spans="1:33">
      <c r="A54" t="s">
        <v>1125</v>
      </c>
      <c r="B54" t="s">
        <v>694</v>
      </c>
      <c r="C54">
        <v>696</v>
      </c>
      <c r="D54">
        <v>693</v>
      </c>
      <c r="F54" t="s">
        <v>694</v>
      </c>
      <c r="G54">
        <v>998</v>
      </c>
      <c r="H54">
        <v>990</v>
      </c>
      <c r="I54" t="b">
        <f>IF(B54=F54,TRUE,FALSE)</f>
        <v>1</v>
      </c>
      <c r="L54">
        <f>G54-C54</f>
        <v>302</v>
      </c>
      <c r="M54" s="4">
        <f>G54/C54-1</f>
        <v>0.43390804597701149</v>
      </c>
      <c r="N54" s="4"/>
      <c r="P54" s="5">
        <v>1418.39</v>
      </c>
      <c r="Q54" s="5">
        <v>2085.38</v>
      </c>
      <c r="S54" s="5">
        <v>9000.4700000000012</v>
      </c>
      <c r="V54" s="152">
        <f>Q54-P54</f>
        <v>666.99</v>
      </c>
      <c r="W54" s="4">
        <f>IF(P54=0,0,Q54/P54-1)</f>
        <v>0.47024443206734401</v>
      </c>
      <c r="Z54" s="5"/>
      <c r="AA54" s="5"/>
      <c r="AB54" s="5"/>
      <c r="AC54" s="17"/>
      <c r="AD54" s="18">
        <v>15277.2</v>
      </c>
      <c r="AE54" s="18">
        <v>21884.15</v>
      </c>
      <c r="AF54" s="4">
        <f>AE54/AD54-1</f>
        <v>0.43247126436781613</v>
      </c>
      <c r="AG54" s="150">
        <f>(L54*2)-V54</f>
        <v>-62.990000000000009</v>
      </c>
    </row>
    <row r="55" spans="1:33">
      <c r="A55" t="s">
        <v>1126</v>
      </c>
      <c r="B55" t="s">
        <v>502</v>
      </c>
      <c r="C55">
        <v>1120</v>
      </c>
      <c r="D55">
        <v>1132</v>
      </c>
      <c r="F55" t="s">
        <v>502</v>
      </c>
      <c r="G55">
        <v>1240</v>
      </c>
      <c r="H55">
        <v>1231</v>
      </c>
      <c r="I55" t="b">
        <f>IF(B55=F55,TRUE,FALSE)</f>
        <v>1</v>
      </c>
      <c r="L55">
        <f>G55-C55</f>
        <v>120</v>
      </c>
      <c r="M55" s="4">
        <f>G55/C55-1</f>
        <v>0.10714285714285721</v>
      </c>
      <c r="N55" s="4"/>
      <c r="P55" s="5">
        <v>1816.22</v>
      </c>
      <c r="Q55" s="5">
        <v>2118.52</v>
      </c>
      <c r="S55" s="5">
        <v>10640.73</v>
      </c>
      <c r="V55" s="152">
        <f>Q55-P55</f>
        <v>302.29999999999995</v>
      </c>
      <c r="W55" s="4">
        <f>IF(P55=0,0,Q55/P55-1)</f>
        <v>0.16644459371662013</v>
      </c>
      <c r="AD55" s="18">
        <v>25704</v>
      </c>
      <c r="AE55" s="18">
        <v>28458</v>
      </c>
      <c r="AF55" s="4">
        <f>AE55/AD55-1</f>
        <v>0.10714285714285721</v>
      </c>
      <c r="AG55" s="150">
        <f>(L55*2)-V55</f>
        <v>-62.299999999999955</v>
      </c>
    </row>
    <row r="56" spans="1:33">
      <c r="A56" t="s">
        <v>1127</v>
      </c>
      <c r="B56" t="s">
        <v>718</v>
      </c>
      <c r="C56">
        <v>656</v>
      </c>
      <c r="D56">
        <v>651</v>
      </c>
      <c r="F56" t="s">
        <v>718</v>
      </c>
      <c r="G56">
        <v>867</v>
      </c>
      <c r="H56">
        <v>865</v>
      </c>
      <c r="I56" t="b">
        <f>IF(B56=F56,TRUE,FALSE)</f>
        <v>1</v>
      </c>
      <c r="L56">
        <f>G56-C56</f>
        <v>211</v>
      </c>
      <c r="M56" s="4">
        <f>G56/C56-1</f>
        <v>0.32164634146341453</v>
      </c>
      <c r="N56" s="4"/>
      <c r="P56" s="5">
        <v>1632.77</v>
      </c>
      <c r="Q56" s="5">
        <v>2116.8999999999996</v>
      </c>
      <c r="S56" s="5">
        <v>12011.86</v>
      </c>
      <c r="V56" s="152">
        <f>Q56-P56</f>
        <v>484.12999999999965</v>
      </c>
      <c r="W56" s="4">
        <f>IF(P56=0,0,Q56/P56-1)</f>
        <v>0.29650838758673892</v>
      </c>
      <c r="AD56" s="18">
        <v>14425.44</v>
      </c>
      <c r="AE56" s="18">
        <v>19043.34</v>
      </c>
      <c r="AF56" s="4">
        <f>AE56/AD56-1</f>
        <v>0.32012195121951215</v>
      </c>
      <c r="AG56" s="150">
        <f>(L56*2)-V56</f>
        <v>-62.129999999999654</v>
      </c>
    </row>
    <row r="57" spans="1:33">
      <c r="A57" t="s">
        <v>1128</v>
      </c>
      <c r="B57" t="s">
        <v>749</v>
      </c>
      <c r="C57">
        <v>480</v>
      </c>
      <c r="D57">
        <v>479</v>
      </c>
      <c r="F57" t="s">
        <v>749</v>
      </c>
      <c r="G57">
        <v>538</v>
      </c>
      <c r="H57">
        <v>537</v>
      </c>
      <c r="I57" t="b">
        <f>IF(B57=F57,TRUE,FALSE)</f>
        <v>1</v>
      </c>
      <c r="L57">
        <f>G57-C57</f>
        <v>58</v>
      </c>
      <c r="M57" s="4">
        <f>G57/C57-1</f>
        <v>0.12083333333333335</v>
      </c>
      <c r="N57" s="6"/>
      <c r="P57" s="5">
        <v>938.67</v>
      </c>
      <c r="Q57" s="5">
        <v>1114.77</v>
      </c>
      <c r="S57" s="5">
        <v>5238.8899999999994</v>
      </c>
      <c r="V57" s="152">
        <f>Q57-P57</f>
        <v>176.10000000000002</v>
      </c>
      <c r="W57" s="4">
        <f>IF(P57=0,0,Q57/P57-1)</f>
        <v>0.18760586787688971</v>
      </c>
      <c r="AD57" s="18">
        <v>11515.2</v>
      </c>
      <c r="AE57" s="18">
        <v>12906.62</v>
      </c>
      <c r="AF57" s="4">
        <f>AE57/AD57-1</f>
        <v>0.12083333333333335</v>
      </c>
      <c r="AG57" s="150">
        <f>(L57*2)-V57</f>
        <v>-60.100000000000023</v>
      </c>
    </row>
    <row r="58" spans="1:33">
      <c r="A58" s="58" t="s">
        <v>1129</v>
      </c>
      <c r="B58" s="39" t="s">
        <v>727</v>
      </c>
      <c r="C58" s="39">
        <v>615</v>
      </c>
      <c r="D58">
        <v>614</v>
      </c>
      <c r="F58" s="39" t="s">
        <v>727</v>
      </c>
      <c r="G58" s="39">
        <v>921</v>
      </c>
      <c r="H58">
        <v>921</v>
      </c>
      <c r="I58" t="b">
        <f>IF(B58=F58,TRUE,FALSE)</f>
        <v>1</v>
      </c>
      <c r="L58">
        <f>G58-C58</f>
        <v>306</v>
      </c>
      <c r="M58" s="4">
        <f>G58/C58-1</f>
        <v>0.4975609756097561</v>
      </c>
      <c r="N58" s="4"/>
      <c r="P58" s="5">
        <v>1582.16</v>
      </c>
      <c r="Q58" s="5">
        <v>2238.63</v>
      </c>
      <c r="S58" s="5">
        <v>10544.77</v>
      </c>
      <c r="V58" s="152">
        <f>Q58-P58</f>
        <v>656.47</v>
      </c>
      <c r="W58" s="4">
        <f>IF(P58=0,0,Q58/P58-1)</f>
        <v>0.41492010921777833</v>
      </c>
      <c r="AD58" s="18">
        <v>10242.15</v>
      </c>
      <c r="AE58" s="18">
        <v>15647.79</v>
      </c>
      <c r="AF58" s="4">
        <f>AE58/AD58-1</f>
        <v>0.52778371728592166</v>
      </c>
      <c r="AG58" s="150">
        <f>(L58*2)-V58</f>
        <v>-44.470000000000027</v>
      </c>
    </row>
    <row r="59" spans="1:33">
      <c r="A59" s="29" t="s">
        <v>1130</v>
      </c>
      <c r="B59" s="29" t="s">
        <v>779</v>
      </c>
      <c r="C59">
        <v>196</v>
      </c>
      <c r="D59">
        <v>196</v>
      </c>
      <c r="F59" s="29" t="s">
        <v>779</v>
      </c>
      <c r="G59">
        <v>260</v>
      </c>
      <c r="H59">
        <v>259</v>
      </c>
      <c r="I59" t="b">
        <f>IF(B59=F59,TRUE,FALSE)</f>
        <v>1</v>
      </c>
      <c r="L59">
        <f>G59-C59</f>
        <v>64</v>
      </c>
      <c r="M59" s="4">
        <f>G59/C59-1</f>
        <v>0.32653061224489788</v>
      </c>
      <c r="N59" s="4"/>
      <c r="P59" s="5">
        <v>832.38</v>
      </c>
      <c r="Q59" s="5">
        <v>1003.23</v>
      </c>
      <c r="S59" s="5">
        <v>3539.3900000000003</v>
      </c>
      <c r="V59" s="152">
        <f>Q59-P59</f>
        <v>170.85000000000002</v>
      </c>
      <c r="W59" s="4">
        <f>IF(P59=0,0,Q59/P59-1)</f>
        <v>0.20525481150436109</v>
      </c>
      <c r="AD59" s="18">
        <v>3918.04</v>
      </c>
      <c r="AE59" s="18">
        <v>5197.3999999999996</v>
      </c>
      <c r="AF59" s="4">
        <f>AE59/AD59-1</f>
        <v>0.32653061224489788</v>
      </c>
      <c r="AG59" s="150">
        <f>(L59*2)-V59</f>
        <v>-42.850000000000023</v>
      </c>
    </row>
    <row r="60" spans="1:33">
      <c r="A60" s="29" t="s">
        <v>1131</v>
      </c>
      <c r="B60" s="29" t="s">
        <v>292</v>
      </c>
      <c r="C60">
        <v>613</v>
      </c>
      <c r="D60">
        <v>612</v>
      </c>
      <c r="F60" s="29" t="s">
        <v>292</v>
      </c>
      <c r="G60">
        <v>1036</v>
      </c>
      <c r="H60">
        <v>1036</v>
      </c>
      <c r="I60" t="b">
        <f>IF(B60=F60,TRUE,FALSE)</f>
        <v>1</v>
      </c>
      <c r="L60">
        <f>G60-C60</f>
        <v>423</v>
      </c>
      <c r="M60" s="4">
        <f>G60/C60-1</f>
        <v>0.69004893964110936</v>
      </c>
      <c r="N60" s="4"/>
      <c r="P60" s="5">
        <v>488.69</v>
      </c>
      <c r="Q60" s="5">
        <v>1361.3600000000001</v>
      </c>
      <c r="S60" s="5">
        <v>5830.76</v>
      </c>
      <c r="V60" s="152">
        <f>Q60-P60</f>
        <v>872.67000000000007</v>
      </c>
      <c r="W60" s="4">
        <f>IF(P60=0,0,Q60/P60-1)</f>
        <v>1.785733286950828</v>
      </c>
      <c r="AD60" s="18">
        <v>13656.29</v>
      </c>
      <c r="AE60" s="18">
        <v>23020.74</v>
      </c>
      <c r="AF60" s="4">
        <f>AE60/AD60-1</f>
        <v>0.68572430726061029</v>
      </c>
      <c r="AG60" s="150">
        <f>(L60*2)-V60</f>
        <v>-26.670000000000073</v>
      </c>
    </row>
    <row r="61" spans="1:33">
      <c r="A61" t="s">
        <v>1132</v>
      </c>
      <c r="B61" t="s">
        <v>832</v>
      </c>
      <c r="C61">
        <v>1</v>
      </c>
      <c r="D61">
        <v>1</v>
      </c>
      <c r="F61" t="s">
        <v>832</v>
      </c>
      <c r="G61">
        <v>0</v>
      </c>
      <c r="H61" t="s">
        <v>344</v>
      </c>
      <c r="I61" t="b">
        <f>IF(B61=F61,TRUE,FALSE)</f>
        <v>1</v>
      </c>
      <c r="L61">
        <f>G61-C61</f>
        <v>-1</v>
      </c>
      <c r="M61" s="4">
        <f>G61/C61-1</f>
        <v>-1</v>
      </c>
      <c r="N61" s="4"/>
      <c r="P61" s="5">
        <v>0</v>
      </c>
      <c r="Q61" s="5">
        <v>0</v>
      </c>
      <c r="S61" s="5">
        <v>0</v>
      </c>
      <c r="V61" s="152">
        <f>Q61-P61</f>
        <v>0</v>
      </c>
      <c r="W61" s="4">
        <f>IF(P61=0,0,Q61/P61-1)</f>
        <v>0</v>
      </c>
      <c r="AD61" s="18">
        <v>19.95</v>
      </c>
      <c r="AE61" s="18">
        <v>0</v>
      </c>
      <c r="AF61" s="4">
        <f>AE61/AD61-1</f>
        <v>-1</v>
      </c>
      <c r="AG61" s="150">
        <f>(L61*2)-V61</f>
        <v>-2</v>
      </c>
    </row>
    <row r="62" spans="1:33">
      <c r="A62" t="s">
        <v>1133</v>
      </c>
      <c r="B62" t="s">
        <v>1134</v>
      </c>
      <c r="C62">
        <v>0</v>
      </c>
      <c r="D62" t="s">
        <v>344</v>
      </c>
      <c r="G62">
        <v>0</v>
      </c>
      <c r="H62" t="s">
        <v>344</v>
      </c>
      <c r="I62" t="b">
        <f>IF(B62=F62,TRUE,FALSE)</f>
        <v>0</v>
      </c>
      <c r="L62">
        <f>G62-C62</f>
        <v>0</v>
      </c>
      <c r="M62" s="4" t="e">
        <f>G62/C62-1</f>
        <v>#DIV/0!</v>
      </c>
      <c r="N62" s="4"/>
      <c r="P62" s="5">
        <v>0</v>
      </c>
      <c r="Q62" s="5">
        <v>0</v>
      </c>
      <c r="S62" s="5">
        <v>0</v>
      </c>
      <c r="V62" s="152">
        <f>Q62-P62</f>
        <v>0</v>
      </c>
      <c r="W62" s="4">
        <f>IF(P62=0,0,Q62/P62-1)</f>
        <v>0</v>
      </c>
      <c r="Z62" t="s">
        <v>1135</v>
      </c>
      <c r="AD62" s="18">
        <v>0</v>
      </c>
      <c r="AE62" s="18">
        <v>0</v>
      </c>
      <c r="AF62" s="4" t="e">
        <f>AE62/AD62-1</f>
        <v>#DIV/0!</v>
      </c>
      <c r="AG62" s="150">
        <f>(L62*2)-V62</f>
        <v>0</v>
      </c>
    </row>
    <row r="63" spans="1:33">
      <c r="A63" t="s">
        <v>1136</v>
      </c>
      <c r="B63" t="s">
        <v>1137</v>
      </c>
      <c r="C63">
        <v>0</v>
      </c>
      <c r="D63" t="s">
        <v>344</v>
      </c>
      <c r="G63">
        <v>0</v>
      </c>
      <c r="H63" t="s">
        <v>344</v>
      </c>
      <c r="I63" t="b">
        <f>IF(B63=F63,TRUE,FALSE)</f>
        <v>0</v>
      </c>
      <c r="L63">
        <f>G63-C63</f>
        <v>0</v>
      </c>
      <c r="M63" s="4" t="e">
        <f>G63/C63-1</f>
        <v>#DIV/0!</v>
      </c>
      <c r="N63" s="4"/>
      <c r="P63" s="5">
        <v>0</v>
      </c>
      <c r="Q63" s="5">
        <v>0</v>
      </c>
      <c r="S63" s="5">
        <v>0</v>
      </c>
      <c r="V63" s="152">
        <f>Q63-P63</f>
        <v>0</v>
      </c>
      <c r="W63" s="4">
        <f>IF(P63=0,0,Q63/P63-1)</f>
        <v>0</v>
      </c>
      <c r="AD63" s="18">
        <v>0</v>
      </c>
      <c r="AE63" s="18">
        <v>0</v>
      </c>
      <c r="AF63" s="4" t="e">
        <f>AE63/AD63-1</f>
        <v>#DIV/0!</v>
      </c>
      <c r="AG63" s="150">
        <f>(L63*2)-V63</f>
        <v>0</v>
      </c>
    </row>
    <row r="64" spans="1:33">
      <c r="A64" t="s">
        <v>1138</v>
      </c>
      <c r="B64" t="s">
        <v>494</v>
      </c>
      <c r="C64">
        <v>1095</v>
      </c>
      <c r="D64">
        <v>1079</v>
      </c>
      <c r="F64" t="s">
        <v>494</v>
      </c>
      <c r="G64">
        <v>1110</v>
      </c>
      <c r="H64">
        <v>1104</v>
      </c>
      <c r="I64" t="b">
        <f>IF(B64=F64,TRUE,FALSE)</f>
        <v>1</v>
      </c>
      <c r="L64">
        <f>G64-C64</f>
        <v>15</v>
      </c>
      <c r="M64" s="4">
        <f>G64/C64-1</f>
        <v>1.3698630136986356E-2</v>
      </c>
      <c r="N64" s="4"/>
      <c r="P64" s="5">
        <v>1443.1</v>
      </c>
      <c r="Q64" s="5">
        <v>1471.2399999999998</v>
      </c>
      <c r="S64" s="5">
        <v>6462.02</v>
      </c>
      <c r="V64" s="152">
        <f>Q64-P64</f>
        <v>28.139999999999873</v>
      </c>
      <c r="W64" s="4">
        <f>IF(P64=0,0,Q64/P64-1)</f>
        <v>1.949968817129788E-2</v>
      </c>
      <c r="AD64" s="18">
        <v>21865.200000000001</v>
      </c>
      <c r="AE64" s="18">
        <v>22144.5</v>
      </c>
      <c r="AF64" s="4">
        <f>AE64/AD64-1</f>
        <v>1.2773722627737127E-2</v>
      </c>
      <c r="AG64" s="150">
        <f>(L64*2)-V64</f>
        <v>1.8600000000001273</v>
      </c>
    </row>
    <row r="65" spans="1:33" ht="13.9" customHeight="1">
      <c r="A65" t="s">
        <v>1139</v>
      </c>
      <c r="B65" t="s">
        <v>804</v>
      </c>
      <c r="C65">
        <v>0</v>
      </c>
      <c r="D65" t="s">
        <v>344</v>
      </c>
      <c r="G65">
        <v>1</v>
      </c>
      <c r="H65">
        <v>1</v>
      </c>
      <c r="I65" t="b">
        <f>IF(B65=F65,TRUE,FALSE)</f>
        <v>0</v>
      </c>
      <c r="L65">
        <f>G65-C65</f>
        <v>1</v>
      </c>
      <c r="M65" s="4" t="e">
        <f>G65/C65-1</f>
        <v>#DIV/0!</v>
      </c>
      <c r="N65" s="4"/>
      <c r="P65" s="5">
        <v>0</v>
      </c>
      <c r="Q65" s="5">
        <v>0</v>
      </c>
      <c r="S65" s="5">
        <v>0</v>
      </c>
      <c r="V65" s="152">
        <f>Q65-P65</f>
        <v>0</v>
      </c>
      <c r="W65" s="4">
        <f>IF(P65=0,0,Q65/P65-1)</f>
        <v>0</v>
      </c>
      <c r="Z65" t="s">
        <v>1140</v>
      </c>
      <c r="AD65" s="18">
        <v>0</v>
      </c>
      <c r="AE65" s="18">
        <v>23.95</v>
      </c>
      <c r="AF65" s="4" t="e">
        <f>AE65/AD65-1</f>
        <v>#DIV/0!</v>
      </c>
      <c r="AG65" s="150">
        <f>(L65*2)-V65</f>
        <v>2</v>
      </c>
    </row>
    <row r="66" spans="1:33" ht="13.9" customHeight="1">
      <c r="A66" t="s">
        <v>1141</v>
      </c>
      <c r="B66" t="s">
        <v>754</v>
      </c>
      <c r="C66">
        <v>405</v>
      </c>
      <c r="D66">
        <v>398</v>
      </c>
      <c r="F66" t="s">
        <v>754</v>
      </c>
      <c r="G66">
        <v>512</v>
      </c>
      <c r="H66">
        <v>507</v>
      </c>
      <c r="I66" t="b">
        <f>IF(B66=F66,TRUE,FALSE)</f>
        <v>1</v>
      </c>
      <c r="L66">
        <f>G66-C66</f>
        <v>107</v>
      </c>
      <c r="M66" s="4">
        <f>G66/C66-1</f>
        <v>0.26419753086419751</v>
      </c>
      <c r="N66" s="4"/>
      <c r="P66" s="5">
        <v>1251.1099999999999</v>
      </c>
      <c r="Q66" s="5">
        <v>1460.4899999999998</v>
      </c>
      <c r="S66" s="5">
        <v>6984.3899999999994</v>
      </c>
      <c r="V66" s="152">
        <f>Q66-P66</f>
        <v>209.37999999999988</v>
      </c>
      <c r="W66" s="4">
        <f>IF(P66=0,0,Q66/P66-1)</f>
        <v>0.16735538841508735</v>
      </c>
      <c r="AD66" s="18">
        <v>12099.8</v>
      </c>
      <c r="AE66" s="18">
        <v>15244.55</v>
      </c>
      <c r="AF66" s="4">
        <f>AE66/AD66-1</f>
        <v>0.25990099009900991</v>
      </c>
      <c r="AG66" s="150">
        <f>(L66*2)-V66</f>
        <v>4.6200000000001182</v>
      </c>
    </row>
    <row r="67" spans="1:33" ht="13.9" customHeight="1">
      <c r="A67" s="29" t="s">
        <v>1142</v>
      </c>
      <c r="B67" t="s">
        <v>675</v>
      </c>
      <c r="C67">
        <v>644</v>
      </c>
      <c r="D67">
        <v>643</v>
      </c>
      <c r="F67" t="s">
        <v>675</v>
      </c>
      <c r="G67">
        <v>1003</v>
      </c>
      <c r="H67">
        <v>1002</v>
      </c>
      <c r="I67" t="b">
        <f>IF(B67=F67,TRUE,FALSE)</f>
        <v>1</v>
      </c>
      <c r="L67">
        <f>G67-C67</f>
        <v>359</v>
      </c>
      <c r="M67" s="4">
        <f>G67/C67-1</f>
        <v>0.55745341614906829</v>
      </c>
      <c r="N67" s="4"/>
      <c r="P67" s="5">
        <v>1623</v>
      </c>
      <c r="Q67" s="5">
        <v>2335.27</v>
      </c>
      <c r="S67" s="5">
        <v>13557.619999999999</v>
      </c>
      <c r="V67" s="152">
        <f>Q67-P67</f>
        <v>712.27</v>
      </c>
      <c r="W67" s="4">
        <f>IF(P67=0,0,Q67/P67-1)</f>
        <v>0.43886013555144787</v>
      </c>
      <c r="AD67" s="18">
        <v>12873.56</v>
      </c>
      <c r="AE67" s="18">
        <v>20044.02</v>
      </c>
      <c r="AF67" s="4">
        <f>AE67/AD67-1</f>
        <v>0.55699122853352145</v>
      </c>
      <c r="AG67" s="150">
        <f>(L67*2)-V67</f>
        <v>5.7300000000000182</v>
      </c>
    </row>
    <row r="68" spans="1:33" ht="13.9" customHeight="1">
      <c r="A68" t="s">
        <v>1143</v>
      </c>
      <c r="B68" t="s">
        <v>759</v>
      </c>
      <c r="C68">
        <v>326</v>
      </c>
      <c r="D68">
        <v>324</v>
      </c>
      <c r="F68" t="s">
        <v>759</v>
      </c>
      <c r="G68">
        <v>397</v>
      </c>
      <c r="H68">
        <v>396</v>
      </c>
      <c r="I68" t="b">
        <f>IF(B68=F68,TRUE,FALSE)</f>
        <v>1</v>
      </c>
      <c r="L68">
        <f>G68-C68</f>
        <v>71</v>
      </c>
      <c r="M68" s="4">
        <f>G68/C68-1</f>
        <v>0.21779141104294486</v>
      </c>
      <c r="N68" s="4"/>
      <c r="P68" s="5">
        <v>742.61</v>
      </c>
      <c r="Q68" s="5">
        <v>878.44</v>
      </c>
      <c r="S68" s="5">
        <v>2821.45</v>
      </c>
      <c r="V68" s="152">
        <f>Q68-P68</f>
        <v>135.83000000000004</v>
      </c>
      <c r="W68" s="4">
        <f>IF(P68=0,0,Q68/P68-1)</f>
        <v>0.18290892931686886</v>
      </c>
      <c r="AD68" s="18">
        <v>5203.1400000000003</v>
      </c>
      <c r="AE68" s="18">
        <v>6165.46</v>
      </c>
      <c r="AF68" s="4">
        <f>AE68/AD68-1</f>
        <v>0.18494985720161283</v>
      </c>
      <c r="AG68" s="150">
        <f>(L68*2)-V68</f>
        <v>6.1699999999999591</v>
      </c>
    </row>
    <row r="69" spans="1:33" ht="13.9" customHeight="1">
      <c r="A69" t="s">
        <v>1144</v>
      </c>
      <c r="B69" t="s">
        <v>789</v>
      </c>
      <c r="C69">
        <v>25</v>
      </c>
      <c r="D69">
        <v>24</v>
      </c>
      <c r="F69" t="s">
        <v>789</v>
      </c>
      <c r="G69">
        <v>17</v>
      </c>
      <c r="H69">
        <v>17</v>
      </c>
      <c r="I69" t="b">
        <f>IF(B69=F69,TRUE,FALSE)</f>
        <v>1</v>
      </c>
      <c r="L69">
        <f>G69-C69</f>
        <v>-8</v>
      </c>
      <c r="M69" s="4">
        <f>G69/C69-1</f>
        <v>-0.31999999999999995</v>
      </c>
      <c r="N69" s="4"/>
      <c r="P69" s="5">
        <v>23.8</v>
      </c>
      <c r="Q69" s="5">
        <v>0</v>
      </c>
      <c r="S69" s="5">
        <v>0</v>
      </c>
      <c r="V69" s="152">
        <f>Q69-P69</f>
        <v>-23.8</v>
      </c>
      <c r="W69" s="4">
        <f>IF(P69=0,0,Q69/P69-1)</f>
        <v>-1</v>
      </c>
      <c r="AD69" s="18">
        <v>973.75</v>
      </c>
      <c r="AE69" s="18">
        <v>662.15</v>
      </c>
      <c r="AF69" s="4">
        <f>AE69/AD69-1</f>
        <v>-0.32000000000000006</v>
      </c>
      <c r="AG69" s="150">
        <f>(L69*2)-V69</f>
        <v>7.8000000000000007</v>
      </c>
    </row>
    <row r="70" spans="1:33" ht="13.9" customHeight="1">
      <c r="A70" t="s">
        <v>1145</v>
      </c>
      <c r="B70" t="s">
        <v>831</v>
      </c>
      <c r="C70">
        <v>239</v>
      </c>
      <c r="D70">
        <v>236</v>
      </c>
      <c r="F70" t="s">
        <v>831</v>
      </c>
      <c r="G70">
        <v>247</v>
      </c>
      <c r="H70">
        <v>246</v>
      </c>
      <c r="I70" t="b">
        <f>IF(B70=F70,TRUE,FALSE)</f>
        <v>1</v>
      </c>
      <c r="L70">
        <f>G70-C70</f>
        <v>8</v>
      </c>
      <c r="M70" s="4">
        <f>G70/C70-1</f>
        <v>3.3472803347280422E-2</v>
      </c>
      <c r="N70" s="4"/>
      <c r="P70" s="5">
        <v>0</v>
      </c>
      <c r="Q70" s="5">
        <v>0</v>
      </c>
      <c r="S70" s="5">
        <v>0</v>
      </c>
      <c r="V70" s="152">
        <f>Q70-P70</f>
        <v>0</v>
      </c>
      <c r="W70" s="4">
        <f>IF(P70=0,0,Q70/P70-1)</f>
        <v>0</v>
      </c>
      <c r="AD70" s="18">
        <v>4777.6099999999997</v>
      </c>
      <c r="AE70" s="18">
        <v>4937.53</v>
      </c>
      <c r="AF70" s="4">
        <f>AE70/AD70-1</f>
        <v>3.3472803347280422E-2</v>
      </c>
      <c r="AG70" s="150">
        <f>(L70*2)-V70</f>
        <v>16</v>
      </c>
    </row>
    <row r="71" spans="1:33" ht="13.9" customHeight="1">
      <c r="A71" t="s">
        <v>1146</v>
      </c>
      <c r="B71" t="s">
        <v>693</v>
      </c>
      <c r="C71">
        <v>895</v>
      </c>
      <c r="D71">
        <v>859</v>
      </c>
      <c r="F71" t="s">
        <v>693</v>
      </c>
      <c r="G71">
        <v>1010</v>
      </c>
      <c r="H71">
        <v>1004</v>
      </c>
      <c r="I71" t="b">
        <f>IF(B71=F71,TRUE,FALSE)</f>
        <v>1</v>
      </c>
      <c r="L71">
        <f>G71-C71</f>
        <v>115</v>
      </c>
      <c r="M71" s="4">
        <f>G71/C71-1</f>
        <v>0.12849162011173187</v>
      </c>
      <c r="N71" s="4"/>
      <c r="P71" s="5">
        <v>253.56</v>
      </c>
      <c r="Q71" s="5">
        <v>463.54</v>
      </c>
      <c r="S71" s="5">
        <v>2956.4</v>
      </c>
      <c r="V71" s="152">
        <f>Q71-P71</f>
        <v>209.98000000000002</v>
      </c>
      <c r="W71" s="4">
        <f>IF(P71=0,0,Q71/P71-1)</f>
        <v>0.82812746489982647</v>
      </c>
      <c r="AD71" s="18">
        <v>21423.07</v>
      </c>
      <c r="AE71" s="18">
        <v>24229.9</v>
      </c>
      <c r="AF71" s="4">
        <f>AE71/AD71-1</f>
        <v>0.13101903695408734</v>
      </c>
      <c r="AG71" s="150">
        <f>(L71*2)-V71</f>
        <v>20.019999999999982</v>
      </c>
    </row>
    <row r="72" spans="1:33" ht="13.9" customHeight="1">
      <c r="A72" t="s">
        <v>1147</v>
      </c>
      <c r="B72" t="s">
        <v>791</v>
      </c>
      <c r="C72">
        <v>9</v>
      </c>
      <c r="D72">
        <v>9</v>
      </c>
      <c r="F72" t="s">
        <v>791</v>
      </c>
      <c r="G72">
        <v>19</v>
      </c>
      <c r="H72">
        <v>18</v>
      </c>
      <c r="I72" t="b">
        <f>IF(B72=F72,TRUE,FALSE)</f>
        <v>1</v>
      </c>
      <c r="L72">
        <f>G72-C72</f>
        <v>10</v>
      </c>
      <c r="M72" s="4">
        <f>G72/C72-1</f>
        <v>1.1111111111111112</v>
      </c>
      <c r="N72" s="4"/>
      <c r="P72" s="5">
        <v>8.36</v>
      </c>
      <c r="Q72" s="5">
        <v>0</v>
      </c>
      <c r="S72" s="5">
        <v>0</v>
      </c>
      <c r="V72" s="152">
        <f>Q72-P72</f>
        <v>-8.36</v>
      </c>
      <c r="W72" s="4">
        <f>IF(P72=0,0,Q72/P72-1)</f>
        <v>-1</v>
      </c>
      <c r="AD72" s="18">
        <v>350.55</v>
      </c>
      <c r="AE72" s="18">
        <v>740.05</v>
      </c>
      <c r="AF72" s="4">
        <f>AE72/AD72-1</f>
        <v>1.1111111111111107</v>
      </c>
      <c r="AG72" s="150">
        <f>(L72*2)-V72</f>
        <v>28.36</v>
      </c>
    </row>
    <row r="73" spans="1:33" ht="13.9" customHeight="1">
      <c r="A73" t="s">
        <v>1148</v>
      </c>
      <c r="B73" t="s">
        <v>699</v>
      </c>
      <c r="C73">
        <v>842</v>
      </c>
      <c r="D73">
        <v>830</v>
      </c>
      <c r="F73" t="s">
        <v>699</v>
      </c>
      <c r="G73">
        <v>1007</v>
      </c>
      <c r="H73">
        <v>998</v>
      </c>
      <c r="I73" t="b">
        <f>IF(B73=F73,TRUE,FALSE)</f>
        <v>1</v>
      </c>
      <c r="L73">
        <f>G73-C73</f>
        <v>165</v>
      </c>
      <c r="M73" s="4">
        <f>G73/C73-1</f>
        <v>0.19596199524940627</v>
      </c>
      <c r="N73" s="4"/>
      <c r="P73" s="5">
        <v>722.2</v>
      </c>
      <c r="Q73" s="5">
        <v>1021.48</v>
      </c>
      <c r="S73" s="5">
        <v>5183.6799999999994</v>
      </c>
      <c r="V73" s="152">
        <f>Q73-P73</f>
        <v>299.27999999999997</v>
      </c>
      <c r="W73" s="4">
        <f>IF(P73=0,0,Q73/P73-1)</f>
        <v>0.41440044309055657</v>
      </c>
      <c r="AD73" s="18">
        <v>18481.900000000001</v>
      </c>
      <c r="AE73" s="18">
        <v>22103.65</v>
      </c>
      <c r="AF73" s="4">
        <f>AE73/AD73-1</f>
        <v>0.19596199524940605</v>
      </c>
      <c r="AG73" s="150">
        <f>(L73*2)-V73</f>
        <v>30.720000000000027</v>
      </c>
    </row>
    <row r="74" spans="1:33" ht="13.9" customHeight="1">
      <c r="A74" t="s">
        <v>1149</v>
      </c>
      <c r="B74" t="s">
        <v>743</v>
      </c>
      <c r="C74">
        <v>627</v>
      </c>
      <c r="D74">
        <v>607</v>
      </c>
      <c r="F74" t="s">
        <v>743</v>
      </c>
      <c r="G74">
        <v>778</v>
      </c>
      <c r="H74">
        <v>775</v>
      </c>
      <c r="I74" t="b">
        <f>IF(B74=F74,TRUE,FALSE)</f>
        <v>1</v>
      </c>
      <c r="L74">
        <f>G74-C74</f>
        <v>151</v>
      </c>
      <c r="M74" s="4">
        <f>G74/C74-1</f>
        <v>0.24082934609250395</v>
      </c>
      <c r="N74" s="4"/>
      <c r="P74" s="5">
        <v>354.18</v>
      </c>
      <c r="Q74" s="5">
        <v>624.26</v>
      </c>
      <c r="S74" s="5">
        <v>2678.76</v>
      </c>
      <c r="V74" s="152">
        <f>Q74-P74</f>
        <v>270.08</v>
      </c>
      <c r="W74" s="4">
        <f>IF(P74=0,0,Q74/P74-1)</f>
        <v>0.76255011576034781</v>
      </c>
      <c r="AD74" s="18">
        <v>20635.3</v>
      </c>
      <c r="AE74" s="18">
        <v>25927.11</v>
      </c>
      <c r="AF74" s="4">
        <f>AE74/AD74-1</f>
        <v>0.256444539211933</v>
      </c>
      <c r="AG74" s="150">
        <f>(L74*2)-V74</f>
        <v>31.920000000000016</v>
      </c>
    </row>
    <row r="75" spans="1:33" ht="13.9" customHeight="1">
      <c r="A75" t="s">
        <v>1150</v>
      </c>
      <c r="B75" t="s">
        <v>780</v>
      </c>
      <c r="C75">
        <v>152</v>
      </c>
      <c r="D75">
        <v>152</v>
      </c>
      <c r="F75" t="s">
        <v>780</v>
      </c>
      <c r="G75">
        <v>168</v>
      </c>
      <c r="H75">
        <v>168</v>
      </c>
      <c r="I75" t="b">
        <f>IF(B75=F75,TRUE,FALSE)</f>
        <v>1</v>
      </c>
      <c r="L75">
        <f>G75-C75</f>
        <v>16</v>
      </c>
      <c r="M75" s="4">
        <f>G75/C75-1</f>
        <v>0.10526315789473695</v>
      </c>
      <c r="N75" s="4"/>
      <c r="P75" s="5">
        <v>0</v>
      </c>
      <c r="Q75" s="5">
        <v>0</v>
      </c>
      <c r="S75" s="5">
        <v>0</v>
      </c>
      <c r="V75" s="152">
        <f>Q75-P75</f>
        <v>0</v>
      </c>
      <c r="W75" s="4">
        <f>IF(P75=0,0,Q75/P75-1)</f>
        <v>0</v>
      </c>
      <c r="AD75" s="18">
        <v>3792.4</v>
      </c>
      <c r="AE75" s="18">
        <v>4191.6000000000004</v>
      </c>
      <c r="AF75" s="4">
        <f>AE75/AD75-1</f>
        <v>0.10526315789473695</v>
      </c>
      <c r="AG75" s="150">
        <f>(L75*2)-V75</f>
        <v>32</v>
      </c>
    </row>
    <row r="76" spans="1:33" ht="14.25" customHeight="1">
      <c r="A76" s="58" t="s">
        <v>1151</v>
      </c>
      <c r="B76" s="39" t="s">
        <v>776</v>
      </c>
      <c r="C76" s="39">
        <v>171</v>
      </c>
      <c r="D76">
        <v>171</v>
      </c>
      <c r="F76" s="39" t="s">
        <v>776</v>
      </c>
      <c r="G76" s="39">
        <v>172</v>
      </c>
      <c r="H76">
        <v>172</v>
      </c>
      <c r="I76" t="b">
        <f>IF(B76=F76,TRUE,FALSE)</f>
        <v>1</v>
      </c>
      <c r="L76">
        <f>G76-C76</f>
        <v>1</v>
      </c>
      <c r="M76" s="4">
        <f>G76/C76-1</f>
        <v>5.8479532163742132E-3</v>
      </c>
      <c r="N76" s="4"/>
      <c r="P76" s="5">
        <v>906.04</v>
      </c>
      <c r="Q76" s="5">
        <v>871.81000000000006</v>
      </c>
      <c r="S76" s="5">
        <v>3239.3900000000003</v>
      </c>
      <c r="V76" s="152">
        <f>Q76-P76</f>
        <v>-34.229999999999905</v>
      </c>
      <c r="W76" s="4">
        <f>IF(P76=0,0,Q76/P76-1)</f>
        <v>-3.7779788971789241E-2</v>
      </c>
      <c r="AD76" s="18">
        <v>4615.29</v>
      </c>
      <c r="AE76" s="18">
        <v>4642.28</v>
      </c>
      <c r="AF76" s="4">
        <f>AE76/AD76-1</f>
        <v>5.8479532163742132E-3</v>
      </c>
      <c r="AG76" s="150">
        <f>(L76*2)-V76</f>
        <v>36.229999999999905</v>
      </c>
    </row>
    <row r="77" spans="1:33" ht="13.9" customHeight="1">
      <c r="A77" t="s">
        <v>1152</v>
      </c>
      <c r="B77" t="s">
        <v>830</v>
      </c>
      <c r="C77">
        <v>453</v>
      </c>
      <c r="D77">
        <v>443</v>
      </c>
      <c r="F77" t="s">
        <v>830</v>
      </c>
      <c r="G77">
        <v>472</v>
      </c>
      <c r="H77">
        <v>467</v>
      </c>
      <c r="I77" t="b">
        <f>IF(B77=F77,TRUE,FALSE)</f>
        <v>1</v>
      </c>
      <c r="L77">
        <f>G77-C77</f>
        <v>19</v>
      </c>
      <c r="M77" s="4">
        <f>G77/C77-1</f>
        <v>4.1942604856512133E-2</v>
      </c>
      <c r="N77" s="4"/>
      <c r="P77" s="5">
        <v>0</v>
      </c>
      <c r="Q77" s="5">
        <v>0</v>
      </c>
      <c r="S77" s="5">
        <v>0</v>
      </c>
      <c r="V77" s="152">
        <f>Q77-P77</f>
        <v>0</v>
      </c>
      <c r="W77" s="4">
        <f>IF(P77=0,0,Q77/P77-1)</f>
        <v>0</v>
      </c>
      <c r="AD77" s="18">
        <v>9961.4699999999993</v>
      </c>
      <c r="AE77" s="18">
        <v>10357.290000000001</v>
      </c>
      <c r="AF77" s="4">
        <f>AE77/AD77-1</f>
        <v>3.9735099337748547E-2</v>
      </c>
      <c r="AG77" s="150">
        <f>(L77*2)-V77</f>
        <v>38</v>
      </c>
    </row>
    <row r="78" spans="1:33" ht="13.9" customHeight="1">
      <c r="A78" t="s">
        <v>1153</v>
      </c>
      <c r="B78" t="s">
        <v>728</v>
      </c>
      <c r="C78">
        <v>610</v>
      </c>
      <c r="D78">
        <v>603</v>
      </c>
      <c r="F78" t="s">
        <v>728</v>
      </c>
      <c r="G78">
        <v>699</v>
      </c>
      <c r="H78">
        <v>697</v>
      </c>
      <c r="I78" t="b">
        <f>IF(B78=F78,TRUE,FALSE)</f>
        <v>1</v>
      </c>
      <c r="L78">
        <f>G78-C78</f>
        <v>89</v>
      </c>
      <c r="M78" s="4">
        <f>G78/C78-1</f>
        <v>0.14590163934426226</v>
      </c>
      <c r="N78" s="4"/>
      <c r="P78" s="5">
        <v>467.2</v>
      </c>
      <c r="Q78" s="5">
        <v>606.70000000000005</v>
      </c>
      <c r="S78" s="5">
        <v>3594.42</v>
      </c>
      <c r="V78" s="152">
        <f>Q78-P78</f>
        <v>139.50000000000006</v>
      </c>
      <c r="W78" s="4">
        <f>IF(P78=0,0,Q78/P78-1)</f>
        <v>0.29858732876712346</v>
      </c>
      <c r="AD78" s="18">
        <v>10356.450000000001</v>
      </c>
      <c r="AE78" s="18">
        <v>11848.05</v>
      </c>
      <c r="AF78" s="4">
        <f>AE78/AD78-1</f>
        <v>0.14402618657937794</v>
      </c>
      <c r="AG78" s="150">
        <f>(L78*2)-V78</f>
        <v>38.499999999999943</v>
      </c>
    </row>
    <row r="79" spans="1:33">
      <c r="A79" t="s">
        <v>1154</v>
      </c>
      <c r="B79" t="s">
        <v>770</v>
      </c>
      <c r="C79">
        <v>253</v>
      </c>
      <c r="D79">
        <v>251</v>
      </c>
      <c r="F79" t="s">
        <v>770</v>
      </c>
      <c r="G79">
        <v>275</v>
      </c>
      <c r="H79">
        <v>274</v>
      </c>
      <c r="I79" t="b">
        <f>IF(B79=F79,TRUE,FALSE)</f>
        <v>1</v>
      </c>
      <c r="L79">
        <f>G79-C79</f>
        <v>22</v>
      </c>
      <c r="M79" s="4">
        <f>G79/C79-1</f>
        <v>8.6956521739130377E-2</v>
      </c>
      <c r="N79" s="4"/>
      <c r="P79" s="5">
        <v>0</v>
      </c>
      <c r="Q79" s="5">
        <v>0</v>
      </c>
      <c r="S79" s="5">
        <v>0</v>
      </c>
      <c r="V79" s="152">
        <f>Q79-P79</f>
        <v>0</v>
      </c>
      <c r="W79" s="4">
        <f>IF(P79=0,0,Q79/P79-1)</f>
        <v>0</v>
      </c>
      <c r="AD79" s="18">
        <v>2527.4699999999998</v>
      </c>
      <c r="AE79" s="18">
        <v>2747.25</v>
      </c>
      <c r="AF79" s="4">
        <f>AE79/AD79-1</f>
        <v>8.6956521739130599E-2</v>
      </c>
      <c r="AG79" s="150">
        <f>(L79*2)-V79</f>
        <v>44</v>
      </c>
    </row>
    <row r="80" spans="1:33">
      <c r="A80" t="s">
        <v>1155</v>
      </c>
      <c r="B80" t="s">
        <v>775</v>
      </c>
      <c r="C80">
        <v>261</v>
      </c>
      <c r="D80">
        <v>260</v>
      </c>
      <c r="F80" t="s">
        <v>775</v>
      </c>
      <c r="G80">
        <v>235</v>
      </c>
      <c r="H80">
        <v>234</v>
      </c>
      <c r="I80" t="b">
        <f>IF(B80=F80,TRUE,FALSE)</f>
        <v>1</v>
      </c>
      <c r="L80">
        <f>G80-C80</f>
        <v>-26</v>
      </c>
      <c r="M80" s="4">
        <f>G80/C80-1</f>
        <v>-9.9616858237547845E-2</v>
      </c>
      <c r="P80" s="5">
        <v>124.38</v>
      </c>
      <c r="Q80" s="5">
        <v>0.78</v>
      </c>
      <c r="S80" s="5">
        <v>0</v>
      </c>
      <c r="V80" s="152">
        <f>Q80-P80</f>
        <v>-123.6</v>
      </c>
      <c r="W80" s="4">
        <f>IF(P80=0,0,Q80/P80-1)</f>
        <v>-0.99372889532079112</v>
      </c>
      <c r="AD80" s="18">
        <v>5194.83</v>
      </c>
      <c r="AE80" s="18">
        <v>4693.8500000000004</v>
      </c>
      <c r="AF80" s="4">
        <f>AE80/AD80-1</f>
        <v>-9.6438189507645045E-2</v>
      </c>
      <c r="AG80" s="150">
        <f>(L80*2)-V80</f>
        <v>71.599999999999994</v>
      </c>
    </row>
    <row r="81" spans="1:33">
      <c r="A81" t="s">
        <v>1156</v>
      </c>
      <c r="B81" t="s">
        <v>763</v>
      </c>
      <c r="C81">
        <v>262</v>
      </c>
      <c r="D81">
        <v>260</v>
      </c>
      <c r="F81" t="s">
        <v>763</v>
      </c>
      <c r="G81">
        <v>298</v>
      </c>
      <c r="H81">
        <v>297</v>
      </c>
      <c r="I81" t="b">
        <f>IF(B81=F81,TRUE,FALSE)</f>
        <v>1</v>
      </c>
      <c r="L81">
        <f>G81-C81</f>
        <v>36</v>
      </c>
      <c r="M81" s="4">
        <f>G81/C81-1</f>
        <v>0.13740458015267176</v>
      </c>
      <c r="N81" s="4"/>
      <c r="P81" s="5">
        <v>0</v>
      </c>
      <c r="Q81" s="5">
        <v>0</v>
      </c>
      <c r="S81" s="5">
        <v>0</v>
      </c>
      <c r="V81" s="152">
        <f>Q81-P81</f>
        <v>0</v>
      </c>
      <c r="W81" s="4">
        <f>IF(P81=0,0,Q81/P81-1)</f>
        <v>0</v>
      </c>
      <c r="AD81" s="18">
        <v>3922.14</v>
      </c>
      <c r="AE81" s="18">
        <v>4446.09</v>
      </c>
      <c r="AF81" s="4">
        <f>AE81/AD81-1</f>
        <v>0.13358778625954204</v>
      </c>
      <c r="AG81" s="150">
        <f>(L81*2)-V81</f>
        <v>72</v>
      </c>
    </row>
    <row r="82" spans="1:33">
      <c r="A82" t="s">
        <v>1157</v>
      </c>
      <c r="B82" t="s">
        <v>345</v>
      </c>
      <c r="C82">
        <v>2185</v>
      </c>
      <c r="D82">
        <v>2164</v>
      </c>
      <c r="F82" t="s">
        <v>345</v>
      </c>
      <c r="G82">
        <v>2424</v>
      </c>
      <c r="H82">
        <v>2401</v>
      </c>
      <c r="I82" t="b">
        <f>IF(B82=F82,TRUE,FALSE)</f>
        <v>1</v>
      </c>
      <c r="L82">
        <f>G82-C82</f>
        <v>239</v>
      </c>
      <c r="M82" s="4">
        <f>G82/C82-1</f>
        <v>0.10938215102974835</v>
      </c>
      <c r="N82" s="6"/>
      <c r="P82" s="5">
        <v>4219.32</v>
      </c>
      <c r="Q82" s="5">
        <v>4622.55</v>
      </c>
      <c r="S82" s="5">
        <v>15206.21</v>
      </c>
      <c r="V82" s="152">
        <f>Q82-P82</f>
        <v>403.23000000000047</v>
      </c>
      <c r="W82" s="4">
        <f>IF(P82=0,0,Q82/P82-1)</f>
        <v>9.5567532208981731E-2</v>
      </c>
      <c r="AD82" s="18">
        <v>39608.18</v>
      </c>
      <c r="AE82" s="18">
        <v>48389.7</v>
      </c>
      <c r="AF82" s="4">
        <f>AE82/AD82-1</f>
        <v>0.22170975793384096</v>
      </c>
      <c r="AG82" s="150">
        <f>(L82*2)-V82</f>
        <v>74.769999999999527</v>
      </c>
    </row>
    <row r="83" spans="1:33">
      <c r="A83" t="s">
        <v>1158</v>
      </c>
      <c r="B83" t="s">
        <v>596</v>
      </c>
      <c r="C83">
        <v>994</v>
      </c>
      <c r="D83">
        <v>983</v>
      </c>
      <c r="F83" t="s">
        <v>596</v>
      </c>
      <c r="G83">
        <v>1318</v>
      </c>
      <c r="H83">
        <v>1311</v>
      </c>
      <c r="I83" t="b">
        <f>IF(B83=F83,TRUE,FALSE)</f>
        <v>1</v>
      </c>
      <c r="L83">
        <f>G83-C83</f>
        <v>324</v>
      </c>
      <c r="M83" s="4">
        <f>G83/C83-1</f>
        <v>0.32595573440643855</v>
      </c>
      <c r="P83" s="5">
        <v>1223.92</v>
      </c>
      <c r="Q83" s="5">
        <v>1783.5100000000002</v>
      </c>
      <c r="S83" s="5">
        <v>8429.7899999999991</v>
      </c>
      <c r="V83" s="152">
        <f>Q83-P83</f>
        <v>559.59000000000015</v>
      </c>
      <c r="W83" s="4">
        <f>IF(P83=0,0,Q83/P83-1)</f>
        <v>0.45721125563762355</v>
      </c>
      <c r="Z83" s="5"/>
      <c r="AA83" s="5"/>
      <c r="AB83" s="5"/>
      <c r="AC83" s="17"/>
      <c r="AD83" s="18">
        <v>15854.3</v>
      </c>
      <c r="AE83" s="18">
        <v>21022.1</v>
      </c>
      <c r="AF83" s="4">
        <f>AE83/AD83-1</f>
        <v>0.32595573440643855</v>
      </c>
      <c r="AG83" s="150">
        <f>(L83*2)-V83</f>
        <v>88.409999999999854</v>
      </c>
    </row>
    <row r="84" spans="1:33">
      <c r="A84" t="s">
        <v>1159</v>
      </c>
      <c r="B84" t="s">
        <v>240</v>
      </c>
      <c r="C84">
        <v>1487</v>
      </c>
      <c r="D84">
        <v>1473</v>
      </c>
      <c r="F84" t="s">
        <v>240</v>
      </c>
      <c r="G84">
        <v>1756</v>
      </c>
      <c r="H84">
        <v>1747</v>
      </c>
      <c r="I84" t="b">
        <f>IF(B84=F84,TRUE,FALSE)</f>
        <v>1</v>
      </c>
      <c r="L84">
        <f>G84-C84</f>
        <v>269</v>
      </c>
      <c r="M84" s="4">
        <f>G84/C84-1</f>
        <v>0.18090114324142559</v>
      </c>
      <c r="N84" s="4"/>
      <c r="P84" s="5">
        <v>1819.05</v>
      </c>
      <c r="Q84" s="5">
        <v>2253.41</v>
      </c>
      <c r="S84" s="5">
        <v>9127.69</v>
      </c>
      <c r="V84" s="152">
        <f>Q84-P84</f>
        <v>434.3599999999999</v>
      </c>
      <c r="W84" s="4">
        <f>IF(P84=0,0,Q84/P84-1)</f>
        <v>0.23878398064924</v>
      </c>
      <c r="AD84" s="18">
        <v>29645.7</v>
      </c>
      <c r="AE84" s="18">
        <v>34992.300000000003</v>
      </c>
      <c r="AF84" s="4">
        <f>AE84/AD84-1</f>
        <v>0.18034993270524913</v>
      </c>
      <c r="AG84" s="150">
        <f>(L84*2)-V84</f>
        <v>103.6400000000001</v>
      </c>
    </row>
    <row r="85" spans="1:33">
      <c r="A85" s="29" t="s">
        <v>1160</v>
      </c>
      <c r="B85" s="29" t="s">
        <v>756</v>
      </c>
      <c r="C85">
        <v>351</v>
      </c>
      <c r="D85">
        <v>351</v>
      </c>
      <c r="F85" s="29" t="s">
        <v>756</v>
      </c>
      <c r="G85">
        <v>483</v>
      </c>
      <c r="H85">
        <v>483</v>
      </c>
      <c r="I85" t="b">
        <f>IF(B85=F85,TRUE,FALSE)</f>
        <v>1</v>
      </c>
      <c r="L85">
        <f>G85-C85</f>
        <v>132</v>
      </c>
      <c r="M85" s="4">
        <f>G85/C85-1</f>
        <v>0.37606837606837606</v>
      </c>
      <c r="N85" s="4"/>
      <c r="P85" s="5">
        <v>1479.53</v>
      </c>
      <c r="Q85" s="5">
        <v>1631.3999999999999</v>
      </c>
      <c r="S85" s="5">
        <v>8989.369999999999</v>
      </c>
      <c r="V85" s="152">
        <f>Q85-P85</f>
        <v>151.86999999999989</v>
      </c>
      <c r="W85" s="4">
        <f>IF(P85=0,0,Q85/P85-1)</f>
        <v>0.1026474623698066</v>
      </c>
      <c r="AD85" s="18">
        <v>9473.49</v>
      </c>
      <c r="AE85" s="18">
        <v>13036.17</v>
      </c>
      <c r="AF85" s="4">
        <f>AE85/AD85-1</f>
        <v>0.37606837606837606</v>
      </c>
      <c r="AG85" s="150">
        <f>(L85*2)-V85</f>
        <v>112.13000000000011</v>
      </c>
    </row>
    <row r="86" spans="1:33">
      <c r="A86" t="s">
        <v>1161</v>
      </c>
      <c r="B86" t="s">
        <v>564</v>
      </c>
      <c r="C86">
        <v>1022</v>
      </c>
      <c r="D86">
        <v>1016</v>
      </c>
      <c r="F86" t="s">
        <v>564</v>
      </c>
      <c r="G86">
        <v>1427</v>
      </c>
      <c r="H86">
        <v>1423</v>
      </c>
      <c r="I86" t="b">
        <f>IF(B86=F86,TRUE,FALSE)</f>
        <v>1</v>
      </c>
      <c r="L86">
        <f>G86-C86</f>
        <v>405</v>
      </c>
      <c r="M86" s="4">
        <f>G86/C86-1</f>
        <v>0.39628180039138949</v>
      </c>
      <c r="P86" s="5">
        <v>1306.1099999999999</v>
      </c>
      <c r="Q86" s="5">
        <v>1975</v>
      </c>
      <c r="S86" s="5">
        <v>7600.9299999999994</v>
      </c>
      <c r="V86" s="152">
        <f>Q86-P86</f>
        <v>668.8900000000001</v>
      </c>
      <c r="W86" s="4">
        <f>IF(P86=0,0,Q86/P86-1)</f>
        <v>0.51212378742984899</v>
      </c>
      <c r="Z86" s="5"/>
      <c r="AA86" s="5"/>
      <c r="AB86" s="5"/>
      <c r="AC86" s="17"/>
      <c r="AD86" s="18">
        <v>16300.9</v>
      </c>
      <c r="AE86" s="18">
        <v>26072.74</v>
      </c>
      <c r="AF86" s="4">
        <f>AE86/AD86-1</f>
        <v>0.59946628713752004</v>
      </c>
      <c r="AG86" s="150">
        <f>(L86*2)-V86</f>
        <v>141.1099999999999</v>
      </c>
    </row>
    <row r="87" spans="1:33">
      <c r="A87" t="s">
        <v>1162</v>
      </c>
      <c r="B87" t="s">
        <v>722</v>
      </c>
      <c r="C87">
        <v>646</v>
      </c>
      <c r="D87">
        <v>643</v>
      </c>
      <c r="F87" t="s">
        <v>722</v>
      </c>
      <c r="G87">
        <v>805</v>
      </c>
      <c r="H87">
        <v>802</v>
      </c>
      <c r="I87" t="b">
        <f>IF(B87=F87,TRUE,FALSE)</f>
        <v>1</v>
      </c>
      <c r="L87">
        <f>G87-C87</f>
        <v>159</v>
      </c>
      <c r="M87" s="4">
        <f>G87/C87-1</f>
        <v>0.24613003095975228</v>
      </c>
      <c r="N87" s="4"/>
      <c r="P87" s="5">
        <v>1137.45</v>
      </c>
      <c r="Q87" s="5">
        <v>1297.8400000000001</v>
      </c>
      <c r="S87" s="5">
        <v>6810.49</v>
      </c>
      <c r="V87" s="152">
        <f>Q87-P87</f>
        <v>160.3900000000001</v>
      </c>
      <c r="W87" s="4">
        <f>IF(P87=0,0,Q87/P87-1)</f>
        <v>0.14100839597344939</v>
      </c>
      <c r="AD87" s="18">
        <v>10932.75</v>
      </c>
      <c r="AE87" s="18">
        <v>13644.75</v>
      </c>
      <c r="AF87" s="4">
        <f>AE87/AD87-1</f>
        <v>0.24806201550387597</v>
      </c>
      <c r="AG87" s="150">
        <f>(L87*2)-V87</f>
        <v>157.6099999999999</v>
      </c>
    </row>
    <row r="88" spans="1:33">
      <c r="A88" t="s">
        <v>1163</v>
      </c>
      <c r="B88" t="s">
        <v>297</v>
      </c>
      <c r="C88">
        <v>3435</v>
      </c>
      <c r="D88">
        <v>3396</v>
      </c>
      <c r="F88" t="s">
        <v>297</v>
      </c>
      <c r="G88">
        <v>4313</v>
      </c>
      <c r="H88">
        <v>4286</v>
      </c>
      <c r="I88" t="b">
        <f>IF(B88=F88,TRUE,FALSE)</f>
        <v>1</v>
      </c>
      <c r="L88">
        <f>G88-C88</f>
        <v>878</v>
      </c>
      <c r="M88" s="4">
        <f>G88/C88-1</f>
        <v>0.25560407569141197</v>
      </c>
      <c r="N88" s="4"/>
      <c r="P88" s="5">
        <v>2250.7399999999998</v>
      </c>
      <c r="Q88" s="5">
        <v>3846.55</v>
      </c>
      <c r="S88" s="5">
        <v>21297.39</v>
      </c>
      <c r="V88" s="152">
        <f>Q88-P88</f>
        <v>1595.8100000000004</v>
      </c>
      <c r="W88" s="4">
        <f>IF(P88=0,0,Q88/P88-1)</f>
        <v>0.70901570150261706</v>
      </c>
      <c r="AD88" s="18">
        <v>68300.820000000007</v>
      </c>
      <c r="AE88" s="18">
        <v>85773.03</v>
      </c>
      <c r="AF88" s="4">
        <f>AE88/AD88-1</f>
        <v>0.25581259492931396</v>
      </c>
      <c r="AG88" s="150">
        <f>(L88*2)-V88</f>
        <v>160.1899999999996</v>
      </c>
    </row>
    <row r="89" spans="1:33">
      <c r="A89" t="s">
        <v>1164</v>
      </c>
      <c r="B89" t="s">
        <v>453</v>
      </c>
      <c r="C89">
        <v>1204</v>
      </c>
      <c r="D89">
        <v>1192</v>
      </c>
      <c r="F89" t="s">
        <v>453</v>
      </c>
      <c r="G89">
        <v>1569</v>
      </c>
      <c r="H89">
        <v>1565</v>
      </c>
      <c r="I89" t="b">
        <f>IF(B89=F89,TRUE,FALSE)</f>
        <v>1</v>
      </c>
      <c r="L89">
        <f>G89-C89</f>
        <v>365</v>
      </c>
      <c r="M89" s="4">
        <f>G89/C89-1</f>
        <v>0.3031561461794019</v>
      </c>
      <c r="N89" s="4"/>
      <c r="P89" s="5">
        <v>2350.54</v>
      </c>
      <c r="Q89" s="5">
        <v>2888</v>
      </c>
      <c r="S89" s="5">
        <v>12183.949999999999</v>
      </c>
      <c r="V89" s="152">
        <f>Q89-P89</f>
        <v>537.46</v>
      </c>
      <c r="W89" s="4">
        <f>IF(P89=0,0,Q89/P89-1)</f>
        <v>0.22865384124499055</v>
      </c>
      <c r="AD89" s="18">
        <v>24067.96</v>
      </c>
      <c r="AE89" s="18">
        <v>31364.31</v>
      </c>
      <c r="AF89" s="4">
        <f>AE89/AD89-1</f>
        <v>0.30315614617940212</v>
      </c>
      <c r="AG89" s="150">
        <f>(L89*2)-V89</f>
        <v>192.53999999999996</v>
      </c>
    </row>
    <row r="90" spans="1:33">
      <c r="A90" t="s">
        <v>1165</v>
      </c>
      <c r="B90" t="s">
        <v>282</v>
      </c>
      <c r="C90">
        <v>1056</v>
      </c>
      <c r="D90">
        <v>1049</v>
      </c>
      <c r="F90" t="s">
        <v>282</v>
      </c>
      <c r="G90">
        <v>1495</v>
      </c>
      <c r="H90">
        <v>1493</v>
      </c>
      <c r="I90" t="b">
        <f>IF(B90=F90,TRUE,FALSE)</f>
        <v>1</v>
      </c>
      <c r="L90">
        <f>G90-C90</f>
        <v>439</v>
      </c>
      <c r="M90" s="4">
        <f>G90/C90-1</f>
        <v>0.41571969696969702</v>
      </c>
      <c r="N90" s="4"/>
      <c r="P90" s="5">
        <v>1573.02</v>
      </c>
      <c r="Q90" s="5">
        <v>2254.13</v>
      </c>
      <c r="S90" s="5">
        <v>15646.75</v>
      </c>
      <c r="V90" s="152">
        <f>Q90-P90</f>
        <v>681.11000000000013</v>
      </c>
      <c r="W90" s="4">
        <f>IF(P90=0,0,Q90/P90-1)</f>
        <v>0.43299513038613635</v>
      </c>
      <c r="Z90" s="5"/>
      <c r="AA90" s="5"/>
      <c r="AB90" s="5"/>
      <c r="AC90" s="17"/>
      <c r="AD90" s="18">
        <v>37816.21</v>
      </c>
      <c r="AE90" s="18">
        <v>53594.51</v>
      </c>
      <c r="AF90" s="4">
        <f>AE90/AD90-1</f>
        <v>0.41723641792765598</v>
      </c>
      <c r="AG90" s="150">
        <f>(L90*2)-V90</f>
        <v>196.88999999999987</v>
      </c>
    </row>
    <row r="91" spans="1:33">
      <c r="A91" t="s">
        <v>1166</v>
      </c>
      <c r="B91" t="s">
        <v>778</v>
      </c>
      <c r="C91">
        <v>168</v>
      </c>
      <c r="D91">
        <v>166</v>
      </c>
      <c r="F91" t="s">
        <v>778</v>
      </c>
      <c r="G91">
        <v>268</v>
      </c>
      <c r="H91">
        <v>268</v>
      </c>
      <c r="I91" t="b">
        <f>IF(B91=F91,TRUE,FALSE)</f>
        <v>1</v>
      </c>
      <c r="L91">
        <f>G91-C91</f>
        <v>100</v>
      </c>
      <c r="M91" s="4">
        <f>G91/C91-1</f>
        <v>0.59523809523809534</v>
      </c>
      <c r="N91" s="4"/>
      <c r="P91" s="5">
        <v>0</v>
      </c>
      <c r="Q91" s="5">
        <v>0</v>
      </c>
      <c r="S91" s="5">
        <v>0</v>
      </c>
      <c r="V91" s="152">
        <f>Q91-P91</f>
        <v>0</v>
      </c>
      <c r="W91" s="4">
        <f>IF(P91=0,0,Q91/P91-1)</f>
        <v>0</v>
      </c>
      <c r="AD91" s="18">
        <v>3351.6</v>
      </c>
      <c r="AE91" s="18">
        <v>5346.6</v>
      </c>
      <c r="AF91" s="4">
        <f>AE91/AD91-1</f>
        <v>0.59523809523809534</v>
      </c>
      <c r="AG91" s="150">
        <f>(L91*2)-V91</f>
        <v>200</v>
      </c>
    </row>
    <row r="92" spans="1:33">
      <c r="A92" t="s">
        <v>1167</v>
      </c>
      <c r="B92" t="s">
        <v>255</v>
      </c>
      <c r="C92">
        <v>1278</v>
      </c>
      <c r="D92">
        <v>1264</v>
      </c>
      <c r="F92" t="s">
        <v>255</v>
      </c>
      <c r="G92">
        <v>1614</v>
      </c>
      <c r="H92">
        <v>1607</v>
      </c>
      <c r="I92" t="b">
        <f>IF(B92=F92,TRUE,FALSE)</f>
        <v>1</v>
      </c>
      <c r="L92">
        <f>G92-C92</f>
        <v>336</v>
      </c>
      <c r="M92" s="4">
        <f>G92/C92-1</f>
        <v>0.26291079812206575</v>
      </c>
      <c r="N92" s="4"/>
      <c r="P92" s="5">
        <v>514.67999999999995</v>
      </c>
      <c r="Q92" s="5">
        <v>961.08</v>
      </c>
      <c r="S92" s="5">
        <v>5241.8499999999995</v>
      </c>
      <c r="V92" s="152">
        <f>Q92-P92</f>
        <v>446.40000000000009</v>
      </c>
      <c r="W92" s="4">
        <f>IF(P92=0,0,Q92/P92-1)</f>
        <v>0.86733504313359777</v>
      </c>
      <c r="AD92" s="18">
        <v>31886.1</v>
      </c>
      <c r="AE92" s="18">
        <v>40269.300000000003</v>
      </c>
      <c r="AF92" s="4">
        <f>AE92/AD92-1</f>
        <v>0.26291079812206597</v>
      </c>
      <c r="AG92" s="150">
        <f>(L92*2)-V92</f>
        <v>225.59999999999991</v>
      </c>
    </row>
    <row r="93" spans="1:33">
      <c r="A93" t="s">
        <v>1168</v>
      </c>
      <c r="B93" t="s">
        <v>762</v>
      </c>
      <c r="C93">
        <v>306</v>
      </c>
      <c r="D93">
        <v>304</v>
      </c>
      <c r="F93" t="s">
        <v>762</v>
      </c>
      <c r="G93">
        <v>319</v>
      </c>
      <c r="H93">
        <v>317</v>
      </c>
      <c r="I93" t="b">
        <f>IF(B93=F93,TRUE,FALSE)</f>
        <v>1</v>
      </c>
      <c r="L93">
        <f>G93-C93</f>
        <v>13</v>
      </c>
      <c r="M93" s="4">
        <f>G93/C93-1</f>
        <v>4.2483660130719025E-2</v>
      </c>
      <c r="P93" s="5">
        <v>224.27</v>
      </c>
      <c r="Q93" s="5">
        <v>0</v>
      </c>
      <c r="S93" s="5">
        <v>0</v>
      </c>
      <c r="V93" s="152">
        <f>Q93-P93</f>
        <v>-224.27</v>
      </c>
      <c r="W93" s="4">
        <f>IF(P93=0,0,Q93/P93-1)</f>
        <v>-1</v>
      </c>
      <c r="AD93" s="18">
        <v>9164.7000000000007</v>
      </c>
      <c r="AE93" s="18">
        <v>9562.61</v>
      </c>
      <c r="AF93" s="4">
        <f>AE93/AD93-1</f>
        <v>4.3417678701975992E-2</v>
      </c>
      <c r="AG93" s="150">
        <f>(L93*2)-V93</f>
        <v>250.27</v>
      </c>
    </row>
    <row r="94" spans="1:33">
      <c r="A94" t="s">
        <v>1169</v>
      </c>
      <c r="B94" t="s">
        <v>726</v>
      </c>
      <c r="C94">
        <v>653</v>
      </c>
      <c r="D94">
        <v>645</v>
      </c>
      <c r="F94" t="s">
        <v>726</v>
      </c>
      <c r="G94">
        <v>747</v>
      </c>
      <c r="H94">
        <v>744</v>
      </c>
      <c r="I94" t="b">
        <f>IF(B94=F94,TRUE,FALSE)</f>
        <v>1</v>
      </c>
      <c r="L94">
        <f>G94-C94</f>
        <v>94</v>
      </c>
      <c r="M94" s="4">
        <f>G94/C94-1</f>
        <v>0.14395099540581935</v>
      </c>
      <c r="N94" s="4"/>
      <c r="P94" s="5">
        <v>603.91999999999996</v>
      </c>
      <c r="Q94" s="5">
        <v>523.64</v>
      </c>
      <c r="S94" s="5">
        <v>3841.1099999999997</v>
      </c>
      <c r="V94" s="152">
        <f>Q94-P94</f>
        <v>-80.279999999999973</v>
      </c>
      <c r="W94" s="4">
        <f>IF(P94=0,0,Q94/P94-1)</f>
        <v>-0.13293151410782877</v>
      </c>
      <c r="AD94" s="18">
        <v>18904.349999999999</v>
      </c>
      <c r="AE94" s="18">
        <v>21596.7</v>
      </c>
      <c r="AF94" s="4">
        <f>AE94/AD94-1</f>
        <v>0.14241960183767244</v>
      </c>
      <c r="AG94" s="150">
        <f>(L94*2)-V94</f>
        <v>268.27999999999997</v>
      </c>
    </row>
    <row r="95" spans="1:33">
      <c r="A95" t="s">
        <v>1170</v>
      </c>
      <c r="B95" t="s">
        <v>760</v>
      </c>
      <c r="C95">
        <v>333</v>
      </c>
      <c r="D95">
        <v>322</v>
      </c>
      <c r="F95" t="s">
        <v>760</v>
      </c>
      <c r="G95">
        <v>334</v>
      </c>
      <c r="H95">
        <v>332</v>
      </c>
      <c r="I95" t="b">
        <f>IF(B95=F95,TRUE,FALSE)</f>
        <v>1</v>
      </c>
      <c r="L95">
        <f>G95-C95</f>
        <v>1</v>
      </c>
      <c r="M95" s="4">
        <f>G95/C95-1</f>
        <v>3.0030030030030463E-3</v>
      </c>
      <c r="N95" s="4"/>
      <c r="P95" s="5">
        <v>267.37</v>
      </c>
      <c r="Q95" s="5">
        <v>0</v>
      </c>
      <c r="S95" s="5">
        <v>0</v>
      </c>
      <c r="V95" s="152">
        <f>Q95-P95</f>
        <v>-267.37</v>
      </c>
      <c r="W95" s="4">
        <f>IF(P95=0,0,Q95/P95-1)</f>
        <v>-1</v>
      </c>
      <c r="AD95" s="18">
        <v>12970.35</v>
      </c>
      <c r="AE95" s="18">
        <v>13009.3</v>
      </c>
      <c r="AF95" s="4">
        <f>AE95/AD95-1</f>
        <v>3.0030030030028243E-3</v>
      </c>
      <c r="AG95" s="150">
        <f>(L95*2)-V95</f>
        <v>269.37</v>
      </c>
    </row>
    <row r="96" spans="1:33">
      <c r="A96" t="s">
        <v>1171</v>
      </c>
      <c r="B96" t="s">
        <v>622</v>
      </c>
      <c r="C96">
        <v>1029</v>
      </c>
      <c r="D96">
        <v>1024</v>
      </c>
      <c r="F96" t="s">
        <v>622</v>
      </c>
      <c r="G96">
        <v>1305</v>
      </c>
      <c r="H96">
        <v>1301</v>
      </c>
      <c r="I96" t="b">
        <f>IF(B96=F96,TRUE,FALSE)</f>
        <v>1</v>
      </c>
      <c r="L96">
        <f>G96-C96</f>
        <v>276</v>
      </c>
      <c r="M96" s="4">
        <f>G96/C96-1</f>
        <v>0.26822157434402327</v>
      </c>
      <c r="N96" s="4"/>
      <c r="P96" s="5">
        <v>1209.67</v>
      </c>
      <c r="Q96" s="5">
        <v>1481.44</v>
      </c>
      <c r="S96" s="5">
        <v>8347.57</v>
      </c>
      <c r="V96" s="152">
        <f>Q96-P96</f>
        <v>271.77</v>
      </c>
      <c r="W96" s="4">
        <f>IF(P96=0,0,Q96/P96-1)</f>
        <v>0.22466457794274475</v>
      </c>
      <c r="AD96" s="18">
        <v>18511.71</v>
      </c>
      <c r="AE96" s="18">
        <v>24762.959999999999</v>
      </c>
      <c r="AF96" s="4">
        <f>AE96/AD96-1</f>
        <v>0.33769165571413984</v>
      </c>
      <c r="AG96" s="150">
        <f>(L96*2)-V96</f>
        <v>280.23</v>
      </c>
    </row>
    <row r="97" spans="1:33">
      <c r="A97" t="s">
        <v>1172</v>
      </c>
      <c r="B97" t="s">
        <v>706</v>
      </c>
      <c r="C97">
        <v>721</v>
      </c>
      <c r="D97">
        <v>714</v>
      </c>
      <c r="F97" t="s">
        <v>706</v>
      </c>
      <c r="G97">
        <v>650</v>
      </c>
      <c r="H97">
        <v>645</v>
      </c>
      <c r="I97" t="b">
        <f>IF(B97=F97,TRUE,FALSE)</f>
        <v>1</v>
      </c>
      <c r="L97">
        <f>G97-C97</f>
        <v>-71</v>
      </c>
      <c r="M97" s="4">
        <f>G97/C97-1</f>
        <v>-9.8474341192787751E-2</v>
      </c>
      <c r="N97" s="4"/>
      <c r="P97" s="5">
        <v>1747.82</v>
      </c>
      <c r="Q97" s="5">
        <v>1314.01</v>
      </c>
      <c r="S97" s="5">
        <v>5282.71</v>
      </c>
      <c r="V97" s="152">
        <f>Q97-P97</f>
        <v>-433.80999999999995</v>
      </c>
      <c r="W97" s="4">
        <f>IF(P97=0,0,Q97/P97-1)</f>
        <v>-0.2482006156240345</v>
      </c>
      <c r="AD97" s="18">
        <v>13208.15</v>
      </c>
      <c r="AE97" s="18">
        <v>12260.65</v>
      </c>
      <c r="AF97" s="4">
        <f>AE97/AD97-1</f>
        <v>-7.1736011477761874E-2</v>
      </c>
      <c r="AG97" s="150">
        <f>(L97*2)-V97</f>
        <v>291.80999999999995</v>
      </c>
    </row>
    <row r="98" spans="1:33">
      <c r="A98" t="s">
        <v>1173</v>
      </c>
      <c r="B98" t="s">
        <v>715</v>
      </c>
      <c r="C98">
        <v>580</v>
      </c>
      <c r="D98">
        <v>577</v>
      </c>
      <c r="F98" t="s">
        <v>715</v>
      </c>
      <c r="G98">
        <v>892</v>
      </c>
      <c r="H98">
        <v>888</v>
      </c>
      <c r="I98" t="b">
        <f>IF(B98=F98,TRUE,FALSE)</f>
        <v>1</v>
      </c>
      <c r="L98">
        <f>G98-C98</f>
        <v>312</v>
      </c>
      <c r="M98" s="4">
        <f>G98/C98-1</f>
        <v>0.53793103448275859</v>
      </c>
      <c r="N98" s="4"/>
      <c r="P98" s="5">
        <v>376.36</v>
      </c>
      <c r="Q98" s="5">
        <v>663.4899999999999</v>
      </c>
      <c r="S98" s="5">
        <v>6633.63</v>
      </c>
      <c r="V98" s="152">
        <f>Q98-P98</f>
        <v>287.12999999999988</v>
      </c>
      <c r="W98" s="4">
        <f>IF(P98=0,0,Q98/P98-1)</f>
        <v>0.76291316824317112</v>
      </c>
      <c r="AD98" s="18">
        <v>12732.21</v>
      </c>
      <c r="AE98" s="18">
        <v>19615.080000000002</v>
      </c>
      <c r="AF98" s="4">
        <f>AE98/AD98-1</f>
        <v>0.54058721934369625</v>
      </c>
      <c r="AG98" s="150">
        <f>(L98*2)-V98</f>
        <v>336.87000000000012</v>
      </c>
    </row>
    <row r="99" spans="1:33">
      <c r="A99" t="s">
        <v>1174</v>
      </c>
      <c r="B99" t="s">
        <v>545</v>
      </c>
      <c r="C99">
        <v>971</v>
      </c>
      <c r="D99">
        <v>964</v>
      </c>
      <c r="F99" t="s">
        <v>545</v>
      </c>
      <c r="G99">
        <v>1317</v>
      </c>
      <c r="H99">
        <v>1310</v>
      </c>
      <c r="I99" t="b">
        <f>IF(B99=F99,TRUE,FALSE)</f>
        <v>1</v>
      </c>
      <c r="L99">
        <f>G99-C99</f>
        <v>346</v>
      </c>
      <c r="M99" s="4">
        <f>G99/C99-1</f>
        <v>0.35633367662203907</v>
      </c>
      <c r="N99" s="4"/>
      <c r="P99" s="5">
        <v>833.52</v>
      </c>
      <c r="Q99" s="5">
        <v>1115.17</v>
      </c>
      <c r="S99" s="5">
        <v>4905.1299999999992</v>
      </c>
      <c r="V99" s="152">
        <f>Q99-P99</f>
        <v>281.65000000000009</v>
      </c>
      <c r="W99" s="4">
        <f>IF(P99=0,0,Q99/P99-1)</f>
        <v>0.33790430943468674</v>
      </c>
      <c r="AD99" s="18">
        <v>18074.7</v>
      </c>
      <c r="AE99" s="18">
        <v>24674.240000000002</v>
      </c>
      <c r="AF99" s="4">
        <f>AE99/AD99-1</f>
        <v>0.36512583887976024</v>
      </c>
      <c r="AG99" s="150">
        <f>(L99*2)-V99</f>
        <v>410.34999999999991</v>
      </c>
    </row>
    <row r="100" spans="1:33">
      <c r="A100" t="s">
        <v>1175</v>
      </c>
      <c r="B100" t="s">
        <v>179</v>
      </c>
      <c r="C100">
        <v>2757</v>
      </c>
      <c r="D100">
        <v>2735</v>
      </c>
      <c r="F100" t="s">
        <v>179</v>
      </c>
      <c r="G100">
        <v>3316</v>
      </c>
      <c r="H100">
        <v>3312</v>
      </c>
      <c r="I100" t="b">
        <f>IF(B100=F100,TRUE,FALSE)</f>
        <v>1</v>
      </c>
      <c r="L100">
        <f>G100-C100</f>
        <v>559</v>
      </c>
      <c r="M100" s="4">
        <f>G100/C100-1</f>
        <v>0.20275661951396451</v>
      </c>
      <c r="N100" s="4"/>
      <c r="P100" s="5">
        <v>3695.97</v>
      </c>
      <c r="Q100" s="5">
        <v>4403.41</v>
      </c>
      <c r="S100" s="5">
        <v>16666.009999999998</v>
      </c>
      <c r="V100" s="152">
        <f>Q100-P100</f>
        <v>707.44</v>
      </c>
      <c r="W100" s="4">
        <f>IF(P100=0,0,Q100/P100-1)</f>
        <v>0.19140848004718647</v>
      </c>
      <c r="AD100" s="18">
        <v>36394.94</v>
      </c>
      <c r="AE100" s="18">
        <v>51058.86</v>
      </c>
      <c r="AF100" s="4">
        <f>AE100/AD100-1</f>
        <v>0.40291095410515854</v>
      </c>
      <c r="AG100" s="150">
        <f>(L100*2)-V100</f>
        <v>410.55999999999995</v>
      </c>
    </row>
    <row r="101" spans="1:33">
      <c r="A101" t="s">
        <v>1176</v>
      </c>
      <c r="B101" t="s">
        <v>346</v>
      </c>
      <c r="C101">
        <v>2192</v>
      </c>
      <c r="D101">
        <v>2151</v>
      </c>
      <c r="F101" t="s">
        <v>346</v>
      </c>
      <c r="G101">
        <v>2557</v>
      </c>
      <c r="H101">
        <v>2544</v>
      </c>
      <c r="I101" t="b">
        <f>IF(B101=F101,TRUE,FALSE)</f>
        <v>1</v>
      </c>
      <c r="L101">
        <f>G101-C101</f>
        <v>365</v>
      </c>
      <c r="M101" s="4">
        <f>G101/C101-1</f>
        <v>0.16651459854014594</v>
      </c>
      <c r="N101" s="4"/>
      <c r="P101" s="5">
        <v>816.25</v>
      </c>
      <c r="Q101" s="5">
        <v>1107.06</v>
      </c>
      <c r="S101" s="5">
        <v>5393.59</v>
      </c>
      <c r="V101" s="152">
        <f>Q101-P101</f>
        <v>290.80999999999995</v>
      </c>
      <c r="W101" s="4">
        <f>IF(P101=0,0,Q101/P101-1)</f>
        <v>0.35627565084226642</v>
      </c>
      <c r="AD101" s="18">
        <v>43730.400000000001</v>
      </c>
      <c r="AE101" s="18">
        <v>50952.3</v>
      </c>
      <c r="AF101" s="4">
        <f>AE101/AD101-1</f>
        <v>0.16514598540145986</v>
      </c>
      <c r="AG101" s="150">
        <f>(L101*2)-V101</f>
        <v>439.19000000000005</v>
      </c>
    </row>
    <row r="102" spans="1:33">
      <c r="A102" t="s">
        <v>1177</v>
      </c>
      <c r="B102" t="s">
        <v>679</v>
      </c>
      <c r="C102">
        <v>644</v>
      </c>
      <c r="D102">
        <v>641</v>
      </c>
      <c r="F102" t="s">
        <v>679</v>
      </c>
      <c r="G102">
        <v>1032</v>
      </c>
      <c r="H102">
        <v>1026</v>
      </c>
      <c r="I102" t="b">
        <f>IF(B102=F102,TRUE,FALSE)</f>
        <v>1</v>
      </c>
      <c r="L102">
        <f>G102-C102</f>
        <v>388</v>
      </c>
      <c r="M102" s="4">
        <f>G102/C102-1</f>
        <v>0.60248447204968936</v>
      </c>
      <c r="N102" s="4"/>
      <c r="P102" s="5">
        <v>1348.47</v>
      </c>
      <c r="Q102" s="5">
        <v>1663.38</v>
      </c>
      <c r="S102" s="5">
        <v>13246.44</v>
      </c>
      <c r="V102" s="152">
        <f>Q102-P102</f>
        <v>314.91000000000008</v>
      </c>
      <c r="W102" s="4">
        <f>IF(P102=0,0,Q102/P102-1)</f>
        <v>0.23353133551358218</v>
      </c>
      <c r="Z102" s="5"/>
      <c r="AA102" s="5"/>
      <c r="AB102" s="5"/>
      <c r="AC102" s="17"/>
      <c r="AD102" s="18">
        <v>15449.56</v>
      </c>
      <c r="AE102" s="18">
        <v>24733.69</v>
      </c>
      <c r="AF102" s="4">
        <f>AE102/AD102-1</f>
        <v>0.60093167701863348</v>
      </c>
      <c r="AG102" s="150">
        <f>(L102*2)-V102</f>
        <v>461.08999999999992</v>
      </c>
    </row>
    <row r="103" spans="1:33" ht="15" customHeight="1">
      <c r="A103" t="s">
        <v>1178</v>
      </c>
      <c r="B103" t="s">
        <v>62</v>
      </c>
      <c r="C103">
        <v>2239</v>
      </c>
      <c r="D103">
        <v>2225</v>
      </c>
      <c r="F103" t="s">
        <v>62</v>
      </c>
      <c r="G103">
        <v>2865</v>
      </c>
      <c r="H103">
        <v>2850</v>
      </c>
      <c r="I103" t="b">
        <f>IF(B103=F103,TRUE,FALSE)</f>
        <v>1</v>
      </c>
      <c r="L103">
        <f>G103-C103</f>
        <v>626</v>
      </c>
      <c r="M103" s="4">
        <f>G103/C103-1</f>
        <v>0.27958910227780254</v>
      </c>
      <c r="N103" s="4"/>
      <c r="P103" s="5">
        <v>5316.2</v>
      </c>
      <c r="Q103" s="5">
        <v>5880.42</v>
      </c>
      <c r="S103" s="5">
        <v>30159.480000000003</v>
      </c>
      <c r="V103" s="152">
        <f>Q103-P103</f>
        <v>564.22000000000025</v>
      </c>
      <c r="W103" s="4">
        <f>IF(P103=0,0,Q103/P103-1)</f>
        <v>0.106132199691509</v>
      </c>
      <c r="AD103" s="18">
        <v>67058.05</v>
      </c>
      <c r="AE103" s="18">
        <v>85716.9</v>
      </c>
      <c r="AF103" s="4">
        <f>AE103/AD103-1</f>
        <v>0.27824921840107186</v>
      </c>
      <c r="AG103" s="150">
        <f>(L103*2)-V103</f>
        <v>687.77999999999975</v>
      </c>
    </row>
    <row r="104" spans="1:33" ht="15" customHeight="1">
      <c r="A104" t="s">
        <v>1179</v>
      </c>
      <c r="B104" t="s">
        <v>764</v>
      </c>
      <c r="C104">
        <v>265</v>
      </c>
      <c r="D104">
        <v>264</v>
      </c>
      <c r="F104" t="s">
        <v>764</v>
      </c>
      <c r="G104">
        <v>371</v>
      </c>
      <c r="H104">
        <v>367</v>
      </c>
      <c r="I104" t="b">
        <f>IF(B104=F104,TRUE,FALSE)</f>
        <v>1</v>
      </c>
      <c r="L104">
        <f>G104-C104</f>
        <v>106</v>
      </c>
      <c r="M104" s="4">
        <f>G104/C104-1</f>
        <v>0.39999999999999991</v>
      </c>
      <c r="N104" s="4"/>
      <c r="P104" s="5">
        <v>666.88</v>
      </c>
      <c r="Q104" s="5">
        <v>146.54</v>
      </c>
      <c r="S104" s="5">
        <v>1735.51</v>
      </c>
      <c r="V104" s="152">
        <f>Q104-P104</f>
        <v>-520.34</v>
      </c>
      <c r="W104" s="4">
        <f>IF(P104=0,0,Q104/P104-1)</f>
        <v>-0.78026031669865648</v>
      </c>
      <c r="AD104" s="18">
        <v>7947.35</v>
      </c>
      <c r="AE104" s="18">
        <v>11126.29</v>
      </c>
      <c r="AF104" s="4">
        <f>AE104/AD104-1</f>
        <v>0.40000000000000013</v>
      </c>
      <c r="AG104" s="150">
        <f>(L104*2)-V104</f>
        <v>732.34</v>
      </c>
    </row>
    <row r="105" spans="1:33" ht="15" customHeight="1">
      <c r="A105" t="s">
        <v>1180</v>
      </c>
      <c r="B105" t="s">
        <v>126</v>
      </c>
      <c r="C105">
        <v>3690</v>
      </c>
      <c r="D105">
        <v>3644</v>
      </c>
      <c r="F105" t="s">
        <v>126</v>
      </c>
      <c r="G105">
        <v>4535</v>
      </c>
      <c r="H105">
        <v>4507</v>
      </c>
      <c r="I105" t="b">
        <f>IF(B105=F105,TRUE,FALSE)</f>
        <v>1</v>
      </c>
      <c r="L105">
        <f>G105-C105</f>
        <v>845</v>
      </c>
      <c r="M105" s="4">
        <f>G105/C105-1</f>
        <v>0.22899728997289981</v>
      </c>
      <c r="N105" s="4"/>
      <c r="P105" s="5">
        <v>2845.59</v>
      </c>
      <c r="Q105" s="5">
        <v>3781.37</v>
      </c>
      <c r="S105" s="5">
        <v>21037.98</v>
      </c>
      <c r="V105" s="152">
        <f>Q105-P105</f>
        <v>935.77999999999975</v>
      </c>
      <c r="W105" s="4">
        <f>IF(P105=0,0,Q105/P105-1)</f>
        <v>0.32885271595697185</v>
      </c>
      <c r="Z105" t="s">
        <v>1181</v>
      </c>
      <c r="AD105" s="18">
        <v>75132.72</v>
      </c>
      <c r="AE105" s="18">
        <v>92462.46</v>
      </c>
      <c r="AF105" s="4">
        <f>AE105/AD105-1</f>
        <v>0.23065503285386191</v>
      </c>
      <c r="AG105" s="150">
        <f>(L105*2)-V105</f>
        <v>754.22000000000025</v>
      </c>
    </row>
    <row r="106" spans="1:33" ht="15" customHeight="1">
      <c r="A106" t="s">
        <v>1182</v>
      </c>
      <c r="B106" t="s">
        <v>125</v>
      </c>
      <c r="C106">
        <v>3614</v>
      </c>
      <c r="D106">
        <v>3602</v>
      </c>
      <c r="F106" t="s">
        <v>125</v>
      </c>
      <c r="G106">
        <v>3985</v>
      </c>
      <c r="H106">
        <v>3973</v>
      </c>
      <c r="I106" t="b">
        <f>IF(B106=F106,TRUE,FALSE)</f>
        <v>1</v>
      </c>
      <c r="L106">
        <f>G106-C106</f>
        <v>371</v>
      </c>
      <c r="M106" s="4">
        <f>G106/C106-1</f>
        <v>0.10265633646928607</v>
      </c>
      <c r="N106" s="4"/>
      <c r="P106" s="5">
        <v>4477</v>
      </c>
      <c r="Q106" s="5">
        <v>4436.3500000000004</v>
      </c>
      <c r="S106" s="5">
        <v>15963.58</v>
      </c>
      <c r="V106" s="152">
        <f>Q106-P106</f>
        <v>-40.649999999999636</v>
      </c>
      <c r="W106" s="4">
        <f>IF(P106=0,0,Q106/P106-1)</f>
        <v>-9.079740897922628E-3</v>
      </c>
      <c r="AD106" s="18">
        <v>36103.46</v>
      </c>
      <c r="AE106" s="18">
        <v>39796.559999999998</v>
      </c>
      <c r="AF106" s="4">
        <f>AE106/AD106-1</f>
        <v>0.1022921348812551</v>
      </c>
      <c r="AG106" s="150">
        <f>(L106*2)-V106</f>
        <v>782.64999999999964</v>
      </c>
    </row>
    <row r="107" spans="1:33" ht="15" customHeight="1">
      <c r="A107" t="s">
        <v>1183</v>
      </c>
      <c r="B107" t="s">
        <v>747</v>
      </c>
      <c r="C107">
        <v>600</v>
      </c>
      <c r="D107">
        <v>579</v>
      </c>
      <c r="F107" t="s">
        <v>747</v>
      </c>
      <c r="G107">
        <v>806</v>
      </c>
      <c r="H107">
        <v>803</v>
      </c>
      <c r="I107" t="b">
        <f>IF(B107=F107,TRUE,FALSE)</f>
        <v>1</v>
      </c>
      <c r="L107">
        <f>G107-C107</f>
        <v>206</v>
      </c>
      <c r="M107" s="4">
        <f>G107/C107-1</f>
        <v>0.34333333333333327</v>
      </c>
      <c r="N107" s="4"/>
      <c r="P107" s="5">
        <v>388.32</v>
      </c>
      <c r="Q107" s="5">
        <v>0</v>
      </c>
      <c r="S107" s="5">
        <v>0</v>
      </c>
      <c r="V107" s="152">
        <f>Q107-P107</f>
        <v>-388.32</v>
      </c>
      <c r="W107" s="4">
        <f>IF(P107=0,0,Q107/P107-1)</f>
        <v>-1</v>
      </c>
      <c r="AD107" s="18">
        <v>22420.69</v>
      </c>
      <c r="AE107" s="18">
        <v>30370.63</v>
      </c>
      <c r="AF107" s="4">
        <f>AE107/AD107-1</f>
        <v>0.35458052361457226</v>
      </c>
      <c r="AG107" s="150">
        <f>(L107*2)-V107</f>
        <v>800.31999999999994</v>
      </c>
    </row>
    <row r="108" spans="1:33" ht="15" customHeight="1">
      <c r="A108" t="s">
        <v>1184</v>
      </c>
      <c r="B108" t="s">
        <v>738</v>
      </c>
      <c r="C108">
        <v>574</v>
      </c>
      <c r="D108">
        <v>570</v>
      </c>
      <c r="F108" t="s">
        <v>738</v>
      </c>
      <c r="G108">
        <v>667</v>
      </c>
      <c r="H108">
        <v>665</v>
      </c>
      <c r="I108" t="b">
        <f>IF(B108=F108,TRUE,FALSE)</f>
        <v>1</v>
      </c>
      <c r="L108">
        <f>G108-C108</f>
        <v>93</v>
      </c>
      <c r="M108" s="4">
        <f>G108/C108-1</f>
        <v>0.16202090592334484</v>
      </c>
      <c r="N108" s="4"/>
      <c r="P108" s="5">
        <v>805.96</v>
      </c>
      <c r="Q108" s="5">
        <v>0</v>
      </c>
      <c r="S108" s="5">
        <v>0</v>
      </c>
      <c r="V108" s="152">
        <f>Q108-P108</f>
        <v>-805.96</v>
      </c>
      <c r="W108" s="4">
        <f>IF(P108=0,0,Q108/P108-1)</f>
        <v>-1</v>
      </c>
      <c r="AD108" s="18">
        <v>10858.35</v>
      </c>
      <c r="AE108" s="18">
        <v>12620.7</v>
      </c>
      <c r="AF108" s="4">
        <f>AE108/AD108-1</f>
        <v>0.16230366492146597</v>
      </c>
      <c r="AG108" s="150">
        <f>(L108*2)-V108</f>
        <v>991.96</v>
      </c>
    </row>
    <row r="109" spans="1:33" ht="15" customHeight="1">
      <c r="A109" t="s">
        <v>1185</v>
      </c>
      <c r="B109" t="s">
        <v>590</v>
      </c>
      <c r="C109">
        <v>277</v>
      </c>
      <c r="D109">
        <v>264</v>
      </c>
      <c r="F109" t="s">
        <v>590</v>
      </c>
      <c r="G109">
        <v>1373</v>
      </c>
      <c r="H109">
        <v>1373</v>
      </c>
      <c r="I109" t="b">
        <f>IF(B109=F109,TRUE,FALSE)</f>
        <v>1</v>
      </c>
      <c r="L109">
        <f>G109-C109</f>
        <v>1096</v>
      </c>
      <c r="M109" s="4">
        <f>G109/C109-1</f>
        <v>3.9566787003610111</v>
      </c>
      <c r="N109" s="4"/>
      <c r="P109" s="5">
        <v>1061.67</v>
      </c>
      <c r="Q109" s="5">
        <v>2126.7600000000002</v>
      </c>
      <c r="S109" s="5">
        <v>15608.42</v>
      </c>
      <c r="V109" s="152">
        <f>Q109-P109</f>
        <v>1065.0900000000001</v>
      </c>
      <c r="W109" s="4">
        <f>IF(P109=0,0,Q109/P109-1)</f>
        <v>1.0032213399643957</v>
      </c>
      <c r="AD109" s="18">
        <v>7620.23</v>
      </c>
      <c r="AE109" s="18">
        <v>38593.269999999997</v>
      </c>
      <c r="AF109" s="4">
        <f>AE109/AD109-1</f>
        <v>4.0645807278782922</v>
      </c>
      <c r="AG109" s="150">
        <f>(L109*2)-V109</f>
        <v>1126.9099999999999</v>
      </c>
    </row>
    <row r="110" spans="1:33" ht="15" customHeight="1">
      <c r="A110" t="s">
        <v>1186</v>
      </c>
      <c r="B110" t="s">
        <v>169</v>
      </c>
      <c r="C110">
        <v>2357</v>
      </c>
      <c r="D110">
        <v>2324</v>
      </c>
      <c r="F110" t="s">
        <v>169</v>
      </c>
      <c r="G110">
        <v>3487</v>
      </c>
      <c r="H110">
        <v>3472</v>
      </c>
      <c r="I110" t="b">
        <f>IF(B110=F110,TRUE,FALSE)</f>
        <v>1</v>
      </c>
      <c r="L110">
        <f>G110-C110</f>
        <v>1130</v>
      </c>
      <c r="M110" s="4">
        <f>G110/C110-1</f>
        <v>0.47942299533305044</v>
      </c>
      <c r="N110" s="4"/>
      <c r="P110" s="5">
        <v>1781.91</v>
      </c>
      <c r="Q110" s="5">
        <v>2854.99</v>
      </c>
      <c r="S110" s="5">
        <v>14499.54</v>
      </c>
      <c r="V110" s="152">
        <f>Q110-P110</f>
        <v>1073.0799999999997</v>
      </c>
      <c r="W110" s="4">
        <f>IF(P110=0,0,Q110/P110-1)</f>
        <v>0.60220774337648897</v>
      </c>
      <c r="AD110" s="18">
        <v>47022.15</v>
      </c>
      <c r="AE110" s="18">
        <v>69505.8</v>
      </c>
      <c r="AF110" s="4">
        <f>AE110/AD110-1</f>
        <v>0.4781501909206618</v>
      </c>
      <c r="AG110" s="150">
        <f>(L110*2)-V110</f>
        <v>1186.9200000000003</v>
      </c>
    </row>
    <row r="111" spans="1:33" ht="15" customHeight="1">
      <c r="A111" t="s">
        <v>1187</v>
      </c>
      <c r="B111" t="s">
        <v>324</v>
      </c>
      <c r="C111">
        <v>3057</v>
      </c>
      <c r="D111">
        <v>3041</v>
      </c>
      <c r="F111" t="s">
        <v>324</v>
      </c>
      <c r="G111">
        <v>3422</v>
      </c>
      <c r="H111">
        <v>3414</v>
      </c>
      <c r="I111" t="b">
        <f>IF(B111=F111,TRUE,FALSE)</f>
        <v>1</v>
      </c>
      <c r="L111">
        <f>G111-C111</f>
        <v>365</v>
      </c>
      <c r="M111" s="4">
        <f>G111/C111-1</f>
        <v>0.11939810271508011</v>
      </c>
      <c r="N111" s="4"/>
      <c r="P111" s="5">
        <v>6692.94</v>
      </c>
      <c r="Q111" s="5">
        <v>6108.6200000000008</v>
      </c>
      <c r="S111" s="5">
        <v>27206.400000000001</v>
      </c>
      <c r="V111" s="152">
        <f>Q111-P111</f>
        <v>-584.3199999999988</v>
      </c>
      <c r="W111" s="4">
        <f>IF(P111=0,0,Q111/P111-1)</f>
        <v>-8.7303935191410442E-2</v>
      </c>
      <c r="AD111" s="18">
        <v>76344.45</v>
      </c>
      <c r="AE111" s="18">
        <v>85490.79</v>
      </c>
      <c r="AF111" s="4">
        <f>AE111/AD111-1</f>
        <v>0.11980360065466433</v>
      </c>
      <c r="AG111" s="150">
        <f>(L111*2)-V111</f>
        <v>1314.3199999999988</v>
      </c>
    </row>
    <row r="112" spans="1:33" ht="15" customHeight="1">
      <c r="A112" t="s">
        <v>1188</v>
      </c>
      <c r="B112" t="s">
        <v>245</v>
      </c>
      <c r="C112">
        <v>2814</v>
      </c>
      <c r="D112">
        <v>2798</v>
      </c>
      <c r="F112" t="s">
        <v>245</v>
      </c>
      <c r="G112">
        <v>4983</v>
      </c>
      <c r="H112">
        <v>4964</v>
      </c>
      <c r="I112" t="b">
        <f>IF(B112=F112,TRUE,FALSE)</f>
        <v>1</v>
      </c>
      <c r="L112">
        <f>G112-C112</f>
        <v>2169</v>
      </c>
      <c r="M112" s="4">
        <f>G112/C112-1</f>
        <v>0.77078891257995741</v>
      </c>
      <c r="N112" s="4"/>
      <c r="P112" s="5">
        <v>862.48</v>
      </c>
      <c r="Q112" s="5">
        <v>3148.06</v>
      </c>
      <c r="S112" s="5">
        <v>12280.720000000001</v>
      </c>
      <c r="V112" s="152">
        <f>Q112-P112</f>
        <v>2285.58</v>
      </c>
      <c r="W112" s="4">
        <f>IF(P112=0,0,Q112/P112-1)</f>
        <v>2.6500092755774047</v>
      </c>
      <c r="AD112" s="18">
        <v>44559.06</v>
      </c>
      <c r="AE112" s="18">
        <v>78762.03</v>
      </c>
      <c r="AF112" s="4">
        <f>AE112/AD112-1</f>
        <v>0.76758733240782018</v>
      </c>
      <c r="AG112" s="150">
        <f>(L112*2)-V112</f>
        <v>2052.42</v>
      </c>
    </row>
    <row r="113" spans="1:33" ht="15" customHeight="1">
      <c r="A113" t="s">
        <v>1189</v>
      </c>
      <c r="B113" t="s">
        <v>419</v>
      </c>
      <c r="C113">
        <v>1216</v>
      </c>
      <c r="D113">
        <v>1207</v>
      </c>
      <c r="F113" t="s">
        <v>419</v>
      </c>
      <c r="G113">
        <v>1070</v>
      </c>
      <c r="H113">
        <v>1060</v>
      </c>
      <c r="I113" t="b">
        <f>IF(B113=F113,TRUE,FALSE)</f>
        <v>1</v>
      </c>
      <c r="L113">
        <f>G113-C113</f>
        <v>-146</v>
      </c>
      <c r="M113" s="4">
        <f>G113/C113-1</f>
        <v>-0.12006578947368418</v>
      </c>
      <c r="N113" s="4"/>
      <c r="P113" s="5">
        <v>2537</v>
      </c>
      <c r="Q113" s="5">
        <v>2463.88</v>
      </c>
      <c r="S113" s="5">
        <v>10897.880000000001</v>
      </c>
      <c r="V113" s="152">
        <f>Q113-P114</f>
        <v>2463.88</v>
      </c>
      <c r="W113" s="4">
        <f>IF(P114=0,0,Q113/P114-1)</f>
        <v>0</v>
      </c>
      <c r="AD113" s="18">
        <v>24621.84</v>
      </c>
      <c r="AE113" s="18">
        <v>25669.3</v>
      </c>
      <c r="AF113" s="4">
        <f>AE113/AD113-1</f>
        <v>4.2541905885181475E-2</v>
      </c>
      <c r="AG113" s="150">
        <f>(L113*2)-V113</f>
        <v>-2755.88</v>
      </c>
    </row>
    <row r="114" spans="1:33" ht="15" customHeight="1">
      <c r="A114" s="59"/>
      <c r="B114" s="39"/>
      <c r="F114" s="39"/>
      <c r="M114" s="4"/>
      <c r="N114" s="4"/>
      <c r="W114" s="4"/>
      <c r="AD114" s="18"/>
      <c r="AE114" s="18"/>
    </row>
    <row r="115" spans="1:33" ht="15" customHeight="1">
      <c r="A115" s="59"/>
      <c r="B115" s="39"/>
      <c r="F115" s="39"/>
      <c r="M115" s="4"/>
      <c r="N115" s="4"/>
      <c r="W115" s="4"/>
      <c r="AD115" s="18"/>
      <c r="AE115" s="18"/>
    </row>
    <row r="116" spans="1:33" ht="13.5" customHeight="1">
      <c r="C116" s="3" t="s">
        <v>680</v>
      </c>
      <c r="D116" s="3" t="s">
        <v>11</v>
      </c>
      <c r="E116" s="3"/>
      <c r="F116" s="3"/>
      <c r="G116" s="3" t="s">
        <v>680</v>
      </c>
      <c r="H116" s="3" t="s">
        <v>12</v>
      </c>
      <c r="I116" s="3"/>
      <c r="J116" s="3"/>
      <c r="K116" s="3"/>
      <c r="L116" s="3" t="s">
        <v>681</v>
      </c>
      <c r="M116" s="33"/>
      <c r="N116" s="33"/>
      <c r="O116" s="3"/>
      <c r="P116" s="35" t="s">
        <v>682</v>
      </c>
      <c r="Q116" s="35" t="s">
        <v>682</v>
      </c>
      <c r="R116" s="3"/>
      <c r="S116" s="35" t="s">
        <v>683</v>
      </c>
      <c r="T116" s="3"/>
      <c r="U116" s="3"/>
      <c r="V116" s="153" t="s">
        <v>684</v>
      </c>
      <c r="W116" s="33"/>
      <c r="X116" s="3"/>
      <c r="Y116" s="3"/>
      <c r="Z116" s="3"/>
      <c r="AA116" s="3"/>
      <c r="AB116" s="3"/>
      <c r="AC116" s="36"/>
      <c r="AD116" s="37" t="s">
        <v>3</v>
      </c>
      <c r="AE116" s="37" t="s">
        <v>3</v>
      </c>
    </row>
    <row r="117" spans="1:33">
      <c r="C117" s="19">
        <f>SUM(C3:C113)</f>
        <v>141383</v>
      </c>
      <c r="D117">
        <f>SUM(D3:D113)</f>
        <v>139822</v>
      </c>
      <c r="G117" s="19">
        <f>SUM(G3:G113)</f>
        <v>167484</v>
      </c>
      <c r="H117" s="19">
        <f>SUM(H3:H113)</f>
        <v>166699</v>
      </c>
      <c r="L117">
        <f>SUM(L3:L113)</f>
        <v>26101</v>
      </c>
      <c r="M117" s="4"/>
      <c r="N117" s="4"/>
      <c r="P117" s="5">
        <f>SUM(P3:P113)</f>
        <v>168096.47</v>
      </c>
      <c r="Q117" s="5">
        <f>SUM(Q3:Q113)</f>
        <v>231150.66000000003</v>
      </c>
      <c r="S117" s="5">
        <f>SUM(S3:S113)</f>
        <v>1098356.8199999996</v>
      </c>
      <c r="V117" s="152">
        <f>Q117-P117</f>
        <v>63054.190000000031</v>
      </c>
      <c r="W117" s="4">
        <f>IF(P117=0,0,Q117/P117-1)</f>
        <v>0.37510716316648418</v>
      </c>
      <c r="Z117" s="5"/>
      <c r="AA117" s="5"/>
      <c r="AB117" s="5"/>
      <c r="AC117" s="17"/>
      <c r="AD117" s="18">
        <f>SUM(AD3:AD113)</f>
        <v>2941749.1100000003</v>
      </c>
      <c r="AE117" s="18">
        <f>SUM(AE3:AE113)</f>
        <v>3609131.1899999976</v>
      </c>
      <c r="AF117" s="4">
        <f t="shared" ref="AF117" si="0">AE117/AD117-1</f>
        <v>0.22686573703085</v>
      </c>
    </row>
    <row r="118" spans="1:33">
      <c r="M118" s="4"/>
      <c r="N118" s="4"/>
      <c r="W118" s="4"/>
      <c r="Z118" s="5"/>
      <c r="AA118" s="5"/>
      <c r="AB118" s="5"/>
      <c r="AC118" s="17"/>
    </row>
    <row r="119" spans="1:33">
      <c r="C119" s="4"/>
      <c r="G119" s="19">
        <f>G117-C117</f>
        <v>26101</v>
      </c>
      <c r="H119" s="19"/>
      <c r="M119" s="4"/>
      <c r="N119" s="4"/>
      <c r="P119" s="4"/>
      <c r="Q119" s="33" t="s">
        <v>690</v>
      </c>
      <c r="S119" s="28">
        <f>Q117/S117</f>
        <v>0.21045133584184428</v>
      </c>
      <c r="W119" s="4"/>
      <c r="AD119" s="3" t="s">
        <v>691</v>
      </c>
      <c r="AE119" s="3" t="s">
        <v>691</v>
      </c>
    </row>
    <row r="120" spans="1:33">
      <c r="G120" s="4">
        <f>G117/C117-1</f>
        <v>0.18461201134506977</v>
      </c>
      <c r="H120" s="4"/>
      <c r="M120" s="4"/>
      <c r="N120" s="4"/>
      <c r="S120" s="13"/>
      <c r="W120" s="4"/>
      <c r="AD120" s="34">
        <f>P117/AD117</f>
        <v>5.7141674464550096E-2</v>
      </c>
      <c r="AE120" s="34">
        <f>Q117/AE117</f>
        <v>6.404606755234081E-2</v>
      </c>
    </row>
    <row r="121" spans="1:33">
      <c r="M121" s="4"/>
      <c r="N121" s="4"/>
      <c r="W121" s="4"/>
    </row>
    <row r="122" spans="1:33">
      <c r="M122" s="4"/>
      <c r="N122" s="4"/>
      <c r="W122" s="4"/>
    </row>
    <row r="123" spans="1:33">
      <c r="M123" s="4"/>
      <c r="N123" s="4"/>
      <c r="W123" s="4"/>
    </row>
    <row r="124" spans="1:33">
      <c r="M124" s="4"/>
      <c r="N124" s="4"/>
      <c r="W124" s="4"/>
    </row>
    <row r="125" spans="1:33">
      <c r="W125" s="4"/>
    </row>
    <row r="126" spans="1:33">
      <c r="M126" s="4"/>
      <c r="N126" s="4"/>
      <c r="W126" s="4"/>
    </row>
    <row r="127" spans="1:33">
      <c r="M127" s="4"/>
      <c r="N127" s="4"/>
      <c r="W127" s="4"/>
    </row>
    <row r="128" spans="1:33">
      <c r="M128" s="4"/>
      <c r="N128" s="4"/>
      <c r="W128" s="4"/>
    </row>
    <row r="129" spans="13:23">
      <c r="M129" s="4"/>
      <c r="N129" s="4"/>
      <c r="W129" s="4"/>
    </row>
    <row r="130" spans="13:23">
      <c r="M130" s="4"/>
      <c r="N130" s="4"/>
      <c r="W130" s="4"/>
    </row>
    <row r="131" spans="13:23">
      <c r="M131" s="4"/>
      <c r="N131" s="4"/>
      <c r="W131" s="4"/>
    </row>
    <row r="132" spans="13:23">
      <c r="M132" s="4"/>
      <c r="N132" s="4"/>
      <c r="W132" s="4"/>
    </row>
    <row r="133" spans="13:23">
      <c r="M133" s="4"/>
      <c r="N133" s="4"/>
      <c r="W133" s="4"/>
    </row>
    <row r="134" spans="13:23">
      <c r="M134" s="4"/>
      <c r="N134" s="4"/>
      <c r="W134" s="4"/>
    </row>
    <row r="135" spans="13:23">
      <c r="M135" s="4"/>
      <c r="N135" s="4"/>
      <c r="W135" s="4"/>
    </row>
    <row r="136" spans="13:23">
      <c r="M136" s="4"/>
      <c r="N136" s="4"/>
      <c r="W136" s="4"/>
    </row>
    <row r="137" spans="13:23">
      <c r="M137" s="4"/>
      <c r="N137" s="4"/>
      <c r="W137" s="4"/>
    </row>
    <row r="138" spans="13:23">
      <c r="M138" s="4"/>
      <c r="N138" s="4"/>
      <c r="W138" s="4"/>
    </row>
    <row r="139" spans="13:23">
      <c r="M139" s="4"/>
      <c r="N139" s="4"/>
      <c r="W139" s="4"/>
    </row>
    <row r="140" spans="13:23">
      <c r="M140" s="4"/>
      <c r="N140" s="4"/>
      <c r="W140" s="4"/>
    </row>
    <row r="141" spans="13:23">
      <c r="M141" s="4"/>
      <c r="N141" s="4"/>
      <c r="W141" s="4"/>
    </row>
    <row r="142" spans="13:23">
      <c r="M142" s="4"/>
      <c r="N142" s="4"/>
      <c r="W142" s="4"/>
    </row>
    <row r="143" spans="13:23">
      <c r="M143" s="4"/>
      <c r="N143" s="4"/>
      <c r="W143" s="4"/>
    </row>
    <row r="144" spans="13:23">
      <c r="M144" s="4"/>
      <c r="N144" s="4"/>
      <c r="W144" s="4"/>
    </row>
    <row r="145" spans="13:23">
      <c r="M145" s="4"/>
      <c r="N145" s="4"/>
      <c r="W145" s="4"/>
    </row>
    <row r="146" spans="13:23">
      <c r="M146" s="4"/>
      <c r="N146" s="4"/>
      <c r="W146" s="4"/>
    </row>
    <row r="147" spans="13:23">
      <c r="M147" s="4"/>
      <c r="N147" s="4"/>
      <c r="W147" s="4"/>
    </row>
    <row r="148" spans="13:23">
      <c r="M148" s="4"/>
      <c r="N148" s="4"/>
      <c r="W148" s="4"/>
    </row>
    <row r="149" spans="13:23">
      <c r="M149" s="4"/>
      <c r="N149" s="4"/>
      <c r="W149" s="4"/>
    </row>
    <row r="150" spans="13:23">
      <c r="M150" s="4"/>
      <c r="N150" s="4"/>
      <c r="W150" s="4"/>
    </row>
    <row r="151" spans="13:23">
      <c r="M151" s="4"/>
      <c r="N151" s="4"/>
      <c r="W151" s="4"/>
    </row>
    <row r="152" spans="13:23">
      <c r="M152" s="4"/>
      <c r="N152" s="4"/>
      <c r="W152" s="4"/>
    </row>
    <row r="153" spans="13:23">
      <c r="M153" s="4"/>
      <c r="N153" s="4"/>
      <c r="W153" s="4"/>
    </row>
    <row r="154" spans="13:23">
      <c r="M154" s="4"/>
      <c r="N154" s="4"/>
      <c r="W154" s="4"/>
    </row>
    <row r="155" spans="13:23">
      <c r="M155" s="4"/>
      <c r="N155" s="4"/>
      <c r="W155" s="4"/>
    </row>
    <row r="156" spans="13:23">
      <c r="M156" s="4"/>
      <c r="N156" s="4"/>
      <c r="W156" s="4"/>
    </row>
    <row r="157" spans="13:23">
      <c r="M157" s="4"/>
      <c r="N157" s="4"/>
      <c r="W157" s="4"/>
    </row>
    <row r="158" spans="13:23">
      <c r="M158" s="4"/>
      <c r="N158" s="4"/>
      <c r="W158" s="4"/>
    </row>
    <row r="159" spans="13:23">
      <c r="M159" s="4"/>
      <c r="N159" s="4"/>
      <c r="W159" s="4"/>
    </row>
    <row r="160" spans="13:23">
      <c r="M160" s="4"/>
      <c r="N160" s="4"/>
      <c r="W160" s="4"/>
    </row>
    <row r="161" spans="3:23">
      <c r="M161" s="4"/>
      <c r="N161" s="4"/>
      <c r="W161" s="4"/>
    </row>
    <row r="162" spans="3:23">
      <c r="M162" s="4"/>
      <c r="N162" s="4"/>
      <c r="W162" s="4"/>
    </row>
    <row r="163" spans="3:23">
      <c r="M163" s="4"/>
      <c r="N163" s="4"/>
      <c r="W163" s="4"/>
    </row>
    <row r="164" spans="3:23">
      <c r="M164" s="4"/>
      <c r="N164" s="4"/>
      <c r="W164" s="4"/>
    </row>
    <row r="165" spans="3:23">
      <c r="M165" s="4"/>
      <c r="N165" s="4"/>
      <c r="W165" s="4"/>
    </row>
    <row r="166" spans="3:23">
      <c r="M166" s="6"/>
      <c r="N166" s="6"/>
      <c r="P166" s="11"/>
      <c r="Q166" s="11"/>
      <c r="V166" s="157"/>
      <c r="W166" s="6"/>
    </row>
    <row r="167" spans="3:23" ht="15" customHeight="1">
      <c r="M167" s="6"/>
      <c r="N167" s="6"/>
      <c r="P167" s="11"/>
      <c r="Q167" s="11"/>
      <c r="V167" s="157"/>
      <c r="W167" s="6"/>
    </row>
    <row r="168" spans="3:23" ht="15" customHeight="1">
      <c r="M168" s="6"/>
      <c r="N168" s="6"/>
      <c r="P168" s="11"/>
      <c r="Q168" s="11"/>
      <c r="V168" s="157"/>
      <c r="W168" s="6"/>
    </row>
    <row r="169" spans="3:23" ht="15" customHeight="1">
      <c r="M169" s="6"/>
      <c r="N169" s="6"/>
      <c r="P169" s="11"/>
      <c r="Q169" s="11"/>
      <c r="V169" s="157"/>
      <c r="W169" s="6"/>
    </row>
    <row r="170" spans="3:23" ht="15" customHeight="1">
      <c r="M170" s="6"/>
      <c r="P170" s="11"/>
      <c r="Q170" s="11"/>
      <c r="V170" s="157"/>
      <c r="W170" s="6"/>
    </row>
    <row r="171" spans="3:23" ht="15" customHeight="1">
      <c r="M171" s="6"/>
      <c r="N171" s="6"/>
      <c r="P171" s="11"/>
      <c r="Q171" s="11"/>
      <c r="V171" s="157"/>
      <c r="W171" s="6"/>
    </row>
    <row r="172" spans="3:23" ht="15" customHeight="1">
      <c r="M172" s="6"/>
      <c r="N172" s="6"/>
      <c r="P172" s="11"/>
      <c r="Q172" s="11"/>
      <c r="V172" s="157"/>
      <c r="W172" s="6"/>
    </row>
    <row r="173" spans="3:23" ht="15" customHeight="1">
      <c r="M173" s="6"/>
      <c r="N173" s="6"/>
      <c r="P173" s="11"/>
      <c r="Q173" s="11"/>
      <c r="V173" s="157"/>
      <c r="W173" s="6"/>
    </row>
    <row r="174" spans="3:23" ht="15" customHeight="1">
      <c r="M174" s="6"/>
      <c r="N174" s="6"/>
      <c r="P174" s="11"/>
      <c r="Q174" s="11"/>
      <c r="V174" s="157"/>
      <c r="W174" s="6"/>
    </row>
    <row r="175" spans="3:23">
      <c r="P175" s="11"/>
      <c r="Q175" s="11"/>
      <c r="V175" s="157"/>
    </row>
    <row r="176" spans="3:23" ht="15" customHeight="1">
      <c r="C176" s="8"/>
      <c r="G176" s="8"/>
      <c r="H176" s="8"/>
      <c r="L176" s="8"/>
      <c r="P176" s="11"/>
      <c r="Q176" s="11"/>
      <c r="V176" s="157"/>
    </row>
    <row r="177" spans="3:22">
      <c r="P177" s="11"/>
      <c r="Q177" s="11"/>
      <c r="V177" s="157"/>
    </row>
    <row r="178" spans="3:22" ht="15" customHeight="1">
      <c r="P178" s="11"/>
      <c r="Q178" s="11"/>
      <c r="V178" s="157"/>
    </row>
    <row r="179" spans="3:22" ht="15" customHeight="1">
      <c r="C179" s="9"/>
      <c r="G179" s="9"/>
      <c r="H179" s="9"/>
    </row>
    <row r="181" spans="3:22" ht="15" customHeight="1">
      <c r="C181" s="8"/>
      <c r="G181" s="8"/>
      <c r="H181" s="8"/>
    </row>
    <row r="184" spans="3:22" ht="15" customHeight="1">
      <c r="C184" s="9"/>
      <c r="G184" s="9"/>
      <c r="H184" s="9"/>
    </row>
  </sheetData>
  <autoFilter ref="A2:AJ2" xr:uid="{A0872D2E-CA91-4628-AF55-6EA17D54F5B9}"/>
  <sortState xmlns:xlrd2="http://schemas.microsoft.com/office/spreadsheetml/2017/richdata2" ref="L3:M104">
    <sortCondition ref="L104"/>
  </sortState>
  <mergeCells count="7">
    <mergeCell ref="AD1:AE1"/>
    <mergeCell ref="Z1:AC1"/>
    <mergeCell ref="B1:C1"/>
    <mergeCell ref="F1:G1"/>
    <mergeCell ref="L1:M1"/>
    <mergeCell ref="P1:Q1"/>
    <mergeCell ref="V1:W1"/>
  </mergeCells>
  <phoneticPr fontId="3" type="noConversion"/>
  <conditionalFormatting sqref="E90 J90:K90 N90:O90 R90 T90:U90">
    <cfRule type="cellIs" dxfId="14" priority="17" operator="greaterThan">
      <formula>500</formula>
    </cfRule>
    <cfRule type="cellIs" dxfId="13" priority="18" operator="lessThan">
      <formula>-100</formula>
    </cfRule>
  </conditionalFormatting>
  <conditionalFormatting sqref="L2:L116 L118:L124 L126:L175">
    <cfRule type="cellIs" dxfId="12" priority="7" operator="greaterThan">
      <formula>500</formula>
    </cfRule>
  </conditionalFormatting>
  <conditionalFormatting sqref="L3:L116 L118:L124 L126:L174">
    <cfRule type="cellIs" dxfId="11" priority="11" operator="lessThan">
      <formula>-100</formula>
    </cfRule>
  </conditionalFormatting>
  <conditionalFormatting sqref="L177:L1048576">
    <cfRule type="cellIs" dxfId="10" priority="30" operator="greaterThan">
      <formula>500</formula>
    </cfRule>
  </conditionalFormatting>
  <conditionalFormatting sqref="M2">
    <cfRule type="cellIs" dxfId="9" priority="31" operator="lessThan">
      <formula>-20%</formula>
    </cfRule>
  </conditionalFormatting>
  <conditionalFormatting sqref="M3:M124 M126:M1048576">
    <cfRule type="cellIs" dxfId="8" priority="14" operator="lessThan">
      <formula>-0.2</formula>
    </cfRule>
  </conditionalFormatting>
  <conditionalFormatting sqref="M3:N3 N4:N78 M4:M124 N80:N89 N91:N124 N126:N170 M126:M174">
    <cfRule type="cellIs" dxfId="7" priority="35" operator="greaterThan">
      <formula>0.2</formula>
    </cfRule>
  </conditionalFormatting>
  <conditionalFormatting sqref="W3:W174">
    <cfRule type="cellIs" dxfId="6" priority="33" operator="greaterThan">
      <formula>0.5</formula>
    </cfRule>
  </conditionalFormatting>
  <conditionalFormatting sqref="AF3:AF113">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F117">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B54"/>
  <sheetViews>
    <sheetView topLeftCell="O1" zoomScale="85" zoomScaleNormal="85" workbookViewId="0">
      <selection activeCell="AB15" sqref="AB15"/>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s>
  <sheetData>
    <row r="1" spans="1:28" ht="15.75" thickBot="1">
      <c r="A1" s="38" t="s">
        <v>1190</v>
      </c>
      <c r="B1" s="60" t="s">
        <v>1191</v>
      </c>
      <c r="C1" s="60" t="s">
        <v>1192</v>
      </c>
      <c r="D1" s="60" t="s">
        <v>1193</v>
      </c>
      <c r="E1" s="60" t="s">
        <v>1194</v>
      </c>
      <c r="F1" s="60" t="s">
        <v>1195</v>
      </c>
      <c r="G1" s="60" t="s">
        <v>1196</v>
      </c>
      <c r="H1" s="60" t="s">
        <v>1197</v>
      </c>
      <c r="I1" s="60" t="s">
        <v>1198</v>
      </c>
      <c r="J1" s="60" t="s">
        <v>1199</v>
      </c>
      <c r="K1" s="60" t="s">
        <v>1200</v>
      </c>
      <c r="L1" s="60" t="s">
        <v>1201</v>
      </c>
      <c r="M1" s="60" t="s">
        <v>1202</v>
      </c>
      <c r="N1" s="60" t="s">
        <v>1203</v>
      </c>
      <c r="O1" s="60" t="s">
        <v>1204</v>
      </c>
      <c r="P1" s="60" t="s">
        <v>1205</v>
      </c>
      <c r="Q1" s="60" t="s">
        <v>1206</v>
      </c>
      <c r="R1" s="60" t="s">
        <v>1207</v>
      </c>
      <c r="S1" s="60" t="s">
        <v>1208</v>
      </c>
      <c r="T1" s="60" t="s">
        <v>1209</v>
      </c>
      <c r="U1" s="60" t="s">
        <v>1210</v>
      </c>
      <c r="V1" s="60" t="s">
        <v>1211</v>
      </c>
      <c r="W1" s="60" t="s">
        <v>1212</v>
      </c>
      <c r="X1" s="60" t="s">
        <v>1213</v>
      </c>
      <c r="Y1" s="61" t="s">
        <v>1214</v>
      </c>
      <c r="Z1" s="61" t="s">
        <v>1215</v>
      </c>
      <c r="AA1" s="29"/>
      <c r="AB1" s="29"/>
    </row>
    <row r="2" spans="1:28">
      <c r="A2" s="62" t="s">
        <v>1216</v>
      </c>
      <c r="B2" s="63">
        <v>4932070</v>
      </c>
      <c r="C2" s="63">
        <v>4882291</v>
      </c>
      <c r="D2" s="63">
        <v>5747107</v>
      </c>
      <c r="E2" s="63">
        <v>5558578</v>
      </c>
      <c r="F2" s="63">
        <v>5608447</v>
      </c>
      <c r="G2" s="63">
        <v>5365821</v>
      </c>
      <c r="H2" s="63">
        <v>6175048</v>
      </c>
      <c r="I2" s="63">
        <v>6208913</v>
      </c>
      <c r="J2" s="63">
        <v>6107157</v>
      </c>
      <c r="K2" s="63">
        <v>6062880</v>
      </c>
      <c r="L2" s="63">
        <v>6409021</v>
      </c>
      <c r="M2" s="63">
        <v>5849059</v>
      </c>
      <c r="N2" s="103">
        <v>7678962</v>
      </c>
      <c r="O2" s="63">
        <v>8708296</v>
      </c>
      <c r="P2" s="63">
        <v>10429669.960000001</v>
      </c>
      <c r="Q2" s="63">
        <v>12527965</v>
      </c>
      <c r="R2" s="63">
        <v>12400737</v>
      </c>
      <c r="S2" s="63">
        <v>12318165</v>
      </c>
      <c r="T2" s="63">
        <v>13296822</v>
      </c>
      <c r="U2" s="63">
        <v>12427810.4</v>
      </c>
      <c r="V2" s="63">
        <v>12425462.310000001</v>
      </c>
      <c r="W2" s="63">
        <v>13116754.92</v>
      </c>
      <c r="X2" s="63">
        <v>13168808.529999999</v>
      </c>
      <c r="Y2" s="99">
        <v>13467008.08</v>
      </c>
      <c r="Z2" s="138">
        <v>16902826.940000001</v>
      </c>
      <c r="AA2" s="29"/>
      <c r="AB2" s="29"/>
    </row>
    <row r="3" spans="1:28">
      <c r="A3" s="65" t="s">
        <v>1217</v>
      </c>
      <c r="B3" s="66">
        <v>2297147</v>
      </c>
      <c r="C3" s="66">
        <v>2150420</v>
      </c>
      <c r="D3" s="66">
        <v>2629984</v>
      </c>
      <c r="E3" s="66">
        <v>2521569</v>
      </c>
      <c r="F3" s="66">
        <v>2259914</v>
      </c>
      <c r="G3" s="66">
        <v>2519256</v>
      </c>
      <c r="H3" s="66">
        <v>2827089</v>
      </c>
      <c r="I3" s="66">
        <v>2875100</v>
      </c>
      <c r="J3" s="66">
        <v>3207713</v>
      </c>
      <c r="K3" s="66">
        <v>2859584</v>
      </c>
      <c r="L3" s="66">
        <v>3081446</v>
      </c>
      <c r="M3" s="66">
        <v>3056146</v>
      </c>
      <c r="N3" s="104">
        <v>3844080</v>
      </c>
      <c r="O3" s="66">
        <v>3634529</v>
      </c>
      <c r="P3" s="66">
        <v>3706201</v>
      </c>
      <c r="Q3" s="66">
        <v>3814600</v>
      </c>
      <c r="R3" s="66">
        <v>3900991</v>
      </c>
      <c r="S3" s="66">
        <v>3690019</v>
      </c>
      <c r="T3" s="66">
        <v>3951398</v>
      </c>
      <c r="U3" s="66">
        <v>3583522.44</v>
      </c>
      <c r="V3" s="66">
        <v>3864300.73</v>
      </c>
      <c r="W3" s="66">
        <v>4230378.59</v>
      </c>
      <c r="X3" s="66">
        <v>4478555.7300000004</v>
      </c>
      <c r="Y3" s="100">
        <v>4536415</v>
      </c>
      <c r="Z3" s="142">
        <v>5536315.4100000001</v>
      </c>
      <c r="AA3" s="29"/>
      <c r="AB3" s="29"/>
    </row>
    <row r="4" spans="1:28">
      <c r="A4" s="67" t="s">
        <v>1218</v>
      </c>
      <c r="B4" s="68">
        <v>1279804</v>
      </c>
      <c r="C4" s="68">
        <v>1268372</v>
      </c>
      <c r="D4" s="68">
        <v>1573830</v>
      </c>
      <c r="E4" s="68">
        <v>1506528</v>
      </c>
      <c r="F4" s="68">
        <v>1655029</v>
      </c>
      <c r="G4" s="68">
        <v>1700272</v>
      </c>
      <c r="H4" s="68">
        <v>2169477</v>
      </c>
      <c r="I4" s="68">
        <v>2248226</v>
      </c>
      <c r="J4" s="68">
        <v>2556442</v>
      </c>
      <c r="K4" s="68">
        <v>2514905</v>
      </c>
      <c r="L4" s="68">
        <v>2557339</v>
      </c>
      <c r="M4" s="68">
        <v>2415591</v>
      </c>
      <c r="N4" s="105">
        <v>2984457</v>
      </c>
      <c r="O4" s="68">
        <v>2977315</v>
      </c>
      <c r="P4" s="68">
        <v>3001644</v>
      </c>
      <c r="Q4" s="68">
        <v>3078498</v>
      </c>
      <c r="R4" s="68">
        <v>3417854</v>
      </c>
      <c r="S4" s="68">
        <v>2883462</v>
      </c>
      <c r="T4" s="68">
        <v>2983823.16</v>
      </c>
      <c r="U4" s="68">
        <v>2907226.21</v>
      </c>
      <c r="V4" s="68">
        <v>3099136.78</v>
      </c>
      <c r="W4" s="68">
        <v>3166072.06</v>
      </c>
      <c r="X4" s="68">
        <v>3138932.53</v>
      </c>
      <c r="Y4" s="101">
        <v>2941749.11</v>
      </c>
      <c r="Z4" s="143">
        <v>3609131</v>
      </c>
      <c r="AA4" s="29"/>
      <c r="AB4" s="29"/>
    </row>
    <row r="5" spans="1:28" ht="15.75" thickBot="1">
      <c r="A5" s="69" t="s">
        <v>1219</v>
      </c>
      <c r="B5" s="70">
        <v>8509021</v>
      </c>
      <c r="C5" s="70">
        <v>8301083</v>
      </c>
      <c r="D5" s="70">
        <v>9950921</v>
      </c>
      <c r="E5" s="70">
        <v>9586675</v>
      </c>
      <c r="F5" s="70">
        <v>9523390</v>
      </c>
      <c r="G5" s="70">
        <v>9585349</v>
      </c>
      <c r="H5" s="70">
        <v>11171614</v>
      </c>
      <c r="I5" s="70">
        <v>11332239</v>
      </c>
      <c r="J5" s="70">
        <v>11871312</v>
      </c>
      <c r="K5" s="70">
        <v>11437369</v>
      </c>
      <c r="L5" s="70">
        <v>12047806</v>
      </c>
      <c r="M5" s="70">
        <v>11320796</v>
      </c>
      <c r="N5" s="106">
        <v>14507499</v>
      </c>
      <c r="O5" s="70">
        <v>15320140</v>
      </c>
      <c r="P5" s="70">
        <v>17137514.960000001</v>
      </c>
      <c r="Q5" s="70">
        <v>19421063</v>
      </c>
      <c r="R5" s="70">
        <v>19719582</v>
      </c>
      <c r="S5" s="70">
        <v>18891646</v>
      </c>
      <c r="T5" s="70">
        <v>20232043.16</v>
      </c>
      <c r="U5" s="70">
        <v>18918559.050000001</v>
      </c>
      <c r="V5" s="70">
        <v>19388899.82</v>
      </c>
      <c r="W5" s="70">
        <v>20513205.57</v>
      </c>
      <c r="X5" s="70">
        <v>20786296.789999999</v>
      </c>
      <c r="Y5" s="102">
        <f>SUM(Y2:Y4)</f>
        <v>20945172.189999998</v>
      </c>
      <c r="Z5" s="144">
        <f>SUM(Z2:Z4)</f>
        <v>26048273.350000001</v>
      </c>
      <c r="AA5" s="29"/>
      <c r="AB5" s="29"/>
    </row>
    <row r="6" spans="1:28">
      <c r="A6" s="71"/>
      <c r="B6" s="71"/>
      <c r="C6" s="71"/>
      <c r="D6" s="71"/>
      <c r="E6" s="71"/>
      <c r="F6" s="71"/>
      <c r="G6" s="71"/>
      <c r="H6" s="71"/>
      <c r="I6" s="71"/>
      <c r="J6" s="71"/>
      <c r="K6" s="71"/>
      <c r="L6" s="71"/>
      <c r="M6" s="71"/>
      <c r="N6" s="71"/>
      <c r="O6" s="71"/>
      <c r="P6" s="71"/>
      <c r="Q6" s="71"/>
      <c r="R6" s="71"/>
      <c r="S6" s="71"/>
      <c r="T6" s="71"/>
      <c r="U6" s="64"/>
      <c r="V6" s="64"/>
      <c r="W6" s="64"/>
      <c r="X6" s="64"/>
      <c r="Y6" s="64"/>
      <c r="Z6" s="64"/>
      <c r="AA6" s="29"/>
      <c r="AB6" s="169"/>
    </row>
    <row r="7" spans="1:28">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176"/>
    </row>
    <row r="8" spans="1:28">
      <c r="A8" s="38" t="s">
        <v>1220</v>
      </c>
      <c r="B8" s="60" t="s">
        <v>1191</v>
      </c>
      <c r="C8" s="60" t="s">
        <v>1192</v>
      </c>
      <c r="D8" s="60" t="s">
        <v>1193</v>
      </c>
      <c r="E8" s="60" t="s">
        <v>1194</v>
      </c>
      <c r="F8" s="60" t="s">
        <v>1195</v>
      </c>
      <c r="G8" s="60" t="s">
        <v>1196</v>
      </c>
      <c r="H8" s="60" t="s">
        <v>1197</v>
      </c>
      <c r="I8" s="60" t="s">
        <v>1198</v>
      </c>
      <c r="J8" s="60" t="s">
        <v>1199</v>
      </c>
      <c r="K8" s="60" t="s">
        <v>1200</v>
      </c>
      <c r="L8" s="60" t="s">
        <v>1201</v>
      </c>
      <c r="M8" s="60" t="s">
        <v>1202</v>
      </c>
      <c r="N8" s="60" t="s">
        <v>1203</v>
      </c>
      <c r="O8" s="60" t="s">
        <v>1204</v>
      </c>
      <c r="P8" s="60" t="s">
        <v>1205</v>
      </c>
      <c r="Q8" s="60" t="s">
        <v>1206</v>
      </c>
      <c r="R8" s="60" t="s">
        <v>1207</v>
      </c>
      <c r="S8" s="60" t="s">
        <v>1208</v>
      </c>
      <c r="T8" s="60" t="s">
        <v>1209</v>
      </c>
      <c r="U8" s="60" t="s">
        <v>1210</v>
      </c>
      <c r="V8" s="60" t="s">
        <v>1211</v>
      </c>
      <c r="W8" s="60" t="s">
        <v>1212</v>
      </c>
      <c r="X8" s="60" t="s">
        <v>1213</v>
      </c>
      <c r="Y8" s="61" t="s">
        <v>1214</v>
      </c>
      <c r="Z8" s="61" t="s">
        <v>1215</v>
      </c>
      <c r="AA8" s="29"/>
      <c r="AB8" s="29"/>
    </row>
    <row r="9" spans="1:28">
      <c r="A9" s="62" t="s">
        <v>1216</v>
      </c>
      <c r="B9" s="72"/>
      <c r="C9" s="72"/>
      <c r="D9" s="72"/>
      <c r="E9" s="72"/>
      <c r="F9" s="72"/>
      <c r="G9" s="72"/>
      <c r="H9" s="72"/>
      <c r="I9" s="63">
        <v>1904424</v>
      </c>
      <c r="J9" s="63">
        <v>1695098</v>
      </c>
      <c r="K9" s="63">
        <v>1666813</v>
      </c>
      <c r="L9" s="63">
        <v>1750099</v>
      </c>
      <c r="M9" s="63">
        <v>1643527</v>
      </c>
      <c r="N9" s="103">
        <v>2406151</v>
      </c>
      <c r="O9" s="63">
        <v>2919412.87</v>
      </c>
      <c r="P9" s="63">
        <v>3048758.81</v>
      </c>
      <c r="Q9" s="63">
        <v>3106780.26</v>
      </c>
      <c r="R9" s="63">
        <v>2784737.18</v>
      </c>
      <c r="S9" s="63">
        <v>3492681.52</v>
      </c>
      <c r="T9" s="63">
        <v>4066064.7</v>
      </c>
      <c r="U9" s="63">
        <v>3748577.68</v>
      </c>
      <c r="V9" s="63">
        <v>3443396.96</v>
      </c>
      <c r="W9" s="63">
        <v>3525797.52</v>
      </c>
      <c r="X9" s="63">
        <v>3658847.17</v>
      </c>
      <c r="Y9" s="99">
        <v>3834500.07</v>
      </c>
      <c r="Z9" s="137">
        <v>5020104.29</v>
      </c>
      <c r="AA9" s="29"/>
      <c r="AB9" s="29"/>
    </row>
    <row r="10" spans="1:28">
      <c r="A10" s="65" t="s">
        <v>1217</v>
      </c>
      <c r="B10" s="73"/>
      <c r="C10" s="73"/>
      <c r="D10" s="73"/>
      <c r="E10" s="73"/>
      <c r="F10" s="73"/>
      <c r="G10" s="73"/>
      <c r="H10" s="73"/>
      <c r="I10" s="66">
        <v>706024</v>
      </c>
      <c r="J10" s="66">
        <v>780336</v>
      </c>
      <c r="K10" s="66">
        <v>681505.29</v>
      </c>
      <c r="L10" s="66">
        <v>757472</v>
      </c>
      <c r="M10" s="66">
        <v>689408</v>
      </c>
      <c r="N10" s="104">
        <v>1042938</v>
      </c>
      <c r="O10" s="66">
        <v>993958</v>
      </c>
      <c r="P10" s="66">
        <v>1014061</v>
      </c>
      <c r="Q10" s="66">
        <v>988563</v>
      </c>
      <c r="R10" s="66">
        <v>976671</v>
      </c>
      <c r="S10" s="66">
        <v>810220</v>
      </c>
      <c r="T10" s="66">
        <v>880304</v>
      </c>
      <c r="U10" s="66">
        <v>819190</v>
      </c>
      <c r="V10" s="66">
        <v>844494</v>
      </c>
      <c r="W10" s="66">
        <v>986509</v>
      </c>
      <c r="X10" s="66">
        <v>1077277</v>
      </c>
      <c r="Y10" s="100">
        <v>1149351</v>
      </c>
      <c r="Z10" s="139">
        <v>1516609</v>
      </c>
      <c r="AA10" s="29"/>
      <c r="AB10" s="29"/>
    </row>
    <row r="11" spans="1:28">
      <c r="A11" s="67" t="s">
        <v>1218</v>
      </c>
      <c r="B11" s="74"/>
      <c r="C11" s="74"/>
      <c r="D11" s="74"/>
      <c r="E11" s="74"/>
      <c r="F11" s="74"/>
      <c r="G11" s="74"/>
      <c r="H11" s="74"/>
      <c r="I11" s="68">
        <v>601219</v>
      </c>
      <c r="J11" s="68">
        <v>693403</v>
      </c>
      <c r="K11" s="68">
        <v>656364.23</v>
      </c>
      <c r="L11" s="68">
        <v>695530</v>
      </c>
      <c r="M11" s="68">
        <v>708403</v>
      </c>
      <c r="N11" s="105">
        <v>973949</v>
      </c>
      <c r="O11" s="68">
        <v>951983</v>
      </c>
      <c r="P11" s="68">
        <v>931209</v>
      </c>
      <c r="Q11" s="68">
        <v>895312</v>
      </c>
      <c r="R11" s="68">
        <v>1019778</v>
      </c>
      <c r="S11" s="68">
        <v>790104</v>
      </c>
      <c r="T11" s="68">
        <v>808969</v>
      </c>
      <c r="U11" s="68">
        <v>809964</v>
      </c>
      <c r="V11" s="68">
        <v>874705</v>
      </c>
      <c r="W11" s="68">
        <v>857979</v>
      </c>
      <c r="X11" s="68">
        <v>789235</v>
      </c>
      <c r="Y11" s="101">
        <v>795115</v>
      </c>
      <c r="Z11" s="140">
        <v>1098357</v>
      </c>
      <c r="AA11" s="29"/>
      <c r="AB11" s="29"/>
    </row>
    <row r="12" spans="1:28" ht="15.75" thickBot="1">
      <c r="A12" s="69" t="s">
        <v>1219</v>
      </c>
      <c r="B12" s="75"/>
      <c r="C12" s="75"/>
      <c r="D12" s="75"/>
      <c r="E12" s="75"/>
      <c r="F12" s="75"/>
      <c r="G12" s="75"/>
      <c r="H12" s="75"/>
      <c r="I12" s="70">
        <v>3211667</v>
      </c>
      <c r="J12" s="70">
        <v>3168837</v>
      </c>
      <c r="K12" s="70">
        <v>3004682.52</v>
      </c>
      <c r="L12" s="70">
        <v>3203101</v>
      </c>
      <c r="M12" s="70">
        <v>3041338</v>
      </c>
      <c r="N12" s="106">
        <v>4423038</v>
      </c>
      <c r="O12" s="70">
        <v>4865353.87</v>
      </c>
      <c r="P12" s="70">
        <v>4994028.8099999996</v>
      </c>
      <c r="Q12" s="70">
        <v>4990655.26</v>
      </c>
      <c r="R12" s="70">
        <v>4781186.18</v>
      </c>
      <c r="S12" s="70">
        <v>5093005.5199999996</v>
      </c>
      <c r="T12" s="70">
        <v>5755337.7000000002</v>
      </c>
      <c r="U12" s="70">
        <v>5377731.6799999997</v>
      </c>
      <c r="V12" s="70">
        <v>5162595.96</v>
      </c>
      <c r="W12" s="70">
        <v>5370285.5199999996</v>
      </c>
      <c r="X12" s="70">
        <v>5525359.1699999999</v>
      </c>
      <c r="Y12" s="102">
        <v>5778966.0700000003</v>
      </c>
      <c r="Z12" s="141">
        <f>SUM(Z9:Z11)</f>
        <v>7635070.29</v>
      </c>
      <c r="AA12" s="29"/>
      <c r="AB12" s="29"/>
    </row>
    <row r="13" spans="1:28">
      <c r="A13" s="71"/>
      <c r="B13" s="71"/>
      <c r="C13" s="71"/>
      <c r="D13" s="71"/>
      <c r="E13" s="71"/>
      <c r="F13" s="71"/>
      <c r="G13" s="71"/>
      <c r="H13" s="71"/>
      <c r="I13" s="71"/>
      <c r="J13" s="71"/>
      <c r="K13" s="71"/>
      <c r="L13" s="71"/>
      <c r="M13" s="71"/>
      <c r="N13" s="64"/>
      <c r="O13" s="64"/>
      <c r="P13" s="64"/>
      <c r="Q13" s="64"/>
      <c r="R13" s="64"/>
      <c r="S13" s="64"/>
      <c r="T13" s="64"/>
      <c r="U13" s="64"/>
      <c r="V13" s="64"/>
      <c r="W13" s="64"/>
      <c r="X13" s="64"/>
      <c r="Y13" s="64"/>
      <c r="Z13" s="64"/>
      <c r="AA13" s="29"/>
      <c r="AB13" s="29"/>
    </row>
    <row r="14" spans="1:28" ht="15.75" thickBo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149"/>
    </row>
    <row r="15" spans="1:28" ht="15.75" thickBot="1">
      <c r="A15" s="38" t="s">
        <v>1221</v>
      </c>
      <c r="B15" s="60" t="s">
        <v>1191</v>
      </c>
      <c r="C15" s="60" t="s">
        <v>1192</v>
      </c>
      <c r="D15" s="60" t="s">
        <v>1193</v>
      </c>
      <c r="E15" s="60" t="s">
        <v>1194</v>
      </c>
      <c r="F15" s="60" t="s">
        <v>1195</v>
      </c>
      <c r="G15" s="60" t="s">
        <v>1196</v>
      </c>
      <c r="H15" s="60" t="s">
        <v>1197</v>
      </c>
      <c r="I15" s="60" t="s">
        <v>1198</v>
      </c>
      <c r="J15" s="60" t="s">
        <v>1199</v>
      </c>
      <c r="K15" s="60" t="s">
        <v>1200</v>
      </c>
      <c r="L15" s="60" t="s">
        <v>1201</v>
      </c>
      <c r="M15" s="60" t="s">
        <v>1202</v>
      </c>
      <c r="N15" s="60" t="s">
        <v>1203</v>
      </c>
      <c r="O15" s="60" t="s">
        <v>1204</v>
      </c>
      <c r="P15" s="60" t="s">
        <v>1205</v>
      </c>
      <c r="Q15" s="60" t="s">
        <v>1206</v>
      </c>
      <c r="R15" s="60" t="s">
        <v>1207</v>
      </c>
      <c r="S15" s="60" t="s">
        <v>1208</v>
      </c>
      <c r="T15" s="60" t="s">
        <v>1209</v>
      </c>
      <c r="U15" s="60" t="s">
        <v>1210</v>
      </c>
      <c r="V15" s="60" t="s">
        <v>1211</v>
      </c>
      <c r="W15" s="60" t="s">
        <v>1212</v>
      </c>
      <c r="X15" s="60" t="s">
        <v>1213</v>
      </c>
      <c r="Y15" s="61" t="s">
        <v>1214</v>
      </c>
      <c r="Z15" s="61" t="s">
        <v>1215</v>
      </c>
      <c r="AA15" s="29"/>
      <c r="AB15" s="29"/>
    </row>
    <row r="16" spans="1:28">
      <c r="A16" s="62" t="s">
        <v>1216</v>
      </c>
      <c r="B16" s="72"/>
      <c r="C16" s="63">
        <v>281621</v>
      </c>
      <c r="D16" s="63">
        <v>273878</v>
      </c>
      <c r="E16" s="63">
        <v>277809</v>
      </c>
      <c r="F16" s="63">
        <v>254443</v>
      </c>
      <c r="G16" s="63">
        <v>260570</v>
      </c>
      <c r="H16" s="63">
        <v>336892</v>
      </c>
      <c r="I16" s="63">
        <v>353937</v>
      </c>
      <c r="J16" s="63">
        <v>290810</v>
      </c>
      <c r="K16" s="63">
        <v>287548</v>
      </c>
      <c r="L16" s="63">
        <v>293581</v>
      </c>
      <c r="M16" s="63">
        <v>260800</v>
      </c>
      <c r="N16" s="103">
        <v>391789.03</v>
      </c>
      <c r="O16" s="63">
        <v>456957.97</v>
      </c>
      <c r="P16" s="63">
        <v>433741.56</v>
      </c>
      <c r="Q16" s="63">
        <v>417240.93</v>
      </c>
      <c r="R16" s="63">
        <v>378268.57</v>
      </c>
      <c r="S16" s="63">
        <v>447394</v>
      </c>
      <c r="T16" s="63">
        <v>520052.15</v>
      </c>
      <c r="U16" s="63">
        <v>506057.84</v>
      </c>
      <c r="V16" s="63">
        <v>490372.32</v>
      </c>
      <c r="W16" s="63">
        <v>483724.33</v>
      </c>
      <c r="X16" s="63">
        <v>522704.26</v>
      </c>
      <c r="Y16" s="99">
        <v>560029.31999999995</v>
      </c>
      <c r="Z16" s="137">
        <v>771258.65</v>
      </c>
      <c r="AA16" s="29"/>
      <c r="AB16" s="29"/>
    </row>
    <row r="17" spans="1:28">
      <c r="A17" s="65" t="s">
        <v>1217</v>
      </c>
      <c r="B17" s="73"/>
      <c r="C17" s="66">
        <v>157254</v>
      </c>
      <c r="D17" s="66">
        <v>174005</v>
      </c>
      <c r="E17" s="66">
        <v>171273</v>
      </c>
      <c r="F17" s="66">
        <v>118695</v>
      </c>
      <c r="G17" s="66">
        <v>125637</v>
      </c>
      <c r="H17" s="66">
        <v>173332</v>
      </c>
      <c r="I17" s="66">
        <v>150428</v>
      </c>
      <c r="J17" s="66">
        <v>151620</v>
      </c>
      <c r="K17" s="66">
        <v>124967</v>
      </c>
      <c r="L17" s="66">
        <v>130035</v>
      </c>
      <c r="M17" s="66">
        <v>120095.34</v>
      </c>
      <c r="N17" s="104">
        <v>195481</v>
      </c>
      <c r="O17" s="66">
        <v>192130</v>
      </c>
      <c r="P17" s="66">
        <v>176189</v>
      </c>
      <c r="Q17" s="66">
        <v>173609</v>
      </c>
      <c r="R17" s="66">
        <v>163129</v>
      </c>
      <c r="S17" s="66">
        <v>151125</v>
      </c>
      <c r="T17" s="66">
        <v>162391</v>
      </c>
      <c r="U17" s="66">
        <v>165932.48000000001</v>
      </c>
      <c r="V17" s="66">
        <v>174978.27</v>
      </c>
      <c r="W17" s="66">
        <v>190435</v>
      </c>
      <c r="X17" s="66">
        <v>218696</v>
      </c>
      <c r="Y17" s="100">
        <v>248084</v>
      </c>
      <c r="Z17" s="139">
        <v>331372</v>
      </c>
      <c r="AA17" s="29"/>
      <c r="AB17" s="29"/>
    </row>
    <row r="18" spans="1:28">
      <c r="A18" s="67" t="s">
        <v>1218</v>
      </c>
      <c r="B18" s="74"/>
      <c r="C18" s="68">
        <v>105644</v>
      </c>
      <c r="D18" s="68">
        <v>123530</v>
      </c>
      <c r="E18" s="68">
        <v>111756</v>
      </c>
      <c r="F18" s="68">
        <v>101708</v>
      </c>
      <c r="G18" s="68">
        <v>115414</v>
      </c>
      <c r="H18" s="68">
        <v>149559</v>
      </c>
      <c r="I18" s="68">
        <v>140607</v>
      </c>
      <c r="J18" s="68">
        <v>149786</v>
      </c>
      <c r="K18" s="68">
        <v>131233</v>
      </c>
      <c r="L18" s="68">
        <v>134895</v>
      </c>
      <c r="M18" s="68">
        <v>135219</v>
      </c>
      <c r="N18" s="105">
        <v>200784</v>
      </c>
      <c r="O18" s="68">
        <v>185443</v>
      </c>
      <c r="P18" s="68">
        <v>173278</v>
      </c>
      <c r="Q18" s="68">
        <v>161823</v>
      </c>
      <c r="R18" s="68">
        <v>174040</v>
      </c>
      <c r="S18" s="68">
        <v>147768</v>
      </c>
      <c r="T18" s="68">
        <v>154351</v>
      </c>
      <c r="U18" s="68">
        <v>166396.01999999999</v>
      </c>
      <c r="V18" s="68">
        <v>184384.8</v>
      </c>
      <c r="W18" s="68">
        <v>169616</v>
      </c>
      <c r="X18" s="68">
        <v>160236</v>
      </c>
      <c r="Y18" s="101">
        <v>168096</v>
      </c>
      <c r="Z18" s="140">
        <v>231151</v>
      </c>
      <c r="AA18" s="29"/>
      <c r="AB18" s="29"/>
    </row>
    <row r="19" spans="1:28" ht="15.75" thickBot="1">
      <c r="A19" s="69" t="s">
        <v>1219</v>
      </c>
      <c r="B19" s="75"/>
      <c r="C19" s="70">
        <v>544519</v>
      </c>
      <c r="D19" s="70">
        <v>571413</v>
      </c>
      <c r="E19" s="70">
        <v>560838</v>
      </c>
      <c r="F19" s="70">
        <v>474846</v>
      </c>
      <c r="G19" s="70">
        <v>501621</v>
      </c>
      <c r="H19" s="70">
        <v>659783</v>
      </c>
      <c r="I19" s="70">
        <v>644972</v>
      </c>
      <c r="J19" s="70">
        <v>592216</v>
      </c>
      <c r="K19" s="70">
        <v>543748</v>
      </c>
      <c r="L19" s="70">
        <v>558511</v>
      </c>
      <c r="M19" s="70">
        <v>516114.34</v>
      </c>
      <c r="N19" s="106">
        <v>788054.03</v>
      </c>
      <c r="O19" s="70">
        <v>834530.97</v>
      </c>
      <c r="P19" s="70">
        <v>783208.56</v>
      </c>
      <c r="Q19" s="70">
        <v>752672.93</v>
      </c>
      <c r="R19" s="70">
        <v>715437.57</v>
      </c>
      <c r="S19" s="70">
        <v>746287</v>
      </c>
      <c r="T19" s="70">
        <v>836794.15</v>
      </c>
      <c r="U19" s="70">
        <v>838386.34</v>
      </c>
      <c r="V19" s="70">
        <v>849735.39</v>
      </c>
      <c r="W19" s="70">
        <v>843775.33</v>
      </c>
      <c r="X19" s="70">
        <v>901636.26</v>
      </c>
      <c r="Y19" s="102">
        <v>976209.32</v>
      </c>
      <c r="Z19" s="141">
        <f>SUM(Z16:Z18)</f>
        <v>1333781.6499999999</v>
      </c>
      <c r="AA19" s="29"/>
      <c r="AB19" s="177"/>
    </row>
    <row r="20" spans="1:28">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row>
    <row r="21" spans="1:28" ht="15.75" thickBo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row>
    <row r="22" spans="1:28" ht="15.75" thickBot="1">
      <c r="A22" s="38" t="s">
        <v>691</v>
      </c>
      <c r="B22" s="60" t="s">
        <v>1191</v>
      </c>
      <c r="C22" s="60" t="s">
        <v>1192</v>
      </c>
      <c r="D22" s="60" t="s">
        <v>1193</v>
      </c>
      <c r="E22" s="60" t="s">
        <v>1194</v>
      </c>
      <c r="F22" s="60" t="s">
        <v>1195</v>
      </c>
      <c r="G22" s="60" t="s">
        <v>1196</v>
      </c>
      <c r="H22" s="60" t="s">
        <v>1197</v>
      </c>
      <c r="I22" s="60" t="s">
        <v>1198</v>
      </c>
      <c r="J22" s="60" t="s">
        <v>1199</v>
      </c>
      <c r="K22" s="60" t="s">
        <v>1200</v>
      </c>
      <c r="L22" s="60" t="s">
        <v>1201</v>
      </c>
      <c r="M22" s="60" t="s">
        <v>1202</v>
      </c>
      <c r="N22" s="60" t="s">
        <v>1203</v>
      </c>
      <c r="O22" s="60" t="s">
        <v>1204</v>
      </c>
      <c r="P22" s="60" t="s">
        <v>1205</v>
      </c>
      <c r="Q22" s="60" t="s">
        <v>1206</v>
      </c>
      <c r="R22" s="60" t="s">
        <v>1207</v>
      </c>
      <c r="S22" s="60" t="s">
        <v>1208</v>
      </c>
      <c r="T22" s="60" t="s">
        <v>1209</v>
      </c>
      <c r="U22" s="60" t="s">
        <v>1210</v>
      </c>
      <c r="V22" s="60" t="s">
        <v>1211</v>
      </c>
      <c r="W22" s="60" t="s">
        <v>1212</v>
      </c>
      <c r="X22" s="60" t="s">
        <v>1213</v>
      </c>
      <c r="Y22" s="61" t="s">
        <v>1214</v>
      </c>
      <c r="Z22" s="61" t="s">
        <v>1215</v>
      </c>
      <c r="AA22" s="29"/>
      <c r="AB22" s="29"/>
    </row>
    <row r="23" spans="1:28">
      <c r="A23" s="62" t="s">
        <v>1216</v>
      </c>
      <c r="B23" s="77">
        <v>0</v>
      </c>
      <c r="C23" s="77">
        <v>5.7700000000000001E-2</v>
      </c>
      <c r="D23" s="77">
        <v>4.7699999999999999E-2</v>
      </c>
      <c r="E23" s="77">
        <v>0.05</v>
      </c>
      <c r="F23" s="77">
        <v>4.5400000000000003E-2</v>
      </c>
      <c r="G23" s="77">
        <v>4.8599999999999997E-2</v>
      </c>
      <c r="H23" s="77">
        <v>5.4600000000000003E-2</v>
      </c>
      <c r="I23" s="77">
        <v>5.7000000000000002E-2</v>
      </c>
      <c r="J23" s="77">
        <v>4.7600000000000003E-2</v>
      </c>
      <c r="K23" s="77">
        <v>4.7399999999999998E-2</v>
      </c>
      <c r="L23" s="77">
        <v>4.58E-2</v>
      </c>
      <c r="M23" s="77">
        <v>4.4600000000000001E-2</v>
      </c>
      <c r="N23" s="107">
        <v>5.0999999999999997E-2</v>
      </c>
      <c r="O23" s="77">
        <v>5.2499999999999998E-2</v>
      </c>
      <c r="P23" s="77">
        <v>4.1599999999999998E-2</v>
      </c>
      <c r="Q23" s="77">
        <v>3.3300000000000003E-2</v>
      </c>
      <c r="R23" s="77">
        <v>3.0499999999999999E-2</v>
      </c>
      <c r="S23" s="77">
        <v>3.6299999999999999E-2</v>
      </c>
      <c r="T23" s="77">
        <v>3.9100000000000003E-2</v>
      </c>
      <c r="U23" s="77">
        <v>4.07E-2</v>
      </c>
      <c r="V23" s="77">
        <v>3.95E-2</v>
      </c>
      <c r="W23" s="77">
        <v>3.6900000000000002E-2</v>
      </c>
      <c r="X23" s="77">
        <v>3.9699999999999999E-2</v>
      </c>
      <c r="Y23" s="108">
        <v>3.9699999999999999E-2</v>
      </c>
      <c r="Z23" s="108">
        <f>Z16/Z2</f>
        <v>4.5628973942509046E-2</v>
      </c>
      <c r="AA23" s="29"/>
      <c r="AB23" s="29"/>
    </row>
    <row r="24" spans="1:28">
      <c r="A24" s="65" t="s">
        <v>1217</v>
      </c>
      <c r="B24" s="79">
        <v>0</v>
      </c>
      <c r="C24" s="79">
        <v>7.3099999999999998E-2</v>
      </c>
      <c r="D24" s="79">
        <v>6.6199999999999995E-2</v>
      </c>
      <c r="E24" s="79">
        <v>6.7900000000000002E-2</v>
      </c>
      <c r="F24" s="79">
        <v>5.2499999999999998E-2</v>
      </c>
      <c r="G24" s="79">
        <v>4.99E-2</v>
      </c>
      <c r="H24" s="79">
        <v>6.13E-2</v>
      </c>
      <c r="I24" s="79">
        <v>5.2299999999999999E-2</v>
      </c>
      <c r="J24" s="79">
        <v>4.7300000000000002E-2</v>
      </c>
      <c r="K24" s="79">
        <v>4.3700000000000003E-2</v>
      </c>
      <c r="L24" s="79">
        <v>4.2200000000000001E-2</v>
      </c>
      <c r="M24" s="79">
        <v>3.9300000000000002E-2</v>
      </c>
      <c r="N24" s="109">
        <v>5.0900000000000001E-2</v>
      </c>
      <c r="O24" s="79">
        <v>5.2900000000000003E-2</v>
      </c>
      <c r="P24" s="79">
        <v>4.7500000000000001E-2</v>
      </c>
      <c r="Q24" s="79">
        <v>4.5499999999999999E-2</v>
      </c>
      <c r="R24" s="79">
        <v>4.1799999999999997E-2</v>
      </c>
      <c r="S24" s="79">
        <v>4.1000000000000002E-2</v>
      </c>
      <c r="T24" s="79">
        <v>4.1099999999999998E-2</v>
      </c>
      <c r="U24" s="79">
        <v>4.6300000000000001E-2</v>
      </c>
      <c r="V24" s="79">
        <v>4.53E-2</v>
      </c>
      <c r="W24" s="79">
        <v>4.4999999999999998E-2</v>
      </c>
      <c r="X24" s="79">
        <v>4.8800000000000003E-2</v>
      </c>
      <c r="Y24" s="110">
        <v>4.8800000000000003E-2</v>
      </c>
      <c r="Z24" s="110">
        <f>Z17/Z3</f>
        <v>5.9854248802634603E-2</v>
      </c>
      <c r="AA24" s="29"/>
      <c r="AB24" s="29"/>
    </row>
    <row r="25" spans="1:28">
      <c r="A25" s="67" t="s">
        <v>1218</v>
      </c>
      <c r="B25" s="81">
        <v>0</v>
      </c>
      <c r="C25" s="81">
        <v>8.3299999999999999E-2</v>
      </c>
      <c r="D25" s="81">
        <v>7.85E-2</v>
      </c>
      <c r="E25" s="81">
        <v>7.4200000000000002E-2</v>
      </c>
      <c r="F25" s="81">
        <v>6.1499999999999999E-2</v>
      </c>
      <c r="G25" s="81">
        <v>6.7900000000000002E-2</v>
      </c>
      <c r="H25" s="81">
        <v>6.8900000000000003E-2</v>
      </c>
      <c r="I25" s="81">
        <v>6.25E-2</v>
      </c>
      <c r="J25" s="81">
        <v>5.8599999999999999E-2</v>
      </c>
      <c r="K25" s="81">
        <v>5.2200000000000003E-2</v>
      </c>
      <c r="L25" s="81">
        <v>5.2699999999999997E-2</v>
      </c>
      <c r="M25" s="81">
        <v>5.6000000000000001E-2</v>
      </c>
      <c r="N25" s="111">
        <v>6.7299999999999999E-2</v>
      </c>
      <c r="O25" s="81">
        <v>6.2300000000000001E-2</v>
      </c>
      <c r="P25" s="81">
        <v>5.7700000000000001E-2</v>
      </c>
      <c r="Q25" s="81">
        <v>5.2600000000000001E-2</v>
      </c>
      <c r="R25" s="81">
        <v>5.0900000000000001E-2</v>
      </c>
      <c r="S25" s="81">
        <v>5.1200000000000002E-2</v>
      </c>
      <c r="T25" s="81">
        <v>5.1700000000000003E-2</v>
      </c>
      <c r="U25" s="81">
        <v>5.7200000000000001E-2</v>
      </c>
      <c r="V25" s="81">
        <v>5.9499999999999997E-2</v>
      </c>
      <c r="W25" s="81">
        <v>5.3600000000000002E-2</v>
      </c>
      <c r="X25" s="81">
        <v>5.0999999999999997E-2</v>
      </c>
      <c r="Y25" s="112">
        <v>5.0999999999999997E-2</v>
      </c>
      <c r="Z25" s="112">
        <f>Z18/Z4</f>
        <v>6.4046165129500704E-2</v>
      </c>
      <c r="AA25" s="29"/>
      <c r="AB25" s="29"/>
    </row>
    <row r="26" spans="1:28" ht="15.75" thickBot="1">
      <c r="A26" s="69" t="s">
        <v>1219</v>
      </c>
      <c r="B26" s="83">
        <v>0</v>
      </c>
      <c r="C26" s="83">
        <v>6.5600000000000006E-2</v>
      </c>
      <c r="D26" s="83">
        <v>5.74E-2</v>
      </c>
      <c r="E26" s="83">
        <v>5.8500000000000003E-2</v>
      </c>
      <c r="F26" s="83">
        <v>4.99E-2</v>
      </c>
      <c r="G26" s="83">
        <v>5.2299999999999999E-2</v>
      </c>
      <c r="H26" s="83">
        <v>5.91E-2</v>
      </c>
      <c r="I26" s="83">
        <v>5.6899999999999999E-2</v>
      </c>
      <c r="J26" s="83">
        <v>4.99E-2</v>
      </c>
      <c r="K26" s="83">
        <v>4.7500000000000001E-2</v>
      </c>
      <c r="L26" s="83">
        <v>4.6399999999999997E-2</v>
      </c>
      <c r="M26" s="83">
        <v>4.5600000000000002E-2</v>
      </c>
      <c r="N26" s="113">
        <v>5.4300000000000001E-2</v>
      </c>
      <c r="O26" s="83">
        <v>5.45E-2</v>
      </c>
      <c r="P26" s="83">
        <v>4.5699999999999998E-2</v>
      </c>
      <c r="Q26" s="83">
        <v>3.8800000000000001E-2</v>
      </c>
      <c r="R26" s="83">
        <v>3.6299999999999999E-2</v>
      </c>
      <c r="S26" s="83">
        <v>3.95E-2</v>
      </c>
      <c r="T26" s="83">
        <v>4.1399999999999999E-2</v>
      </c>
      <c r="U26" s="83">
        <v>4.4299999999999999E-2</v>
      </c>
      <c r="V26" s="83">
        <v>4.3799999999999999E-2</v>
      </c>
      <c r="W26" s="83">
        <v>4.1099999999999998E-2</v>
      </c>
      <c r="X26" s="83">
        <v>4.3400000000000001E-2</v>
      </c>
      <c r="Y26" s="114">
        <v>4.3400000000000001E-2</v>
      </c>
      <c r="Z26" s="114">
        <f>Z19/Z5</f>
        <v>5.1204225020158575E-2</v>
      </c>
      <c r="AA26" s="29"/>
      <c r="AB26" s="29"/>
    </row>
    <row r="27" spans="1:28">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row>
    <row r="28" spans="1:28" ht="15.75" thickBo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row>
    <row r="29" spans="1:28" ht="15.75" thickBot="1">
      <c r="A29" s="38" t="s">
        <v>1222</v>
      </c>
      <c r="B29" s="60" t="s">
        <v>1191</v>
      </c>
      <c r="C29" s="60" t="s">
        <v>1192</v>
      </c>
      <c r="D29" s="60" t="s">
        <v>1193</v>
      </c>
      <c r="E29" s="60" t="s">
        <v>1194</v>
      </c>
      <c r="F29" s="60" t="s">
        <v>1195</v>
      </c>
      <c r="G29" s="60" t="s">
        <v>1196</v>
      </c>
      <c r="H29" s="60" t="s">
        <v>1197</v>
      </c>
      <c r="I29" s="60" t="s">
        <v>1198</v>
      </c>
      <c r="J29" s="60" t="s">
        <v>1199</v>
      </c>
      <c r="K29" s="60" t="s">
        <v>1200</v>
      </c>
      <c r="L29" s="60" t="s">
        <v>1201</v>
      </c>
      <c r="M29" s="60" t="s">
        <v>1202</v>
      </c>
      <c r="N29" s="60" t="s">
        <v>1203</v>
      </c>
      <c r="O29" s="60" t="s">
        <v>1204</v>
      </c>
      <c r="P29" s="60" t="s">
        <v>1205</v>
      </c>
      <c r="Q29" s="60" t="s">
        <v>1206</v>
      </c>
      <c r="R29" s="60" t="s">
        <v>1207</v>
      </c>
      <c r="S29" s="60" t="s">
        <v>1208</v>
      </c>
      <c r="T29" s="60" t="s">
        <v>1209</v>
      </c>
      <c r="U29" s="60" t="s">
        <v>1210</v>
      </c>
      <c r="V29" s="60" t="s">
        <v>1211</v>
      </c>
      <c r="W29" s="60" t="s">
        <v>1212</v>
      </c>
      <c r="X29" s="60" t="s">
        <v>1213</v>
      </c>
      <c r="Y29" s="61" t="s">
        <v>1214</v>
      </c>
      <c r="Z29" s="61" t="s">
        <v>1215</v>
      </c>
      <c r="AA29" s="29"/>
      <c r="AB29" s="29"/>
    </row>
    <row r="30" spans="1:28">
      <c r="A30" s="62" t="s">
        <v>1216</v>
      </c>
      <c r="B30" s="76"/>
      <c r="C30" s="76"/>
      <c r="D30" s="72" t="e">
        <v>#DIV/0!</v>
      </c>
      <c r="E30" s="72" t="e">
        <v>#DIV/0!</v>
      </c>
      <c r="F30" s="72" t="e">
        <v>#DIV/0!</v>
      </c>
      <c r="G30" s="72" t="e">
        <v>#DIV/0!</v>
      </c>
      <c r="H30" s="72" t="e">
        <v>#DIV/0!</v>
      </c>
      <c r="I30" s="77">
        <v>0.18579999999999999</v>
      </c>
      <c r="J30" s="77">
        <v>0.1716</v>
      </c>
      <c r="K30" s="77">
        <v>0.17249999999999999</v>
      </c>
      <c r="L30" s="77">
        <v>0.1678</v>
      </c>
      <c r="M30" s="77">
        <v>0.15870000000000001</v>
      </c>
      <c r="N30" s="107">
        <v>0.1628</v>
      </c>
      <c r="O30" s="77">
        <v>0.1565</v>
      </c>
      <c r="P30" s="77">
        <v>0.14230000000000001</v>
      </c>
      <c r="Q30" s="77">
        <v>0.1343</v>
      </c>
      <c r="R30" s="77">
        <v>0.1358</v>
      </c>
      <c r="S30" s="77">
        <v>0.12809999999999999</v>
      </c>
      <c r="T30" s="77">
        <v>0.12790000000000001</v>
      </c>
      <c r="U30" s="77">
        <v>0.13500000000000001</v>
      </c>
      <c r="V30" s="77">
        <v>0.1424</v>
      </c>
      <c r="W30" s="77">
        <v>0.13719999999999999</v>
      </c>
      <c r="X30" s="77">
        <v>0.1429</v>
      </c>
      <c r="Y30" s="108">
        <v>0.1429</v>
      </c>
      <c r="Z30" s="145">
        <f>Z16/Z9</f>
        <v>0.15363398954406982</v>
      </c>
      <c r="AA30" s="29"/>
      <c r="AB30" s="29"/>
    </row>
    <row r="31" spans="1:28">
      <c r="A31" s="65" t="s">
        <v>1217</v>
      </c>
      <c r="B31" s="78"/>
      <c r="C31" s="78"/>
      <c r="D31" s="73" t="e">
        <v>#DIV/0!</v>
      </c>
      <c r="E31" s="73" t="e">
        <v>#DIV/0!</v>
      </c>
      <c r="F31" s="73" t="e">
        <v>#DIV/0!</v>
      </c>
      <c r="G31" s="73" t="e">
        <v>#DIV/0!</v>
      </c>
      <c r="H31" s="73" t="e">
        <v>#DIV/0!</v>
      </c>
      <c r="I31" s="79">
        <v>0.21310000000000001</v>
      </c>
      <c r="J31" s="79">
        <v>0.1943</v>
      </c>
      <c r="K31" s="79">
        <v>0.18340000000000001</v>
      </c>
      <c r="L31" s="79">
        <v>0.17169999999999999</v>
      </c>
      <c r="M31" s="79">
        <v>0.17419999999999999</v>
      </c>
      <c r="N31" s="109">
        <v>0.18740000000000001</v>
      </c>
      <c r="O31" s="79">
        <v>0.1933</v>
      </c>
      <c r="P31" s="79">
        <v>0.17369999999999999</v>
      </c>
      <c r="Q31" s="79">
        <v>0.17560000000000001</v>
      </c>
      <c r="R31" s="79">
        <v>0.16700000000000001</v>
      </c>
      <c r="S31" s="79">
        <v>0.1865</v>
      </c>
      <c r="T31" s="79">
        <v>0.1845</v>
      </c>
      <c r="U31" s="79">
        <v>0.2026</v>
      </c>
      <c r="V31" s="79">
        <v>0.2072</v>
      </c>
      <c r="W31" s="79">
        <v>0.193</v>
      </c>
      <c r="X31" s="79">
        <v>0.20300000000000001</v>
      </c>
      <c r="Y31" s="110">
        <v>0.20300000000000001</v>
      </c>
      <c r="Z31" s="146">
        <f>Z17/Z10</f>
        <v>0.21849534059207087</v>
      </c>
      <c r="AA31" s="29"/>
      <c r="AB31" s="29"/>
    </row>
    <row r="32" spans="1:28">
      <c r="A32" s="67" t="s">
        <v>1218</v>
      </c>
      <c r="B32" s="80"/>
      <c r="C32" s="80"/>
      <c r="D32" s="74" t="e">
        <v>#DIV/0!</v>
      </c>
      <c r="E32" s="74" t="e">
        <v>#DIV/0!</v>
      </c>
      <c r="F32" s="74" t="e">
        <v>#DIV/0!</v>
      </c>
      <c r="G32" s="74" t="e">
        <v>#DIV/0!</v>
      </c>
      <c r="H32" s="74" t="e">
        <v>#DIV/0!</v>
      </c>
      <c r="I32" s="81">
        <v>0.2339</v>
      </c>
      <c r="J32" s="81">
        <v>0.216</v>
      </c>
      <c r="K32" s="81">
        <v>0.19989999999999999</v>
      </c>
      <c r="L32" s="81">
        <v>0.19389999999999999</v>
      </c>
      <c r="M32" s="81">
        <v>0.19089999999999999</v>
      </c>
      <c r="N32" s="111">
        <v>0.20619999999999999</v>
      </c>
      <c r="O32" s="81">
        <v>0.1948</v>
      </c>
      <c r="P32" s="81">
        <v>0.18609999999999999</v>
      </c>
      <c r="Q32" s="81">
        <v>0.1807</v>
      </c>
      <c r="R32" s="81">
        <v>0.17069999999999999</v>
      </c>
      <c r="S32" s="81">
        <v>0.187</v>
      </c>
      <c r="T32" s="81">
        <v>0.1908</v>
      </c>
      <c r="U32" s="81">
        <v>0.2054</v>
      </c>
      <c r="V32" s="81">
        <v>0.21079999999999999</v>
      </c>
      <c r="W32" s="81">
        <v>0.19769999999999999</v>
      </c>
      <c r="X32" s="81">
        <v>0.20300000000000001</v>
      </c>
      <c r="Y32" s="112">
        <v>0.20300000000000001</v>
      </c>
      <c r="Z32" s="147">
        <f>Z18/Z11</f>
        <v>0.21045161090610795</v>
      </c>
      <c r="AA32" s="29"/>
      <c r="AB32" s="29"/>
    </row>
    <row r="33" spans="1:28" ht="15.75" thickBot="1">
      <c r="A33" s="69" t="s">
        <v>1219</v>
      </c>
      <c r="B33" s="82"/>
      <c r="C33" s="82"/>
      <c r="D33" s="75" t="e">
        <v>#DIV/0!</v>
      </c>
      <c r="E33" s="75" t="e">
        <v>#DIV/0!</v>
      </c>
      <c r="F33" s="75" t="e">
        <v>#DIV/0!</v>
      </c>
      <c r="G33" s="75" t="e">
        <v>#DIV/0!</v>
      </c>
      <c r="H33" s="75" t="e">
        <v>#DIV/0!</v>
      </c>
      <c r="I33" s="83">
        <v>0.20080000000000001</v>
      </c>
      <c r="J33" s="83">
        <v>0.18690000000000001</v>
      </c>
      <c r="K33" s="83">
        <v>0.18099999999999999</v>
      </c>
      <c r="L33" s="83">
        <v>0.1744</v>
      </c>
      <c r="M33" s="83">
        <v>0.16969999999999999</v>
      </c>
      <c r="N33" s="113">
        <v>0.1782</v>
      </c>
      <c r="O33" s="83">
        <v>0.17150000000000001</v>
      </c>
      <c r="P33" s="83">
        <v>0.15679999999999999</v>
      </c>
      <c r="Q33" s="83">
        <v>0.15079999999999999</v>
      </c>
      <c r="R33" s="83">
        <v>0.14960000000000001</v>
      </c>
      <c r="S33" s="83">
        <v>0.14649999999999999</v>
      </c>
      <c r="T33" s="83">
        <v>0.1454</v>
      </c>
      <c r="U33" s="83">
        <v>0.15590000000000001</v>
      </c>
      <c r="V33" s="83">
        <v>0.1646</v>
      </c>
      <c r="W33" s="83">
        <v>0.15709999999999999</v>
      </c>
      <c r="X33" s="83">
        <v>0.16320000000000001</v>
      </c>
      <c r="Y33" s="114">
        <v>0.16320000000000001</v>
      </c>
      <c r="Z33" s="148">
        <f>Z19/Z12</f>
        <v>0.17469146967080507</v>
      </c>
      <c r="AA33" s="29"/>
      <c r="AB33" s="29"/>
    </row>
    <row r="34" spans="1:28">
      <c r="A34" s="71"/>
      <c r="B34" s="71"/>
      <c r="C34" s="71"/>
      <c r="D34" s="71"/>
      <c r="E34" s="71"/>
      <c r="F34" s="71"/>
      <c r="G34" s="71"/>
      <c r="H34" s="71"/>
      <c r="I34" s="71"/>
      <c r="J34" s="71"/>
      <c r="K34" s="71"/>
      <c r="L34" s="71"/>
      <c r="M34" s="71"/>
      <c r="N34" s="64"/>
      <c r="O34" s="64"/>
      <c r="P34" s="64"/>
      <c r="Q34" s="64"/>
      <c r="R34" s="64"/>
      <c r="S34" s="64"/>
      <c r="T34" s="64"/>
      <c r="U34" s="64"/>
      <c r="V34" s="64"/>
      <c r="W34" s="64"/>
      <c r="X34" s="64"/>
      <c r="Y34" s="64"/>
      <c r="Z34" s="64"/>
      <c r="AA34" s="29"/>
      <c r="AB34" s="29"/>
    </row>
    <row r="35" spans="1:28" ht="15.75" thickBo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row>
    <row r="36" spans="1:28" ht="15.75" thickBot="1">
      <c r="A36" s="84" t="s">
        <v>680</v>
      </c>
      <c r="B36" s="85" t="s">
        <v>1191</v>
      </c>
      <c r="C36" s="85" t="s">
        <v>1192</v>
      </c>
      <c r="D36" s="85" t="s">
        <v>1193</v>
      </c>
      <c r="E36" s="85" t="s">
        <v>1194</v>
      </c>
      <c r="F36" s="85" t="s">
        <v>1195</v>
      </c>
      <c r="G36" s="85" t="s">
        <v>1196</v>
      </c>
      <c r="H36" s="85" t="s">
        <v>1197</v>
      </c>
      <c r="I36" s="85" t="s">
        <v>1198</v>
      </c>
      <c r="J36" s="85" t="s">
        <v>1199</v>
      </c>
      <c r="K36" s="85" t="s">
        <v>1200</v>
      </c>
      <c r="L36" s="85" t="s">
        <v>1201</v>
      </c>
      <c r="M36" s="85" t="s">
        <v>1202</v>
      </c>
      <c r="N36" s="85" t="s">
        <v>1203</v>
      </c>
      <c r="O36" s="85" t="s">
        <v>1204</v>
      </c>
      <c r="P36" s="85" t="s">
        <v>1205</v>
      </c>
      <c r="Q36" s="85" t="s">
        <v>1206</v>
      </c>
      <c r="R36" s="85" t="s">
        <v>1207</v>
      </c>
      <c r="S36" s="85" t="s">
        <v>1208</v>
      </c>
      <c r="T36" s="85" t="s">
        <v>1209</v>
      </c>
      <c r="U36" s="85" t="s">
        <v>1210</v>
      </c>
      <c r="V36" s="85" t="s">
        <v>1211</v>
      </c>
      <c r="W36" s="85" t="s">
        <v>1212</v>
      </c>
      <c r="X36" s="85" t="s">
        <v>1213</v>
      </c>
      <c r="Y36" s="86" t="s">
        <v>1214</v>
      </c>
      <c r="Z36" s="61" t="s">
        <v>1215</v>
      </c>
      <c r="AA36" s="29"/>
      <c r="AB36" s="29"/>
    </row>
    <row r="37" spans="1:28">
      <c r="A37" s="87" t="s">
        <v>1216</v>
      </c>
      <c r="B37" s="89">
        <v>206450</v>
      </c>
      <c r="C37" s="89">
        <v>201966</v>
      </c>
      <c r="D37" s="89">
        <v>232244</v>
      </c>
      <c r="E37" s="89">
        <v>230500</v>
      </c>
      <c r="F37" s="89">
        <v>228949</v>
      </c>
      <c r="G37" s="89">
        <v>216548</v>
      </c>
      <c r="H37" s="89">
        <v>229222</v>
      </c>
      <c r="I37" s="89">
        <v>226692</v>
      </c>
      <c r="J37" s="89">
        <v>230639</v>
      </c>
      <c r="K37" s="89">
        <v>252280</v>
      </c>
      <c r="L37" s="89">
        <v>264001</v>
      </c>
      <c r="M37" s="115">
        <v>231198</v>
      </c>
      <c r="N37" s="125">
        <v>301961</v>
      </c>
      <c r="O37" s="126">
        <v>331009</v>
      </c>
      <c r="P37" s="126">
        <v>369644</v>
      </c>
      <c r="Q37" s="126">
        <v>419338</v>
      </c>
      <c r="R37" s="126">
        <v>403325</v>
      </c>
      <c r="S37" s="126">
        <v>407084</v>
      </c>
      <c r="T37" s="126">
        <v>446387</v>
      </c>
      <c r="U37" s="126">
        <v>410269</v>
      </c>
      <c r="V37" s="126">
        <v>413757</v>
      </c>
      <c r="W37" s="126">
        <v>445439</v>
      </c>
      <c r="X37" s="126">
        <v>453965</v>
      </c>
      <c r="Y37" s="127">
        <v>462128</v>
      </c>
      <c r="Z37" s="120">
        <v>572775</v>
      </c>
      <c r="AA37" s="29"/>
      <c r="AB37" s="29"/>
    </row>
    <row r="38" spans="1:28">
      <c r="A38" s="90" t="s">
        <v>1217</v>
      </c>
      <c r="B38" s="91">
        <v>103070</v>
      </c>
      <c r="C38" s="91">
        <v>98910</v>
      </c>
      <c r="D38" s="91">
        <v>116062</v>
      </c>
      <c r="E38" s="91">
        <v>116489</v>
      </c>
      <c r="F38" s="91">
        <v>102286</v>
      </c>
      <c r="G38" s="91">
        <v>110085</v>
      </c>
      <c r="H38" s="91">
        <v>115702</v>
      </c>
      <c r="I38" s="91">
        <v>120670</v>
      </c>
      <c r="J38" s="91">
        <v>142446</v>
      </c>
      <c r="K38" s="91">
        <v>136602</v>
      </c>
      <c r="L38" s="91">
        <v>152488</v>
      </c>
      <c r="M38" s="116">
        <v>144866</v>
      </c>
      <c r="N38" s="128">
        <v>190333</v>
      </c>
      <c r="O38" s="91">
        <v>179484</v>
      </c>
      <c r="P38" s="91">
        <v>182162</v>
      </c>
      <c r="Q38" s="91">
        <v>182919</v>
      </c>
      <c r="R38" s="91">
        <v>183923</v>
      </c>
      <c r="S38" s="91">
        <v>173556</v>
      </c>
      <c r="T38" s="91">
        <v>186892</v>
      </c>
      <c r="U38" s="91">
        <v>171949</v>
      </c>
      <c r="V38" s="91">
        <v>182461</v>
      </c>
      <c r="W38" s="91">
        <v>199796</v>
      </c>
      <c r="X38" s="91">
        <v>214586</v>
      </c>
      <c r="Y38" s="129">
        <v>215754</v>
      </c>
      <c r="Z38" s="121">
        <v>251772</v>
      </c>
      <c r="AA38" s="29"/>
      <c r="AB38" s="29"/>
    </row>
    <row r="39" spans="1:28">
      <c r="A39" s="92" t="s">
        <v>1218</v>
      </c>
      <c r="B39" s="93">
        <v>65792</v>
      </c>
      <c r="C39" s="93">
        <v>66921</v>
      </c>
      <c r="D39" s="93">
        <v>80622</v>
      </c>
      <c r="E39" s="93">
        <v>81286</v>
      </c>
      <c r="F39" s="93">
        <v>88250</v>
      </c>
      <c r="G39" s="93">
        <v>90033</v>
      </c>
      <c r="H39" s="93">
        <v>103104</v>
      </c>
      <c r="I39" s="93">
        <v>103860</v>
      </c>
      <c r="J39" s="93">
        <v>124892</v>
      </c>
      <c r="K39" s="93">
        <v>133302</v>
      </c>
      <c r="L39" s="93">
        <v>140626</v>
      </c>
      <c r="M39" s="117">
        <v>128870</v>
      </c>
      <c r="N39" s="130">
        <v>159471</v>
      </c>
      <c r="O39" s="93">
        <v>157686</v>
      </c>
      <c r="P39" s="93">
        <v>154308</v>
      </c>
      <c r="Q39" s="93">
        <v>154291</v>
      </c>
      <c r="R39" s="93">
        <v>162133</v>
      </c>
      <c r="S39" s="93">
        <v>136127</v>
      </c>
      <c r="T39" s="93">
        <v>146540</v>
      </c>
      <c r="U39" s="93">
        <v>144576</v>
      </c>
      <c r="V39" s="93">
        <v>153627</v>
      </c>
      <c r="W39" s="93">
        <v>158313</v>
      </c>
      <c r="X39" s="93">
        <v>155184</v>
      </c>
      <c r="Y39" s="131">
        <v>141383</v>
      </c>
      <c r="Z39" s="122">
        <v>167484</v>
      </c>
      <c r="AA39" s="29"/>
      <c r="AB39" s="29"/>
    </row>
    <row r="40" spans="1:28">
      <c r="A40" s="94" t="s">
        <v>1219</v>
      </c>
      <c r="B40" s="95">
        <v>375312</v>
      </c>
      <c r="C40" s="95">
        <v>367797</v>
      </c>
      <c r="D40" s="95">
        <v>428928</v>
      </c>
      <c r="E40" s="95">
        <v>428275</v>
      </c>
      <c r="F40" s="95">
        <v>419485</v>
      </c>
      <c r="G40" s="95">
        <v>416666</v>
      </c>
      <c r="H40" s="95">
        <v>448028</v>
      </c>
      <c r="I40" s="95">
        <v>451222</v>
      </c>
      <c r="J40" s="95">
        <v>497977</v>
      </c>
      <c r="K40" s="95">
        <v>522184</v>
      </c>
      <c r="L40" s="95">
        <v>557115</v>
      </c>
      <c r="M40" s="118">
        <v>504934</v>
      </c>
      <c r="N40" s="132">
        <v>651765</v>
      </c>
      <c r="O40" s="95">
        <v>668179</v>
      </c>
      <c r="P40" s="95">
        <v>706114</v>
      </c>
      <c r="Q40" s="95">
        <v>756548</v>
      </c>
      <c r="R40" s="95">
        <v>749381</v>
      </c>
      <c r="S40" s="95">
        <v>716767</v>
      </c>
      <c r="T40" s="95">
        <v>779819</v>
      </c>
      <c r="U40" s="95">
        <v>726794</v>
      </c>
      <c r="V40" s="95">
        <v>749845</v>
      </c>
      <c r="W40" s="95">
        <v>803548</v>
      </c>
      <c r="X40" s="95">
        <v>823735</v>
      </c>
      <c r="Y40" s="133">
        <f>SUM(Y37:Y39)</f>
        <v>819265</v>
      </c>
      <c r="Z40" s="123">
        <f>SUM(Z37:Z39)</f>
        <v>992031</v>
      </c>
      <c r="AA40" s="29"/>
      <c r="AB40" s="29"/>
    </row>
    <row r="41" spans="1:28" ht="15.75" thickBot="1">
      <c r="A41" s="96" t="s">
        <v>1223</v>
      </c>
      <c r="B41" s="97"/>
      <c r="C41" s="98">
        <v>-0.02</v>
      </c>
      <c r="D41" s="98">
        <v>0.17</v>
      </c>
      <c r="E41" s="98">
        <v>0</v>
      </c>
      <c r="F41" s="98">
        <v>-0.02</v>
      </c>
      <c r="G41" s="98">
        <v>-0.01</v>
      </c>
      <c r="H41" s="98">
        <v>0.08</v>
      </c>
      <c r="I41" s="98">
        <v>0.01</v>
      </c>
      <c r="J41" s="98">
        <v>0.1</v>
      </c>
      <c r="K41" s="98">
        <v>0.05</v>
      </c>
      <c r="L41" s="98">
        <v>7.0000000000000007E-2</v>
      </c>
      <c r="M41" s="119">
        <v>-0.09</v>
      </c>
      <c r="N41" s="134">
        <v>0.28999999999999998</v>
      </c>
      <c r="O41" s="135">
        <v>0.03</v>
      </c>
      <c r="P41" s="135">
        <v>0.06</v>
      </c>
      <c r="Q41" s="135">
        <v>7.0000000000000007E-2</v>
      </c>
      <c r="R41" s="135">
        <v>-0.01</v>
      </c>
      <c r="S41" s="135">
        <v>-0.04</v>
      </c>
      <c r="T41" s="135">
        <v>0.09</v>
      </c>
      <c r="U41" s="135">
        <v>-7.0000000000000007E-2</v>
      </c>
      <c r="V41" s="135">
        <v>0.03</v>
      </c>
      <c r="W41" s="135">
        <v>7.0000000000000007E-2</v>
      </c>
      <c r="X41" s="135">
        <v>0.03</v>
      </c>
      <c r="Y41" s="136">
        <v>0</v>
      </c>
      <c r="Z41" s="124">
        <f>(Z40-Y40)/Y40</f>
        <v>0.21087926373029484</v>
      </c>
      <c r="AA41" s="29"/>
      <c r="AB41" s="29"/>
    </row>
    <row r="42" spans="1:28">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row>
    <row r="43" spans="1:28">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row>
    <row r="44" spans="1:28">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row>
    <row r="45" spans="1:28">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row>
    <row r="46" spans="1:28">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row>
    <row r="47" spans="1:28">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row>
    <row r="48" spans="1:2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row>
    <row r="49" spans="1:28">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row>
    <row r="50" spans="1:28">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8">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8">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8">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8">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A434"/>
  <sheetViews>
    <sheetView topLeftCell="A438" zoomScale="85" zoomScaleNormal="85" workbookViewId="0">
      <selection activeCell="N439" sqref="N439"/>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s>
  <sheetData>
    <row r="1" spans="1:27" hidden="1">
      <c r="A1" s="40" t="s">
        <v>9</v>
      </c>
      <c r="B1" s="40" t="s">
        <v>1224</v>
      </c>
      <c r="C1" s="40" t="s">
        <v>1225</v>
      </c>
      <c r="D1" s="40" t="s">
        <v>1226</v>
      </c>
      <c r="E1" s="40" t="s">
        <v>1227</v>
      </c>
      <c r="F1" s="40" t="s">
        <v>1228</v>
      </c>
      <c r="G1" s="40" t="s">
        <v>1229</v>
      </c>
      <c r="H1" s="40" t="s">
        <v>1230</v>
      </c>
      <c r="I1" s="40" t="s">
        <v>1231</v>
      </c>
      <c r="J1" s="40" t="s">
        <v>1232</v>
      </c>
      <c r="K1" s="40" t="s">
        <v>1233</v>
      </c>
      <c r="L1" s="40" t="s">
        <v>1234</v>
      </c>
      <c r="M1" s="40" t="s">
        <v>1235</v>
      </c>
      <c r="N1" s="40" t="s">
        <v>1236</v>
      </c>
      <c r="O1" s="40" t="s">
        <v>1237</v>
      </c>
      <c r="P1" s="40" t="s">
        <v>1238</v>
      </c>
      <c r="Q1" s="40" t="s">
        <v>1239</v>
      </c>
      <c r="R1" s="40" t="s">
        <v>1240</v>
      </c>
      <c r="S1" s="40" t="s">
        <v>1241</v>
      </c>
      <c r="T1" s="40" t="s">
        <v>1242</v>
      </c>
      <c r="U1" s="40" t="s">
        <v>1243</v>
      </c>
      <c r="V1" s="40" t="s">
        <v>1244</v>
      </c>
      <c r="W1" s="40" t="s">
        <v>1245</v>
      </c>
      <c r="X1" s="40" t="s">
        <v>1246</v>
      </c>
      <c r="Y1" s="40" t="s">
        <v>1247</v>
      </c>
      <c r="Z1" s="40" t="s">
        <v>1248</v>
      </c>
      <c r="AA1" s="40" t="s">
        <v>1249</v>
      </c>
    </row>
    <row r="2" spans="1:27" hidden="1">
      <c r="A2" s="41" t="s">
        <v>561</v>
      </c>
      <c r="B2" s="41">
        <v>3591</v>
      </c>
      <c r="C2" s="41">
        <v>5033</v>
      </c>
      <c r="D2" s="41">
        <v>3472</v>
      </c>
      <c r="E2" s="41">
        <v>6534</v>
      </c>
      <c r="F2" s="41">
        <v>5480</v>
      </c>
      <c r="G2" s="41">
        <v>4553</v>
      </c>
      <c r="H2" s="41">
        <v>15646</v>
      </c>
      <c r="I2" s="41">
        <v>5423</v>
      </c>
      <c r="J2" s="41">
        <v>4135</v>
      </c>
      <c r="K2">
        <v>3762</v>
      </c>
      <c r="L2">
        <v>3361</v>
      </c>
      <c r="M2">
        <v>2925</v>
      </c>
      <c r="N2">
        <v>5767</v>
      </c>
      <c r="O2">
        <v>830</v>
      </c>
      <c r="P2">
        <v>949</v>
      </c>
      <c r="Q2">
        <v>615</v>
      </c>
      <c r="R2">
        <v>1182</v>
      </c>
      <c r="S2">
        <v>1059</v>
      </c>
      <c r="T2">
        <v>868</v>
      </c>
      <c r="U2">
        <v>1282</v>
      </c>
      <c r="V2">
        <v>1003</v>
      </c>
      <c r="W2">
        <v>775</v>
      </c>
      <c r="X2">
        <v>791</v>
      </c>
      <c r="Y2">
        <v>762</v>
      </c>
      <c r="Z2">
        <v>607</v>
      </c>
      <c r="AA2">
        <v>836</v>
      </c>
    </row>
    <row r="3" spans="1:27" hidden="1">
      <c r="A3" s="41" t="s">
        <v>128</v>
      </c>
      <c r="B3" s="41">
        <v>1487</v>
      </c>
      <c r="C3" s="41">
        <v>1490</v>
      </c>
      <c r="D3" s="41">
        <v>1213</v>
      </c>
      <c r="E3" s="41">
        <v>1477</v>
      </c>
      <c r="F3" s="41">
        <v>1181</v>
      </c>
      <c r="G3" s="41">
        <v>1914</v>
      </c>
      <c r="H3" s="41">
        <v>1610</v>
      </c>
      <c r="I3" s="41">
        <v>1971</v>
      </c>
      <c r="J3" s="41">
        <v>3959</v>
      </c>
      <c r="K3">
        <v>1873</v>
      </c>
      <c r="L3">
        <v>556</v>
      </c>
      <c r="M3">
        <v>3789</v>
      </c>
      <c r="N3">
        <v>7411</v>
      </c>
      <c r="O3">
        <v>368</v>
      </c>
      <c r="P3">
        <v>393</v>
      </c>
      <c r="Q3">
        <v>316</v>
      </c>
      <c r="R3">
        <v>369</v>
      </c>
      <c r="S3">
        <v>352</v>
      </c>
      <c r="T3">
        <v>508</v>
      </c>
      <c r="U3">
        <v>475</v>
      </c>
      <c r="V3">
        <v>519</v>
      </c>
      <c r="W3">
        <v>1081</v>
      </c>
      <c r="X3">
        <v>483</v>
      </c>
      <c r="Y3">
        <v>156</v>
      </c>
      <c r="Z3">
        <v>1067</v>
      </c>
      <c r="AA3">
        <v>1424</v>
      </c>
    </row>
    <row r="4" spans="1:27" hidden="1">
      <c r="A4" s="41" t="s">
        <v>155</v>
      </c>
      <c r="B4" s="41">
        <v>16658</v>
      </c>
      <c r="C4" s="41">
        <v>30899</v>
      </c>
      <c r="D4" s="41">
        <v>78885</v>
      </c>
      <c r="E4" s="41">
        <v>85527</v>
      </c>
      <c r="F4" s="41">
        <v>47308</v>
      </c>
      <c r="G4" s="41">
        <v>81411</v>
      </c>
      <c r="H4" s="41">
        <v>35571</v>
      </c>
      <c r="I4" s="41">
        <v>48721</v>
      </c>
      <c r="J4" s="41">
        <v>25564</v>
      </c>
      <c r="K4">
        <v>23851</v>
      </c>
      <c r="L4">
        <v>39817</v>
      </c>
      <c r="M4">
        <v>14538</v>
      </c>
      <c r="N4">
        <v>54946</v>
      </c>
      <c r="O4">
        <v>3336</v>
      </c>
      <c r="P4">
        <v>5787</v>
      </c>
      <c r="Q4">
        <v>12299</v>
      </c>
      <c r="R4">
        <v>11391</v>
      </c>
      <c r="S4">
        <v>8342</v>
      </c>
      <c r="T4">
        <v>14734</v>
      </c>
      <c r="U4">
        <v>7820</v>
      </c>
      <c r="V4">
        <v>11514</v>
      </c>
      <c r="W4">
        <v>6245</v>
      </c>
      <c r="X4">
        <v>6054</v>
      </c>
      <c r="Y4">
        <v>10104</v>
      </c>
      <c r="Z4">
        <v>4521</v>
      </c>
      <c r="AA4">
        <v>10395</v>
      </c>
    </row>
    <row r="5" spans="1:27" hidden="1">
      <c r="A5" s="41" t="s">
        <v>709</v>
      </c>
      <c r="B5" s="41">
        <v>1398</v>
      </c>
      <c r="C5" s="41">
        <v>1450</v>
      </c>
      <c r="D5" s="41">
        <v>1595</v>
      </c>
      <c r="E5" s="41">
        <v>1135</v>
      </c>
      <c r="F5" s="41">
        <v>997</v>
      </c>
      <c r="G5" s="41">
        <v>1326</v>
      </c>
      <c r="H5" s="41">
        <v>1041</v>
      </c>
      <c r="I5" s="41">
        <v>798</v>
      </c>
      <c r="J5" s="41">
        <v>627</v>
      </c>
      <c r="K5">
        <v>744</v>
      </c>
      <c r="L5">
        <v>533</v>
      </c>
      <c r="M5">
        <v>695</v>
      </c>
      <c r="N5">
        <v>1260</v>
      </c>
      <c r="O5">
        <v>273</v>
      </c>
      <c r="P5">
        <v>281</v>
      </c>
      <c r="Q5">
        <v>271</v>
      </c>
      <c r="R5">
        <v>250</v>
      </c>
      <c r="S5">
        <v>231</v>
      </c>
      <c r="T5">
        <v>274</v>
      </c>
      <c r="U5">
        <v>238</v>
      </c>
      <c r="V5">
        <v>252</v>
      </c>
      <c r="W5">
        <v>168</v>
      </c>
      <c r="X5">
        <v>283</v>
      </c>
      <c r="Y5">
        <v>170</v>
      </c>
      <c r="Z5">
        <v>162</v>
      </c>
      <c r="AA5">
        <v>272</v>
      </c>
    </row>
    <row r="6" spans="1:27" hidden="1">
      <c r="A6" s="41" t="s">
        <v>35</v>
      </c>
      <c r="B6" s="41">
        <v>3844</v>
      </c>
      <c r="C6" s="41">
        <v>4014</v>
      </c>
      <c r="D6" s="41">
        <v>4538</v>
      </c>
      <c r="E6" s="41">
        <v>5254</v>
      </c>
      <c r="F6" s="41">
        <v>4263</v>
      </c>
      <c r="G6" s="41">
        <v>2871</v>
      </c>
      <c r="H6" s="41">
        <v>5344</v>
      </c>
      <c r="I6" s="41">
        <v>3059</v>
      </c>
      <c r="J6" s="41">
        <v>3399</v>
      </c>
      <c r="K6">
        <v>3929</v>
      </c>
      <c r="L6">
        <v>4007</v>
      </c>
      <c r="M6">
        <v>4426</v>
      </c>
      <c r="N6">
        <v>4126</v>
      </c>
      <c r="O6">
        <v>967</v>
      </c>
      <c r="P6">
        <v>1074</v>
      </c>
      <c r="Q6">
        <v>966</v>
      </c>
      <c r="R6">
        <v>1242</v>
      </c>
      <c r="S6">
        <v>1147</v>
      </c>
      <c r="T6">
        <v>881</v>
      </c>
      <c r="U6">
        <v>878</v>
      </c>
      <c r="V6">
        <v>833</v>
      </c>
      <c r="W6">
        <v>864</v>
      </c>
      <c r="X6">
        <v>995</v>
      </c>
      <c r="Y6">
        <v>1181</v>
      </c>
      <c r="Z6">
        <v>1259</v>
      </c>
      <c r="AA6">
        <v>1148</v>
      </c>
    </row>
    <row r="7" spans="1:27" hidden="1">
      <c r="A7" s="41" t="s">
        <v>151</v>
      </c>
      <c r="B7" s="41">
        <v>5966</v>
      </c>
      <c r="C7" s="41">
        <v>5536</v>
      </c>
      <c r="D7" s="41">
        <v>4172</v>
      </c>
      <c r="E7" s="41">
        <v>4356</v>
      </c>
      <c r="F7" s="41">
        <v>3592</v>
      </c>
      <c r="G7" s="41">
        <v>3729</v>
      </c>
      <c r="H7" s="41">
        <v>4120</v>
      </c>
      <c r="I7" s="41">
        <v>3692</v>
      </c>
      <c r="J7" s="41">
        <v>4656</v>
      </c>
      <c r="K7">
        <v>4414</v>
      </c>
      <c r="L7">
        <v>4545</v>
      </c>
      <c r="M7">
        <v>4562</v>
      </c>
      <c r="N7">
        <v>4126</v>
      </c>
      <c r="O7">
        <v>1085</v>
      </c>
      <c r="P7">
        <v>973</v>
      </c>
      <c r="Q7">
        <v>761</v>
      </c>
      <c r="R7">
        <v>844</v>
      </c>
      <c r="S7">
        <v>776</v>
      </c>
      <c r="T7">
        <v>736</v>
      </c>
      <c r="U7">
        <v>760</v>
      </c>
      <c r="V7">
        <v>886</v>
      </c>
      <c r="W7">
        <v>993</v>
      </c>
      <c r="X7">
        <v>938</v>
      </c>
      <c r="Y7">
        <v>1001</v>
      </c>
      <c r="Z7">
        <v>987</v>
      </c>
      <c r="AA7">
        <v>926</v>
      </c>
    </row>
    <row r="8" spans="1:27" hidden="1">
      <c r="A8" s="41" t="s">
        <v>582</v>
      </c>
      <c r="B8" s="41">
        <v>1688</v>
      </c>
      <c r="C8" s="41">
        <v>1592</v>
      </c>
      <c r="D8" s="41">
        <v>1521</v>
      </c>
      <c r="E8" s="41">
        <v>1648</v>
      </c>
      <c r="F8" s="41">
        <v>1746</v>
      </c>
      <c r="G8" s="41">
        <v>1535</v>
      </c>
      <c r="H8" s="41">
        <v>1551</v>
      </c>
      <c r="I8" s="41">
        <v>1971</v>
      </c>
      <c r="J8" s="41">
        <v>2343</v>
      </c>
      <c r="K8">
        <v>2362</v>
      </c>
      <c r="L8">
        <v>1558</v>
      </c>
      <c r="M8">
        <v>1189</v>
      </c>
      <c r="N8">
        <v>4102</v>
      </c>
      <c r="O8">
        <v>348</v>
      </c>
      <c r="P8">
        <v>338</v>
      </c>
      <c r="Q8">
        <v>372</v>
      </c>
      <c r="R8">
        <v>366</v>
      </c>
      <c r="S8">
        <v>403</v>
      </c>
      <c r="T8">
        <v>328</v>
      </c>
      <c r="U8">
        <v>379</v>
      </c>
      <c r="V8">
        <v>466</v>
      </c>
      <c r="W8">
        <v>504</v>
      </c>
      <c r="X8">
        <v>536</v>
      </c>
      <c r="Y8">
        <v>430</v>
      </c>
      <c r="Z8">
        <v>296</v>
      </c>
      <c r="AA8">
        <v>553</v>
      </c>
    </row>
    <row r="9" spans="1:27" hidden="1">
      <c r="A9" s="41" t="s">
        <v>186</v>
      </c>
      <c r="B9" s="41">
        <v>2241</v>
      </c>
      <c r="C9" s="41">
        <v>2869</v>
      </c>
      <c r="D9" s="41">
        <v>2475</v>
      </c>
      <c r="E9" s="41">
        <v>2346</v>
      </c>
      <c r="F9" s="41">
        <v>2356</v>
      </c>
      <c r="G9" s="41">
        <v>2232</v>
      </c>
      <c r="H9" s="41">
        <v>2382</v>
      </c>
      <c r="I9" s="41">
        <v>2655</v>
      </c>
      <c r="J9" s="41">
        <v>2719</v>
      </c>
      <c r="K9">
        <v>3108</v>
      </c>
      <c r="L9">
        <v>2807</v>
      </c>
      <c r="M9">
        <v>2079</v>
      </c>
      <c r="N9">
        <v>4200</v>
      </c>
      <c r="O9">
        <v>822</v>
      </c>
      <c r="P9">
        <v>840</v>
      </c>
      <c r="Q9">
        <v>824</v>
      </c>
      <c r="R9">
        <v>668</v>
      </c>
      <c r="S9">
        <v>697</v>
      </c>
      <c r="T9">
        <v>695</v>
      </c>
      <c r="U9">
        <v>718</v>
      </c>
      <c r="V9">
        <v>757</v>
      </c>
      <c r="W9">
        <v>905</v>
      </c>
      <c r="X9">
        <v>998</v>
      </c>
      <c r="Y9">
        <v>1037</v>
      </c>
      <c r="Z9">
        <v>703</v>
      </c>
      <c r="AA9">
        <v>1185</v>
      </c>
    </row>
    <row r="10" spans="1:27" hidden="1">
      <c r="A10" s="41" t="s">
        <v>114</v>
      </c>
      <c r="B10" s="41">
        <v>4923</v>
      </c>
      <c r="C10" s="41">
        <v>5641</v>
      </c>
      <c r="D10" s="41">
        <v>4456</v>
      </c>
      <c r="E10" s="41">
        <v>4936</v>
      </c>
      <c r="F10" s="41">
        <v>5716</v>
      </c>
      <c r="G10" s="41">
        <v>6278</v>
      </c>
      <c r="H10" s="41">
        <v>5569</v>
      </c>
      <c r="I10" s="41">
        <v>5685</v>
      </c>
      <c r="J10" s="41">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row>
    <row r="11" spans="1:27" hidden="1">
      <c r="A11" s="41" t="s">
        <v>416</v>
      </c>
      <c r="B11" s="41">
        <v>861</v>
      </c>
      <c r="C11" s="41">
        <v>747</v>
      </c>
      <c r="D11" s="41">
        <v>763</v>
      </c>
      <c r="E11" s="41">
        <v>879</v>
      </c>
      <c r="F11" s="41">
        <v>857</v>
      </c>
      <c r="G11" s="41">
        <v>797</v>
      </c>
      <c r="H11" s="41">
        <v>772</v>
      </c>
      <c r="I11" s="41">
        <v>826</v>
      </c>
      <c r="J11" s="41">
        <v>821</v>
      </c>
      <c r="K11">
        <v>798</v>
      </c>
      <c r="L11">
        <v>649</v>
      </c>
      <c r="M11">
        <v>650</v>
      </c>
      <c r="N11">
        <v>1190</v>
      </c>
      <c r="O11">
        <v>171</v>
      </c>
      <c r="P11">
        <v>137</v>
      </c>
      <c r="Q11">
        <v>126</v>
      </c>
      <c r="R11">
        <v>178</v>
      </c>
      <c r="S11">
        <v>171</v>
      </c>
      <c r="T11">
        <v>179</v>
      </c>
      <c r="U11">
        <v>173</v>
      </c>
      <c r="V11">
        <v>174</v>
      </c>
      <c r="W11">
        <v>205</v>
      </c>
      <c r="X11">
        <v>189</v>
      </c>
      <c r="Y11">
        <v>180</v>
      </c>
      <c r="Z11">
        <v>152</v>
      </c>
      <c r="AA11">
        <v>228</v>
      </c>
    </row>
    <row r="12" spans="1:27" hidden="1">
      <c r="A12" s="41" t="s">
        <v>150</v>
      </c>
      <c r="B12" s="41">
        <v>4756</v>
      </c>
      <c r="C12" s="41">
        <v>4401</v>
      </c>
      <c r="D12" s="41">
        <v>3375</v>
      </c>
      <c r="E12" s="41">
        <v>2711</v>
      </c>
      <c r="F12" s="41">
        <v>2154</v>
      </c>
      <c r="G12" s="41">
        <v>2492</v>
      </c>
      <c r="H12" s="41">
        <v>2441</v>
      </c>
      <c r="I12" s="41">
        <v>2387</v>
      </c>
      <c r="J12" s="41">
        <v>2192</v>
      </c>
      <c r="K12">
        <v>5826</v>
      </c>
      <c r="L12">
        <v>1778</v>
      </c>
      <c r="M12">
        <v>2728</v>
      </c>
      <c r="N12">
        <v>3129</v>
      </c>
      <c r="O12">
        <v>1284</v>
      </c>
      <c r="P12">
        <v>1113</v>
      </c>
      <c r="Q12">
        <v>889</v>
      </c>
      <c r="R12">
        <v>656</v>
      </c>
      <c r="S12">
        <v>730</v>
      </c>
      <c r="T12">
        <v>754</v>
      </c>
      <c r="U12">
        <v>744</v>
      </c>
      <c r="V12">
        <v>764</v>
      </c>
      <c r="W12">
        <v>748</v>
      </c>
      <c r="X12">
        <v>1657</v>
      </c>
      <c r="Y12">
        <v>615</v>
      </c>
      <c r="Z12">
        <v>808</v>
      </c>
      <c r="AA12">
        <v>909</v>
      </c>
    </row>
    <row r="13" spans="1:27" hidden="1">
      <c r="A13" s="41" t="s">
        <v>734</v>
      </c>
      <c r="B13" s="41">
        <v>532</v>
      </c>
      <c r="C13" s="41">
        <v>765</v>
      </c>
      <c r="D13" s="41">
        <v>1661</v>
      </c>
      <c r="E13" s="41">
        <v>674</v>
      </c>
      <c r="F13" s="41">
        <v>684</v>
      </c>
      <c r="G13" s="41">
        <v>1793</v>
      </c>
      <c r="H13" s="41">
        <v>963</v>
      </c>
      <c r="I13" s="41">
        <v>922</v>
      </c>
      <c r="J13" s="41">
        <v>637</v>
      </c>
      <c r="K13">
        <v>525</v>
      </c>
      <c r="L13">
        <v>470</v>
      </c>
      <c r="M13">
        <v>483</v>
      </c>
      <c r="N13">
        <v>494</v>
      </c>
      <c r="O13">
        <v>129</v>
      </c>
      <c r="P13">
        <v>168</v>
      </c>
      <c r="Q13">
        <v>265</v>
      </c>
      <c r="R13">
        <v>169</v>
      </c>
      <c r="S13">
        <v>145</v>
      </c>
      <c r="T13">
        <v>303</v>
      </c>
      <c r="U13">
        <v>216</v>
      </c>
      <c r="V13">
        <v>240</v>
      </c>
      <c r="W13">
        <v>174</v>
      </c>
      <c r="X13">
        <v>192</v>
      </c>
      <c r="Y13">
        <v>153</v>
      </c>
      <c r="Z13">
        <v>152</v>
      </c>
      <c r="AA13">
        <v>143</v>
      </c>
    </row>
    <row r="14" spans="1:27" hidden="1">
      <c r="A14" s="41" t="s">
        <v>260</v>
      </c>
      <c r="B14" s="41">
        <v>1912</v>
      </c>
      <c r="C14" s="41">
        <v>1956</v>
      </c>
      <c r="D14" s="41">
        <v>1740</v>
      </c>
      <c r="E14" s="41">
        <v>1413</v>
      </c>
      <c r="F14" s="41">
        <v>1833</v>
      </c>
      <c r="G14" s="41">
        <v>2677</v>
      </c>
      <c r="H14" s="41">
        <v>2190</v>
      </c>
      <c r="I14" s="41">
        <v>2027</v>
      </c>
      <c r="J14" s="41">
        <v>1633</v>
      </c>
      <c r="K14">
        <v>1832</v>
      </c>
      <c r="L14">
        <v>1435</v>
      </c>
      <c r="M14">
        <v>1408</v>
      </c>
      <c r="N14">
        <v>1776</v>
      </c>
      <c r="O14">
        <v>304</v>
      </c>
      <c r="P14">
        <v>366</v>
      </c>
      <c r="Q14">
        <v>351</v>
      </c>
      <c r="R14">
        <v>345</v>
      </c>
      <c r="S14">
        <v>462</v>
      </c>
      <c r="T14">
        <v>590</v>
      </c>
      <c r="U14">
        <v>553</v>
      </c>
      <c r="V14">
        <v>572</v>
      </c>
      <c r="W14">
        <v>459</v>
      </c>
      <c r="X14">
        <v>453</v>
      </c>
      <c r="Y14">
        <v>421</v>
      </c>
      <c r="Z14">
        <v>396</v>
      </c>
      <c r="AA14">
        <v>518</v>
      </c>
    </row>
    <row r="15" spans="1:27" hidden="1">
      <c r="A15" s="41" t="s">
        <v>311</v>
      </c>
      <c r="B15" s="41">
        <v>1255</v>
      </c>
      <c r="C15" s="41">
        <v>1309</v>
      </c>
      <c r="D15" s="41">
        <v>1188</v>
      </c>
      <c r="E15" s="41">
        <v>1177</v>
      </c>
      <c r="F15" s="41">
        <v>969</v>
      </c>
      <c r="G15" s="41">
        <v>930</v>
      </c>
      <c r="H15" s="41">
        <v>983</v>
      </c>
      <c r="I15" s="41">
        <v>1126</v>
      </c>
      <c r="J15" s="41">
        <v>1079</v>
      </c>
      <c r="K15">
        <v>1054</v>
      </c>
      <c r="L15">
        <v>1015</v>
      </c>
      <c r="M15">
        <v>906</v>
      </c>
      <c r="N15">
        <v>1289</v>
      </c>
      <c r="O15">
        <v>201</v>
      </c>
      <c r="P15">
        <v>168</v>
      </c>
      <c r="Q15">
        <v>212</v>
      </c>
      <c r="R15">
        <v>230</v>
      </c>
      <c r="S15">
        <v>223</v>
      </c>
      <c r="T15">
        <v>261</v>
      </c>
      <c r="U15">
        <v>188</v>
      </c>
      <c r="V15">
        <v>247</v>
      </c>
      <c r="W15">
        <v>263</v>
      </c>
      <c r="X15">
        <v>227</v>
      </c>
      <c r="Y15">
        <v>227</v>
      </c>
      <c r="Z15">
        <v>174</v>
      </c>
      <c r="AA15">
        <v>290</v>
      </c>
    </row>
    <row r="16" spans="1:27" hidden="1">
      <c r="A16" s="41" t="s">
        <v>547</v>
      </c>
      <c r="B16" s="41">
        <v>2626</v>
      </c>
      <c r="C16" s="41">
        <v>3952</v>
      </c>
      <c r="D16" s="41">
        <v>4615</v>
      </c>
      <c r="E16" s="41">
        <v>2880</v>
      </c>
      <c r="F16" s="41">
        <v>2635</v>
      </c>
      <c r="G16" s="41">
        <v>2191</v>
      </c>
      <c r="H16" s="41">
        <v>2469</v>
      </c>
      <c r="I16" s="41">
        <v>2406</v>
      </c>
      <c r="J16" s="41">
        <v>2429</v>
      </c>
      <c r="K16">
        <v>2214</v>
      </c>
      <c r="L16">
        <v>2115</v>
      </c>
      <c r="M16">
        <v>2439</v>
      </c>
      <c r="N16">
        <v>3954</v>
      </c>
      <c r="O16">
        <v>568</v>
      </c>
      <c r="P16">
        <v>843</v>
      </c>
      <c r="Q16">
        <v>962</v>
      </c>
      <c r="R16">
        <v>740</v>
      </c>
      <c r="S16">
        <v>734</v>
      </c>
      <c r="T16">
        <v>678</v>
      </c>
      <c r="U16">
        <v>625</v>
      </c>
      <c r="V16">
        <v>683</v>
      </c>
      <c r="W16">
        <v>742</v>
      </c>
      <c r="X16">
        <v>685</v>
      </c>
      <c r="Y16">
        <v>663</v>
      </c>
      <c r="Z16">
        <v>623</v>
      </c>
      <c r="AA16">
        <v>984</v>
      </c>
    </row>
    <row r="17" spans="1:27" hidden="1">
      <c r="A17" s="41" t="s">
        <v>247</v>
      </c>
      <c r="B17" s="41">
        <v>2251</v>
      </c>
      <c r="C17" s="41">
        <v>1981</v>
      </c>
      <c r="D17" s="41">
        <v>2209</v>
      </c>
      <c r="E17" s="41">
        <v>1972</v>
      </c>
      <c r="F17" s="41">
        <v>2037</v>
      </c>
      <c r="G17" s="41">
        <v>1574</v>
      </c>
      <c r="H17" s="41">
        <v>1888</v>
      </c>
      <c r="I17" s="41">
        <v>1598</v>
      </c>
      <c r="J17" s="41">
        <v>1823</v>
      </c>
      <c r="K17">
        <v>1655</v>
      </c>
      <c r="L17">
        <v>1763</v>
      </c>
      <c r="M17">
        <v>1796</v>
      </c>
      <c r="N17">
        <v>2081</v>
      </c>
      <c r="O17">
        <v>468</v>
      </c>
      <c r="P17">
        <v>440</v>
      </c>
      <c r="Q17">
        <v>411</v>
      </c>
      <c r="R17">
        <v>391</v>
      </c>
      <c r="S17">
        <v>403</v>
      </c>
      <c r="T17">
        <v>297</v>
      </c>
      <c r="U17">
        <v>327</v>
      </c>
      <c r="V17">
        <v>286</v>
      </c>
      <c r="W17">
        <v>353</v>
      </c>
      <c r="X17">
        <v>316</v>
      </c>
      <c r="Y17">
        <v>411</v>
      </c>
      <c r="Z17">
        <v>390</v>
      </c>
      <c r="AA17">
        <v>494</v>
      </c>
    </row>
    <row r="18" spans="1:27" hidden="1">
      <c r="A18" s="41" t="s">
        <v>276</v>
      </c>
      <c r="B18" s="41">
        <v>2912</v>
      </c>
      <c r="C18" s="41">
        <v>3613</v>
      </c>
      <c r="D18" s="41">
        <v>3895</v>
      </c>
      <c r="E18" s="41">
        <v>3361</v>
      </c>
      <c r="F18" s="41">
        <v>2176</v>
      </c>
      <c r="G18" s="41">
        <v>2473</v>
      </c>
      <c r="H18" s="41">
        <v>1708</v>
      </c>
      <c r="I18" s="41">
        <v>1921</v>
      </c>
      <c r="J18" s="41">
        <v>2401</v>
      </c>
      <c r="K18">
        <v>1834</v>
      </c>
      <c r="L18">
        <v>1629</v>
      </c>
      <c r="M18">
        <v>1433</v>
      </c>
      <c r="N18">
        <v>1702</v>
      </c>
      <c r="O18">
        <v>681</v>
      </c>
      <c r="P18">
        <v>842</v>
      </c>
      <c r="Q18">
        <v>1179</v>
      </c>
      <c r="R18">
        <v>984</v>
      </c>
      <c r="S18">
        <v>676</v>
      </c>
      <c r="T18">
        <v>707</v>
      </c>
      <c r="U18">
        <v>580</v>
      </c>
      <c r="V18">
        <v>624</v>
      </c>
      <c r="W18">
        <v>764</v>
      </c>
      <c r="X18">
        <v>664</v>
      </c>
      <c r="Y18">
        <v>605</v>
      </c>
      <c r="Z18">
        <v>520</v>
      </c>
      <c r="AA18">
        <v>599</v>
      </c>
    </row>
    <row r="19" spans="1:27" hidden="1">
      <c r="A19" s="41" t="s">
        <v>291</v>
      </c>
      <c r="B19" s="41">
        <v>0</v>
      </c>
      <c r="C19" s="41">
        <v>1748</v>
      </c>
      <c r="D19" s="41">
        <v>1392</v>
      </c>
      <c r="E19" s="41">
        <v>1702</v>
      </c>
      <c r="F19" s="41">
        <v>1694</v>
      </c>
      <c r="G19" s="41">
        <v>1549</v>
      </c>
      <c r="H19" s="41">
        <v>1385</v>
      </c>
      <c r="I19" s="41">
        <v>893</v>
      </c>
      <c r="J19" s="41">
        <v>1336</v>
      </c>
      <c r="K19">
        <v>1120</v>
      </c>
      <c r="L19">
        <v>1198</v>
      </c>
      <c r="M19">
        <v>1005</v>
      </c>
      <c r="N19">
        <v>1435</v>
      </c>
      <c r="O19">
        <v>0</v>
      </c>
      <c r="P19">
        <v>287</v>
      </c>
      <c r="Q19">
        <v>199</v>
      </c>
      <c r="R19">
        <v>228</v>
      </c>
      <c r="S19">
        <v>225</v>
      </c>
      <c r="T19">
        <v>203</v>
      </c>
      <c r="U19">
        <v>218</v>
      </c>
      <c r="V19">
        <v>202</v>
      </c>
      <c r="W19">
        <v>274</v>
      </c>
      <c r="X19">
        <v>235</v>
      </c>
      <c r="Y19">
        <v>206</v>
      </c>
      <c r="Z19">
        <v>197</v>
      </c>
      <c r="AA19">
        <v>274</v>
      </c>
    </row>
    <row r="20" spans="1:27" hidden="1">
      <c r="A20" s="41" t="s">
        <v>348</v>
      </c>
      <c r="B20" s="41">
        <v>1166</v>
      </c>
      <c r="C20" s="41">
        <v>1365</v>
      </c>
      <c r="D20" s="41">
        <v>1305</v>
      </c>
      <c r="E20" s="41">
        <v>1369</v>
      </c>
      <c r="F20" s="41">
        <v>1204</v>
      </c>
      <c r="G20" s="41">
        <v>1479</v>
      </c>
      <c r="H20" s="41">
        <v>2276</v>
      </c>
      <c r="I20" s="41">
        <v>2413</v>
      </c>
      <c r="J20" s="41">
        <v>2415</v>
      </c>
      <c r="K20">
        <v>1982</v>
      </c>
      <c r="L20">
        <v>1332</v>
      </c>
      <c r="M20">
        <v>1273</v>
      </c>
      <c r="N20">
        <v>1332</v>
      </c>
      <c r="O20">
        <v>191</v>
      </c>
      <c r="P20">
        <v>245</v>
      </c>
      <c r="Q20">
        <v>282</v>
      </c>
      <c r="R20">
        <v>280</v>
      </c>
      <c r="S20">
        <v>242</v>
      </c>
      <c r="T20">
        <v>289</v>
      </c>
      <c r="U20">
        <v>294</v>
      </c>
      <c r="V20">
        <v>321</v>
      </c>
      <c r="W20">
        <v>314</v>
      </c>
      <c r="X20">
        <v>255</v>
      </c>
      <c r="Y20">
        <v>225</v>
      </c>
      <c r="Z20">
        <v>186</v>
      </c>
      <c r="AA20">
        <v>238</v>
      </c>
    </row>
    <row r="21" spans="1:27" hidden="1">
      <c r="A21" s="41" t="s">
        <v>314</v>
      </c>
      <c r="B21" s="41">
        <v>0</v>
      </c>
      <c r="C21" s="41">
        <v>2043</v>
      </c>
      <c r="D21" s="41">
        <v>2010</v>
      </c>
      <c r="E21" s="41">
        <v>1973</v>
      </c>
      <c r="F21" s="41">
        <v>1304</v>
      </c>
      <c r="G21" s="41">
        <v>1219</v>
      </c>
      <c r="H21" s="41">
        <v>1175</v>
      </c>
      <c r="I21" s="41">
        <v>1201</v>
      </c>
      <c r="J21" s="41">
        <v>1105</v>
      </c>
      <c r="K21">
        <v>1069</v>
      </c>
      <c r="L21">
        <v>983</v>
      </c>
      <c r="M21">
        <v>992</v>
      </c>
      <c r="N21">
        <v>1228</v>
      </c>
      <c r="O21">
        <v>0</v>
      </c>
      <c r="P21">
        <v>795</v>
      </c>
      <c r="Q21">
        <v>769</v>
      </c>
      <c r="R21">
        <v>713</v>
      </c>
      <c r="S21">
        <v>483</v>
      </c>
      <c r="T21">
        <v>508</v>
      </c>
      <c r="U21">
        <v>479</v>
      </c>
      <c r="V21">
        <v>509</v>
      </c>
      <c r="W21">
        <v>484</v>
      </c>
      <c r="X21">
        <v>452</v>
      </c>
      <c r="Y21">
        <v>435</v>
      </c>
      <c r="Z21">
        <v>440</v>
      </c>
      <c r="AA21">
        <v>520</v>
      </c>
    </row>
    <row r="22" spans="1:27" hidden="1">
      <c r="A22" s="41" t="s">
        <v>677</v>
      </c>
      <c r="B22" s="41">
        <v>805</v>
      </c>
      <c r="C22" s="41">
        <v>2222</v>
      </c>
      <c r="D22" s="41">
        <v>770</v>
      </c>
      <c r="E22" s="41">
        <v>1022</v>
      </c>
      <c r="F22" s="41">
        <v>847</v>
      </c>
      <c r="G22" s="41">
        <v>1065</v>
      </c>
      <c r="H22" s="41">
        <v>741</v>
      </c>
      <c r="I22" s="41">
        <v>957</v>
      </c>
      <c r="J22" s="41">
        <v>661</v>
      </c>
      <c r="K22">
        <v>1346</v>
      </c>
      <c r="L22">
        <v>643</v>
      </c>
      <c r="M22">
        <v>930</v>
      </c>
      <c r="N22">
        <v>1036</v>
      </c>
      <c r="O22">
        <v>135</v>
      </c>
      <c r="P22">
        <v>356</v>
      </c>
      <c r="Q22">
        <v>156</v>
      </c>
      <c r="R22">
        <v>237</v>
      </c>
      <c r="S22">
        <v>210</v>
      </c>
      <c r="T22">
        <v>292</v>
      </c>
      <c r="U22">
        <v>163</v>
      </c>
      <c r="V22">
        <v>266</v>
      </c>
      <c r="W22">
        <v>193</v>
      </c>
      <c r="X22">
        <v>328</v>
      </c>
      <c r="Y22">
        <v>224</v>
      </c>
      <c r="Z22">
        <v>274</v>
      </c>
      <c r="AA22">
        <v>298</v>
      </c>
    </row>
    <row r="23" spans="1:27" hidden="1">
      <c r="A23" s="41" t="s">
        <v>50</v>
      </c>
      <c r="B23" s="41">
        <v>2837</v>
      </c>
      <c r="C23" s="41">
        <v>3008</v>
      </c>
      <c r="D23" s="41">
        <v>3196</v>
      </c>
      <c r="E23" s="41">
        <v>8455</v>
      </c>
      <c r="F23" s="41">
        <v>7979</v>
      </c>
      <c r="G23" s="41">
        <v>10916</v>
      </c>
      <c r="H23" s="41">
        <v>6931</v>
      </c>
      <c r="I23" s="41">
        <v>7015</v>
      </c>
      <c r="J23" s="41">
        <v>5966</v>
      </c>
      <c r="K23">
        <v>4340</v>
      </c>
      <c r="L23">
        <v>7601</v>
      </c>
      <c r="M23">
        <v>9082</v>
      </c>
      <c r="N23">
        <v>8055</v>
      </c>
      <c r="O23">
        <v>393</v>
      </c>
      <c r="P23">
        <v>400</v>
      </c>
      <c r="Q23">
        <v>425</v>
      </c>
      <c r="R23">
        <v>1142</v>
      </c>
      <c r="S23">
        <v>957</v>
      </c>
      <c r="T23">
        <v>1323</v>
      </c>
      <c r="U23">
        <v>976</v>
      </c>
      <c r="V23">
        <v>1388</v>
      </c>
      <c r="W23">
        <v>892</v>
      </c>
      <c r="X23">
        <v>694</v>
      </c>
      <c r="Y23">
        <v>1372</v>
      </c>
      <c r="Z23">
        <v>1378</v>
      </c>
      <c r="AA23">
        <v>1573</v>
      </c>
    </row>
    <row r="24" spans="1:27" hidden="1">
      <c r="A24" s="41" t="s">
        <v>525</v>
      </c>
      <c r="B24" s="41">
        <v>1158</v>
      </c>
      <c r="C24" s="41">
        <v>1375</v>
      </c>
      <c r="D24" s="41">
        <v>622</v>
      </c>
      <c r="E24" s="41">
        <v>552</v>
      </c>
      <c r="F24" s="41">
        <v>735</v>
      </c>
      <c r="G24" s="41">
        <v>710</v>
      </c>
      <c r="H24" s="41">
        <v>805</v>
      </c>
      <c r="I24" s="41">
        <v>937</v>
      </c>
      <c r="J24" s="41">
        <v>1084</v>
      </c>
      <c r="K24">
        <v>746</v>
      </c>
      <c r="L24">
        <v>566</v>
      </c>
      <c r="M24">
        <v>528</v>
      </c>
      <c r="N24">
        <v>887</v>
      </c>
      <c r="O24">
        <v>54</v>
      </c>
      <c r="P24">
        <v>110</v>
      </c>
      <c r="Q24">
        <v>113</v>
      </c>
      <c r="R24">
        <v>81</v>
      </c>
      <c r="S24">
        <v>103</v>
      </c>
      <c r="T24">
        <v>126</v>
      </c>
      <c r="U24">
        <v>153</v>
      </c>
      <c r="V24">
        <v>216</v>
      </c>
      <c r="W24">
        <v>230</v>
      </c>
      <c r="X24">
        <v>141</v>
      </c>
      <c r="Y24">
        <v>111</v>
      </c>
      <c r="Z24">
        <v>89</v>
      </c>
      <c r="AA24">
        <v>182</v>
      </c>
    </row>
    <row r="25" spans="1:27" hidden="1">
      <c r="A25" s="41" t="s">
        <v>207</v>
      </c>
      <c r="B25" s="41">
        <v>1208</v>
      </c>
      <c r="C25" s="41">
        <v>1250</v>
      </c>
      <c r="D25" s="41">
        <v>871</v>
      </c>
      <c r="E25" s="41">
        <v>821</v>
      </c>
      <c r="F25" s="41">
        <v>689</v>
      </c>
      <c r="G25" s="41">
        <v>638</v>
      </c>
      <c r="H25" s="41">
        <v>695</v>
      </c>
      <c r="I25" s="41">
        <v>1739</v>
      </c>
      <c r="J25" s="41">
        <v>849</v>
      </c>
      <c r="K25">
        <v>938</v>
      </c>
      <c r="L25">
        <v>850</v>
      </c>
      <c r="M25">
        <v>913</v>
      </c>
      <c r="N25">
        <v>1214</v>
      </c>
      <c r="O25">
        <v>325</v>
      </c>
      <c r="P25">
        <v>361</v>
      </c>
      <c r="Q25">
        <v>290</v>
      </c>
      <c r="R25">
        <v>277</v>
      </c>
      <c r="S25">
        <v>274</v>
      </c>
      <c r="T25">
        <v>252</v>
      </c>
      <c r="U25">
        <v>291</v>
      </c>
      <c r="V25">
        <v>611</v>
      </c>
      <c r="W25">
        <v>332</v>
      </c>
      <c r="X25">
        <v>382</v>
      </c>
      <c r="Y25">
        <v>427</v>
      </c>
      <c r="Z25">
        <v>361</v>
      </c>
      <c r="AA25">
        <v>487</v>
      </c>
    </row>
    <row r="26" spans="1:27" hidden="1">
      <c r="A26" s="41" t="s">
        <v>350</v>
      </c>
      <c r="B26" s="41">
        <v>1350</v>
      </c>
      <c r="C26" s="41">
        <v>1572</v>
      </c>
      <c r="D26" s="41">
        <v>1531</v>
      </c>
      <c r="E26" s="41">
        <v>1099</v>
      </c>
      <c r="F26" s="41">
        <v>993</v>
      </c>
      <c r="G26" s="41">
        <v>953</v>
      </c>
      <c r="H26" s="41">
        <v>1321</v>
      </c>
      <c r="I26" s="41">
        <v>1159</v>
      </c>
      <c r="J26" s="41">
        <v>1280</v>
      </c>
      <c r="K26">
        <v>1374</v>
      </c>
      <c r="L26">
        <v>952</v>
      </c>
      <c r="M26">
        <v>1057</v>
      </c>
      <c r="N26">
        <v>1414</v>
      </c>
      <c r="O26">
        <v>184</v>
      </c>
      <c r="P26">
        <v>212</v>
      </c>
      <c r="Q26">
        <v>218</v>
      </c>
      <c r="R26">
        <v>166</v>
      </c>
      <c r="S26">
        <v>146</v>
      </c>
      <c r="T26">
        <v>129</v>
      </c>
      <c r="U26">
        <v>156</v>
      </c>
      <c r="V26">
        <v>159</v>
      </c>
      <c r="W26">
        <v>162</v>
      </c>
      <c r="X26">
        <v>200</v>
      </c>
      <c r="Y26">
        <v>166</v>
      </c>
      <c r="Z26">
        <v>220</v>
      </c>
      <c r="AA26">
        <v>235</v>
      </c>
    </row>
    <row r="27" spans="1:27" hidden="1">
      <c r="A27" s="41" t="s">
        <v>538</v>
      </c>
      <c r="B27" s="41">
        <v>665</v>
      </c>
      <c r="C27" s="41">
        <v>685</v>
      </c>
      <c r="D27" s="41">
        <v>512</v>
      </c>
      <c r="E27" s="41">
        <v>531</v>
      </c>
      <c r="F27" s="41">
        <v>543</v>
      </c>
      <c r="G27" s="41">
        <v>726</v>
      </c>
      <c r="H27" s="41">
        <v>571</v>
      </c>
      <c r="I27" s="41">
        <v>593</v>
      </c>
      <c r="J27" s="41">
        <v>602</v>
      </c>
      <c r="K27">
        <v>563</v>
      </c>
      <c r="L27">
        <v>564</v>
      </c>
      <c r="M27">
        <v>541</v>
      </c>
      <c r="N27">
        <v>685</v>
      </c>
      <c r="O27">
        <v>149</v>
      </c>
      <c r="P27">
        <v>135</v>
      </c>
      <c r="Q27">
        <v>100</v>
      </c>
      <c r="R27">
        <v>154</v>
      </c>
      <c r="S27">
        <v>168</v>
      </c>
      <c r="T27">
        <v>212</v>
      </c>
      <c r="U27">
        <v>154</v>
      </c>
      <c r="V27">
        <v>188</v>
      </c>
      <c r="W27">
        <v>209</v>
      </c>
      <c r="X27">
        <v>206</v>
      </c>
      <c r="Y27">
        <v>211</v>
      </c>
      <c r="Z27">
        <v>178</v>
      </c>
      <c r="AA27">
        <v>237</v>
      </c>
    </row>
    <row r="28" spans="1:27" hidden="1">
      <c r="A28" s="41" t="s">
        <v>244</v>
      </c>
      <c r="B28" s="41">
        <v>1234</v>
      </c>
      <c r="C28" s="41">
        <v>1378</v>
      </c>
      <c r="D28" s="41">
        <v>1315</v>
      </c>
      <c r="E28" s="41">
        <v>1069</v>
      </c>
      <c r="F28" s="41">
        <v>963</v>
      </c>
      <c r="G28" s="41">
        <v>1037</v>
      </c>
      <c r="H28" s="41">
        <v>872</v>
      </c>
      <c r="I28" s="41">
        <v>952</v>
      </c>
      <c r="J28" s="41">
        <v>1143</v>
      </c>
      <c r="K28">
        <v>1047</v>
      </c>
      <c r="L28">
        <v>862</v>
      </c>
      <c r="M28">
        <v>920</v>
      </c>
      <c r="N28">
        <v>1554</v>
      </c>
      <c r="O28">
        <v>454</v>
      </c>
      <c r="P28">
        <v>495</v>
      </c>
      <c r="Q28">
        <v>444</v>
      </c>
      <c r="R28">
        <v>424</v>
      </c>
      <c r="S28">
        <v>398</v>
      </c>
      <c r="T28">
        <v>416</v>
      </c>
      <c r="U28">
        <v>313</v>
      </c>
      <c r="V28">
        <v>402</v>
      </c>
      <c r="W28">
        <v>430</v>
      </c>
      <c r="X28">
        <v>374</v>
      </c>
      <c r="Y28">
        <v>348</v>
      </c>
      <c r="Z28">
        <v>395</v>
      </c>
      <c r="AA28">
        <v>594</v>
      </c>
    </row>
    <row r="29" spans="1:27" hidden="1">
      <c r="A29" s="41" t="s">
        <v>258</v>
      </c>
      <c r="B29" s="41">
        <v>2643</v>
      </c>
      <c r="C29" s="41">
        <v>2194</v>
      </c>
      <c r="D29" s="41">
        <v>2460</v>
      </c>
      <c r="E29" s="41">
        <v>3131</v>
      </c>
      <c r="F29" s="41">
        <v>5169</v>
      </c>
      <c r="G29" s="41">
        <v>5311</v>
      </c>
      <c r="H29" s="41">
        <v>4351</v>
      </c>
      <c r="I29" s="41">
        <v>3748</v>
      </c>
      <c r="J29" s="41">
        <v>3306</v>
      </c>
      <c r="K29">
        <v>3286</v>
      </c>
      <c r="L29">
        <v>2361</v>
      </c>
      <c r="M29">
        <v>2038</v>
      </c>
      <c r="N29">
        <v>3435</v>
      </c>
      <c r="O29">
        <v>711</v>
      </c>
      <c r="P29">
        <v>586</v>
      </c>
      <c r="Q29">
        <v>659</v>
      </c>
      <c r="R29">
        <v>902</v>
      </c>
      <c r="S29">
        <v>1232</v>
      </c>
      <c r="T29">
        <v>1377</v>
      </c>
      <c r="U29">
        <v>1016</v>
      </c>
      <c r="V29">
        <v>1019</v>
      </c>
      <c r="W29">
        <v>854</v>
      </c>
      <c r="X29">
        <v>955</v>
      </c>
      <c r="Y29">
        <v>705</v>
      </c>
      <c r="Z29">
        <v>572</v>
      </c>
      <c r="AA29">
        <v>946</v>
      </c>
    </row>
    <row r="30" spans="1:27" hidden="1">
      <c r="A30" s="41" t="s">
        <v>321</v>
      </c>
      <c r="B30" s="41">
        <v>1291</v>
      </c>
      <c r="C30" s="41">
        <v>1246</v>
      </c>
      <c r="D30" s="41">
        <v>1323</v>
      </c>
      <c r="E30" s="41">
        <v>1384</v>
      </c>
      <c r="F30" s="41">
        <v>2896</v>
      </c>
      <c r="G30" s="41">
        <v>3091</v>
      </c>
      <c r="H30" s="41">
        <v>1801</v>
      </c>
      <c r="I30" s="41">
        <v>1312</v>
      </c>
      <c r="J30" s="41">
        <v>1316</v>
      </c>
      <c r="K30">
        <v>1231</v>
      </c>
      <c r="L30">
        <v>1033</v>
      </c>
      <c r="M30">
        <v>878</v>
      </c>
      <c r="N30">
        <v>1263</v>
      </c>
      <c r="O30">
        <v>128</v>
      </c>
      <c r="P30">
        <v>337</v>
      </c>
      <c r="Q30">
        <v>295</v>
      </c>
      <c r="R30">
        <v>320</v>
      </c>
      <c r="S30">
        <v>520</v>
      </c>
      <c r="T30">
        <v>495</v>
      </c>
      <c r="U30">
        <v>369</v>
      </c>
      <c r="V30">
        <v>309</v>
      </c>
      <c r="W30">
        <v>344</v>
      </c>
      <c r="X30">
        <v>306</v>
      </c>
      <c r="Y30">
        <v>274</v>
      </c>
      <c r="Z30">
        <v>224</v>
      </c>
      <c r="AA30">
        <v>343</v>
      </c>
    </row>
    <row r="31" spans="1:27" hidden="1">
      <c r="A31" s="41" t="s">
        <v>235</v>
      </c>
      <c r="B31" s="41">
        <v>1802</v>
      </c>
      <c r="C31" s="41">
        <v>2266</v>
      </c>
      <c r="D31" s="41">
        <v>2188</v>
      </c>
      <c r="E31" s="41">
        <v>2260</v>
      </c>
      <c r="F31" s="41">
        <v>1855</v>
      </c>
      <c r="G31" s="41">
        <v>1756</v>
      </c>
      <c r="H31" s="41">
        <v>1896</v>
      </c>
      <c r="I31" s="41">
        <v>1935</v>
      </c>
      <c r="J31" s="41">
        <v>2329</v>
      </c>
      <c r="K31">
        <v>3193</v>
      </c>
      <c r="L31">
        <v>2270</v>
      </c>
      <c r="M31">
        <v>1891</v>
      </c>
      <c r="N31">
        <v>2542</v>
      </c>
      <c r="O31">
        <v>112</v>
      </c>
      <c r="P31">
        <v>322</v>
      </c>
      <c r="Q31">
        <v>424</v>
      </c>
      <c r="R31">
        <v>422</v>
      </c>
      <c r="S31">
        <v>346</v>
      </c>
      <c r="T31">
        <v>313</v>
      </c>
      <c r="U31">
        <v>348</v>
      </c>
      <c r="V31">
        <v>323</v>
      </c>
      <c r="W31">
        <v>411</v>
      </c>
      <c r="X31">
        <v>635</v>
      </c>
      <c r="Y31">
        <v>454</v>
      </c>
      <c r="Z31">
        <v>365</v>
      </c>
      <c r="AA31">
        <v>540</v>
      </c>
    </row>
    <row r="32" spans="1:27" hidden="1">
      <c r="A32" s="41" t="s">
        <v>477</v>
      </c>
      <c r="B32" s="41">
        <v>1697</v>
      </c>
      <c r="C32" s="41">
        <v>1662</v>
      </c>
      <c r="D32" s="41">
        <v>1362</v>
      </c>
      <c r="E32" s="41">
        <v>1046</v>
      </c>
      <c r="F32" s="41">
        <v>973</v>
      </c>
      <c r="G32" s="41">
        <v>1027</v>
      </c>
      <c r="H32" s="41">
        <v>1129</v>
      </c>
      <c r="I32" s="41">
        <v>893</v>
      </c>
      <c r="J32" s="41">
        <v>844</v>
      </c>
      <c r="K32">
        <v>759</v>
      </c>
      <c r="L32">
        <v>683</v>
      </c>
      <c r="M32">
        <v>552</v>
      </c>
      <c r="N32">
        <v>750</v>
      </c>
      <c r="O32">
        <v>377</v>
      </c>
      <c r="P32">
        <v>343</v>
      </c>
      <c r="Q32">
        <v>338</v>
      </c>
      <c r="R32">
        <v>274</v>
      </c>
      <c r="S32">
        <v>237</v>
      </c>
      <c r="T32">
        <v>236</v>
      </c>
      <c r="U32">
        <v>268</v>
      </c>
      <c r="V32">
        <v>203</v>
      </c>
      <c r="W32">
        <v>211</v>
      </c>
      <c r="X32">
        <v>204</v>
      </c>
      <c r="Y32">
        <v>192</v>
      </c>
      <c r="Z32">
        <v>164</v>
      </c>
      <c r="AA32">
        <v>204</v>
      </c>
    </row>
    <row r="33" spans="1:27" hidden="1">
      <c r="A33" s="41" t="s">
        <v>309</v>
      </c>
      <c r="B33" s="41">
        <v>2049</v>
      </c>
      <c r="C33" s="41">
        <v>2090</v>
      </c>
      <c r="D33" s="41">
        <v>1579</v>
      </c>
      <c r="E33" s="41">
        <v>1696</v>
      </c>
      <c r="F33" s="41">
        <v>1568</v>
      </c>
      <c r="G33" s="41">
        <v>1921</v>
      </c>
      <c r="H33" s="41">
        <v>1701</v>
      </c>
      <c r="I33" s="41">
        <v>1734</v>
      </c>
      <c r="J33" s="41">
        <v>1785</v>
      </c>
      <c r="K33">
        <v>1672</v>
      </c>
      <c r="L33">
        <v>1332</v>
      </c>
      <c r="M33">
        <v>1412</v>
      </c>
      <c r="N33">
        <v>1775</v>
      </c>
      <c r="O33">
        <v>391</v>
      </c>
      <c r="P33">
        <v>425</v>
      </c>
      <c r="Q33">
        <v>424</v>
      </c>
      <c r="R33">
        <v>371</v>
      </c>
      <c r="S33">
        <v>364</v>
      </c>
      <c r="T33">
        <v>421</v>
      </c>
      <c r="U33">
        <v>412</v>
      </c>
      <c r="V33">
        <v>413</v>
      </c>
      <c r="W33">
        <v>432</v>
      </c>
      <c r="X33">
        <v>398</v>
      </c>
      <c r="Y33">
        <v>340</v>
      </c>
      <c r="Z33">
        <v>338</v>
      </c>
      <c r="AA33">
        <v>371</v>
      </c>
    </row>
    <row r="34" spans="1:27" hidden="1">
      <c r="A34" s="41" t="s">
        <v>161</v>
      </c>
      <c r="B34" s="41">
        <v>0</v>
      </c>
      <c r="C34" s="41">
        <v>0</v>
      </c>
      <c r="D34" s="41">
        <v>0</v>
      </c>
      <c r="E34" s="41">
        <v>0</v>
      </c>
      <c r="F34" s="41">
        <v>0</v>
      </c>
      <c r="G34" s="41">
        <v>0</v>
      </c>
      <c r="H34" s="41">
        <v>0</v>
      </c>
      <c r="I34" s="41">
        <v>0</v>
      </c>
      <c r="J34" s="41">
        <v>825</v>
      </c>
      <c r="K34">
        <v>820</v>
      </c>
      <c r="L34">
        <v>1364</v>
      </c>
      <c r="M34">
        <v>677</v>
      </c>
      <c r="N34">
        <v>514</v>
      </c>
      <c r="O34">
        <v>0</v>
      </c>
      <c r="P34">
        <v>0</v>
      </c>
      <c r="Q34">
        <v>0</v>
      </c>
      <c r="R34">
        <v>0</v>
      </c>
      <c r="S34">
        <v>0</v>
      </c>
      <c r="T34">
        <v>0</v>
      </c>
      <c r="U34">
        <v>0</v>
      </c>
      <c r="V34">
        <v>0</v>
      </c>
      <c r="W34">
        <v>34</v>
      </c>
      <c r="X34">
        <v>202</v>
      </c>
      <c r="Y34">
        <v>493</v>
      </c>
      <c r="Z34">
        <v>45</v>
      </c>
      <c r="AA34">
        <v>141</v>
      </c>
    </row>
    <row r="35" spans="1:27" hidden="1">
      <c r="A35" s="41" t="s">
        <v>203</v>
      </c>
      <c r="B35" s="41">
        <v>1612</v>
      </c>
      <c r="C35" s="41">
        <v>1612</v>
      </c>
      <c r="D35" s="41">
        <v>1268</v>
      </c>
      <c r="E35" s="41">
        <v>1177</v>
      </c>
      <c r="F35" s="41">
        <v>1265</v>
      </c>
      <c r="G35" s="41">
        <v>1237</v>
      </c>
      <c r="H35" s="41">
        <v>1282</v>
      </c>
      <c r="I35" s="41">
        <v>1568</v>
      </c>
      <c r="J35" s="41">
        <v>1412</v>
      </c>
      <c r="K35">
        <v>1492</v>
      </c>
      <c r="L35">
        <v>1521</v>
      </c>
      <c r="M35">
        <v>1456</v>
      </c>
      <c r="N35">
        <v>2046</v>
      </c>
      <c r="O35">
        <v>332</v>
      </c>
      <c r="P35">
        <v>374</v>
      </c>
      <c r="Q35">
        <v>377</v>
      </c>
      <c r="R35">
        <v>351</v>
      </c>
      <c r="S35">
        <v>302</v>
      </c>
      <c r="T35">
        <v>317</v>
      </c>
      <c r="U35">
        <v>308</v>
      </c>
      <c r="V35">
        <v>353</v>
      </c>
      <c r="W35">
        <v>384</v>
      </c>
      <c r="X35">
        <v>405</v>
      </c>
      <c r="Y35">
        <v>403</v>
      </c>
      <c r="Z35">
        <v>363</v>
      </c>
      <c r="AA35">
        <v>482</v>
      </c>
    </row>
    <row r="36" spans="1:27" hidden="1">
      <c r="A36" s="41" t="s">
        <v>653</v>
      </c>
      <c r="B36" s="41">
        <v>1438</v>
      </c>
      <c r="C36" s="41">
        <v>1596</v>
      </c>
      <c r="D36" s="41">
        <v>1534</v>
      </c>
      <c r="E36" s="41">
        <v>1000</v>
      </c>
      <c r="F36" s="41">
        <v>813</v>
      </c>
      <c r="G36" s="41">
        <v>737</v>
      </c>
      <c r="H36" s="41">
        <v>772</v>
      </c>
      <c r="I36" s="41">
        <v>1128</v>
      </c>
      <c r="J36" s="41">
        <v>987</v>
      </c>
      <c r="K36">
        <v>807</v>
      </c>
      <c r="L36">
        <v>912</v>
      </c>
      <c r="M36">
        <v>972</v>
      </c>
      <c r="N36">
        <v>1050</v>
      </c>
      <c r="O36">
        <v>272</v>
      </c>
      <c r="P36">
        <v>327</v>
      </c>
      <c r="Q36">
        <v>237</v>
      </c>
      <c r="R36">
        <v>138</v>
      </c>
      <c r="S36">
        <v>119</v>
      </c>
      <c r="T36">
        <v>95</v>
      </c>
      <c r="U36">
        <v>111</v>
      </c>
      <c r="V36">
        <v>219</v>
      </c>
      <c r="W36">
        <v>156</v>
      </c>
      <c r="X36">
        <v>143</v>
      </c>
      <c r="Y36">
        <v>143</v>
      </c>
      <c r="Z36">
        <v>173</v>
      </c>
      <c r="AA36">
        <v>179</v>
      </c>
    </row>
    <row r="37" spans="1:27" hidden="1">
      <c r="A37" s="41" t="s">
        <v>261</v>
      </c>
      <c r="B37" s="41">
        <v>1173</v>
      </c>
      <c r="C37" s="41">
        <v>1416</v>
      </c>
      <c r="D37" s="41">
        <v>1415</v>
      </c>
      <c r="E37" s="41">
        <v>1937</v>
      </c>
      <c r="F37" s="41">
        <v>1513</v>
      </c>
      <c r="G37" s="41">
        <v>1190</v>
      </c>
      <c r="H37" s="41">
        <v>1096</v>
      </c>
      <c r="I37" s="41">
        <v>1043</v>
      </c>
      <c r="J37" s="41">
        <v>1008</v>
      </c>
      <c r="K37">
        <v>997</v>
      </c>
      <c r="L37">
        <v>831</v>
      </c>
      <c r="M37">
        <v>782</v>
      </c>
      <c r="N37">
        <v>1235</v>
      </c>
      <c r="O37">
        <v>508</v>
      </c>
      <c r="P37">
        <v>615</v>
      </c>
      <c r="Q37">
        <v>723</v>
      </c>
      <c r="R37">
        <v>929</v>
      </c>
      <c r="S37">
        <v>694</v>
      </c>
      <c r="T37">
        <v>571</v>
      </c>
      <c r="U37">
        <v>578</v>
      </c>
      <c r="V37">
        <v>556</v>
      </c>
      <c r="W37">
        <v>571</v>
      </c>
      <c r="X37">
        <v>519</v>
      </c>
      <c r="Y37">
        <v>487</v>
      </c>
      <c r="Z37">
        <v>443</v>
      </c>
      <c r="AA37">
        <v>672</v>
      </c>
    </row>
    <row r="38" spans="1:27" hidden="1">
      <c r="A38" s="41" t="s">
        <v>730</v>
      </c>
      <c r="B38" s="41">
        <v>520</v>
      </c>
      <c r="C38" s="41">
        <v>584</v>
      </c>
      <c r="D38" s="41">
        <v>493</v>
      </c>
      <c r="E38" s="41">
        <v>425</v>
      </c>
      <c r="F38" s="41">
        <v>379</v>
      </c>
      <c r="G38" s="41">
        <v>478</v>
      </c>
      <c r="H38" s="41">
        <v>501</v>
      </c>
      <c r="I38" s="41">
        <v>487</v>
      </c>
      <c r="J38" s="41">
        <v>540</v>
      </c>
      <c r="K38">
        <v>402</v>
      </c>
      <c r="L38">
        <v>381</v>
      </c>
      <c r="M38">
        <v>402</v>
      </c>
      <c r="N38">
        <v>534</v>
      </c>
      <c r="O38">
        <v>111</v>
      </c>
      <c r="P38">
        <v>166</v>
      </c>
      <c r="Q38">
        <v>127</v>
      </c>
      <c r="R38">
        <v>138</v>
      </c>
      <c r="S38">
        <v>137</v>
      </c>
      <c r="T38">
        <v>168</v>
      </c>
      <c r="U38">
        <v>208</v>
      </c>
      <c r="V38">
        <v>200</v>
      </c>
      <c r="W38">
        <v>198</v>
      </c>
      <c r="X38">
        <v>206</v>
      </c>
      <c r="Y38">
        <v>186</v>
      </c>
      <c r="Z38">
        <v>158</v>
      </c>
      <c r="AA38">
        <v>265</v>
      </c>
    </row>
    <row r="39" spans="1:27" hidden="1">
      <c r="A39" s="41" t="s">
        <v>242</v>
      </c>
      <c r="B39" s="41">
        <v>3440</v>
      </c>
      <c r="C39" s="41">
        <v>3745</v>
      </c>
      <c r="D39" s="41">
        <v>3270</v>
      </c>
      <c r="E39" s="41">
        <v>2648</v>
      </c>
      <c r="F39" s="41">
        <v>2103</v>
      </c>
      <c r="G39" s="41">
        <v>2343</v>
      </c>
      <c r="H39" s="41">
        <v>3264</v>
      </c>
      <c r="I39" s="41">
        <v>2287</v>
      </c>
      <c r="J39" s="41">
        <v>2689</v>
      </c>
      <c r="K39">
        <v>4401</v>
      </c>
      <c r="L39">
        <v>4969</v>
      </c>
      <c r="M39">
        <v>5817</v>
      </c>
      <c r="N39">
        <v>5630</v>
      </c>
      <c r="O39">
        <v>996</v>
      </c>
      <c r="P39">
        <v>1006</v>
      </c>
      <c r="Q39">
        <v>1006</v>
      </c>
      <c r="R39">
        <v>861</v>
      </c>
      <c r="S39">
        <v>839</v>
      </c>
      <c r="T39">
        <v>752</v>
      </c>
      <c r="U39">
        <v>1064</v>
      </c>
      <c r="V39">
        <v>905</v>
      </c>
      <c r="W39">
        <v>1062</v>
      </c>
      <c r="X39">
        <v>1761</v>
      </c>
      <c r="Y39">
        <v>1931</v>
      </c>
      <c r="Z39">
        <v>2393</v>
      </c>
      <c r="AA39">
        <v>2243</v>
      </c>
    </row>
    <row r="40" spans="1:27" hidden="1">
      <c r="A40" s="41" t="s">
        <v>751</v>
      </c>
      <c r="B40" s="41">
        <v>520</v>
      </c>
      <c r="C40" s="41">
        <v>405</v>
      </c>
      <c r="D40" s="41">
        <v>397</v>
      </c>
      <c r="E40" s="41">
        <v>425</v>
      </c>
      <c r="F40" s="41">
        <v>312</v>
      </c>
      <c r="G40" s="41">
        <v>227</v>
      </c>
      <c r="H40" s="41">
        <v>265</v>
      </c>
      <c r="I40" s="41">
        <v>201</v>
      </c>
      <c r="J40" s="41">
        <v>246</v>
      </c>
      <c r="K40">
        <v>185</v>
      </c>
      <c r="L40">
        <v>164</v>
      </c>
      <c r="M40">
        <v>187</v>
      </c>
      <c r="N40">
        <v>236</v>
      </c>
      <c r="O40">
        <v>196</v>
      </c>
      <c r="P40">
        <v>143</v>
      </c>
      <c r="Q40">
        <v>172</v>
      </c>
      <c r="R40">
        <v>176</v>
      </c>
      <c r="S40">
        <v>158</v>
      </c>
      <c r="T40">
        <v>116</v>
      </c>
      <c r="U40">
        <v>173</v>
      </c>
      <c r="V40">
        <v>144</v>
      </c>
      <c r="W40">
        <v>126</v>
      </c>
      <c r="X40">
        <v>125</v>
      </c>
      <c r="Y40">
        <v>104</v>
      </c>
      <c r="Z40">
        <v>90</v>
      </c>
      <c r="AA40">
        <v>143</v>
      </c>
    </row>
    <row r="41" spans="1:27" hidden="1">
      <c r="A41" s="41" t="s">
        <v>69</v>
      </c>
      <c r="B41" s="41">
        <v>4037</v>
      </c>
      <c r="C41" s="41">
        <v>3903</v>
      </c>
      <c r="D41" s="41">
        <v>3419</v>
      </c>
      <c r="E41" s="41">
        <v>3701</v>
      </c>
      <c r="F41" s="41">
        <v>2603</v>
      </c>
      <c r="G41" s="41">
        <v>2448</v>
      </c>
      <c r="H41" s="41">
        <v>2013</v>
      </c>
      <c r="I41" s="41">
        <v>1537</v>
      </c>
      <c r="J41" s="41">
        <v>2097</v>
      </c>
      <c r="K41">
        <v>2074</v>
      </c>
      <c r="L41">
        <v>1918</v>
      </c>
      <c r="M41">
        <v>1615</v>
      </c>
      <c r="N41">
        <v>2039</v>
      </c>
      <c r="O41">
        <v>757</v>
      </c>
      <c r="P41">
        <v>749</v>
      </c>
      <c r="Q41">
        <v>666</v>
      </c>
      <c r="R41">
        <v>700</v>
      </c>
      <c r="S41">
        <v>574</v>
      </c>
      <c r="T41">
        <v>551</v>
      </c>
      <c r="U41">
        <v>379</v>
      </c>
      <c r="V41">
        <v>296</v>
      </c>
      <c r="W41">
        <v>536</v>
      </c>
      <c r="X41">
        <v>503</v>
      </c>
      <c r="Y41">
        <v>490</v>
      </c>
      <c r="Z41">
        <v>374</v>
      </c>
      <c r="AA41">
        <v>484</v>
      </c>
    </row>
    <row r="42" spans="1:27" hidden="1">
      <c r="A42" s="41" t="s">
        <v>296</v>
      </c>
      <c r="B42" s="41">
        <v>2406</v>
      </c>
      <c r="C42" s="41">
        <v>2851</v>
      </c>
      <c r="D42" s="41">
        <v>2786</v>
      </c>
      <c r="E42" s="41">
        <v>2649</v>
      </c>
      <c r="F42" s="41">
        <v>2343</v>
      </c>
      <c r="G42" s="41">
        <v>2072</v>
      </c>
      <c r="H42" s="41">
        <v>1866</v>
      </c>
      <c r="I42" s="41">
        <v>1847</v>
      </c>
      <c r="J42" s="41">
        <v>1790</v>
      </c>
      <c r="K42">
        <v>3299</v>
      </c>
      <c r="L42">
        <v>6309</v>
      </c>
      <c r="M42">
        <v>10864</v>
      </c>
      <c r="N42">
        <v>3244</v>
      </c>
      <c r="O42">
        <v>673</v>
      </c>
      <c r="P42">
        <v>802</v>
      </c>
      <c r="Q42">
        <v>786</v>
      </c>
      <c r="R42">
        <v>852</v>
      </c>
      <c r="S42">
        <v>776</v>
      </c>
      <c r="T42">
        <v>770</v>
      </c>
      <c r="U42">
        <v>701</v>
      </c>
      <c r="V42">
        <v>674</v>
      </c>
      <c r="W42">
        <v>664</v>
      </c>
      <c r="X42">
        <v>886</v>
      </c>
      <c r="Y42">
        <v>1081</v>
      </c>
      <c r="Z42">
        <v>1138</v>
      </c>
      <c r="AA42">
        <v>722</v>
      </c>
    </row>
    <row r="43" spans="1:27" hidden="1">
      <c r="A43" s="41" t="s">
        <v>737</v>
      </c>
      <c r="B43" s="41">
        <v>639</v>
      </c>
      <c r="C43" s="41">
        <v>656</v>
      </c>
      <c r="D43" s="41">
        <v>555</v>
      </c>
      <c r="E43" s="41">
        <v>594</v>
      </c>
      <c r="F43" s="41">
        <v>550</v>
      </c>
      <c r="G43" s="41">
        <v>465</v>
      </c>
      <c r="H43" s="41">
        <v>502</v>
      </c>
      <c r="I43" s="41">
        <v>452</v>
      </c>
      <c r="J43" s="41">
        <v>383</v>
      </c>
      <c r="K43">
        <v>524</v>
      </c>
      <c r="L43">
        <v>338</v>
      </c>
      <c r="M43">
        <v>450</v>
      </c>
      <c r="N43">
        <v>692</v>
      </c>
      <c r="O43">
        <v>169</v>
      </c>
      <c r="P43">
        <v>177</v>
      </c>
      <c r="Q43">
        <v>168</v>
      </c>
      <c r="R43">
        <v>156</v>
      </c>
      <c r="S43">
        <v>200</v>
      </c>
      <c r="T43">
        <v>169</v>
      </c>
      <c r="U43">
        <v>159</v>
      </c>
      <c r="V43">
        <v>145</v>
      </c>
      <c r="W43">
        <v>136</v>
      </c>
      <c r="X43">
        <v>167</v>
      </c>
      <c r="Y43">
        <v>115</v>
      </c>
      <c r="Z43">
        <v>138</v>
      </c>
      <c r="AA43">
        <v>208</v>
      </c>
    </row>
    <row r="44" spans="1:27" hidden="1">
      <c r="A44" s="41" t="s">
        <v>443</v>
      </c>
      <c r="B44" s="41">
        <v>775</v>
      </c>
      <c r="C44" s="41">
        <v>731</v>
      </c>
      <c r="D44" s="41">
        <v>667</v>
      </c>
      <c r="E44" s="41">
        <v>630</v>
      </c>
      <c r="F44" s="41">
        <v>391</v>
      </c>
      <c r="G44" s="41">
        <v>443</v>
      </c>
      <c r="H44" s="41">
        <v>465</v>
      </c>
      <c r="I44" s="41">
        <v>548</v>
      </c>
      <c r="J44" s="41">
        <v>560</v>
      </c>
      <c r="K44">
        <v>541</v>
      </c>
      <c r="L44">
        <v>589</v>
      </c>
      <c r="M44">
        <v>603</v>
      </c>
      <c r="N44">
        <v>566</v>
      </c>
      <c r="O44">
        <v>225</v>
      </c>
      <c r="P44">
        <v>224</v>
      </c>
      <c r="Q44">
        <v>209</v>
      </c>
      <c r="R44">
        <v>214</v>
      </c>
      <c r="S44">
        <v>176</v>
      </c>
      <c r="T44">
        <v>185</v>
      </c>
      <c r="U44">
        <v>200</v>
      </c>
      <c r="V44">
        <v>235</v>
      </c>
      <c r="W44">
        <v>241</v>
      </c>
      <c r="X44">
        <v>223</v>
      </c>
      <c r="Y44">
        <v>285</v>
      </c>
      <c r="Z44">
        <v>224</v>
      </c>
      <c r="AA44">
        <v>287</v>
      </c>
    </row>
    <row r="45" spans="1:27" hidden="1">
      <c r="A45" s="41" t="s">
        <v>190</v>
      </c>
      <c r="B45" s="41">
        <v>4597</v>
      </c>
      <c r="C45" s="41">
        <v>4821</v>
      </c>
      <c r="D45" s="41">
        <v>4592</v>
      </c>
      <c r="E45" s="41">
        <v>4863</v>
      </c>
      <c r="F45" s="41">
        <v>4459</v>
      </c>
      <c r="G45" s="41">
        <v>3738</v>
      </c>
      <c r="H45" s="41">
        <v>3250</v>
      </c>
      <c r="I45" s="41">
        <v>2725</v>
      </c>
      <c r="J45" s="41">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row>
    <row r="46" spans="1:27" hidden="1">
      <c r="A46" s="41" t="s">
        <v>501</v>
      </c>
      <c r="B46" s="41">
        <v>1517</v>
      </c>
      <c r="C46" s="41">
        <v>1163</v>
      </c>
      <c r="D46" s="41">
        <v>772</v>
      </c>
      <c r="E46" s="41">
        <v>568</v>
      </c>
      <c r="F46" s="41">
        <v>433</v>
      </c>
      <c r="G46" s="41">
        <v>366</v>
      </c>
      <c r="H46" s="41">
        <v>467</v>
      </c>
      <c r="I46" s="41">
        <v>512</v>
      </c>
      <c r="J46" s="41">
        <v>473</v>
      </c>
      <c r="K46">
        <v>1521</v>
      </c>
      <c r="L46">
        <v>1458</v>
      </c>
      <c r="M46">
        <v>3166</v>
      </c>
      <c r="N46">
        <v>930</v>
      </c>
      <c r="O46">
        <v>248</v>
      </c>
      <c r="P46">
        <v>246</v>
      </c>
      <c r="Q46">
        <v>183</v>
      </c>
      <c r="R46">
        <v>162</v>
      </c>
      <c r="S46">
        <v>145</v>
      </c>
      <c r="T46">
        <v>117</v>
      </c>
      <c r="U46">
        <v>167</v>
      </c>
      <c r="V46">
        <v>182</v>
      </c>
      <c r="W46">
        <v>160</v>
      </c>
      <c r="X46">
        <v>392</v>
      </c>
      <c r="Y46">
        <v>328</v>
      </c>
      <c r="Z46">
        <v>438</v>
      </c>
      <c r="AA46">
        <v>298</v>
      </c>
    </row>
    <row r="47" spans="1:27" hidden="1">
      <c r="A47" s="41" t="s">
        <v>163</v>
      </c>
      <c r="B47" s="41">
        <v>2202</v>
      </c>
      <c r="C47" s="41">
        <v>2261</v>
      </c>
      <c r="D47" s="41">
        <v>2587</v>
      </c>
      <c r="E47" s="41">
        <v>1966</v>
      </c>
      <c r="F47" s="41">
        <v>1833</v>
      </c>
      <c r="G47" s="41">
        <v>1661</v>
      </c>
      <c r="H47" s="41">
        <v>1989</v>
      </c>
      <c r="I47" s="41">
        <v>2059</v>
      </c>
      <c r="J47" s="41">
        <v>2115</v>
      </c>
      <c r="K47">
        <v>1904</v>
      </c>
      <c r="L47">
        <v>2927</v>
      </c>
      <c r="M47">
        <v>2058</v>
      </c>
      <c r="N47">
        <v>2693</v>
      </c>
      <c r="O47">
        <v>375</v>
      </c>
      <c r="P47">
        <v>371</v>
      </c>
      <c r="Q47">
        <v>417</v>
      </c>
      <c r="R47">
        <v>372</v>
      </c>
      <c r="S47">
        <v>413</v>
      </c>
      <c r="T47">
        <v>334</v>
      </c>
      <c r="U47">
        <v>370</v>
      </c>
      <c r="V47">
        <v>412</v>
      </c>
      <c r="W47">
        <v>436</v>
      </c>
      <c r="X47">
        <v>422</v>
      </c>
      <c r="Y47">
        <v>665</v>
      </c>
      <c r="Z47">
        <v>454</v>
      </c>
      <c r="AA47">
        <v>610</v>
      </c>
    </row>
    <row r="48" spans="1:27" hidden="1">
      <c r="A48" s="41" t="s">
        <v>580</v>
      </c>
      <c r="B48" s="41">
        <v>1165</v>
      </c>
      <c r="C48" s="41">
        <v>1108</v>
      </c>
      <c r="D48" s="41">
        <v>2964</v>
      </c>
      <c r="E48" s="41">
        <v>8</v>
      </c>
      <c r="F48" s="41">
        <v>0</v>
      </c>
      <c r="G48" s="41">
        <v>626</v>
      </c>
      <c r="H48" s="41">
        <v>1040</v>
      </c>
      <c r="I48" s="41">
        <v>1161</v>
      </c>
      <c r="J48" s="41">
        <v>1011</v>
      </c>
      <c r="K48">
        <v>943</v>
      </c>
      <c r="L48">
        <v>618</v>
      </c>
      <c r="M48">
        <v>631</v>
      </c>
      <c r="N48">
        <v>782</v>
      </c>
      <c r="O48">
        <v>202</v>
      </c>
      <c r="P48">
        <v>180</v>
      </c>
      <c r="Q48">
        <v>610</v>
      </c>
      <c r="R48">
        <v>1</v>
      </c>
      <c r="S48">
        <v>0</v>
      </c>
      <c r="T48">
        <v>85</v>
      </c>
      <c r="U48">
        <v>240</v>
      </c>
      <c r="V48">
        <v>226</v>
      </c>
      <c r="W48">
        <v>214</v>
      </c>
      <c r="X48">
        <v>176</v>
      </c>
      <c r="Y48">
        <v>105</v>
      </c>
      <c r="Z48">
        <v>149</v>
      </c>
      <c r="AA48">
        <v>156</v>
      </c>
    </row>
    <row r="49" spans="1:27" hidden="1">
      <c r="A49" s="41" t="s">
        <v>468</v>
      </c>
      <c r="B49" s="41">
        <v>789</v>
      </c>
      <c r="C49" s="41">
        <v>638</v>
      </c>
      <c r="D49" s="41">
        <v>560</v>
      </c>
      <c r="E49" s="41">
        <v>595</v>
      </c>
      <c r="F49" s="41">
        <v>668</v>
      </c>
      <c r="G49" s="41">
        <v>611</v>
      </c>
      <c r="H49" s="41">
        <v>761</v>
      </c>
      <c r="I49" s="41">
        <v>780</v>
      </c>
      <c r="J49" s="41">
        <v>653</v>
      </c>
      <c r="K49">
        <v>783</v>
      </c>
      <c r="L49">
        <v>937</v>
      </c>
      <c r="M49">
        <v>780</v>
      </c>
      <c r="N49">
        <v>968</v>
      </c>
      <c r="O49">
        <v>275</v>
      </c>
      <c r="P49">
        <v>276</v>
      </c>
      <c r="Q49">
        <v>276</v>
      </c>
      <c r="R49">
        <v>278</v>
      </c>
      <c r="S49">
        <v>308</v>
      </c>
      <c r="T49">
        <v>290</v>
      </c>
      <c r="U49">
        <v>378</v>
      </c>
      <c r="V49">
        <v>367</v>
      </c>
      <c r="W49">
        <v>315</v>
      </c>
      <c r="X49">
        <v>403</v>
      </c>
      <c r="Y49">
        <v>498</v>
      </c>
      <c r="Z49">
        <v>410</v>
      </c>
      <c r="AA49">
        <v>531</v>
      </c>
    </row>
    <row r="50" spans="1:27" hidden="1">
      <c r="A50" s="41" t="s">
        <v>744</v>
      </c>
      <c r="B50" s="41">
        <v>598</v>
      </c>
      <c r="C50" s="41">
        <v>376</v>
      </c>
      <c r="D50" s="41">
        <v>314</v>
      </c>
      <c r="E50" s="41">
        <v>285</v>
      </c>
      <c r="F50" s="41">
        <v>298</v>
      </c>
      <c r="G50" s="41">
        <v>282</v>
      </c>
      <c r="H50" s="41">
        <v>327</v>
      </c>
      <c r="I50" s="41">
        <v>376</v>
      </c>
      <c r="J50" s="41">
        <v>344</v>
      </c>
      <c r="K50">
        <v>251</v>
      </c>
      <c r="L50">
        <v>288</v>
      </c>
      <c r="M50">
        <v>269</v>
      </c>
      <c r="N50">
        <v>411</v>
      </c>
      <c r="O50">
        <v>210</v>
      </c>
      <c r="P50">
        <v>147</v>
      </c>
      <c r="Q50">
        <v>148</v>
      </c>
      <c r="R50">
        <v>123</v>
      </c>
      <c r="S50">
        <v>135</v>
      </c>
      <c r="T50">
        <v>114</v>
      </c>
      <c r="U50">
        <v>137</v>
      </c>
      <c r="V50">
        <v>182</v>
      </c>
      <c r="W50">
        <v>167</v>
      </c>
      <c r="X50">
        <v>139</v>
      </c>
      <c r="Y50">
        <v>132</v>
      </c>
      <c r="Z50">
        <v>114</v>
      </c>
      <c r="AA50">
        <v>159</v>
      </c>
    </row>
    <row r="51" spans="1:27" hidden="1">
      <c r="A51" s="41" t="s">
        <v>273</v>
      </c>
      <c r="B51" s="41">
        <v>3107</v>
      </c>
      <c r="C51" s="41">
        <v>2997</v>
      </c>
      <c r="D51" s="41">
        <v>6966</v>
      </c>
      <c r="E51" s="41">
        <v>2340</v>
      </c>
      <c r="F51" s="41">
        <v>1935</v>
      </c>
      <c r="G51" s="41">
        <v>2093</v>
      </c>
      <c r="H51" s="41">
        <v>1135</v>
      </c>
      <c r="I51" s="41">
        <v>2075</v>
      </c>
      <c r="J51" s="41">
        <v>1715</v>
      </c>
      <c r="K51">
        <v>1716</v>
      </c>
      <c r="L51">
        <v>1560</v>
      </c>
      <c r="M51">
        <v>1419</v>
      </c>
      <c r="N51">
        <v>3552</v>
      </c>
      <c r="O51">
        <v>652</v>
      </c>
      <c r="P51">
        <v>615</v>
      </c>
      <c r="Q51">
        <v>927</v>
      </c>
      <c r="R51">
        <v>594</v>
      </c>
      <c r="S51">
        <v>559</v>
      </c>
      <c r="T51">
        <v>531</v>
      </c>
      <c r="U51">
        <v>307</v>
      </c>
      <c r="V51">
        <v>516</v>
      </c>
      <c r="W51">
        <v>434</v>
      </c>
      <c r="X51">
        <v>504</v>
      </c>
      <c r="Y51">
        <v>420</v>
      </c>
      <c r="Z51">
        <v>369</v>
      </c>
      <c r="AA51">
        <v>813</v>
      </c>
    </row>
    <row r="52" spans="1:27" hidden="1">
      <c r="A52" s="41" t="s">
        <v>82</v>
      </c>
      <c r="B52" s="41">
        <v>1714</v>
      </c>
      <c r="C52" s="41">
        <v>1951</v>
      </c>
      <c r="D52" s="41">
        <v>1431</v>
      </c>
      <c r="E52" s="41">
        <v>1568</v>
      </c>
      <c r="F52" s="41">
        <v>1278</v>
      </c>
      <c r="G52" s="41">
        <v>880</v>
      </c>
      <c r="H52" s="41">
        <v>971</v>
      </c>
      <c r="I52" s="41">
        <v>712</v>
      </c>
      <c r="J52" s="41">
        <v>1022</v>
      </c>
      <c r="K52">
        <v>904</v>
      </c>
      <c r="L52">
        <v>845</v>
      </c>
      <c r="M52">
        <v>764</v>
      </c>
      <c r="N52">
        <v>962</v>
      </c>
      <c r="O52">
        <v>290</v>
      </c>
      <c r="P52">
        <v>329</v>
      </c>
      <c r="Q52">
        <v>287</v>
      </c>
      <c r="R52">
        <v>267</v>
      </c>
      <c r="S52">
        <v>216</v>
      </c>
      <c r="T52">
        <v>192</v>
      </c>
      <c r="U52">
        <v>240</v>
      </c>
      <c r="V52">
        <v>217</v>
      </c>
      <c r="W52">
        <v>204</v>
      </c>
      <c r="X52">
        <v>234</v>
      </c>
      <c r="Y52">
        <v>239</v>
      </c>
      <c r="Z52">
        <v>213</v>
      </c>
      <c r="AA52">
        <v>274</v>
      </c>
    </row>
    <row r="53" spans="1:27" hidden="1">
      <c r="A53" s="41" t="s">
        <v>284</v>
      </c>
      <c r="B53" s="41">
        <v>0</v>
      </c>
      <c r="C53" s="41">
        <v>0</v>
      </c>
      <c r="D53" s="41">
        <v>0</v>
      </c>
      <c r="E53" s="41">
        <v>0</v>
      </c>
      <c r="F53" s="41">
        <v>1346</v>
      </c>
      <c r="G53" s="41">
        <v>1294</v>
      </c>
      <c r="H53" s="41">
        <v>1208</v>
      </c>
      <c r="I53" s="41">
        <v>1210</v>
      </c>
      <c r="J53" s="41">
        <v>1161</v>
      </c>
      <c r="K53">
        <v>1136</v>
      </c>
      <c r="L53">
        <v>1060</v>
      </c>
      <c r="M53">
        <v>912</v>
      </c>
      <c r="N53">
        <v>1478</v>
      </c>
      <c r="O53">
        <v>0</v>
      </c>
      <c r="P53">
        <v>0</v>
      </c>
      <c r="Q53">
        <v>0</v>
      </c>
      <c r="R53">
        <v>0</v>
      </c>
      <c r="S53">
        <v>389</v>
      </c>
      <c r="T53">
        <v>384</v>
      </c>
      <c r="U53">
        <v>323</v>
      </c>
      <c r="V53">
        <v>350</v>
      </c>
      <c r="W53">
        <v>336</v>
      </c>
      <c r="X53">
        <v>331</v>
      </c>
      <c r="Y53">
        <v>309</v>
      </c>
      <c r="Z53">
        <v>267</v>
      </c>
      <c r="AA53">
        <v>409</v>
      </c>
    </row>
    <row r="54" spans="1:27" hidden="1">
      <c r="A54" s="41" t="s">
        <v>294</v>
      </c>
      <c r="B54" s="41">
        <v>1713</v>
      </c>
      <c r="C54" s="41">
        <v>2945</v>
      </c>
      <c r="D54" s="41">
        <v>4035</v>
      </c>
      <c r="E54" s="41">
        <v>1162</v>
      </c>
      <c r="F54" s="41">
        <v>888</v>
      </c>
      <c r="G54" s="41">
        <v>964</v>
      </c>
      <c r="H54" s="41">
        <v>928</v>
      </c>
      <c r="I54" s="41">
        <v>975</v>
      </c>
      <c r="J54" s="41">
        <v>957</v>
      </c>
      <c r="K54">
        <v>893</v>
      </c>
      <c r="L54">
        <v>838</v>
      </c>
      <c r="M54">
        <v>850</v>
      </c>
      <c r="N54">
        <v>1169</v>
      </c>
      <c r="O54">
        <v>321</v>
      </c>
      <c r="P54">
        <v>480</v>
      </c>
      <c r="Q54">
        <v>520</v>
      </c>
      <c r="R54">
        <v>342</v>
      </c>
      <c r="S54">
        <v>289</v>
      </c>
      <c r="T54">
        <v>244</v>
      </c>
      <c r="U54">
        <v>235</v>
      </c>
      <c r="V54">
        <v>308</v>
      </c>
      <c r="W54">
        <v>285</v>
      </c>
      <c r="X54">
        <v>268</v>
      </c>
      <c r="Y54">
        <v>233</v>
      </c>
      <c r="Z54">
        <v>263</v>
      </c>
      <c r="AA54">
        <v>365</v>
      </c>
    </row>
    <row r="55" spans="1:27" hidden="1">
      <c r="A55" s="41" t="s">
        <v>785</v>
      </c>
      <c r="B55" s="41">
        <v>0</v>
      </c>
      <c r="C55" s="41">
        <v>0</v>
      </c>
      <c r="D55" s="41">
        <v>0</v>
      </c>
      <c r="E55" s="41">
        <v>0</v>
      </c>
      <c r="F55" s="41">
        <v>0</v>
      </c>
      <c r="G55" s="41">
        <v>0</v>
      </c>
      <c r="H55" s="41">
        <v>0</v>
      </c>
      <c r="I55" s="41">
        <v>0</v>
      </c>
      <c r="J55" s="41">
        <v>0</v>
      </c>
      <c r="K55">
        <v>692</v>
      </c>
      <c r="L55">
        <v>130</v>
      </c>
      <c r="M55">
        <v>487</v>
      </c>
      <c r="N55">
        <v>78</v>
      </c>
      <c r="O55">
        <v>0</v>
      </c>
      <c r="P55">
        <v>0</v>
      </c>
      <c r="Q55">
        <v>0</v>
      </c>
      <c r="R55">
        <v>0</v>
      </c>
      <c r="S55">
        <v>0</v>
      </c>
      <c r="T55">
        <v>0</v>
      </c>
      <c r="U55">
        <v>0</v>
      </c>
      <c r="V55">
        <v>0</v>
      </c>
      <c r="W55">
        <v>0</v>
      </c>
      <c r="X55">
        <v>2</v>
      </c>
      <c r="Y55">
        <v>27</v>
      </c>
      <c r="Z55">
        <v>45</v>
      </c>
      <c r="AA55">
        <v>1</v>
      </c>
    </row>
    <row r="56" spans="1:27" hidden="1">
      <c r="A56" s="41" t="s">
        <v>703</v>
      </c>
      <c r="B56" s="41">
        <v>705</v>
      </c>
      <c r="C56" s="41">
        <v>778</v>
      </c>
      <c r="D56" s="41">
        <v>1098</v>
      </c>
      <c r="E56" s="41">
        <v>862</v>
      </c>
      <c r="F56" s="41">
        <v>999</v>
      </c>
      <c r="G56" s="41">
        <v>968</v>
      </c>
      <c r="H56" s="41">
        <v>794</v>
      </c>
      <c r="I56" s="41">
        <v>740</v>
      </c>
      <c r="J56" s="41">
        <v>644</v>
      </c>
      <c r="K56">
        <v>526</v>
      </c>
      <c r="L56">
        <v>629</v>
      </c>
      <c r="M56">
        <v>505</v>
      </c>
      <c r="N56">
        <v>505</v>
      </c>
      <c r="O56">
        <v>218</v>
      </c>
      <c r="P56">
        <v>267</v>
      </c>
      <c r="Q56">
        <v>238</v>
      </c>
      <c r="R56">
        <v>239</v>
      </c>
      <c r="S56">
        <v>315</v>
      </c>
      <c r="T56">
        <v>281</v>
      </c>
      <c r="U56">
        <v>270</v>
      </c>
      <c r="V56">
        <v>279</v>
      </c>
      <c r="W56">
        <v>243</v>
      </c>
      <c r="X56">
        <v>213</v>
      </c>
      <c r="Y56">
        <v>273</v>
      </c>
      <c r="Z56">
        <v>212</v>
      </c>
      <c r="AA56">
        <v>257</v>
      </c>
    </row>
    <row r="57" spans="1:27" hidden="1">
      <c r="A57" s="41" t="s">
        <v>44</v>
      </c>
      <c r="B57" s="41">
        <v>1649</v>
      </c>
      <c r="C57" s="41">
        <v>812</v>
      </c>
      <c r="D57" s="41">
        <v>0</v>
      </c>
      <c r="E57" s="41">
        <v>2488</v>
      </c>
      <c r="F57" s="41">
        <v>1265</v>
      </c>
      <c r="G57" s="41">
        <v>1119</v>
      </c>
      <c r="H57" s="41">
        <v>1033</v>
      </c>
      <c r="I57" s="41">
        <v>1417</v>
      </c>
      <c r="J57" s="41">
        <v>1890</v>
      </c>
      <c r="K57">
        <v>1181</v>
      </c>
      <c r="L57">
        <v>1588</v>
      </c>
      <c r="M57">
        <v>1385</v>
      </c>
      <c r="N57">
        <v>2365</v>
      </c>
      <c r="O57">
        <v>272</v>
      </c>
      <c r="P57">
        <v>58</v>
      </c>
      <c r="Q57">
        <v>0</v>
      </c>
      <c r="R57">
        <v>136</v>
      </c>
      <c r="S57">
        <v>69</v>
      </c>
      <c r="T57">
        <v>121</v>
      </c>
      <c r="U57">
        <v>601</v>
      </c>
      <c r="V57">
        <v>357</v>
      </c>
      <c r="W57">
        <v>927</v>
      </c>
      <c r="X57">
        <v>405</v>
      </c>
      <c r="Y57">
        <v>941</v>
      </c>
      <c r="Z57">
        <v>778</v>
      </c>
      <c r="AA57">
        <v>1179</v>
      </c>
    </row>
    <row r="58" spans="1:27" hidden="1">
      <c r="A58" s="41" t="s">
        <v>422</v>
      </c>
      <c r="B58" s="41">
        <v>600</v>
      </c>
      <c r="C58" s="41">
        <v>710</v>
      </c>
      <c r="D58" s="41">
        <v>611</v>
      </c>
      <c r="E58" s="41">
        <v>504</v>
      </c>
      <c r="F58" s="41">
        <v>427</v>
      </c>
      <c r="G58" s="41">
        <v>647</v>
      </c>
      <c r="H58" s="41">
        <v>517</v>
      </c>
      <c r="I58" s="41">
        <v>693</v>
      </c>
      <c r="J58" s="41">
        <v>1153</v>
      </c>
      <c r="K58">
        <v>1013</v>
      </c>
      <c r="L58">
        <v>1336</v>
      </c>
      <c r="M58">
        <v>1197</v>
      </c>
      <c r="N58">
        <v>3505</v>
      </c>
      <c r="O58">
        <v>139</v>
      </c>
      <c r="P58">
        <v>164</v>
      </c>
      <c r="Q58">
        <v>143</v>
      </c>
      <c r="R58">
        <v>138</v>
      </c>
      <c r="S58">
        <v>130</v>
      </c>
      <c r="T58">
        <v>153</v>
      </c>
      <c r="U58">
        <v>156</v>
      </c>
      <c r="V58">
        <v>199</v>
      </c>
      <c r="W58">
        <v>312</v>
      </c>
      <c r="X58">
        <v>288</v>
      </c>
      <c r="Y58">
        <v>427</v>
      </c>
      <c r="Z58">
        <v>293</v>
      </c>
      <c r="AA58">
        <v>958</v>
      </c>
    </row>
    <row r="59" spans="1:27" hidden="1">
      <c r="A59" s="41" t="s">
        <v>184</v>
      </c>
      <c r="B59" s="41">
        <v>6904</v>
      </c>
      <c r="C59" s="41">
        <v>6392</v>
      </c>
      <c r="D59" s="41">
        <v>5424</v>
      </c>
      <c r="E59" s="41">
        <v>5782</v>
      </c>
      <c r="F59" s="41">
        <v>5396</v>
      </c>
      <c r="G59" s="41">
        <v>5490</v>
      </c>
      <c r="H59" s="41">
        <v>4963</v>
      </c>
      <c r="I59" s="41">
        <v>6007</v>
      </c>
      <c r="J59" s="41">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row>
    <row r="60" spans="1:27" hidden="1">
      <c r="A60" s="41" t="s">
        <v>397</v>
      </c>
      <c r="B60" s="41">
        <v>1711</v>
      </c>
      <c r="C60" s="41">
        <v>1416</v>
      </c>
      <c r="D60" s="41">
        <v>900</v>
      </c>
      <c r="E60" s="41">
        <v>932</v>
      </c>
      <c r="F60" s="41">
        <v>700</v>
      </c>
      <c r="G60" s="41">
        <v>565</v>
      </c>
      <c r="H60" s="41">
        <v>1216</v>
      </c>
      <c r="I60" s="41">
        <v>1004</v>
      </c>
      <c r="J60" s="41">
        <v>972</v>
      </c>
      <c r="K60">
        <v>613</v>
      </c>
      <c r="L60">
        <v>602</v>
      </c>
      <c r="M60">
        <v>649</v>
      </c>
      <c r="N60">
        <v>1002</v>
      </c>
      <c r="O60">
        <v>621</v>
      </c>
      <c r="P60">
        <v>579</v>
      </c>
      <c r="Q60">
        <v>398</v>
      </c>
      <c r="R60">
        <v>453</v>
      </c>
      <c r="S60">
        <v>393</v>
      </c>
      <c r="T60">
        <v>319</v>
      </c>
      <c r="U60">
        <v>885</v>
      </c>
      <c r="V60">
        <v>469</v>
      </c>
      <c r="W60">
        <v>437</v>
      </c>
      <c r="X60">
        <v>346</v>
      </c>
      <c r="Y60">
        <v>294</v>
      </c>
      <c r="Z60">
        <v>315</v>
      </c>
      <c r="AA60">
        <v>432</v>
      </c>
    </row>
    <row r="61" spans="1:27" hidden="1">
      <c r="A61" s="41" t="s">
        <v>354</v>
      </c>
      <c r="B61" s="41">
        <v>2915</v>
      </c>
      <c r="C61" s="41">
        <v>1681</v>
      </c>
      <c r="D61" s="41">
        <v>1501</v>
      </c>
      <c r="E61" s="41">
        <v>1123</v>
      </c>
      <c r="F61" s="41">
        <v>1016</v>
      </c>
      <c r="G61" s="41">
        <v>1109</v>
      </c>
      <c r="H61" s="41">
        <v>1044</v>
      </c>
      <c r="I61" s="41">
        <v>1063</v>
      </c>
      <c r="J61" s="41">
        <v>1121</v>
      </c>
      <c r="K61">
        <v>969</v>
      </c>
      <c r="L61">
        <v>941</v>
      </c>
      <c r="M61">
        <v>776</v>
      </c>
      <c r="N61">
        <v>1013</v>
      </c>
      <c r="O61">
        <v>711</v>
      </c>
      <c r="P61">
        <v>395</v>
      </c>
      <c r="Q61">
        <v>379</v>
      </c>
      <c r="R61">
        <v>335</v>
      </c>
      <c r="S61">
        <v>335</v>
      </c>
      <c r="T61">
        <v>385</v>
      </c>
      <c r="U61">
        <v>318</v>
      </c>
      <c r="V61">
        <v>379</v>
      </c>
      <c r="W61">
        <v>354</v>
      </c>
      <c r="X61">
        <v>342</v>
      </c>
      <c r="Y61">
        <v>353</v>
      </c>
      <c r="Z61">
        <v>276</v>
      </c>
      <c r="AA61">
        <v>385</v>
      </c>
    </row>
    <row r="62" spans="1:27" hidden="1">
      <c r="A62" s="41" t="s">
        <v>45</v>
      </c>
      <c r="B62" s="41">
        <v>2151</v>
      </c>
      <c r="C62" s="41">
        <v>2594</v>
      </c>
      <c r="D62" s="41">
        <v>6699</v>
      </c>
      <c r="E62" s="41">
        <v>2080</v>
      </c>
      <c r="F62" s="41">
        <v>2415</v>
      </c>
      <c r="G62" s="41">
        <v>2029</v>
      </c>
      <c r="H62" s="41">
        <v>2033</v>
      </c>
      <c r="I62" s="41">
        <v>2191</v>
      </c>
      <c r="J62" s="41">
        <v>2233</v>
      </c>
      <c r="K62">
        <v>1930</v>
      </c>
      <c r="L62">
        <v>3145</v>
      </c>
      <c r="M62">
        <v>2109</v>
      </c>
      <c r="N62">
        <v>3759</v>
      </c>
      <c r="O62">
        <v>413</v>
      </c>
      <c r="P62">
        <v>493</v>
      </c>
      <c r="Q62">
        <v>701</v>
      </c>
      <c r="R62">
        <v>450</v>
      </c>
      <c r="S62">
        <v>651</v>
      </c>
      <c r="T62">
        <v>579</v>
      </c>
      <c r="U62">
        <v>551</v>
      </c>
      <c r="V62">
        <v>531</v>
      </c>
      <c r="W62">
        <v>538</v>
      </c>
      <c r="X62">
        <v>472</v>
      </c>
      <c r="Y62">
        <v>1096</v>
      </c>
      <c r="Z62">
        <v>560</v>
      </c>
      <c r="AA62">
        <v>956</v>
      </c>
    </row>
    <row r="63" spans="1:27" hidden="1">
      <c r="A63" s="41" t="s">
        <v>433</v>
      </c>
      <c r="B63" s="41">
        <v>1075</v>
      </c>
      <c r="C63" s="41">
        <v>1310</v>
      </c>
      <c r="D63" s="41">
        <v>1452</v>
      </c>
      <c r="E63" s="41">
        <v>1196</v>
      </c>
      <c r="F63" s="41">
        <v>1309</v>
      </c>
      <c r="G63" s="41">
        <v>912</v>
      </c>
      <c r="H63" s="41">
        <v>937</v>
      </c>
      <c r="I63" s="41">
        <v>918</v>
      </c>
      <c r="J63" s="41">
        <v>765</v>
      </c>
      <c r="K63">
        <v>547</v>
      </c>
      <c r="L63">
        <v>687</v>
      </c>
      <c r="M63">
        <v>727</v>
      </c>
      <c r="N63">
        <v>1318</v>
      </c>
      <c r="O63">
        <v>183</v>
      </c>
      <c r="P63">
        <v>235</v>
      </c>
      <c r="Q63">
        <v>261</v>
      </c>
      <c r="R63">
        <v>189</v>
      </c>
      <c r="S63">
        <v>244</v>
      </c>
      <c r="T63">
        <v>198</v>
      </c>
      <c r="U63">
        <v>167</v>
      </c>
      <c r="V63">
        <v>205</v>
      </c>
      <c r="W63">
        <v>149</v>
      </c>
      <c r="X63">
        <v>119</v>
      </c>
      <c r="Y63">
        <v>124</v>
      </c>
      <c r="Z63">
        <v>169</v>
      </c>
      <c r="AA63">
        <v>206</v>
      </c>
    </row>
    <row r="64" spans="1:27" hidden="1">
      <c r="A64" s="41" t="s">
        <v>326</v>
      </c>
      <c r="B64" s="41">
        <v>1071</v>
      </c>
      <c r="C64" s="41">
        <v>1232</v>
      </c>
      <c r="D64" s="41">
        <v>1079</v>
      </c>
      <c r="E64" s="41">
        <v>1252</v>
      </c>
      <c r="F64" s="41">
        <v>968</v>
      </c>
      <c r="G64" s="41">
        <v>924</v>
      </c>
      <c r="H64" s="41">
        <v>867</v>
      </c>
      <c r="I64" s="41">
        <v>710</v>
      </c>
      <c r="J64" s="41">
        <v>843</v>
      </c>
      <c r="K64">
        <v>652</v>
      </c>
      <c r="L64">
        <v>1050</v>
      </c>
      <c r="M64">
        <v>1073</v>
      </c>
      <c r="N64">
        <v>1234</v>
      </c>
      <c r="O64">
        <v>294</v>
      </c>
      <c r="P64">
        <v>330</v>
      </c>
      <c r="Q64">
        <v>282</v>
      </c>
      <c r="R64">
        <v>299</v>
      </c>
      <c r="S64">
        <v>255</v>
      </c>
      <c r="T64">
        <v>268</v>
      </c>
      <c r="U64">
        <v>241</v>
      </c>
      <c r="V64">
        <v>244</v>
      </c>
      <c r="W64">
        <v>285</v>
      </c>
      <c r="X64">
        <v>234</v>
      </c>
      <c r="Y64">
        <v>260</v>
      </c>
      <c r="Z64">
        <v>234</v>
      </c>
      <c r="AA64">
        <v>314</v>
      </c>
    </row>
    <row r="65" spans="1:27" hidden="1">
      <c r="A65" s="41" t="s">
        <v>79</v>
      </c>
      <c r="B65" s="41">
        <v>4762</v>
      </c>
      <c r="C65" s="41">
        <v>5839</v>
      </c>
      <c r="D65" s="41">
        <v>5526</v>
      </c>
      <c r="E65" s="41">
        <v>12099</v>
      </c>
      <c r="F65" s="41">
        <v>5977</v>
      </c>
      <c r="G65" s="41">
        <v>9576</v>
      </c>
      <c r="H65" s="41">
        <v>13936</v>
      </c>
      <c r="I65" s="41">
        <v>8649</v>
      </c>
      <c r="J65" s="41">
        <v>5550</v>
      </c>
      <c r="K65">
        <v>5893</v>
      </c>
      <c r="L65">
        <v>5155</v>
      </c>
      <c r="M65">
        <v>2684</v>
      </c>
      <c r="N65">
        <v>2430</v>
      </c>
      <c r="O65">
        <v>951</v>
      </c>
      <c r="P65">
        <v>1239</v>
      </c>
      <c r="Q65">
        <v>1150</v>
      </c>
      <c r="R65">
        <v>1697</v>
      </c>
      <c r="S65">
        <v>360</v>
      </c>
      <c r="T65">
        <v>1279</v>
      </c>
      <c r="U65">
        <v>2744</v>
      </c>
      <c r="V65">
        <v>1651</v>
      </c>
      <c r="W65">
        <v>1166</v>
      </c>
      <c r="X65">
        <v>1203</v>
      </c>
      <c r="Y65">
        <v>1240</v>
      </c>
      <c r="Z65">
        <v>617</v>
      </c>
      <c r="AA65">
        <v>589</v>
      </c>
    </row>
    <row r="66" spans="1:27" hidden="1">
      <c r="A66" s="41" t="s">
        <v>421</v>
      </c>
      <c r="B66" s="41">
        <v>0</v>
      </c>
      <c r="C66" s="41">
        <v>0</v>
      </c>
      <c r="D66" s="41">
        <v>441</v>
      </c>
      <c r="E66" s="41">
        <v>1139</v>
      </c>
      <c r="F66" s="41">
        <v>932</v>
      </c>
      <c r="G66" s="41">
        <v>832</v>
      </c>
      <c r="H66" s="41">
        <v>1086</v>
      </c>
      <c r="I66" s="41">
        <v>954</v>
      </c>
      <c r="J66" s="41">
        <v>834</v>
      </c>
      <c r="K66">
        <v>1064</v>
      </c>
      <c r="L66">
        <v>1104</v>
      </c>
      <c r="M66">
        <v>1099</v>
      </c>
      <c r="N66">
        <v>1295</v>
      </c>
      <c r="O66">
        <v>0</v>
      </c>
      <c r="P66">
        <v>0</v>
      </c>
      <c r="Q66">
        <v>115</v>
      </c>
      <c r="R66">
        <v>298</v>
      </c>
      <c r="S66">
        <v>212</v>
      </c>
      <c r="T66">
        <v>205</v>
      </c>
      <c r="U66">
        <v>240</v>
      </c>
      <c r="V66">
        <v>221</v>
      </c>
      <c r="W66">
        <v>219</v>
      </c>
      <c r="X66">
        <v>292</v>
      </c>
      <c r="Y66">
        <v>273</v>
      </c>
      <c r="Z66">
        <v>242</v>
      </c>
      <c r="AA66">
        <v>338</v>
      </c>
    </row>
    <row r="67" spans="1:27" hidden="1">
      <c r="A67" s="41" t="s">
        <v>396</v>
      </c>
      <c r="B67" s="41">
        <v>1074</v>
      </c>
      <c r="C67" s="41">
        <v>995</v>
      </c>
      <c r="D67" s="41">
        <v>1182</v>
      </c>
      <c r="E67" s="41">
        <v>780</v>
      </c>
      <c r="F67" s="41">
        <v>771</v>
      </c>
      <c r="G67" s="41">
        <v>652</v>
      </c>
      <c r="H67" s="41">
        <v>675</v>
      </c>
      <c r="I67" s="41">
        <v>672</v>
      </c>
      <c r="J67" s="41">
        <v>676</v>
      </c>
      <c r="K67">
        <v>0</v>
      </c>
      <c r="L67">
        <v>0</v>
      </c>
      <c r="M67">
        <v>0</v>
      </c>
      <c r="N67">
        <v>0</v>
      </c>
      <c r="O67">
        <v>182</v>
      </c>
      <c r="P67">
        <v>154</v>
      </c>
      <c r="Q67">
        <v>206</v>
      </c>
      <c r="R67">
        <v>133</v>
      </c>
      <c r="S67">
        <v>166</v>
      </c>
      <c r="T67">
        <v>137</v>
      </c>
      <c r="U67">
        <v>137</v>
      </c>
      <c r="V67">
        <v>137</v>
      </c>
      <c r="W67">
        <v>143</v>
      </c>
      <c r="X67">
        <v>1</v>
      </c>
      <c r="Y67">
        <v>0</v>
      </c>
      <c r="Z67">
        <v>0</v>
      </c>
      <c r="AA67">
        <v>0</v>
      </c>
    </row>
    <row r="68" spans="1:27" hidden="1">
      <c r="A68" s="41" t="s">
        <v>515</v>
      </c>
      <c r="B68" s="41">
        <v>2356</v>
      </c>
      <c r="C68" s="41">
        <v>4166</v>
      </c>
      <c r="D68" s="41">
        <v>4947</v>
      </c>
      <c r="E68" s="41">
        <v>1743</v>
      </c>
      <c r="F68" s="41">
        <v>2316</v>
      </c>
      <c r="G68" s="41">
        <v>535</v>
      </c>
      <c r="H68" s="41">
        <v>1144</v>
      </c>
      <c r="I68" s="41">
        <v>1118</v>
      </c>
      <c r="J68" s="41">
        <v>892</v>
      </c>
      <c r="K68">
        <v>691</v>
      </c>
      <c r="L68">
        <v>583</v>
      </c>
      <c r="M68">
        <v>612</v>
      </c>
      <c r="N68">
        <v>1172</v>
      </c>
      <c r="O68">
        <v>405</v>
      </c>
      <c r="P68">
        <v>438</v>
      </c>
      <c r="Q68">
        <v>614</v>
      </c>
      <c r="R68">
        <v>437</v>
      </c>
      <c r="S68">
        <v>515</v>
      </c>
      <c r="T68">
        <v>70</v>
      </c>
      <c r="U68">
        <v>306</v>
      </c>
      <c r="V68">
        <v>283</v>
      </c>
      <c r="W68">
        <v>319</v>
      </c>
      <c r="X68">
        <v>248</v>
      </c>
      <c r="Y68">
        <v>190</v>
      </c>
      <c r="Z68">
        <v>193</v>
      </c>
      <c r="AA68">
        <v>367</v>
      </c>
    </row>
    <row r="69" spans="1:27" hidden="1">
      <c r="A69" s="41" t="s">
        <v>688</v>
      </c>
      <c r="B69" s="41">
        <v>842</v>
      </c>
      <c r="C69" s="41">
        <v>638</v>
      </c>
      <c r="D69" s="41">
        <v>426</v>
      </c>
      <c r="E69" s="41">
        <v>403</v>
      </c>
      <c r="F69" s="41">
        <v>359</v>
      </c>
      <c r="G69" s="41">
        <v>317</v>
      </c>
      <c r="H69" s="41">
        <v>310</v>
      </c>
      <c r="I69" s="41">
        <v>362</v>
      </c>
      <c r="J69" s="41">
        <v>322</v>
      </c>
      <c r="K69">
        <v>435</v>
      </c>
      <c r="L69">
        <v>490</v>
      </c>
      <c r="M69">
        <v>312</v>
      </c>
      <c r="N69">
        <v>424</v>
      </c>
      <c r="O69">
        <v>359</v>
      </c>
      <c r="P69">
        <v>265</v>
      </c>
      <c r="Q69">
        <v>199</v>
      </c>
      <c r="R69">
        <v>236</v>
      </c>
      <c r="S69">
        <v>248</v>
      </c>
      <c r="T69">
        <v>210</v>
      </c>
      <c r="U69">
        <v>199</v>
      </c>
      <c r="V69">
        <v>217</v>
      </c>
      <c r="W69">
        <v>221</v>
      </c>
      <c r="X69">
        <v>270</v>
      </c>
      <c r="Y69">
        <v>297</v>
      </c>
      <c r="Z69">
        <v>204</v>
      </c>
      <c r="AA69">
        <v>289</v>
      </c>
    </row>
    <row r="70" spans="1:27" hidden="1">
      <c r="A70" s="41" t="s">
        <v>518</v>
      </c>
      <c r="B70" s="41">
        <v>806</v>
      </c>
      <c r="C70" s="41">
        <v>802</v>
      </c>
      <c r="D70" s="41">
        <v>1030</v>
      </c>
      <c r="E70" s="41">
        <v>913</v>
      </c>
      <c r="F70" s="41">
        <v>725</v>
      </c>
      <c r="G70" s="41">
        <v>689</v>
      </c>
      <c r="H70" s="41">
        <v>571</v>
      </c>
      <c r="I70" s="41">
        <v>568</v>
      </c>
      <c r="J70" s="41">
        <v>586</v>
      </c>
      <c r="K70">
        <v>672</v>
      </c>
      <c r="L70">
        <v>591</v>
      </c>
      <c r="M70">
        <v>557</v>
      </c>
      <c r="N70">
        <v>651</v>
      </c>
      <c r="O70">
        <v>256</v>
      </c>
      <c r="P70">
        <v>313</v>
      </c>
      <c r="Q70">
        <v>304</v>
      </c>
      <c r="R70">
        <v>283</v>
      </c>
      <c r="S70">
        <v>282</v>
      </c>
      <c r="T70">
        <v>268</v>
      </c>
      <c r="U70">
        <v>256</v>
      </c>
      <c r="V70">
        <v>260</v>
      </c>
      <c r="W70">
        <v>290</v>
      </c>
      <c r="X70">
        <v>304</v>
      </c>
      <c r="Y70">
        <v>256</v>
      </c>
      <c r="Z70">
        <v>241</v>
      </c>
      <c r="AA70">
        <v>279</v>
      </c>
    </row>
    <row r="71" spans="1:27" hidden="1">
      <c r="A71" s="41" t="s">
        <v>746</v>
      </c>
      <c r="B71" s="41">
        <v>308</v>
      </c>
      <c r="C71" s="41">
        <v>509</v>
      </c>
      <c r="D71" s="41">
        <v>351</v>
      </c>
      <c r="E71" s="41">
        <v>429</v>
      </c>
      <c r="F71" s="41">
        <v>224</v>
      </c>
      <c r="G71" s="41">
        <v>241</v>
      </c>
      <c r="H71" s="41">
        <v>274</v>
      </c>
      <c r="I71" s="41">
        <v>272</v>
      </c>
      <c r="J71" s="41">
        <v>311</v>
      </c>
      <c r="K71">
        <v>348</v>
      </c>
      <c r="L71">
        <v>386</v>
      </c>
      <c r="M71">
        <v>287</v>
      </c>
      <c r="N71">
        <v>355</v>
      </c>
      <c r="O71">
        <v>122</v>
      </c>
      <c r="P71">
        <v>139</v>
      </c>
      <c r="Q71">
        <v>99</v>
      </c>
      <c r="R71">
        <v>142</v>
      </c>
      <c r="S71">
        <v>80</v>
      </c>
      <c r="T71">
        <v>87</v>
      </c>
      <c r="U71">
        <v>97</v>
      </c>
      <c r="V71">
        <v>105</v>
      </c>
      <c r="W71">
        <v>116</v>
      </c>
      <c r="X71">
        <v>109</v>
      </c>
      <c r="Y71">
        <v>171</v>
      </c>
      <c r="Z71">
        <v>103</v>
      </c>
      <c r="AA71">
        <v>169</v>
      </c>
    </row>
    <row r="72" spans="1:27" hidden="1">
      <c r="A72" s="41" t="s">
        <v>462</v>
      </c>
      <c r="B72" s="41">
        <v>2377</v>
      </c>
      <c r="C72" s="41">
        <v>2225</v>
      </c>
      <c r="D72" s="41">
        <v>1589</v>
      </c>
      <c r="E72" s="41">
        <v>1287</v>
      </c>
      <c r="F72" s="41">
        <v>883</v>
      </c>
      <c r="G72" s="41">
        <v>1077</v>
      </c>
      <c r="H72" s="41">
        <v>1580</v>
      </c>
      <c r="I72" s="41">
        <v>1922</v>
      </c>
      <c r="J72" s="41">
        <v>1790</v>
      </c>
      <c r="K72">
        <v>1622</v>
      </c>
      <c r="L72">
        <v>2721</v>
      </c>
      <c r="M72">
        <v>2958</v>
      </c>
      <c r="N72">
        <v>2109</v>
      </c>
      <c r="O72">
        <v>713</v>
      </c>
      <c r="P72">
        <v>863</v>
      </c>
      <c r="Q72">
        <v>604</v>
      </c>
      <c r="R72">
        <v>601</v>
      </c>
      <c r="S72">
        <v>470</v>
      </c>
      <c r="T72">
        <v>450</v>
      </c>
      <c r="U72">
        <v>484</v>
      </c>
      <c r="V72">
        <v>656</v>
      </c>
      <c r="W72">
        <v>594</v>
      </c>
      <c r="X72">
        <v>621</v>
      </c>
      <c r="Y72">
        <v>1451</v>
      </c>
      <c r="Z72">
        <v>913</v>
      </c>
      <c r="AA72">
        <v>849</v>
      </c>
    </row>
    <row r="73" spans="1:27" hidden="1">
      <c r="A73" s="41" t="s">
        <v>306</v>
      </c>
      <c r="B73" s="41">
        <v>2161</v>
      </c>
      <c r="C73" s="41">
        <v>2173</v>
      </c>
      <c r="D73" s="41">
        <v>1377</v>
      </c>
      <c r="E73" s="41">
        <v>1420</v>
      </c>
      <c r="F73" s="41">
        <v>169</v>
      </c>
      <c r="G73" s="41">
        <v>1268</v>
      </c>
      <c r="H73" s="41">
        <v>1048</v>
      </c>
      <c r="I73" s="41">
        <v>1075</v>
      </c>
      <c r="J73" s="41">
        <v>1192</v>
      </c>
      <c r="K73">
        <v>1118</v>
      </c>
      <c r="L73">
        <v>1058</v>
      </c>
      <c r="M73">
        <v>944</v>
      </c>
      <c r="N73">
        <v>1539</v>
      </c>
      <c r="O73">
        <v>410</v>
      </c>
      <c r="P73">
        <v>407</v>
      </c>
      <c r="Q73">
        <v>425</v>
      </c>
      <c r="R73">
        <v>428</v>
      </c>
      <c r="S73">
        <v>7</v>
      </c>
      <c r="T73">
        <v>353</v>
      </c>
      <c r="U73">
        <v>315</v>
      </c>
      <c r="V73">
        <v>306</v>
      </c>
      <c r="W73">
        <v>361</v>
      </c>
      <c r="X73">
        <v>360</v>
      </c>
      <c r="Y73">
        <v>356</v>
      </c>
      <c r="Z73">
        <v>293</v>
      </c>
      <c r="AA73">
        <v>451</v>
      </c>
    </row>
    <row r="74" spans="1:27" hidden="1">
      <c r="A74" s="41" t="s">
        <v>182</v>
      </c>
      <c r="B74" s="41">
        <v>2210</v>
      </c>
      <c r="C74" s="41">
        <v>3028</v>
      </c>
      <c r="D74" s="41">
        <v>3623</v>
      </c>
      <c r="E74" s="41">
        <v>3181</v>
      </c>
      <c r="F74" s="41">
        <v>2203</v>
      </c>
      <c r="G74" s="41">
        <v>2217</v>
      </c>
      <c r="H74" s="41">
        <v>2451</v>
      </c>
      <c r="I74" s="41">
        <v>2601</v>
      </c>
      <c r="J74" s="41">
        <v>2823</v>
      </c>
      <c r="K74">
        <v>3020</v>
      </c>
      <c r="L74">
        <v>2259</v>
      </c>
      <c r="M74">
        <v>2814</v>
      </c>
      <c r="N74">
        <v>4111</v>
      </c>
      <c r="O74">
        <v>352</v>
      </c>
      <c r="P74">
        <v>455</v>
      </c>
      <c r="Q74">
        <v>449</v>
      </c>
      <c r="R74">
        <v>457</v>
      </c>
      <c r="S74">
        <v>378</v>
      </c>
      <c r="T74">
        <v>377</v>
      </c>
      <c r="U74">
        <v>425</v>
      </c>
      <c r="V74">
        <v>451</v>
      </c>
      <c r="W74">
        <v>475</v>
      </c>
      <c r="X74">
        <v>589</v>
      </c>
      <c r="Y74">
        <v>484</v>
      </c>
      <c r="Z74">
        <v>611</v>
      </c>
      <c r="AA74">
        <v>837</v>
      </c>
    </row>
    <row r="75" spans="1:27" hidden="1">
      <c r="A75" s="41" t="s">
        <v>89</v>
      </c>
      <c r="B75" s="41">
        <v>7420</v>
      </c>
      <c r="C75" s="41">
        <v>9064</v>
      </c>
      <c r="D75" s="41">
        <v>7113</v>
      </c>
      <c r="E75" s="41">
        <v>7511</v>
      </c>
      <c r="F75" s="41">
        <v>10781</v>
      </c>
      <c r="G75" s="41">
        <v>6137</v>
      </c>
      <c r="H75" s="41">
        <v>4806</v>
      </c>
      <c r="I75" s="41">
        <v>4603</v>
      </c>
      <c r="J75" s="41">
        <v>5082</v>
      </c>
      <c r="K75">
        <v>4032</v>
      </c>
      <c r="L75">
        <v>4557</v>
      </c>
      <c r="M75">
        <v>3120</v>
      </c>
      <c r="N75">
        <v>3964</v>
      </c>
      <c r="O75">
        <v>1284</v>
      </c>
      <c r="P75">
        <v>1383</v>
      </c>
      <c r="Q75">
        <v>1154</v>
      </c>
      <c r="R75">
        <v>1183</v>
      </c>
      <c r="S75">
        <v>1367</v>
      </c>
      <c r="T75">
        <v>1027</v>
      </c>
      <c r="U75">
        <v>837</v>
      </c>
      <c r="V75">
        <v>764</v>
      </c>
      <c r="W75">
        <v>939</v>
      </c>
      <c r="X75">
        <v>778</v>
      </c>
      <c r="Y75">
        <v>1033</v>
      </c>
      <c r="Z75">
        <v>712</v>
      </c>
      <c r="AA75">
        <v>890</v>
      </c>
    </row>
    <row r="76" spans="1:27" hidden="1">
      <c r="A76" s="41" t="s">
        <v>74</v>
      </c>
      <c r="B76" s="41">
        <v>14958</v>
      </c>
      <c r="C76" s="41">
        <v>14790</v>
      </c>
      <c r="D76" s="41">
        <v>32925</v>
      </c>
      <c r="E76" s="41">
        <v>57954</v>
      </c>
      <c r="F76" s="41">
        <v>81282</v>
      </c>
      <c r="G76" s="41">
        <v>59715</v>
      </c>
      <c r="H76" s="41">
        <v>27814</v>
      </c>
      <c r="I76" s="41">
        <v>24145</v>
      </c>
      <c r="J76" s="41">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row>
    <row r="77" spans="1:27" hidden="1">
      <c r="A77" s="41" t="s">
        <v>275</v>
      </c>
      <c r="B77" s="41">
        <v>784</v>
      </c>
      <c r="C77" s="41">
        <v>894</v>
      </c>
      <c r="D77" s="41">
        <v>1045</v>
      </c>
      <c r="E77" s="41">
        <v>822</v>
      </c>
      <c r="F77" s="41">
        <v>652</v>
      </c>
      <c r="G77" s="41">
        <v>715</v>
      </c>
      <c r="H77" s="41">
        <v>843</v>
      </c>
      <c r="I77" s="41">
        <v>803</v>
      </c>
      <c r="J77" s="41">
        <v>1022</v>
      </c>
      <c r="K77">
        <v>907</v>
      </c>
      <c r="L77">
        <v>734</v>
      </c>
      <c r="M77">
        <v>775</v>
      </c>
      <c r="N77">
        <v>1187</v>
      </c>
      <c r="O77">
        <v>377</v>
      </c>
      <c r="P77">
        <v>441</v>
      </c>
      <c r="Q77">
        <v>437</v>
      </c>
      <c r="R77">
        <v>408</v>
      </c>
      <c r="S77">
        <v>361</v>
      </c>
      <c r="T77">
        <v>403</v>
      </c>
      <c r="U77">
        <v>438</v>
      </c>
      <c r="V77">
        <v>424</v>
      </c>
      <c r="W77">
        <v>514</v>
      </c>
      <c r="X77">
        <v>494</v>
      </c>
      <c r="Y77">
        <v>463</v>
      </c>
      <c r="Z77">
        <v>385</v>
      </c>
      <c r="AA77">
        <v>536</v>
      </c>
    </row>
    <row r="78" spans="1:27" hidden="1">
      <c r="A78" s="41" t="s">
        <v>329</v>
      </c>
      <c r="B78" s="41">
        <v>800</v>
      </c>
      <c r="C78" s="41">
        <v>768</v>
      </c>
      <c r="D78" s="41">
        <v>939</v>
      </c>
      <c r="E78" s="41">
        <v>644</v>
      </c>
      <c r="F78" s="41">
        <v>589</v>
      </c>
      <c r="G78" s="41">
        <v>693</v>
      </c>
      <c r="H78" s="41">
        <v>820</v>
      </c>
      <c r="I78" s="41">
        <v>492</v>
      </c>
      <c r="J78" s="41">
        <v>431</v>
      </c>
      <c r="K78">
        <v>442</v>
      </c>
      <c r="L78">
        <v>378</v>
      </c>
      <c r="M78">
        <v>412</v>
      </c>
      <c r="N78">
        <v>671</v>
      </c>
      <c r="O78">
        <v>139</v>
      </c>
      <c r="P78">
        <v>143</v>
      </c>
      <c r="Q78">
        <v>124</v>
      </c>
      <c r="R78">
        <v>105</v>
      </c>
      <c r="S78">
        <v>94</v>
      </c>
      <c r="T78">
        <v>132</v>
      </c>
      <c r="U78">
        <v>131</v>
      </c>
      <c r="V78">
        <v>96</v>
      </c>
      <c r="W78">
        <v>102</v>
      </c>
      <c r="X78">
        <v>80</v>
      </c>
      <c r="Y78">
        <v>95</v>
      </c>
      <c r="Z78">
        <v>87</v>
      </c>
      <c r="AA78">
        <v>136</v>
      </c>
    </row>
    <row r="79" spans="1:27" hidden="1">
      <c r="A79" s="41" t="s">
        <v>430</v>
      </c>
      <c r="B79" s="41">
        <v>2815</v>
      </c>
      <c r="C79" s="41">
        <v>1982</v>
      </c>
      <c r="D79" s="41">
        <v>1912</v>
      </c>
      <c r="E79" s="41">
        <v>1912</v>
      </c>
      <c r="F79" s="41">
        <v>1533</v>
      </c>
      <c r="G79" s="41">
        <v>1405</v>
      </c>
      <c r="H79" s="41">
        <v>1810</v>
      </c>
      <c r="I79" s="41">
        <v>1581</v>
      </c>
      <c r="J79" s="41">
        <v>1788</v>
      </c>
      <c r="K79">
        <v>2156</v>
      </c>
      <c r="L79">
        <v>1366</v>
      </c>
      <c r="M79">
        <v>988</v>
      </c>
      <c r="N79">
        <v>1352</v>
      </c>
      <c r="O79">
        <v>581</v>
      </c>
      <c r="P79">
        <v>493</v>
      </c>
      <c r="Q79">
        <v>504</v>
      </c>
      <c r="R79">
        <v>449</v>
      </c>
      <c r="S79">
        <v>374</v>
      </c>
      <c r="T79">
        <v>298</v>
      </c>
      <c r="U79">
        <v>510</v>
      </c>
      <c r="V79">
        <v>347</v>
      </c>
      <c r="W79">
        <v>369</v>
      </c>
      <c r="X79">
        <v>466</v>
      </c>
      <c r="Y79">
        <v>207</v>
      </c>
      <c r="Z79">
        <v>171</v>
      </c>
      <c r="AA79">
        <v>331</v>
      </c>
    </row>
    <row r="80" spans="1:27" hidden="1">
      <c r="A80" s="41" t="s">
        <v>356</v>
      </c>
      <c r="B80" s="41">
        <v>1231</v>
      </c>
      <c r="C80" s="41">
        <v>1312</v>
      </c>
      <c r="D80" s="41">
        <v>956</v>
      </c>
      <c r="E80" s="41">
        <v>752</v>
      </c>
      <c r="F80" s="41">
        <v>805</v>
      </c>
      <c r="G80" s="41">
        <v>765</v>
      </c>
      <c r="H80" s="41">
        <v>897</v>
      </c>
      <c r="I80" s="41">
        <v>836</v>
      </c>
      <c r="J80" s="41">
        <v>715</v>
      </c>
      <c r="K80">
        <v>852</v>
      </c>
      <c r="L80">
        <v>672</v>
      </c>
      <c r="M80">
        <v>597</v>
      </c>
      <c r="N80">
        <v>2995</v>
      </c>
      <c r="O80">
        <v>428</v>
      </c>
      <c r="P80">
        <v>480</v>
      </c>
      <c r="Q80">
        <v>449</v>
      </c>
      <c r="R80">
        <v>362</v>
      </c>
      <c r="S80">
        <v>375</v>
      </c>
      <c r="T80">
        <v>330</v>
      </c>
      <c r="U80">
        <v>344</v>
      </c>
      <c r="V80">
        <v>339</v>
      </c>
      <c r="W80">
        <v>370</v>
      </c>
      <c r="X80">
        <v>417</v>
      </c>
      <c r="Y80">
        <v>373</v>
      </c>
      <c r="Z80">
        <v>329</v>
      </c>
      <c r="AA80">
        <v>565</v>
      </c>
    </row>
    <row r="81" spans="1:27" hidden="1">
      <c r="A81" s="41" t="s">
        <v>77</v>
      </c>
      <c r="B81" s="41">
        <v>4947</v>
      </c>
      <c r="C81" s="41">
        <v>5221</v>
      </c>
      <c r="D81" s="41">
        <v>5089</v>
      </c>
      <c r="E81" s="41">
        <v>5351</v>
      </c>
      <c r="F81" s="41">
        <v>4403</v>
      </c>
      <c r="G81" s="41">
        <v>4309</v>
      </c>
      <c r="H81" s="41">
        <v>4807</v>
      </c>
      <c r="I81" s="41">
        <v>4661</v>
      </c>
      <c r="J81" s="41">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row>
    <row r="82" spans="1:27" hidden="1">
      <c r="A82" s="41" t="s">
        <v>702</v>
      </c>
      <c r="B82" s="41">
        <v>624</v>
      </c>
      <c r="C82" s="41">
        <v>693</v>
      </c>
      <c r="D82" s="41">
        <v>602</v>
      </c>
      <c r="E82" s="41">
        <v>594</v>
      </c>
      <c r="F82" s="41">
        <v>501</v>
      </c>
      <c r="G82" s="41">
        <v>410</v>
      </c>
      <c r="H82" s="41">
        <v>476</v>
      </c>
      <c r="I82" s="41">
        <v>463</v>
      </c>
      <c r="J82" s="41">
        <v>458</v>
      </c>
      <c r="K82">
        <v>468</v>
      </c>
      <c r="L82">
        <v>509</v>
      </c>
      <c r="M82">
        <v>414</v>
      </c>
      <c r="N82">
        <v>890</v>
      </c>
      <c r="O82">
        <v>212</v>
      </c>
      <c r="P82">
        <v>226</v>
      </c>
      <c r="Q82">
        <v>221</v>
      </c>
      <c r="R82">
        <v>210</v>
      </c>
      <c r="S82">
        <v>210</v>
      </c>
      <c r="T82">
        <v>186</v>
      </c>
      <c r="U82">
        <v>209</v>
      </c>
      <c r="V82">
        <v>192</v>
      </c>
      <c r="W82">
        <v>206</v>
      </c>
      <c r="X82">
        <v>225</v>
      </c>
      <c r="Y82">
        <v>243</v>
      </c>
      <c r="Z82">
        <v>179</v>
      </c>
      <c r="AA82">
        <v>263</v>
      </c>
    </row>
    <row r="83" spans="1:27" hidden="1">
      <c r="A83" s="41" t="s">
        <v>729</v>
      </c>
      <c r="B83" s="41">
        <v>1634</v>
      </c>
      <c r="C83" s="41">
        <v>510</v>
      </c>
      <c r="D83" s="41">
        <v>569</v>
      </c>
      <c r="E83" s="41">
        <v>304</v>
      </c>
      <c r="F83" s="41">
        <v>647</v>
      </c>
      <c r="G83" s="41">
        <v>771</v>
      </c>
      <c r="H83" s="41">
        <v>706</v>
      </c>
      <c r="I83" s="41">
        <v>1038</v>
      </c>
      <c r="J83" s="41">
        <v>1047</v>
      </c>
      <c r="K83">
        <v>834</v>
      </c>
      <c r="L83">
        <v>695</v>
      </c>
      <c r="M83">
        <v>550</v>
      </c>
      <c r="N83">
        <v>835</v>
      </c>
      <c r="O83">
        <v>215</v>
      </c>
      <c r="P83">
        <v>40</v>
      </c>
      <c r="Q83">
        <v>102</v>
      </c>
      <c r="R83">
        <v>103</v>
      </c>
      <c r="S83">
        <v>169</v>
      </c>
      <c r="T83">
        <v>176</v>
      </c>
      <c r="U83">
        <v>175</v>
      </c>
      <c r="V83">
        <v>205</v>
      </c>
      <c r="W83">
        <v>181</v>
      </c>
      <c r="X83">
        <v>174</v>
      </c>
      <c r="Y83">
        <v>180</v>
      </c>
      <c r="Z83">
        <v>131</v>
      </c>
      <c r="AA83">
        <v>173</v>
      </c>
    </row>
    <row r="84" spans="1:27" hidden="1">
      <c r="A84" s="41" t="s">
        <v>534</v>
      </c>
      <c r="B84" s="41">
        <v>0</v>
      </c>
      <c r="C84" s="41">
        <v>829</v>
      </c>
      <c r="D84" s="41">
        <v>3224</v>
      </c>
      <c r="E84" s="41">
        <v>3573</v>
      </c>
      <c r="F84" s="41">
        <v>56</v>
      </c>
      <c r="G84" s="41">
        <v>1278</v>
      </c>
      <c r="H84" s="41">
        <v>2263</v>
      </c>
      <c r="I84" s="41">
        <v>1919</v>
      </c>
      <c r="J84" s="41">
        <v>1664</v>
      </c>
      <c r="K84">
        <v>1472</v>
      </c>
      <c r="L84">
        <v>1940</v>
      </c>
      <c r="M84">
        <v>1434</v>
      </c>
      <c r="N84">
        <v>1612</v>
      </c>
      <c r="O84">
        <v>0</v>
      </c>
      <c r="P84">
        <v>203</v>
      </c>
      <c r="Q84">
        <v>360</v>
      </c>
      <c r="R84">
        <v>442</v>
      </c>
      <c r="S84">
        <v>1</v>
      </c>
      <c r="T84">
        <v>89</v>
      </c>
      <c r="U84">
        <v>156</v>
      </c>
      <c r="V84">
        <v>208</v>
      </c>
      <c r="W84">
        <v>185</v>
      </c>
      <c r="X84">
        <v>214</v>
      </c>
      <c r="Y84">
        <v>389</v>
      </c>
      <c r="Z84">
        <v>184</v>
      </c>
      <c r="AA84">
        <v>282</v>
      </c>
    </row>
    <row r="85" spans="1:27" hidden="1">
      <c r="A85" s="41" t="s">
        <v>766</v>
      </c>
      <c r="B85" s="41">
        <v>235</v>
      </c>
      <c r="C85" s="41">
        <v>211</v>
      </c>
      <c r="D85" s="41">
        <v>226</v>
      </c>
      <c r="E85" s="41">
        <v>165</v>
      </c>
      <c r="F85" s="41">
        <v>188</v>
      </c>
      <c r="G85" s="41">
        <v>143</v>
      </c>
      <c r="H85" s="41">
        <v>158</v>
      </c>
      <c r="I85" s="41">
        <v>155</v>
      </c>
      <c r="J85" s="41">
        <v>164</v>
      </c>
      <c r="K85">
        <v>173</v>
      </c>
      <c r="L85">
        <v>138</v>
      </c>
      <c r="M85">
        <v>151</v>
      </c>
      <c r="N85">
        <v>259</v>
      </c>
      <c r="O85">
        <v>53</v>
      </c>
      <c r="P85">
        <v>61</v>
      </c>
      <c r="Q85">
        <v>70</v>
      </c>
      <c r="R85">
        <v>53</v>
      </c>
      <c r="S85">
        <v>64</v>
      </c>
      <c r="T85">
        <v>43</v>
      </c>
      <c r="U85">
        <v>71</v>
      </c>
      <c r="V85">
        <v>63</v>
      </c>
      <c r="W85">
        <v>76</v>
      </c>
      <c r="X85">
        <v>66</v>
      </c>
      <c r="Y85">
        <v>69</v>
      </c>
      <c r="Z85">
        <v>69</v>
      </c>
      <c r="AA85">
        <v>102</v>
      </c>
    </row>
    <row r="86" spans="1:27" hidden="1">
      <c r="A86" s="41" t="s">
        <v>365</v>
      </c>
      <c r="B86" s="41">
        <v>2417</v>
      </c>
      <c r="C86" s="41">
        <v>2300</v>
      </c>
      <c r="D86" s="41">
        <v>1974</v>
      </c>
      <c r="E86" s="41">
        <v>1692</v>
      </c>
      <c r="F86" s="41">
        <v>1407</v>
      </c>
      <c r="G86" s="41">
        <v>1118</v>
      </c>
      <c r="H86" s="41">
        <v>888</v>
      </c>
      <c r="I86" s="41">
        <v>1165</v>
      </c>
      <c r="J86" s="41">
        <v>847</v>
      </c>
      <c r="K86">
        <v>433</v>
      </c>
      <c r="L86">
        <v>400</v>
      </c>
      <c r="M86">
        <v>0</v>
      </c>
      <c r="N86">
        <v>0</v>
      </c>
      <c r="O86">
        <v>333</v>
      </c>
      <c r="P86">
        <v>385</v>
      </c>
      <c r="Q86">
        <v>273</v>
      </c>
      <c r="R86">
        <v>289</v>
      </c>
      <c r="S86">
        <v>249</v>
      </c>
      <c r="T86">
        <v>197</v>
      </c>
      <c r="U86">
        <v>150</v>
      </c>
      <c r="V86">
        <v>197</v>
      </c>
      <c r="W86">
        <v>143</v>
      </c>
      <c r="X86">
        <v>122</v>
      </c>
      <c r="Y86">
        <v>101</v>
      </c>
      <c r="Z86">
        <v>2</v>
      </c>
      <c r="AA86">
        <v>0</v>
      </c>
    </row>
    <row r="87" spans="1:27" hidden="1">
      <c r="A87" s="41" t="s">
        <v>782</v>
      </c>
      <c r="B87" s="41">
        <v>98</v>
      </c>
      <c r="C87" s="41">
        <v>97</v>
      </c>
      <c r="D87" s="41">
        <v>88</v>
      </c>
      <c r="E87" s="41">
        <v>73</v>
      </c>
      <c r="F87" s="41">
        <v>70</v>
      </c>
      <c r="G87" s="41">
        <v>64</v>
      </c>
      <c r="H87" s="41">
        <v>70</v>
      </c>
      <c r="I87" s="41">
        <v>73</v>
      </c>
      <c r="J87" s="41">
        <v>61</v>
      </c>
      <c r="K87">
        <v>57</v>
      </c>
      <c r="L87">
        <v>60</v>
      </c>
      <c r="M87">
        <v>85</v>
      </c>
      <c r="N87">
        <v>84</v>
      </c>
      <c r="O87">
        <v>56</v>
      </c>
      <c r="P87">
        <v>38</v>
      </c>
      <c r="Q87">
        <v>27</v>
      </c>
      <c r="R87">
        <v>25</v>
      </c>
      <c r="S87">
        <v>39</v>
      </c>
      <c r="T87">
        <v>26</v>
      </c>
      <c r="U87">
        <v>34</v>
      </c>
      <c r="V87">
        <v>27</v>
      </c>
      <c r="W87">
        <v>31</v>
      </c>
      <c r="X87">
        <v>28</v>
      </c>
      <c r="Y87">
        <v>21</v>
      </c>
      <c r="Z87">
        <v>40</v>
      </c>
      <c r="AA87">
        <v>21</v>
      </c>
    </row>
    <row r="88" spans="1:27" hidden="1">
      <c r="A88" s="41" t="s">
        <v>297</v>
      </c>
      <c r="B88" s="41">
        <v>5274</v>
      </c>
      <c r="C88" s="41">
        <v>957</v>
      </c>
      <c r="D88" s="41">
        <v>2180</v>
      </c>
      <c r="E88" s="41">
        <v>3131</v>
      </c>
      <c r="F88" s="41">
        <v>2602</v>
      </c>
      <c r="G88" s="41">
        <v>2583</v>
      </c>
      <c r="H88" s="41">
        <v>2693</v>
      </c>
      <c r="I88" s="41">
        <v>3088</v>
      </c>
      <c r="J88" s="41">
        <v>3606</v>
      </c>
      <c r="K88">
        <v>4139</v>
      </c>
      <c r="L88">
        <v>2554</v>
      </c>
      <c r="M88">
        <v>2027</v>
      </c>
      <c r="N88">
        <v>2983</v>
      </c>
      <c r="O88">
        <v>1056</v>
      </c>
      <c r="P88">
        <v>161</v>
      </c>
      <c r="Q88">
        <v>778</v>
      </c>
      <c r="R88">
        <v>981</v>
      </c>
      <c r="S88">
        <v>733</v>
      </c>
      <c r="T88">
        <v>731</v>
      </c>
      <c r="U88">
        <v>780</v>
      </c>
      <c r="V88">
        <v>823</v>
      </c>
      <c r="W88">
        <v>952</v>
      </c>
      <c r="X88">
        <v>1164</v>
      </c>
      <c r="Y88">
        <v>897</v>
      </c>
      <c r="Z88">
        <v>732</v>
      </c>
      <c r="AA88">
        <v>1056</v>
      </c>
    </row>
    <row r="89" spans="1:27" hidden="1">
      <c r="A89" s="41" t="s">
        <v>761</v>
      </c>
      <c r="B89" s="41">
        <v>1401</v>
      </c>
      <c r="C89" s="41">
        <v>1191</v>
      </c>
      <c r="D89" s="41">
        <v>565</v>
      </c>
      <c r="E89" s="41">
        <v>259</v>
      </c>
      <c r="F89" s="41">
        <v>29</v>
      </c>
      <c r="G89" s="41">
        <v>0</v>
      </c>
      <c r="H89" s="41">
        <v>0</v>
      </c>
      <c r="I89" s="41">
        <v>0</v>
      </c>
      <c r="J89" s="41">
        <v>0</v>
      </c>
      <c r="K89">
        <v>104</v>
      </c>
      <c r="L89">
        <v>0</v>
      </c>
      <c r="M89">
        <v>602</v>
      </c>
      <c r="N89">
        <v>994</v>
      </c>
      <c r="O89">
        <v>366</v>
      </c>
      <c r="P89">
        <v>306</v>
      </c>
      <c r="Q89">
        <v>143</v>
      </c>
      <c r="R89">
        <v>88</v>
      </c>
      <c r="S89">
        <v>3</v>
      </c>
      <c r="T89">
        <v>0</v>
      </c>
      <c r="U89">
        <v>0</v>
      </c>
      <c r="V89">
        <v>0</v>
      </c>
      <c r="W89">
        <v>0</v>
      </c>
      <c r="X89">
        <v>18</v>
      </c>
      <c r="Y89">
        <v>0</v>
      </c>
      <c r="Z89">
        <v>102</v>
      </c>
      <c r="AA89">
        <v>116</v>
      </c>
    </row>
    <row r="90" spans="1:27" hidden="1">
      <c r="A90" s="41" t="s">
        <v>780</v>
      </c>
      <c r="B90" s="41">
        <v>539</v>
      </c>
      <c r="C90" s="41">
        <v>362</v>
      </c>
      <c r="D90" s="41">
        <v>249</v>
      </c>
      <c r="E90" s="41">
        <v>229</v>
      </c>
      <c r="F90" s="41">
        <v>207</v>
      </c>
      <c r="G90" s="41">
        <v>220</v>
      </c>
      <c r="H90" s="41">
        <v>297</v>
      </c>
      <c r="I90" s="41">
        <v>137</v>
      </c>
      <c r="J90" s="41">
        <v>96</v>
      </c>
      <c r="K90">
        <v>140</v>
      </c>
      <c r="L90">
        <v>0</v>
      </c>
      <c r="M90">
        <v>134</v>
      </c>
      <c r="N90">
        <v>222</v>
      </c>
      <c r="O90">
        <v>72</v>
      </c>
      <c r="P90">
        <v>117</v>
      </c>
      <c r="Q90">
        <v>63</v>
      </c>
      <c r="R90">
        <v>80</v>
      </c>
      <c r="S90">
        <v>84</v>
      </c>
      <c r="T90">
        <v>75</v>
      </c>
      <c r="U90">
        <v>144</v>
      </c>
      <c r="V90">
        <v>60</v>
      </c>
      <c r="W90">
        <v>46</v>
      </c>
      <c r="X90">
        <v>75</v>
      </c>
      <c r="Y90">
        <v>0</v>
      </c>
      <c r="Z90">
        <v>40</v>
      </c>
      <c r="AA90">
        <v>56</v>
      </c>
    </row>
    <row r="91" spans="1:27" hidden="1">
      <c r="A91" s="41" t="s">
        <v>145</v>
      </c>
      <c r="B91" s="41">
        <v>2661</v>
      </c>
      <c r="C91" s="41">
        <v>3561</v>
      </c>
      <c r="D91" s="41">
        <v>3146</v>
      </c>
      <c r="E91" s="41">
        <v>3133</v>
      </c>
      <c r="F91" s="41">
        <v>2990</v>
      </c>
      <c r="G91" s="41">
        <v>5395</v>
      </c>
      <c r="H91" s="41">
        <v>3136</v>
      </c>
      <c r="I91" s="41">
        <v>2754</v>
      </c>
      <c r="J91" s="41">
        <v>3536</v>
      </c>
      <c r="K91">
        <v>6006</v>
      </c>
      <c r="L91">
        <v>3772</v>
      </c>
      <c r="M91">
        <v>3383</v>
      </c>
      <c r="N91">
        <v>4768</v>
      </c>
      <c r="O91">
        <v>624</v>
      </c>
      <c r="P91">
        <v>799</v>
      </c>
      <c r="Q91">
        <v>725</v>
      </c>
      <c r="R91">
        <v>799</v>
      </c>
      <c r="S91">
        <v>748</v>
      </c>
      <c r="T91">
        <v>1050</v>
      </c>
      <c r="U91">
        <v>876</v>
      </c>
      <c r="V91">
        <v>790</v>
      </c>
      <c r="W91">
        <v>921</v>
      </c>
      <c r="X91">
        <v>1831</v>
      </c>
      <c r="Y91">
        <v>1052</v>
      </c>
      <c r="Z91">
        <v>919</v>
      </c>
      <c r="AA91">
        <v>1203</v>
      </c>
    </row>
    <row r="92" spans="1:27" hidden="1">
      <c r="A92" s="41" t="s">
        <v>377</v>
      </c>
      <c r="B92" s="41">
        <v>1256</v>
      </c>
      <c r="C92" s="41">
        <v>916</v>
      </c>
      <c r="D92" s="41">
        <v>731</v>
      </c>
      <c r="E92" s="41">
        <v>867</v>
      </c>
      <c r="F92" s="41">
        <v>838</v>
      </c>
      <c r="G92" s="41">
        <v>745</v>
      </c>
      <c r="H92" s="41">
        <v>692</v>
      </c>
      <c r="I92" s="41">
        <v>721</v>
      </c>
      <c r="J92" s="41">
        <v>652</v>
      </c>
      <c r="K92">
        <v>690</v>
      </c>
      <c r="L92">
        <v>597</v>
      </c>
      <c r="M92">
        <v>459</v>
      </c>
      <c r="N92">
        <v>2757</v>
      </c>
      <c r="O92">
        <v>210</v>
      </c>
      <c r="P92">
        <v>211</v>
      </c>
      <c r="Q92">
        <v>211</v>
      </c>
      <c r="R92">
        <v>334</v>
      </c>
      <c r="S92">
        <v>290</v>
      </c>
      <c r="T92">
        <v>296</v>
      </c>
      <c r="U92">
        <v>258</v>
      </c>
      <c r="V92">
        <v>260</v>
      </c>
      <c r="W92">
        <v>254</v>
      </c>
      <c r="X92">
        <v>376</v>
      </c>
      <c r="Y92">
        <v>333</v>
      </c>
      <c r="Z92">
        <v>293</v>
      </c>
      <c r="AA92">
        <v>669</v>
      </c>
    </row>
    <row r="93" spans="1:27" hidden="1">
      <c r="A93" s="41" t="s">
        <v>613</v>
      </c>
      <c r="B93" s="41">
        <v>0</v>
      </c>
      <c r="C93" s="41">
        <v>400</v>
      </c>
      <c r="D93" s="41">
        <v>321</v>
      </c>
      <c r="E93" s="41">
        <v>270</v>
      </c>
      <c r="F93" s="41">
        <v>345</v>
      </c>
      <c r="G93" s="41">
        <v>165</v>
      </c>
      <c r="H93" s="41">
        <v>426</v>
      </c>
      <c r="I93" s="41">
        <v>412</v>
      </c>
      <c r="J93" s="41">
        <v>372</v>
      </c>
      <c r="K93">
        <v>346</v>
      </c>
      <c r="L93">
        <v>504</v>
      </c>
      <c r="M93">
        <v>410</v>
      </c>
      <c r="N93">
        <v>650</v>
      </c>
      <c r="O93">
        <v>0</v>
      </c>
      <c r="P93">
        <v>73</v>
      </c>
      <c r="Q93">
        <v>49</v>
      </c>
      <c r="R93">
        <v>76</v>
      </c>
      <c r="S93">
        <v>101</v>
      </c>
      <c r="T93">
        <v>32</v>
      </c>
      <c r="U93">
        <v>102</v>
      </c>
      <c r="V93">
        <v>89</v>
      </c>
      <c r="W93">
        <v>105</v>
      </c>
      <c r="X93">
        <v>83</v>
      </c>
      <c r="Y93">
        <v>121</v>
      </c>
      <c r="Z93">
        <v>85</v>
      </c>
      <c r="AA93">
        <v>160</v>
      </c>
    </row>
    <row r="94" spans="1:27" hidden="1">
      <c r="A94" s="41" t="s">
        <v>739</v>
      </c>
      <c r="B94" s="41">
        <v>1047</v>
      </c>
      <c r="C94" s="41">
        <v>1003</v>
      </c>
      <c r="D94" s="41">
        <v>1070</v>
      </c>
      <c r="E94" s="41">
        <v>936</v>
      </c>
      <c r="F94" s="41">
        <v>532</v>
      </c>
      <c r="G94" s="41">
        <v>490</v>
      </c>
      <c r="H94" s="41">
        <v>575</v>
      </c>
      <c r="I94" s="41">
        <v>466</v>
      </c>
      <c r="J94" s="41">
        <v>438</v>
      </c>
      <c r="K94">
        <v>373</v>
      </c>
      <c r="L94">
        <v>350</v>
      </c>
      <c r="M94">
        <v>403</v>
      </c>
      <c r="N94">
        <v>547</v>
      </c>
      <c r="O94">
        <v>200</v>
      </c>
      <c r="P94">
        <v>193</v>
      </c>
      <c r="Q94">
        <v>158</v>
      </c>
      <c r="R94">
        <v>172</v>
      </c>
      <c r="S94">
        <v>135</v>
      </c>
      <c r="T94">
        <v>145</v>
      </c>
      <c r="U94">
        <v>167</v>
      </c>
      <c r="V94">
        <v>149</v>
      </c>
      <c r="W94">
        <v>118</v>
      </c>
      <c r="X94">
        <v>137</v>
      </c>
      <c r="Y94">
        <v>141</v>
      </c>
      <c r="Z94">
        <v>138</v>
      </c>
      <c r="AA94">
        <v>119</v>
      </c>
    </row>
    <row r="95" spans="1:27" hidden="1">
      <c r="A95" s="41" t="s">
        <v>715</v>
      </c>
      <c r="B95" s="41">
        <v>569</v>
      </c>
      <c r="C95" s="41">
        <v>464</v>
      </c>
      <c r="D95" s="41">
        <v>413</v>
      </c>
      <c r="E95" s="41">
        <v>490</v>
      </c>
      <c r="F95" s="41">
        <v>388</v>
      </c>
      <c r="G95" s="41">
        <v>490</v>
      </c>
      <c r="H95" s="41">
        <v>570</v>
      </c>
      <c r="I95" s="41">
        <v>520</v>
      </c>
      <c r="J95" s="41">
        <v>455</v>
      </c>
      <c r="K95">
        <v>471</v>
      </c>
      <c r="L95">
        <v>330</v>
      </c>
      <c r="M95">
        <v>395</v>
      </c>
      <c r="N95">
        <v>623</v>
      </c>
      <c r="O95">
        <v>153</v>
      </c>
      <c r="P95">
        <v>131</v>
      </c>
      <c r="Q95">
        <v>113</v>
      </c>
      <c r="R95">
        <v>125</v>
      </c>
      <c r="S95">
        <v>141</v>
      </c>
      <c r="T95">
        <v>188</v>
      </c>
      <c r="U95">
        <v>215</v>
      </c>
      <c r="V95">
        <v>209</v>
      </c>
      <c r="W95">
        <v>181</v>
      </c>
      <c r="X95">
        <v>203</v>
      </c>
      <c r="Y95">
        <v>135</v>
      </c>
      <c r="Z95">
        <v>170</v>
      </c>
      <c r="AA95">
        <v>233</v>
      </c>
    </row>
    <row r="96" spans="1:27" hidden="1">
      <c r="A96" s="41" t="s">
        <v>126</v>
      </c>
      <c r="B96" s="41">
        <v>4013</v>
      </c>
      <c r="C96" s="41">
        <v>2760</v>
      </c>
      <c r="D96" s="41">
        <v>1710</v>
      </c>
      <c r="E96" s="41">
        <v>2229</v>
      </c>
      <c r="F96" s="41">
        <v>2199</v>
      </c>
      <c r="G96" s="41">
        <v>2033</v>
      </c>
      <c r="H96" s="41">
        <v>2284</v>
      </c>
      <c r="I96" s="41">
        <v>2387</v>
      </c>
      <c r="J96" s="41">
        <v>2687</v>
      </c>
      <c r="K96">
        <v>2842</v>
      </c>
      <c r="L96">
        <v>2037</v>
      </c>
      <c r="M96">
        <v>2126</v>
      </c>
      <c r="N96">
        <v>3080</v>
      </c>
      <c r="O96">
        <v>1342</v>
      </c>
      <c r="P96">
        <v>1081</v>
      </c>
      <c r="Q96">
        <v>760</v>
      </c>
      <c r="R96">
        <v>779</v>
      </c>
      <c r="S96">
        <v>809</v>
      </c>
      <c r="T96">
        <v>763</v>
      </c>
      <c r="U96">
        <v>879</v>
      </c>
      <c r="V96">
        <v>971</v>
      </c>
      <c r="W96">
        <v>954</v>
      </c>
      <c r="X96">
        <v>973</v>
      </c>
      <c r="Y96">
        <v>866</v>
      </c>
      <c r="Z96">
        <v>771</v>
      </c>
      <c r="AA96">
        <v>1073</v>
      </c>
    </row>
    <row r="97" spans="1:27" hidden="1">
      <c r="A97" s="41" t="s">
        <v>136</v>
      </c>
      <c r="B97" s="41">
        <v>4430</v>
      </c>
      <c r="C97" s="41">
        <v>4077</v>
      </c>
      <c r="D97" s="41">
        <v>4073</v>
      </c>
      <c r="E97" s="41">
        <v>5819</v>
      </c>
      <c r="F97" s="41">
        <v>4803</v>
      </c>
      <c r="G97" s="41">
        <v>3465</v>
      </c>
      <c r="H97" s="41">
        <v>2984</v>
      </c>
      <c r="I97" s="41">
        <v>3286</v>
      </c>
      <c r="J97" s="41">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row>
    <row r="98" spans="1:27" hidden="1">
      <c r="A98" s="41" t="s">
        <v>717</v>
      </c>
      <c r="B98" s="41">
        <v>877</v>
      </c>
      <c r="C98" s="41">
        <v>834</v>
      </c>
      <c r="D98" s="41">
        <v>498</v>
      </c>
      <c r="E98" s="41">
        <v>593</v>
      </c>
      <c r="F98" s="41">
        <v>469</v>
      </c>
      <c r="G98" s="41">
        <v>364</v>
      </c>
      <c r="H98" s="41">
        <v>309</v>
      </c>
      <c r="I98" s="41">
        <v>310</v>
      </c>
      <c r="J98" s="41">
        <v>325</v>
      </c>
      <c r="K98">
        <v>292</v>
      </c>
      <c r="L98">
        <v>306</v>
      </c>
      <c r="M98">
        <v>409</v>
      </c>
      <c r="N98">
        <v>568</v>
      </c>
      <c r="O98">
        <v>335</v>
      </c>
      <c r="P98">
        <v>274</v>
      </c>
      <c r="Q98">
        <v>156</v>
      </c>
      <c r="R98">
        <v>169</v>
      </c>
      <c r="S98">
        <v>168</v>
      </c>
      <c r="T98">
        <v>105</v>
      </c>
      <c r="U98">
        <v>180</v>
      </c>
      <c r="V98">
        <v>157</v>
      </c>
      <c r="W98">
        <v>145</v>
      </c>
      <c r="X98">
        <v>211</v>
      </c>
      <c r="Y98">
        <v>159</v>
      </c>
      <c r="Z98">
        <v>204</v>
      </c>
      <c r="AA98">
        <v>269</v>
      </c>
    </row>
    <row r="99" spans="1:27" hidden="1">
      <c r="A99" s="41" t="s">
        <v>656</v>
      </c>
      <c r="B99" s="41">
        <v>8670</v>
      </c>
      <c r="C99" s="41">
        <v>10909</v>
      </c>
      <c r="D99" s="41">
        <v>20029</v>
      </c>
      <c r="E99" s="41">
        <v>36832</v>
      </c>
      <c r="F99" s="41">
        <v>48074</v>
      </c>
      <c r="G99" s="41">
        <v>8569</v>
      </c>
      <c r="H99" s="41">
        <v>38597</v>
      </c>
      <c r="I99" s="41">
        <v>35871</v>
      </c>
      <c r="J99" s="41">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row>
    <row r="100" spans="1:27" hidden="1">
      <c r="A100" s="41" t="s">
        <v>460</v>
      </c>
      <c r="B100" s="41">
        <v>760</v>
      </c>
      <c r="C100" s="41">
        <v>617</v>
      </c>
      <c r="D100" s="41">
        <v>797</v>
      </c>
      <c r="E100" s="41">
        <v>929</v>
      </c>
      <c r="F100" s="41">
        <v>661</v>
      </c>
      <c r="G100" s="41">
        <v>307</v>
      </c>
      <c r="H100" s="41">
        <v>441</v>
      </c>
      <c r="I100" s="41">
        <v>360</v>
      </c>
      <c r="J100" s="41">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row>
    <row r="101" spans="1:27" hidden="1">
      <c r="A101" s="41" t="s">
        <v>465</v>
      </c>
      <c r="B101" s="41">
        <v>632</v>
      </c>
      <c r="C101" s="41">
        <v>1062</v>
      </c>
      <c r="D101" s="41">
        <v>1126</v>
      </c>
      <c r="E101" s="41">
        <v>1227</v>
      </c>
      <c r="F101" s="41">
        <v>713</v>
      </c>
      <c r="G101" s="41">
        <v>320</v>
      </c>
      <c r="H101" s="41">
        <v>544</v>
      </c>
      <c r="I101" s="41">
        <v>581</v>
      </c>
      <c r="J101" s="41">
        <v>434</v>
      </c>
      <c r="K101">
        <v>541</v>
      </c>
      <c r="L101">
        <v>380</v>
      </c>
      <c r="M101">
        <v>394</v>
      </c>
      <c r="N101">
        <v>195</v>
      </c>
      <c r="O101">
        <v>193</v>
      </c>
      <c r="P101">
        <v>297</v>
      </c>
      <c r="Q101">
        <v>180</v>
      </c>
      <c r="R101">
        <v>225</v>
      </c>
      <c r="S101">
        <v>107</v>
      </c>
      <c r="T101">
        <v>37</v>
      </c>
      <c r="U101">
        <v>147</v>
      </c>
      <c r="V101">
        <v>162</v>
      </c>
      <c r="W101">
        <v>141</v>
      </c>
      <c r="X101">
        <v>139</v>
      </c>
      <c r="Y101">
        <v>104</v>
      </c>
      <c r="Z101">
        <v>96</v>
      </c>
      <c r="AA101">
        <v>51</v>
      </c>
    </row>
    <row r="102" spans="1:27" hidden="1">
      <c r="A102" s="41" t="s">
        <v>436</v>
      </c>
      <c r="B102" s="41">
        <v>417</v>
      </c>
      <c r="C102" s="41">
        <v>369</v>
      </c>
      <c r="D102" s="41">
        <v>427</v>
      </c>
      <c r="E102" s="41">
        <v>482</v>
      </c>
      <c r="F102" s="41">
        <v>418</v>
      </c>
      <c r="G102" s="41">
        <v>408</v>
      </c>
      <c r="H102" s="41">
        <v>412</v>
      </c>
      <c r="I102" s="41">
        <v>489</v>
      </c>
      <c r="J102" s="41">
        <v>404</v>
      </c>
      <c r="K102">
        <v>390</v>
      </c>
      <c r="L102">
        <v>383</v>
      </c>
      <c r="M102">
        <v>392</v>
      </c>
      <c r="N102">
        <v>567</v>
      </c>
      <c r="O102">
        <v>80</v>
      </c>
      <c r="P102">
        <v>69</v>
      </c>
      <c r="Q102">
        <v>69</v>
      </c>
      <c r="R102">
        <v>85</v>
      </c>
      <c r="S102">
        <v>84</v>
      </c>
      <c r="T102">
        <v>60</v>
      </c>
      <c r="U102">
        <v>80</v>
      </c>
      <c r="V102">
        <v>84</v>
      </c>
      <c r="W102">
        <v>60</v>
      </c>
      <c r="X102">
        <v>83</v>
      </c>
      <c r="Y102">
        <v>78</v>
      </c>
      <c r="Z102">
        <v>52</v>
      </c>
      <c r="AA102">
        <v>110</v>
      </c>
    </row>
    <row r="103" spans="1:27" hidden="1">
      <c r="A103" s="41" t="s">
        <v>299</v>
      </c>
      <c r="B103" s="41">
        <v>1416</v>
      </c>
      <c r="C103" s="41">
        <v>1319</v>
      </c>
      <c r="D103" s="41">
        <v>1252</v>
      </c>
      <c r="E103" s="41">
        <v>1470</v>
      </c>
      <c r="F103" s="41">
        <v>1502</v>
      </c>
      <c r="G103" s="41">
        <v>1536</v>
      </c>
      <c r="H103" s="41">
        <v>1132</v>
      </c>
      <c r="I103" s="41">
        <v>1296</v>
      </c>
      <c r="J103" s="41">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row>
    <row r="104" spans="1:27" hidden="1">
      <c r="A104" s="41" t="s">
        <v>473</v>
      </c>
      <c r="B104" s="41">
        <v>2658</v>
      </c>
      <c r="C104" s="41">
        <v>1941</v>
      </c>
      <c r="D104" s="41">
        <v>1600</v>
      </c>
      <c r="E104" s="41">
        <v>2850</v>
      </c>
      <c r="F104" s="41">
        <v>2049</v>
      </c>
      <c r="G104" s="41">
        <v>1591</v>
      </c>
      <c r="H104" s="41">
        <v>1100</v>
      </c>
      <c r="I104" s="41">
        <v>1282</v>
      </c>
      <c r="J104" s="41">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row>
    <row r="105" spans="1:27" hidden="1">
      <c r="A105" s="41" t="s">
        <v>142</v>
      </c>
      <c r="B105" s="41">
        <v>1711</v>
      </c>
      <c r="C105" s="41">
        <v>1517</v>
      </c>
      <c r="D105" s="41">
        <v>1607</v>
      </c>
      <c r="E105" s="41">
        <v>1913</v>
      </c>
      <c r="F105" s="41">
        <v>1166</v>
      </c>
      <c r="G105" s="41">
        <v>1267</v>
      </c>
      <c r="H105" s="41">
        <v>1273</v>
      </c>
      <c r="I105" s="41">
        <v>1016</v>
      </c>
      <c r="J105" s="41">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row>
    <row r="106" spans="1:27" hidden="1">
      <c r="A106" s="41" t="s">
        <v>386</v>
      </c>
      <c r="B106" s="41">
        <v>1350</v>
      </c>
      <c r="C106" s="41">
        <v>1288</v>
      </c>
      <c r="D106" s="41">
        <v>1007</v>
      </c>
      <c r="E106" s="41">
        <v>920</v>
      </c>
      <c r="F106" s="41">
        <v>747</v>
      </c>
      <c r="G106" s="41">
        <v>676</v>
      </c>
      <c r="H106" s="41">
        <v>705</v>
      </c>
      <c r="I106" s="41">
        <v>751</v>
      </c>
      <c r="J106" s="41">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row>
    <row r="107" spans="1:27" hidden="1">
      <c r="A107" s="41" t="s">
        <v>763</v>
      </c>
      <c r="B107" s="41">
        <v>0</v>
      </c>
      <c r="C107" s="41">
        <v>0</v>
      </c>
      <c r="D107" s="41">
        <v>0</v>
      </c>
      <c r="E107" s="41">
        <v>0</v>
      </c>
      <c r="F107" s="41">
        <v>0</v>
      </c>
      <c r="G107" s="41">
        <v>0</v>
      </c>
      <c r="H107" s="41">
        <v>208</v>
      </c>
      <c r="I107" s="41">
        <v>163</v>
      </c>
      <c r="J107" s="41">
        <v>136</v>
      </c>
      <c r="K107">
        <v>90</v>
      </c>
      <c r="L107">
        <v>112</v>
      </c>
      <c r="M107">
        <v>98</v>
      </c>
      <c r="N107">
        <v>107</v>
      </c>
      <c r="O107">
        <v>0</v>
      </c>
      <c r="P107">
        <v>0</v>
      </c>
      <c r="Q107">
        <v>0</v>
      </c>
      <c r="R107">
        <v>0</v>
      </c>
      <c r="S107">
        <v>0</v>
      </c>
      <c r="T107">
        <v>0</v>
      </c>
      <c r="U107">
        <v>53</v>
      </c>
      <c r="V107">
        <v>0</v>
      </c>
      <c r="W107">
        <v>89</v>
      </c>
      <c r="X107">
        <v>76</v>
      </c>
      <c r="Y107">
        <v>65</v>
      </c>
      <c r="Z107">
        <v>59</v>
      </c>
      <c r="AA107">
        <v>71</v>
      </c>
    </row>
    <row r="108" spans="1:27" hidden="1">
      <c r="A108" s="41" t="s">
        <v>696</v>
      </c>
      <c r="B108" s="41">
        <v>974</v>
      </c>
      <c r="C108" s="41">
        <v>1095</v>
      </c>
      <c r="D108" s="41">
        <v>2094</v>
      </c>
      <c r="E108" s="41">
        <v>1713</v>
      </c>
      <c r="F108" s="41">
        <v>1063</v>
      </c>
      <c r="G108" s="41">
        <v>7926</v>
      </c>
      <c r="H108" s="41">
        <v>1635</v>
      </c>
      <c r="I108" s="41">
        <v>895</v>
      </c>
      <c r="J108" s="41">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row>
    <row r="109" spans="1:27" hidden="1">
      <c r="A109" s="41" t="s">
        <v>170</v>
      </c>
      <c r="B109" s="41">
        <v>3177</v>
      </c>
      <c r="C109" s="41">
        <v>2464</v>
      </c>
      <c r="D109" s="41">
        <v>2763</v>
      </c>
      <c r="E109" s="41">
        <v>1976</v>
      </c>
      <c r="F109" s="41">
        <v>1821</v>
      </c>
      <c r="G109" s="41">
        <v>2050</v>
      </c>
      <c r="H109" s="41">
        <v>1848</v>
      </c>
      <c r="I109" s="41">
        <v>3303</v>
      </c>
      <c r="J109" s="41">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row>
    <row r="110" spans="1:27" hidden="1">
      <c r="A110" s="41" t="s">
        <v>341</v>
      </c>
      <c r="B110" s="41">
        <v>1558</v>
      </c>
      <c r="C110" s="41">
        <v>1634</v>
      </c>
      <c r="D110" s="41">
        <v>1646</v>
      </c>
      <c r="E110" s="41">
        <v>1521</v>
      </c>
      <c r="F110" s="41">
        <v>1323</v>
      </c>
      <c r="G110" s="41">
        <v>1390</v>
      </c>
      <c r="H110" s="41">
        <v>1297</v>
      </c>
      <c r="I110" s="41">
        <v>1409</v>
      </c>
      <c r="J110" s="41">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row>
    <row r="111" spans="1:27" hidden="1">
      <c r="A111" s="41" t="s">
        <v>232</v>
      </c>
      <c r="B111" s="41">
        <v>1299</v>
      </c>
      <c r="C111" s="41">
        <v>1499</v>
      </c>
      <c r="D111" s="41">
        <v>1816</v>
      </c>
      <c r="E111" s="41">
        <v>1430</v>
      </c>
      <c r="F111" s="41">
        <v>1165</v>
      </c>
      <c r="G111" s="41">
        <v>1127</v>
      </c>
      <c r="H111" s="41">
        <v>1156</v>
      </c>
      <c r="I111" s="41">
        <v>1195</v>
      </c>
      <c r="J111" s="41">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row>
    <row r="112" spans="1:27" hidden="1">
      <c r="A112" s="41" t="s">
        <v>513</v>
      </c>
      <c r="B112" s="41">
        <v>1354</v>
      </c>
      <c r="C112" s="41">
        <v>1035</v>
      </c>
      <c r="D112" s="41">
        <v>988</v>
      </c>
      <c r="E112" s="41">
        <v>832</v>
      </c>
      <c r="F112" s="41">
        <v>578</v>
      </c>
      <c r="G112" s="41">
        <v>641</v>
      </c>
      <c r="H112" s="41">
        <v>495</v>
      </c>
      <c r="I112" s="41">
        <v>449</v>
      </c>
      <c r="J112" s="41">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row>
    <row r="113" spans="1:27" hidden="1">
      <c r="A113" s="41" t="s">
        <v>1250</v>
      </c>
      <c r="B113" s="41">
        <v>2000</v>
      </c>
      <c r="C113" s="41">
        <v>2085</v>
      </c>
      <c r="D113" s="41">
        <v>1899</v>
      </c>
      <c r="E113" s="41">
        <v>1650</v>
      </c>
      <c r="F113" s="41">
        <v>382</v>
      </c>
      <c r="G113" s="41">
        <v>0</v>
      </c>
      <c r="H113" s="41">
        <v>22</v>
      </c>
      <c r="I113" s="41">
        <v>12</v>
      </c>
      <c r="J113" s="41">
        <v>0</v>
      </c>
      <c r="K113">
        <v>6</v>
      </c>
      <c r="L113">
        <v>0</v>
      </c>
      <c r="M113">
        <v>0</v>
      </c>
      <c r="N113">
        <v>0</v>
      </c>
      <c r="O113">
        <v>746</v>
      </c>
      <c r="P113">
        <v>797</v>
      </c>
      <c r="Q113">
        <v>748</v>
      </c>
      <c r="R113">
        <v>696</v>
      </c>
      <c r="S113">
        <v>44</v>
      </c>
      <c r="T113">
        <v>0</v>
      </c>
      <c r="U113">
        <v>6</v>
      </c>
      <c r="V113">
        <v>2</v>
      </c>
      <c r="W113">
        <v>0</v>
      </c>
      <c r="X113">
        <v>1</v>
      </c>
      <c r="Y113">
        <v>0</v>
      </c>
      <c r="Z113">
        <v>0</v>
      </c>
      <c r="AA113">
        <v>0</v>
      </c>
    </row>
    <row r="114" spans="1:27" hidden="1">
      <c r="A114" s="41" t="s">
        <v>728</v>
      </c>
      <c r="B114" s="41">
        <v>485</v>
      </c>
      <c r="C114" s="41">
        <v>784</v>
      </c>
      <c r="D114" s="41">
        <v>1103</v>
      </c>
      <c r="E114" s="41">
        <v>586</v>
      </c>
      <c r="F114" s="41">
        <v>489</v>
      </c>
      <c r="G114" s="41">
        <v>498</v>
      </c>
      <c r="H114" s="41">
        <v>519</v>
      </c>
      <c r="I114" s="41">
        <v>491</v>
      </c>
      <c r="J114" s="41">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row>
    <row r="115" spans="1:27" hidden="1">
      <c r="A115" s="41" t="s">
        <v>452</v>
      </c>
      <c r="B115" s="41">
        <v>1192</v>
      </c>
      <c r="C115" s="41">
        <v>1048</v>
      </c>
      <c r="D115" s="41">
        <v>821</v>
      </c>
      <c r="E115" s="41">
        <v>1049</v>
      </c>
      <c r="F115" s="41">
        <v>657</v>
      </c>
      <c r="G115" s="41">
        <v>569</v>
      </c>
      <c r="H115" s="41">
        <v>676</v>
      </c>
      <c r="I115" s="41">
        <v>751</v>
      </c>
      <c r="J115" s="41">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row>
    <row r="116" spans="1:27" hidden="1">
      <c r="A116" s="41" t="s">
        <v>732</v>
      </c>
      <c r="B116" s="41">
        <v>1214</v>
      </c>
      <c r="C116" s="41">
        <v>674</v>
      </c>
      <c r="D116" s="41">
        <v>89</v>
      </c>
      <c r="E116" s="41">
        <v>820</v>
      </c>
      <c r="F116" s="41">
        <v>684</v>
      </c>
      <c r="G116" s="41">
        <v>594</v>
      </c>
      <c r="H116" s="41">
        <v>649</v>
      </c>
      <c r="I116" s="41">
        <v>840</v>
      </c>
      <c r="J116" s="41">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row>
    <row r="117" spans="1:27" hidden="1">
      <c r="A117" s="41" t="s">
        <v>786</v>
      </c>
      <c r="B117" s="41">
        <v>128</v>
      </c>
      <c r="C117" s="41">
        <v>112</v>
      </c>
      <c r="D117" s="41">
        <v>69</v>
      </c>
      <c r="E117" s="41">
        <v>74</v>
      </c>
      <c r="F117" s="41">
        <v>64</v>
      </c>
      <c r="G117" s="41">
        <v>77</v>
      </c>
      <c r="H117" s="41">
        <v>86</v>
      </c>
      <c r="I117" s="41">
        <v>74</v>
      </c>
      <c r="J117" s="41">
        <v>72</v>
      </c>
      <c r="K117">
        <v>67</v>
      </c>
      <c r="L117">
        <v>63</v>
      </c>
      <c r="M117">
        <v>67</v>
      </c>
      <c r="N117">
        <v>263</v>
      </c>
      <c r="O117">
        <v>33</v>
      </c>
      <c r="P117">
        <v>29</v>
      </c>
      <c r="Q117">
        <v>23</v>
      </c>
      <c r="R117">
        <v>29</v>
      </c>
      <c r="S117">
        <v>18</v>
      </c>
      <c r="T117">
        <v>31</v>
      </c>
      <c r="U117">
        <v>36</v>
      </c>
      <c r="V117">
        <v>23</v>
      </c>
      <c r="W117">
        <v>33</v>
      </c>
      <c r="X117">
        <v>40</v>
      </c>
      <c r="Y117">
        <v>26</v>
      </c>
      <c r="Z117">
        <v>28</v>
      </c>
      <c r="AA117">
        <v>88</v>
      </c>
    </row>
    <row r="118" spans="1:27" hidden="1">
      <c r="A118" s="41" t="s">
        <v>771</v>
      </c>
      <c r="B118" s="41">
        <v>198</v>
      </c>
      <c r="C118" s="41">
        <v>302</v>
      </c>
      <c r="D118" s="41">
        <v>84</v>
      </c>
      <c r="E118" s="41">
        <v>72</v>
      </c>
      <c r="F118" s="41">
        <v>53</v>
      </c>
      <c r="G118" s="41">
        <v>62</v>
      </c>
      <c r="H118" s="41">
        <v>107</v>
      </c>
      <c r="I118" s="41">
        <v>137</v>
      </c>
      <c r="J118" s="41">
        <v>147</v>
      </c>
      <c r="K118">
        <v>127</v>
      </c>
      <c r="L118">
        <v>161</v>
      </c>
      <c r="M118">
        <v>164</v>
      </c>
      <c r="N118">
        <v>206</v>
      </c>
      <c r="O118">
        <v>12</v>
      </c>
      <c r="P118">
        <v>33</v>
      </c>
      <c r="Q118">
        <v>6</v>
      </c>
      <c r="R118">
        <v>21</v>
      </c>
      <c r="S118">
        <v>13</v>
      </c>
      <c r="T118">
        <v>18</v>
      </c>
      <c r="U118">
        <v>47</v>
      </c>
      <c r="V118">
        <v>61</v>
      </c>
      <c r="W118">
        <v>67</v>
      </c>
      <c r="X118">
        <v>51</v>
      </c>
      <c r="Y118">
        <v>90</v>
      </c>
      <c r="Z118">
        <v>75</v>
      </c>
      <c r="AA118">
        <v>129</v>
      </c>
    </row>
    <row r="119" spans="1:27" hidden="1">
      <c r="A119" s="41" t="s">
        <v>784</v>
      </c>
      <c r="B119" s="41">
        <v>28</v>
      </c>
      <c r="C119" s="41">
        <v>33</v>
      </c>
      <c r="D119" s="41">
        <v>39</v>
      </c>
      <c r="E119" s="41">
        <v>35</v>
      </c>
      <c r="F119" s="41">
        <v>36</v>
      </c>
      <c r="G119" s="41">
        <v>26</v>
      </c>
      <c r="H119" s="41">
        <v>51</v>
      </c>
      <c r="I119" s="41">
        <v>43</v>
      </c>
      <c r="J119" s="41">
        <v>53</v>
      </c>
      <c r="K119">
        <v>67</v>
      </c>
      <c r="L119">
        <v>59</v>
      </c>
      <c r="M119">
        <v>63</v>
      </c>
      <c r="N119">
        <v>73</v>
      </c>
      <c r="O119">
        <v>20</v>
      </c>
      <c r="P119">
        <v>13</v>
      </c>
      <c r="Q119">
        <v>18</v>
      </c>
      <c r="R119">
        <v>17</v>
      </c>
      <c r="S119">
        <v>21</v>
      </c>
      <c r="T119">
        <v>21</v>
      </c>
      <c r="U119">
        <v>23</v>
      </c>
      <c r="V119">
        <v>20</v>
      </c>
      <c r="W119">
        <v>30</v>
      </c>
      <c r="X119">
        <v>29</v>
      </c>
      <c r="Y119">
        <v>33</v>
      </c>
      <c r="Z119">
        <v>23</v>
      </c>
      <c r="AA119">
        <v>29</v>
      </c>
    </row>
    <row r="120" spans="1:27" hidden="1">
      <c r="A120" s="41" t="s">
        <v>714</v>
      </c>
      <c r="B120" s="41">
        <v>1002</v>
      </c>
      <c r="C120" s="41">
        <v>1034</v>
      </c>
      <c r="D120" s="41">
        <v>660</v>
      </c>
      <c r="E120" s="41">
        <v>563</v>
      </c>
      <c r="F120" s="41">
        <v>480</v>
      </c>
      <c r="G120" s="41">
        <v>479</v>
      </c>
      <c r="H120" s="41">
        <v>567</v>
      </c>
      <c r="I120" s="41">
        <v>408</v>
      </c>
      <c r="J120" s="41">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row>
    <row r="121" spans="1:27" hidden="1">
      <c r="A121" s="41" t="s">
        <v>195</v>
      </c>
      <c r="B121" s="41">
        <v>556</v>
      </c>
      <c r="C121" s="41">
        <v>644</v>
      </c>
      <c r="D121" s="41">
        <v>668</v>
      </c>
      <c r="E121" s="41">
        <v>708</v>
      </c>
      <c r="F121" s="41">
        <v>563</v>
      </c>
      <c r="G121" s="41">
        <v>598</v>
      </c>
      <c r="H121" s="41">
        <v>612</v>
      </c>
      <c r="I121" s="41">
        <v>598</v>
      </c>
      <c r="J121" s="41">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row>
    <row r="122" spans="1:27" hidden="1">
      <c r="A122" s="41" t="s">
        <v>217</v>
      </c>
      <c r="B122" s="41">
        <v>1013</v>
      </c>
      <c r="C122" s="41">
        <v>1382</v>
      </c>
      <c r="D122" s="41">
        <v>1449</v>
      </c>
      <c r="E122" s="41">
        <v>2537</v>
      </c>
      <c r="F122" s="41">
        <v>1852</v>
      </c>
      <c r="G122" s="41">
        <v>1365</v>
      </c>
      <c r="H122" s="41">
        <v>998</v>
      </c>
      <c r="I122" s="41">
        <v>1016</v>
      </c>
      <c r="J122" s="41">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row>
    <row r="123" spans="1:27" hidden="1">
      <c r="A123" s="41" t="s">
        <v>529</v>
      </c>
      <c r="B123" s="41">
        <v>426</v>
      </c>
      <c r="C123" s="41">
        <v>462</v>
      </c>
      <c r="D123" s="41">
        <v>516</v>
      </c>
      <c r="E123" s="41">
        <v>557</v>
      </c>
      <c r="F123" s="41">
        <v>514</v>
      </c>
      <c r="G123" s="41">
        <v>606</v>
      </c>
      <c r="H123" s="41">
        <v>431</v>
      </c>
      <c r="I123" s="41">
        <v>496</v>
      </c>
      <c r="J123" s="41">
        <v>579</v>
      </c>
      <c r="K123">
        <v>611</v>
      </c>
      <c r="L123">
        <v>0</v>
      </c>
      <c r="M123">
        <v>455</v>
      </c>
      <c r="N123">
        <v>937</v>
      </c>
      <c r="O123">
        <v>89</v>
      </c>
      <c r="P123">
        <v>102</v>
      </c>
      <c r="Q123">
        <v>118</v>
      </c>
      <c r="R123">
        <v>109</v>
      </c>
      <c r="S123">
        <v>102</v>
      </c>
      <c r="T123">
        <v>90</v>
      </c>
      <c r="U123">
        <v>94</v>
      </c>
      <c r="V123">
        <v>112</v>
      </c>
      <c r="W123">
        <v>157</v>
      </c>
      <c r="X123">
        <v>136</v>
      </c>
      <c r="Y123">
        <v>0</v>
      </c>
      <c r="Z123">
        <v>148</v>
      </c>
      <c r="AA123">
        <v>232</v>
      </c>
    </row>
    <row r="124" spans="1:27" hidden="1">
      <c r="A124" s="41" t="s">
        <v>64</v>
      </c>
      <c r="B124" s="41">
        <v>2274</v>
      </c>
      <c r="C124" s="41">
        <v>2856</v>
      </c>
      <c r="D124" s="41">
        <v>3377</v>
      </c>
      <c r="E124" s="41">
        <v>5031</v>
      </c>
      <c r="F124" s="41">
        <v>5590</v>
      </c>
      <c r="G124" s="41">
        <v>4851</v>
      </c>
      <c r="H124" s="41">
        <v>4649</v>
      </c>
      <c r="I124" s="41">
        <v>6101</v>
      </c>
      <c r="J124" s="41">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row>
    <row r="125" spans="1:27" hidden="1">
      <c r="A125" s="41" t="s">
        <v>257</v>
      </c>
      <c r="B125" s="41">
        <v>879</v>
      </c>
      <c r="C125" s="41">
        <v>1082</v>
      </c>
      <c r="D125" s="41">
        <v>983</v>
      </c>
      <c r="E125" s="41">
        <v>1031</v>
      </c>
      <c r="F125" s="41">
        <v>927</v>
      </c>
      <c r="G125" s="41">
        <v>974</v>
      </c>
      <c r="H125" s="41">
        <v>1011</v>
      </c>
      <c r="I125" s="41">
        <v>1156</v>
      </c>
      <c r="J125" s="41">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row>
    <row r="126" spans="1:27" hidden="1">
      <c r="A126" s="41" t="s">
        <v>346</v>
      </c>
      <c r="B126" s="41">
        <v>1634</v>
      </c>
      <c r="C126" s="41">
        <v>1088</v>
      </c>
      <c r="D126" s="41">
        <v>1379</v>
      </c>
      <c r="E126" s="41">
        <v>1401</v>
      </c>
      <c r="F126" s="41">
        <v>1057</v>
      </c>
      <c r="G126" s="41">
        <v>1155</v>
      </c>
      <c r="H126" s="41">
        <v>1143</v>
      </c>
      <c r="I126" s="41">
        <v>1093</v>
      </c>
      <c r="J126" s="41">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row>
    <row r="127" spans="1:27" hidden="1">
      <c r="A127" s="41" t="s">
        <v>804</v>
      </c>
      <c r="B127" s="41">
        <v>550</v>
      </c>
      <c r="C127" s="41">
        <v>528</v>
      </c>
      <c r="D127" s="41">
        <v>327</v>
      </c>
      <c r="E127" s="41">
        <v>306</v>
      </c>
      <c r="F127" s="41">
        <v>296</v>
      </c>
      <c r="G127" s="41">
        <v>241</v>
      </c>
      <c r="H127" s="41">
        <v>257</v>
      </c>
      <c r="I127" s="41">
        <v>382</v>
      </c>
      <c r="J127" s="41">
        <v>0</v>
      </c>
      <c r="K127">
        <v>2</v>
      </c>
      <c r="L127">
        <v>0</v>
      </c>
      <c r="M127">
        <v>0</v>
      </c>
      <c r="N127">
        <v>0</v>
      </c>
      <c r="O127">
        <v>164</v>
      </c>
      <c r="P127">
        <v>142</v>
      </c>
      <c r="Q127">
        <v>146</v>
      </c>
      <c r="R127">
        <v>116</v>
      </c>
      <c r="S127">
        <v>130</v>
      </c>
      <c r="T127">
        <v>118</v>
      </c>
      <c r="U127">
        <v>138</v>
      </c>
      <c r="V127">
        <v>136</v>
      </c>
      <c r="W127">
        <v>0</v>
      </c>
      <c r="X127">
        <v>2</v>
      </c>
      <c r="Y127">
        <v>0</v>
      </c>
      <c r="Z127">
        <v>0</v>
      </c>
      <c r="AA127">
        <v>0</v>
      </c>
    </row>
    <row r="128" spans="1:27" hidden="1">
      <c r="A128" s="41" t="s">
        <v>266</v>
      </c>
      <c r="B128" s="41">
        <v>0</v>
      </c>
      <c r="C128" s="41">
        <v>687</v>
      </c>
      <c r="D128" s="41">
        <v>1065</v>
      </c>
      <c r="E128" s="41">
        <v>1231</v>
      </c>
      <c r="F128" s="41">
        <v>754</v>
      </c>
      <c r="G128" s="41">
        <v>682</v>
      </c>
      <c r="H128" s="41">
        <v>1047</v>
      </c>
      <c r="I128" s="41">
        <v>797</v>
      </c>
      <c r="J128" s="41">
        <v>826</v>
      </c>
      <c r="K128">
        <v>771</v>
      </c>
      <c r="L128">
        <v>636</v>
      </c>
      <c r="M128">
        <v>704</v>
      </c>
      <c r="N128">
        <v>901</v>
      </c>
      <c r="O128">
        <v>0</v>
      </c>
      <c r="P128">
        <v>53</v>
      </c>
      <c r="Q128">
        <v>159</v>
      </c>
      <c r="R128">
        <v>206</v>
      </c>
      <c r="S128">
        <v>130</v>
      </c>
      <c r="T128">
        <v>139</v>
      </c>
      <c r="U128">
        <v>251</v>
      </c>
      <c r="V128">
        <v>156</v>
      </c>
      <c r="W128">
        <v>167</v>
      </c>
      <c r="X128">
        <v>148</v>
      </c>
      <c r="Y128">
        <v>148</v>
      </c>
      <c r="Z128">
        <v>131</v>
      </c>
      <c r="AA128">
        <v>180</v>
      </c>
    </row>
    <row r="129" spans="1:27" hidden="1">
      <c r="A129" s="41" t="s">
        <v>752</v>
      </c>
      <c r="B129" s="41">
        <v>109</v>
      </c>
      <c r="C129" s="41">
        <v>64</v>
      </c>
      <c r="D129" s="41">
        <v>94</v>
      </c>
      <c r="E129" s="41">
        <v>63</v>
      </c>
      <c r="F129" s="41">
        <v>86</v>
      </c>
      <c r="G129" s="41">
        <v>93</v>
      </c>
      <c r="H129" s="41">
        <v>96</v>
      </c>
      <c r="I129" s="41">
        <v>208</v>
      </c>
      <c r="J129" s="41">
        <v>240</v>
      </c>
      <c r="K129">
        <v>192</v>
      </c>
      <c r="L129">
        <v>211</v>
      </c>
      <c r="M129">
        <v>238</v>
      </c>
      <c r="N129">
        <v>282</v>
      </c>
      <c r="O129">
        <v>21</v>
      </c>
      <c r="P129">
        <v>13</v>
      </c>
      <c r="Q129">
        <v>34</v>
      </c>
      <c r="R129">
        <v>29</v>
      </c>
      <c r="S129">
        <v>33</v>
      </c>
      <c r="T129">
        <v>33</v>
      </c>
      <c r="U129">
        <v>32</v>
      </c>
      <c r="V129">
        <v>99</v>
      </c>
      <c r="W129">
        <v>111</v>
      </c>
      <c r="X129">
        <v>85</v>
      </c>
      <c r="Y129">
        <v>90</v>
      </c>
      <c r="Z129">
        <v>128</v>
      </c>
      <c r="AA129">
        <v>152</v>
      </c>
    </row>
    <row r="130" spans="1:27" hidden="1">
      <c r="A130" s="41" t="s">
        <v>119</v>
      </c>
      <c r="B130" s="41">
        <v>4323</v>
      </c>
      <c r="C130" s="41">
        <v>3717</v>
      </c>
      <c r="D130" s="41">
        <v>6969</v>
      </c>
      <c r="E130" s="41">
        <v>12230</v>
      </c>
      <c r="F130" s="41">
        <v>8131</v>
      </c>
      <c r="G130" s="41">
        <v>5322</v>
      </c>
      <c r="H130" s="41">
        <v>3436</v>
      </c>
      <c r="I130" s="41">
        <v>3161</v>
      </c>
      <c r="J130" s="41">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row>
    <row r="131" spans="1:27" hidden="1">
      <c r="A131" s="41" t="s">
        <v>169</v>
      </c>
      <c r="B131" s="41">
        <v>1450</v>
      </c>
      <c r="C131" s="41">
        <v>1559</v>
      </c>
      <c r="D131" s="41">
        <v>1228</v>
      </c>
      <c r="E131" s="41">
        <v>1388</v>
      </c>
      <c r="F131" s="41">
        <v>1438</v>
      </c>
      <c r="G131" s="41">
        <v>1443</v>
      </c>
      <c r="H131" s="41">
        <v>1497</v>
      </c>
      <c r="I131" s="41">
        <v>1915</v>
      </c>
      <c r="J131" s="41">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row>
    <row r="132" spans="1:27" hidden="1">
      <c r="A132" s="41" t="s">
        <v>405</v>
      </c>
      <c r="B132" s="41">
        <v>1100</v>
      </c>
      <c r="C132" s="41">
        <v>860</v>
      </c>
      <c r="D132" s="41">
        <v>863</v>
      </c>
      <c r="E132" s="41">
        <v>884</v>
      </c>
      <c r="F132" s="41">
        <v>902</v>
      </c>
      <c r="G132" s="41">
        <v>813</v>
      </c>
      <c r="H132" s="41">
        <v>690</v>
      </c>
      <c r="I132" s="41">
        <v>871</v>
      </c>
      <c r="J132" s="41">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row>
    <row r="133" spans="1:27" hidden="1">
      <c r="A133" s="41" t="s">
        <v>747</v>
      </c>
      <c r="B133" s="41">
        <v>310</v>
      </c>
      <c r="C133" s="41">
        <v>322</v>
      </c>
      <c r="D133" s="41">
        <v>924</v>
      </c>
      <c r="E133" s="41">
        <v>1220</v>
      </c>
      <c r="F133" s="41">
        <v>1061</v>
      </c>
      <c r="G133" s="41">
        <v>741</v>
      </c>
      <c r="H133" s="41">
        <v>669</v>
      </c>
      <c r="I133" s="41">
        <v>633</v>
      </c>
      <c r="J133" s="41">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row>
    <row r="134" spans="1:27" hidden="1">
      <c r="A134" s="41" t="s">
        <v>791</v>
      </c>
      <c r="B134" s="41">
        <v>21</v>
      </c>
      <c r="C134" s="41">
        <v>23</v>
      </c>
      <c r="D134" s="41">
        <v>38</v>
      </c>
      <c r="E134" s="41">
        <v>47</v>
      </c>
      <c r="F134" s="41">
        <v>34</v>
      </c>
      <c r="G134" s="41">
        <v>33</v>
      </c>
      <c r="H134" s="41">
        <v>22</v>
      </c>
      <c r="I134" s="41">
        <v>28</v>
      </c>
      <c r="J134" s="41">
        <v>39</v>
      </c>
      <c r="K134">
        <v>30</v>
      </c>
      <c r="L134">
        <v>28</v>
      </c>
      <c r="M134">
        <v>24</v>
      </c>
      <c r="N134">
        <v>56</v>
      </c>
      <c r="O134">
        <v>3</v>
      </c>
      <c r="P134">
        <v>4</v>
      </c>
      <c r="Q134">
        <v>4</v>
      </c>
      <c r="R134">
        <v>3</v>
      </c>
      <c r="S134">
        <v>5</v>
      </c>
      <c r="T134">
        <v>1</v>
      </c>
      <c r="U134">
        <v>1</v>
      </c>
      <c r="V134">
        <v>2</v>
      </c>
      <c r="W134">
        <v>4</v>
      </c>
      <c r="X134">
        <v>1</v>
      </c>
      <c r="Y134">
        <v>6</v>
      </c>
      <c r="Z134">
        <v>3</v>
      </c>
      <c r="AA134">
        <v>6</v>
      </c>
    </row>
    <row r="135" spans="1:27" hidden="1">
      <c r="A135" s="41" t="s">
        <v>764</v>
      </c>
      <c r="B135" s="41">
        <v>66</v>
      </c>
      <c r="C135" s="41">
        <v>134</v>
      </c>
      <c r="D135" s="41">
        <v>267</v>
      </c>
      <c r="E135" s="41">
        <v>141</v>
      </c>
      <c r="F135" s="41">
        <v>86</v>
      </c>
      <c r="G135" s="41">
        <v>77</v>
      </c>
      <c r="H135" s="41">
        <v>87</v>
      </c>
      <c r="I135" s="41">
        <v>169</v>
      </c>
      <c r="J135" s="41">
        <v>166</v>
      </c>
      <c r="K135">
        <v>162</v>
      </c>
      <c r="L135">
        <v>254</v>
      </c>
      <c r="M135">
        <v>250</v>
      </c>
      <c r="N135">
        <v>537</v>
      </c>
      <c r="O135">
        <v>20</v>
      </c>
      <c r="P135">
        <v>32</v>
      </c>
      <c r="Q135">
        <v>78</v>
      </c>
      <c r="R135">
        <v>29</v>
      </c>
      <c r="S135">
        <v>31</v>
      </c>
      <c r="T135">
        <v>22</v>
      </c>
      <c r="U135">
        <v>25</v>
      </c>
      <c r="V135">
        <v>55</v>
      </c>
      <c r="W135">
        <v>38</v>
      </c>
      <c r="X135">
        <v>67</v>
      </c>
      <c r="Y135">
        <v>86</v>
      </c>
      <c r="Z135">
        <v>53</v>
      </c>
      <c r="AA135">
        <v>102</v>
      </c>
    </row>
    <row r="136" spans="1:27" hidden="1">
      <c r="A136" s="41" t="s">
        <v>111</v>
      </c>
      <c r="B136" s="41">
        <v>5320</v>
      </c>
      <c r="C136" s="41">
        <v>3011</v>
      </c>
      <c r="D136" s="41">
        <v>1145</v>
      </c>
      <c r="E136" s="41">
        <v>3689</v>
      </c>
      <c r="F136" s="41">
        <v>2504</v>
      </c>
      <c r="G136" s="41">
        <v>2187</v>
      </c>
      <c r="H136" s="41">
        <v>2306</v>
      </c>
      <c r="I136" s="41">
        <v>2366</v>
      </c>
      <c r="J136" s="41">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row>
    <row r="137" spans="1:27" hidden="1">
      <c r="A137" s="41" t="s">
        <v>394</v>
      </c>
      <c r="B137" s="41">
        <v>1619</v>
      </c>
      <c r="C137" s="41">
        <v>1633</v>
      </c>
      <c r="D137" s="41">
        <v>717</v>
      </c>
      <c r="E137" s="41">
        <v>826</v>
      </c>
      <c r="F137" s="41">
        <v>650</v>
      </c>
      <c r="G137" s="41">
        <v>725</v>
      </c>
      <c r="H137" s="41">
        <v>777</v>
      </c>
      <c r="I137" s="41">
        <v>962</v>
      </c>
      <c r="J137" s="41">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row>
    <row r="138" spans="1:27" hidden="1">
      <c r="A138" s="41" t="s">
        <v>188</v>
      </c>
      <c r="B138" s="41">
        <v>2361</v>
      </c>
      <c r="C138" s="41">
        <v>2605</v>
      </c>
      <c r="D138" s="41">
        <v>2688</v>
      </c>
      <c r="E138" s="41">
        <v>3554</v>
      </c>
      <c r="F138" s="41">
        <v>3657</v>
      </c>
      <c r="G138" s="41">
        <v>3360</v>
      </c>
      <c r="H138" s="41">
        <v>3137</v>
      </c>
      <c r="I138" s="41">
        <v>3454</v>
      </c>
      <c r="J138" s="41">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row>
    <row r="139" spans="1:27" hidden="1">
      <c r="A139" s="41" t="s">
        <v>334</v>
      </c>
      <c r="B139" s="41">
        <v>1476</v>
      </c>
      <c r="C139" s="41">
        <v>1945</v>
      </c>
      <c r="D139" s="41">
        <v>2127</v>
      </c>
      <c r="E139" s="41">
        <v>2420</v>
      </c>
      <c r="F139" s="41">
        <v>2366</v>
      </c>
      <c r="G139" s="41">
        <v>2349</v>
      </c>
      <c r="H139" s="41">
        <v>2432</v>
      </c>
      <c r="I139" s="41">
        <v>2364</v>
      </c>
      <c r="J139" s="41">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row>
    <row r="140" spans="1:27" hidden="1">
      <c r="A140" s="41" t="s">
        <v>120</v>
      </c>
      <c r="B140" s="41">
        <v>5127</v>
      </c>
      <c r="C140" s="41">
        <v>2691</v>
      </c>
      <c r="D140" s="41">
        <v>3374</v>
      </c>
      <c r="E140" s="41">
        <v>5722</v>
      </c>
      <c r="F140" s="41">
        <v>4410</v>
      </c>
      <c r="G140" s="41">
        <v>4656</v>
      </c>
      <c r="H140" s="41">
        <v>5272</v>
      </c>
      <c r="I140" s="41">
        <v>3944</v>
      </c>
      <c r="J140" s="41">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row>
    <row r="141" spans="1:27" hidden="1">
      <c r="A141" s="41" t="s">
        <v>53</v>
      </c>
      <c r="B141" s="41">
        <v>5383</v>
      </c>
      <c r="C141" s="41">
        <v>4790</v>
      </c>
      <c r="D141" s="41">
        <v>3916</v>
      </c>
      <c r="E141" s="41">
        <v>3315</v>
      </c>
      <c r="F141" s="41">
        <v>2791</v>
      </c>
      <c r="G141" s="41">
        <v>2696</v>
      </c>
      <c r="H141" s="41">
        <v>2057</v>
      </c>
      <c r="I141" s="41">
        <v>3008</v>
      </c>
      <c r="J141" s="41">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row>
    <row r="142" spans="1:27" hidden="1">
      <c r="A142" s="41" t="s">
        <v>497</v>
      </c>
      <c r="B142" s="41">
        <v>0</v>
      </c>
      <c r="C142" s="41">
        <v>2098</v>
      </c>
      <c r="D142" s="41">
        <v>2243</v>
      </c>
      <c r="E142" s="41">
        <v>2036</v>
      </c>
      <c r="F142" s="41">
        <v>1818</v>
      </c>
      <c r="G142" s="41">
        <v>2072</v>
      </c>
      <c r="H142" s="41">
        <v>1235</v>
      </c>
      <c r="I142" s="41">
        <v>1323</v>
      </c>
      <c r="J142" s="41">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row>
    <row r="143" spans="1:27" hidden="1">
      <c r="A143" s="41" t="s">
        <v>481</v>
      </c>
      <c r="B143" s="41">
        <v>762</v>
      </c>
      <c r="C143" s="41">
        <v>1141</v>
      </c>
      <c r="D143" s="41">
        <v>996</v>
      </c>
      <c r="E143" s="41">
        <v>2175</v>
      </c>
      <c r="F143" s="41">
        <v>1366</v>
      </c>
      <c r="G143" s="41">
        <v>2724</v>
      </c>
      <c r="H143" s="41">
        <v>1011</v>
      </c>
      <c r="I143" s="41">
        <v>1058</v>
      </c>
      <c r="J143" s="41">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row>
    <row r="144" spans="1:27" hidden="1">
      <c r="A144" s="41" t="s">
        <v>332</v>
      </c>
      <c r="B144" s="41">
        <v>1491</v>
      </c>
      <c r="C144" s="41">
        <v>1436</v>
      </c>
      <c r="D144" s="41">
        <v>1225</v>
      </c>
      <c r="E144" s="41">
        <v>1684</v>
      </c>
      <c r="F144" s="41">
        <v>1462</v>
      </c>
      <c r="G144" s="41">
        <v>1782</v>
      </c>
      <c r="H144" s="41">
        <v>1906</v>
      </c>
      <c r="I144" s="41">
        <v>1800</v>
      </c>
      <c r="J144" s="41">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row>
    <row r="145" spans="1:27" hidden="1">
      <c r="A145" s="41" t="s">
        <v>713</v>
      </c>
      <c r="B145" s="41">
        <v>1434</v>
      </c>
      <c r="C145" s="41">
        <v>1037</v>
      </c>
      <c r="D145" s="41">
        <v>643</v>
      </c>
      <c r="E145" s="41">
        <v>560</v>
      </c>
      <c r="F145" s="41">
        <v>454</v>
      </c>
      <c r="G145" s="41">
        <v>513</v>
      </c>
      <c r="H145" s="41">
        <v>583</v>
      </c>
      <c r="I145" s="41">
        <v>404</v>
      </c>
      <c r="J145" s="41">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row>
    <row r="146" spans="1:27" hidden="1">
      <c r="A146" s="41" t="s">
        <v>1134</v>
      </c>
      <c r="B146" s="41">
        <v>602</v>
      </c>
      <c r="C146" s="41">
        <v>454</v>
      </c>
      <c r="D146" s="41">
        <v>98</v>
      </c>
      <c r="E146" s="41">
        <v>417</v>
      </c>
      <c r="F146" s="41">
        <v>336</v>
      </c>
      <c r="G146" s="41">
        <v>285</v>
      </c>
      <c r="H146" s="41">
        <v>926</v>
      </c>
      <c r="I146" s="41">
        <v>289</v>
      </c>
      <c r="J146" s="41">
        <v>0</v>
      </c>
      <c r="K146">
        <v>4</v>
      </c>
      <c r="L146">
        <v>2</v>
      </c>
      <c r="M146">
        <v>0</v>
      </c>
      <c r="N146">
        <v>0</v>
      </c>
      <c r="O146">
        <v>175</v>
      </c>
      <c r="P146">
        <v>91</v>
      </c>
      <c r="Q146">
        <v>0</v>
      </c>
      <c r="R146">
        <v>160</v>
      </c>
      <c r="S146">
        <v>111</v>
      </c>
      <c r="T146">
        <v>111</v>
      </c>
      <c r="U146">
        <v>399</v>
      </c>
      <c r="V146">
        <v>61</v>
      </c>
      <c r="W146">
        <v>1</v>
      </c>
      <c r="X146">
        <v>2</v>
      </c>
      <c r="Y146">
        <v>1</v>
      </c>
      <c r="Z146">
        <v>0</v>
      </c>
      <c r="AA146">
        <v>0</v>
      </c>
    </row>
    <row r="147" spans="1:27" hidden="1">
      <c r="A147" s="41" t="s">
        <v>794</v>
      </c>
      <c r="B147" s="41">
        <v>511</v>
      </c>
      <c r="C147" s="41">
        <v>0</v>
      </c>
      <c r="D147" s="41">
        <v>0</v>
      </c>
      <c r="E147" s="41">
        <v>0</v>
      </c>
      <c r="F147" s="41">
        <v>0</v>
      </c>
      <c r="G147" s="41">
        <v>0</v>
      </c>
      <c r="H147" s="41">
        <v>0</v>
      </c>
      <c r="I147" s="41">
        <v>0</v>
      </c>
      <c r="J147" s="41">
        <v>107</v>
      </c>
      <c r="K147">
        <v>0</v>
      </c>
      <c r="L147">
        <v>127</v>
      </c>
      <c r="M147">
        <v>22</v>
      </c>
      <c r="N147">
        <v>51</v>
      </c>
      <c r="O147">
        <v>153</v>
      </c>
      <c r="P147">
        <v>0</v>
      </c>
      <c r="Q147">
        <v>0</v>
      </c>
      <c r="R147">
        <v>0</v>
      </c>
      <c r="S147">
        <v>0</v>
      </c>
      <c r="T147">
        <v>0</v>
      </c>
      <c r="U147">
        <v>0</v>
      </c>
      <c r="V147">
        <v>0</v>
      </c>
      <c r="W147">
        <v>21</v>
      </c>
      <c r="X147">
        <v>1</v>
      </c>
      <c r="Y147">
        <v>25</v>
      </c>
      <c r="Z147">
        <v>1</v>
      </c>
      <c r="AA147">
        <v>9</v>
      </c>
    </row>
    <row r="148" spans="1:27" hidden="1">
      <c r="A148" s="41" t="s">
        <v>726</v>
      </c>
      <c r="B148" s="41">
        <v>446</v>
      </c>
      <c r="C148" s="41">
        <v>408</v>
      </c>
      <c r="D148" s="41">
        <v>328</v>
      </c>
      <c r="E148" s="41">
        <v>346</v>
      </c>
      <c r="F148" s="41">
        <v>332</v>
      </c>
      <c r="G148" s="41">
        <v>369</v>
      </c>
      <c r="H148" s="41">
        <v>428</v>
      </c>
      <c r="I148" s="41">
        <v>522</v>
      </c>
      <c r="J148" s="41">
        <v>778</v>
      </c>
      <c r="K148">
        <v>704</v>
      </c>
      <c r="L148">
        <v>572</v>
      </c>
      <c r="M148">
        <v>423</v>
      </c>
      <c r="N148">
        <v>526</v>
      </c>
      <c r="O148">
        <v>11</v>
      </c>
      <c r="P148">
        <v>88</v>
      </c>
      <c r="Q148">
        <v>85</v>
      </c>
      <c r="R148">
        <v>99</v>
      </c>
      <c r="S148">
        <v>107</v>
      </c>
      <c r="T148">
        <v>93</v>
      </c>
      <c r="U148">
        <v>125</v>
      </c>
      <c r="V148">
        <v>205</v>
      </c>
      <c r="W148">
        <v>261</v>
      </c>
      <c r="X148">
        <v>219</v>
      </c>
      <c r="Y148">
        <v>247</v>
      </c>
      <c r="Z148">
        <v>131</v>
      </c>
      <c r="AA148">
        <v>176</v>
      </c>
    </row>
    <row r="149" spans="1:27" hidden="1">
      <c r="A149" s="41" t="s">
        <v>760</v>
      </c>
      <c r="B149" s="41">
        <v>198</v>
      </c>
      <c r="C149" s="41">
        <v>149</v>
      </c>
      <c r="D149" s="41">
        <v>200</v>
      </c>
      <c r="E149" s="41">
        <v>244</v>
      </c>
      <c r="F149" s="41">
        <v>134</v>
      </c>
      <c r="G149" s="41">
        <v>153</v>
      </c>
      <c r="H149" s="41">
        <v>155</v>
      </c>
      <c r="I149" s="41">
        <v>204</v>
      </c>
      <c r="J149" s="41">
        <v>198</v>
      </c>
      <c r="K149">
        <v>145</v>
      </c>
      <c r="L149">
        <v>180</v>
      </c>
      <c r="M149">
        <v>144</v>
      </c>
      <c r="N149">
        <v>144</v>
      </c>
      <c r="O149">
        <v>66</v>
      </c>
      <c r="P149">
        <v>49</v>
      </c>
      <c r="Q149">
        <v>88</v>
      </c>
      <c r="R149">
        <v>98</v>
      </c>
      <c r="S149">
        <v>31</v>
      </c>
      <c r="T149">
        <v>52</v>
      </c>
      <c r="U149">
        <v>56</v>
      </c>
      <c r="V149">
        <v>84</v>
      </c>
      <c r="W149">
        <v>90</v>
      </c>
      <c r="X149">
        <v>83</v>
      </c>
      <c r="Y149">
        <v>72</v>
      </c>
      <c r="Z149">
        <v>78</v>
      </c>
      <c r="AA149">
        <v>84</v>
      </c>
    </row>
    <row r="150" spans="1:27" hidden="1">
      <c r="A150" s="41" t="s">
        <v>700</v>
      </c>
      <c r="B150" s="41">
        <v>336</v>
      </c>
      <c r="C150" s="41">
        <v>468</v>
      </c>
      <c r="D150" s="41">
        <v>470</v>
      </c>
      <c r="E150" s="41">
        <v>532</v>
      </c>
      <c r="F150" s="41">
        <v>375</v>
      </c>
      <c r="G150" s="41">
        <v>397</v>
      </c>
      <c r="H150" s="41">
        <v>488</v>
      </c>
      <c r="I150" s="41">
        <v>590</v>
      </c>
      <c r="J150" s="41">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row>
    <row r="151" spans="1:27" hidden="1">
      <c r="A151" s="41" t="s">
        <v>384</v>
      </c>
      <c r="B151" s="41">
        <v>0</v>
      </c>
      <c r="C151" s="41">
        <v>298</v>
      </c>
      <c r="D151" s="41">
        <v>1106</v>
      </c>
      <c r="E151" s="41">
        <v>743</v>
      </c>
      <c r="F151" s="41">
        <v>683</v>
      </c>
      <c r="G151" s="41">
        <v>854</v>
      </c>
      <c r="H151" s="41">
        <v>562</v>
      </c>
      <c r="I151" s="41">
        <v>553</v>
      </c>
      <c r="J151" s="41">
        <v>893</v>
      </c>
      <c r="K151">
        <v>3</v>
      </c>
      <c r="L151">
        <v>0</v>
      </c>
      <c r="M151">
        <v>0</v>
      </c>
      <c r="N151">
        <v>0</v>
      </c>
      <c r="O151">
        <v>0</v>
      </c>
      <c r="P151">
        <v>24</v>
      </c>
      <c r="Q151">
        <v>100</v>
      </c>
      <c r="R151">
        <v>73</v>
      </c>
      <c r="S151">
        <v>72</v>
      </c>
      <c r="T151">
        <v>110</v>
      </c>
      <c r="U151">
        <v>69</v>
      </c>
      <c r="V151">
        <v>65</v>
      </c>
      <c r="W151">
        <v>103</v>
      </c>
      <c r="X151">
        <v>2</v>
      </c>
      <c r="Y151">
        <v>0</v>
      </c>
      <c r="Z151">
        <v>0</v>
      </c>
      <c r="AA151">
        <v>0</v>
      </c>
    </row>
    <row r="152" spans="1:27" hidden="1">
      <c r="A152" s="41" t="s">
        <v>738</v>
      </c>
      <c r="B152" s="41">
        <v>637</v>
      </c>
      <c r="C152" s="41">
        <v>380</v>
      </c>
      <c r="D152" s="41">
        <v>776</v>
      </c>
      <c r="E152" s="41">
        <v>625</v>
      </c>
      <c r="F152" s="41">
        <v>736</v>
      </c>
      <c r="G152" s="41">
        <v>1280</v>
      </c>
      <c r="H152" s="41">
        <v>1008</v>
      </c>
      <c r="I152" s="41">
        <v>646</v>
      </c>
      <c r="J152" s="41">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row>
    <row r="153" spans="1:27" hidden="1">
      <c r="A153" s="41" t="s">
        <v>767</v>
      </c>
      <c r="B153" s="41">
        <v>260</v>
      </c>
      <c r="C153" s="41">
        <v>216</v>
      </c>
      <c r="D153" s="41">
        <v>283</v>
      </c>
      <c r="E153" s="41">
        <v>204</v>
      </c>
      <c r="F153" s="41">
        <v>165</v>
      </c>
      <c r="G153" s="41">
        <v>228</v>
      </c>
      <c r="H153" s="41">
        <v>208</v>
      </c>
      <c r="I153" s="41">
        <v>201</v>
      </c>
      <c r="J153" s="41">
        <v>173</v>
      </c>
      <c r="K153">
        <v>160</v>
      </c>
      <c r="L153">
        <v>141</v>
      </c>
      <c r="M153">
        <v>148</v>
      </c>
      <c r="N153">
        <v>0</v>
      </c>
      <c r="O153">
        <v>88</v>
      </c>
      <c r="P153">
        <v>71</v>
      </c>
      <c r="Q153">
        <v>60</v>
      </c>
      <c r="R153">
        <v>72</v>
      </c>
      <c r="S153">
        <v>73</v>
      </c>
      <c r="T153">
        <v>84</v>
      </c>
      <c r="U153">
        <v>68</v>
      </c>
      <c r="V153">
        <v>81</v>
      </c>
      <c r="W153">
        <v>89</v>
      </c>
      <c r="X153">
        <v>56</v>
      </c>
      <c r="Y153">
        <v>72</v>
      </c>
      <c r="Z153">
        <v>63</v>
      </c>
      <c r="AA153">
        <v>0</v>
      </c>
    </row>
    <row r="154" spans="1:27" hidden="1">
      <c r="A154" s="41" t="s">
        <v>805</v>
      </c>
      <c r="B154" s="41">
        <v>404</v>
      </c>
      <c r="C154" s="41">
        <v>496</v>
      </c>
      <c r="D154" s="41">
        <v>401</v>
      </c>
      <c r="E154" s="41">
        <v>381</v>
      </c>
      <c r="F154" s="41">
        <v>413</v>
      </c>
      <c r="G154" s="41">
        <v>334</v>
      </c>
      <c r="H154" s="41">
        <v>330</v>
      </c>
      <c r="I154" s="41">
        <v>340</v>
      </c>
      <c r="J154" s="41">
        <v>279</v>
      </c>
      <c r="K154">
        <v>18</v>
      </c>
      <c r="L154">
        <v>0</v>
      </c>
      <c r="M154">
        <v>3</v>
      </c>
      <c r="N154">
        <v>0</v>
      </c>
      <c r="O154">
        <v>111</v>
      </c>
      <c r="P154">
        <v>203</v>
      </c>
      <c r="Q154">
        <v>114</v>
      </c>
      <c r="R154">
        <v>201</v>
      </c>
      <c r="S154">
        <v>108</v>
      </c>
      <c r="T154">
        <v>98</v>
      </c>
      <c r="U154">
        <v>89</v>
      </c>
      <c r="V154">
        <v>101</v>
      </c>
      <c r="W154">
        <v>118</v>
      </c>
      <c r="X154">
        <v>6</v>
      </c>
      <c r="Y154">
        <v>0</v>
      </c>
      <c r="Z154">
        <v>0</v>
      </c>
      <c r="AA154">
        <v>0</v>
      </c>
    </row>
    <row r="155" spans="1:27" hidden="1">
      <c r="A155" s="41" t="s">
        <v>434</v>
      </c>
      <c r="B155" s="41">
        <v>1239</v>
      </c>
      <c r="C155" s="41">
        <v>1315</v>
      </c>
      <c r="D155" s="41">
        <v>1112</v>
      </c>
      <c r="E155" s="41">
        <v>1316</v>
      </c>
      <c r="F155" s="41">
        <v>1188</v>
      </c>
      <c r="G155" s="41">
        <v>1019</v>
      </c>
      <c r="H155" s="41">
        <v>1042</v>
      </c>
      <c r="I155" s="41">
        <v>1211</v>
      </c>
      <c r="J155" s="41">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row>
    <row r="156" spans="1:27" hidden="1">
      <c r="A156" s="41" t="s">
        <v>255</v>
      </c>
      <c r="B156" s="41">
        <v>0</v>
      </c>
      <c r="C156" s="41">
        <v>334</v>
      </c>
      <c r="D156" s="41">
        <v>746</v>
      </c>
      <c r="E156" s="41">
        <v>755</v>
      </c>
      <c r="F156" s="41">
        <v>764</v>
      </c>
      <c r="G156" s="41">
        <v>776</v>
      </c>
      <c r="H156" s="41">
        <v>736</v>
      </c>
      <c r="I156" s="41">
        <v>863</v>
      </c>
      <c r="J156" s="41">
        <v>821</v>
      </c>
      <c r="K156">
        <v>694</v>
      </c>
      <c r="L156">
        <v>791</v>
      </c>
      <c r="M156">
        <v>634</v>
      </c>
      <c r="N156">
        <v>958</v>
      </c>
      <c r="O156">
        <v>0</v>
      </c>
      <c r="P156">
        <v>0</v>
      </c>
      <c r="Q156">
        <v>95</v>
      </c>
      <c r="R156">
        <v>371</v>
      </c>
      <c r="S156">
        <v>320</v>
      </c>
      <c r="T156">
        <v>332</v>
      </c>
      <c r="U156">
        <v>309</v>
      </c>
      <c r="V156">
        <v>403</v>
      </c>
      <c r="W156">
        <v>340</v>
      </c>
      <c r="X156">
        <v>314</v>
      </c>
      <c r="Y156">
        <v>441</v>
      </c>
      <c r="Z156">
        <v>273</v>
      </c>
      <c r="AA156">
        <v>444</v>
      </c>
    </row>
    <row r="157" spans="1:27" hidden="1">
      <c r="A157" s="41" t="s">
        <v>705</v>
      </c>
      <c r="B157" s="41">
        <v>715</v>
      </c>
      <c r="C157" s="41">
        <v>979</v>
      </c>
      <c r="D157" s="41">
        <v>854</v>
      </c>
      <c r="E157" s="41">
        <v>785</v>
      </c>
      <c r="F157" s="41">
        <v>626</v>
      </c>
      <c r="G157" s="41">
        <v>719</v>
      </c>
      <c r="H157" s="41">
        <v>373</v>
      </c>
      <c r="I157" s="41">
        <v>642</v>
      </c>
      <c r="J157" s="41">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row>
    <row r="158" spans="1:27" hidden="1">
      <c r="A158" s="41" t="s">
        <v>706</v>
      </c>
      <c r="B158" s="41">
        <v>1369</v>
      </c>
      <c r="C158" s="41">
        <v>297</v>
      </c>
      <c r="D158" s="41">
        <v>0</v>
      </c>
      <c r="E158" s="41">
        <v>848</v>
      </c>
      <c r="F158" s="41">
        <v>772</v>
      </c>
      <c r="G158" s="41">
        <v>797</v>
      </c>
      <c r="H158" s="41">
        <v>491</v>
      </c>
      <c r="I158" s="41">
        <v>684</v>
      </c>
      <c r="J158" s="41">
        <v>620</v>
      </c>
      <c r="K158">
        <v>435</v>
      </c>
      <c r="L158">
        <v>807</v>
      </c>
      <c r="M158">
        <v>784</v>
      </c>
      <c r="N158">
        <v>629</v>
      </c>
      <c r="O158">
        <v>342</v>
      </c>
      <c r="P158">
        <v>0</v>
      </c>
      <c r="Q158">
        <v>36</v>
      </c>
      <c r="R158">
        <v>255</v>
      </c>
      <c r="S158">
        <v>250</v>
      </c>
      <c r="T158">
        <v>258</v>
      </c>
      <c r="U158">
        <v>142</v>
      </c>
      <c r="V158">
        <v>217</v>
      </c>
      <c r="W158">
        <v>214</v>
      </c>
      <c r="X158">
        <v>145</v>
      </c>
      <c r="Y158">
        <v>268</v>
      </c>
      <c r="Z158">
        <v>150</v>
      </c>
      <c r="AA158">
        <v>169</v>
      </c>
    </row>
    <row r="159" spans="1:27" hidden="1">
      <c r="A159" s="41" t="s">
        <v>697</v>
      </c>
      <c r="B159" s="41">
        <v>819</v>
      </c>
      <c r="C159" s="41">
        <v>1055</v>
      </c>
      <c r="D159" s="41">
        <v>723</v>
      </c>
      <c r="E159" s="41">
        <v>644</v>
      </c>
      <c r="F159" s="41">
        <v>477</v>
      </c>
      <c r="G159" s="41">
        <v>469</v>
      </c>
      <c r="H159" s="41">
        <v>483</v>
      </c>
      <c r="I159" s="41">
        <v>630</v>
      </c>
      <c r="J159" s="41">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row>
    <row r="160" spans="1:27" hidden="1">
      <c r="A160" s="41" t="s">
        <v>410</v>
      </c>
      <c r="B160" s="41">
        <v>2153</v>
      </c>
      <c r="C160" s="41">
        <v>2493</v>
      </c>
      <c r="D160" s="41">
        <v>2220</v>
      </c>
      <c r="E160" s="41">
        <v>2376</v>
      </c>
      <c r="F160" s="41">
        <v>1752</v>
      </c>
      <c r="G160" s="41">
        <v>1787</v>
      </c>
      <c r="H160" s="41">
        <v>1888</v>
      </c>
      <c r="I160" s="41">
        <v>2022</v>
      </c>
      <c r="J160" s="41">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row>
    <row r="161" spans="1:27" hidden="1">
      <c r="A161" s="41" t="s">
        <v>775</v>
      </c>
      <c r="B161" s="41">
        <v>0</v>
      </c>
      <c r="C161" s="41">
        <v>0</v>
      </c>
      <c r="D161" s="41">
        <v>0</v>
      </c>
      <c r="E161" s="41">
        <v>36</v>
      </c>
      <c r="F161" s="41">
        <v>172</v>
      </c>
      <c r="G161" s="41">
        <v>179</v>
      </c>
      <c r="H161" s="41">
        <v>394</v>
      </c>
      <c r="I161" s="41">
        <v>608</v>
      </c>
      <c r="J161" s="41">
        <v>276</v>
      </c>
      <c r="K161">
        <v>322</v>
      </c>
      <c r="L161">
        <v>310</v>
      </c>
      <c r="M161">
        <v>225</v>
      </c>
      <c r="N161">
        <v>249</v>
      </c>
      <c r="O161">
        <v>0</v>
      </c>
      <c r="P161">
        <v>0</v>
      </c>
      <c r="Q161">
        <v>0</v>
      </c>
      <c r="R161">
        <v>0</v>
      </c>
      <c r="S161">
        <v>44</v>
      </c>
      <c r="T161">
        <v>55</v>
      </c>
      <c r="U161">
        <v>111</v>
      </c>
      <c r="V161">
        <v>163</v>
      </c>
      <c r="W161">
        <v>67</v>
      </c>
      <c r="X161">
        <v>69</v>
      </c>
      <c r="Y161">
        <v>80</v>
      </c>
      <c r="Z161">
        <v>38</v>
      </c>
      <c r="AA161">
        <v>63</v>
      </c>
    </row>
    <row r="162" spans="1:27" hidden="1">
      <c r="A162" s="41" t="s">
        <v>704</v>
      </c>
      <c r="B162" s="41">
        <v>558</v>
      </c>
      <c r="C162" s="41">
        <v>624</v>
      </c>
      <c r="D162" s="41">
        <v>980</v>
      </c>
      <c r="E162" s="41">
        <v>460</v>
      </c>
      <c r="F162" s="41">
        <v>324</v>
      </c>
      <c r="G162" s="41">
        <v>407</v>
      </c>
      <c r="H162" s="41">
        <v>537</v>
      </c>
      <c r="I162" s="41">
        <v>403</v>
      </c>
      <c r="J162" s="41">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row>
    <row r="163" spans="1:27" hidden="1">
      <c r="A163" s="41" t="s">
        <v>716</v>
      </c>
      <c r="B163" s="41">
        <v>424</v>
      </c>
      <c r="C163" s="41">
        <v>475</v>
      </c>
      <c r="D163" s="41">
        <v>420</v>
      </c>
      <c r="E163" s="41">
        <v>447</v>
      </c>
      <c r="F163" s="41">
        <v>461</v>
      </c>
      <c r="G163" s="41">
        <v>434</v>
      </c>
      <c r="H163" s="41">
        <v>476</v>
      </c>
      <c r="I163" s="41">
        <v>441</v>
      </c>
      <c r="J163" s="41">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row>
    <row r="164" spans="1:27" hidden="1">
      <c r="A164" s="41" t="s">
        <v>378</v>
      </c>
      <c r="B164" s="41">
        <v>3418</v>
      </c>
      <c r="C164" s="41">
        <v>372</v>
      </c>
      <c r="D164" s="41">
        <v>1874</v>
      </c>
      <c r="E164" s="41">
        <v>2165</v>
      </c>
      <c r="F164" s="41">
        <v>1222</v>
      </c>
      <c r="G164" s="41">
        <v>918</v>
      </c>
      <c r="H164" s="41">
        <v>2617</v>
      </c>
      <c r="I164" s="41">
        <v>1522</v>
      </c>
      <c r="J164" s="41">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row>
    <row r="165" spans="1:27" hidden="1">
      <c r="A165" s="41" t="s">
        <v>693</v>
      </c>
      <c r="B165" s="41">
        <v>985</v>
      </c>
      <c r="C165" s="41">
        <v>847</v>
      </c>
      <c r="D165" s="41">
        <v>817</v>
      </c>
      <c r="E165" s="41">
        <v>688</v>
      </c>
      <c r="F165" s="41">
        <v>499</v>
      </c>
      <c r="G165" s="41">
        <v>442</v>
      </c>
      <c r="H165" s="41">
        <v>445</v>
      </c>
      <c r="I165" s="41">
        <v>515</v>
      </c>
      <c r="J165" s="41">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row>
    <row r="166" spans="1:27" hidden="1">
      <c r="A166" s="41" t="s">
        <v>189</v>
      </c>
      <c r="B166" s="41">
        <v>2497</v>
      </c>
      <c r="C166" s="41">
        <v>1850</v>
      </c>
      <c r="D166" s="41">
        <v>1991</v>
      </c>
      <c r="E166" s="41">
        <v>2772</v>
      </c>
      <c r="F166" s="41">
        <v>2176</v>
      </c>
      <c r="G166" s="41">
        <v>1501</v>
      </c>
      <c r="H166" s="41">
        <v>1366</v>
      </c>
      <c r="I166" s="41">
        <v>1596</v>
      </c>
      <c r="J166" s="41">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row>
    <row r="167" spans="1:27" hidden="1">
      <c r="A167" s="41" t="s">
        <v>475</v>
      </c>
      <c r="B167" s="41">
        <v>1688</v>
      </c>
      <c r="C167" s="41">
        <v>1053</v>
      </c>
      <c r="D167" s="41">
        <v>946</v>
      </c>
      <c r="E167" s="41">
        <v>928</v>
      </c>
      <c r="F167" s="41">
        <v>934</v>
      </c>
      <c r="G167" s="41">
        <v>895</v>
      </c>
      <c r="H167" s="41">
        <v>975</v>
      </c>
      <c r="I167" s="41">
        <v>944</v>
      </c>
      <c r="J167" s="41">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row>
    <row r="168" spans="1:27" hidden="1">
      <c r="A168" s="41" t="s">
        <v>131</v>
      </c>
      <c r="B168" s="41">
        <v>7650</v>
      </c>
      <c r="C168" s="41">
        <v>13806</v>
      </c>
      <c r="D168" s="41">
        <v>6603</v>
      </c>
      <c r="E168" s="41">
        <v>5324</v>
      </c>
      <c r="F168" s="41">
        <v>5917</v>
      </c>
      <c r="G168" s="41">
        <v>5980</v>
      </c>
      <c r="H168" s="41">
        <v>3818</v>
      </c>
      <c r="I168" s="41">
        <v>7142</v>
      </c>
      <c r="J168" s="41">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row>
    <row r="169" spans="1:27" hidden="1">
      <c r="A169" s="41" t="s">
        <v>750</v>
      </c>
      <c r="B169" s="41">
        <v>670</v>
      </c>
      <c r="C169" s="41">
        <v>116</v>
      </c>
      <c r="D169" s="41">
        <v>398</v>
      </c>
      <c r="E169" s="41">
        <v>445</v>
      </c>
      <c r="F169" s="41">
        <v>359</v>
      </c>
      <c r="G169" s="41">
        <v>355</v>
      </c>
      <c r="H169" s="41">
        <v>239</v>
      </c>
      <c r="I169" s="41">
        <v>322</v>
      </c>
      <c r="J169" s="41">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row>
    <row r="170" spans="1:27" hidden="1">
      <c r="A170" s="41" t="s">
        <v>219</v>
      </c>
      <c r="B170" s="41">
        <v>416</v>
      </c>
      <c r="C170" s="41">
        <v>1739</v>
      </c>
      <c r="D170" s="41">
        <v>1284</v>
      </c>
      <c r="E170" s="41">
        <v>1175</v>
      </c>
      <c r="F170" s="41">
        <v>1221</v>
      </c>
      <c r="G170" s="41">
        <v>1495</v>
      </c>
      <c r="H170" s="41">
        <v>657</v>
      </c>
      <c r="I170" s="41">
        <v>1287</v>
      </c>
      <c r="J170" s="41">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row>
    <row r="171" spans="1:27" hidden="1">
      <c r="A171" s="41" t="s">
        <v>125</v>
      </c>
      <c r="B171" s="41">
        <v>0</v>
      </c>
      <c r="C171" s="41">
        <v>0</v>
      </c>
      <c r="D171" s="41">
        <v>0</v>
      </c>
      <c r="E171" s="41">
        <v>0</v>
      </c>
      <c r="F171" s="41">
        <v>0</v>
      </c>
      <c r="G171" s="41">
        <v>144</v>
      </c>
      <c r="H171" s="41">
        <v>2461</v>
      </c>
      <c r="I171" s="41">
        <v>2491</v>
      </c>
      <c r="J171" s="41">
        <v>2416</v>
      </c>
      <c r="K171">
        <v>987</v>
      </c>
      <c r="L171">
        <v>1751</v>
      </c>
      <c r="M171">
        <v>2342</v>
      </c>
      <c r="N171">
        <v>3384</v>
      </c>
      <c r="O171">
        <v>0</v>
      </c>
      <c r="P171">
        <v>0</v>
      </c>
      <c r="Q171">
        <v>0</v>
      </c>
      <c r="R171">
        <v>0</v>
      </c>
      <c r="S171">
        <v>0</v>
      </c>
      <c r="T171">
        <v>0</v>
      </c>
      <c r="U171">
        <v>882</v>
      </c>
      <c r="V171">
        <v>79</v>
      </c>
      <c r="W171">
        <v>531</v>
      </c>
      <c r="X171">
        <v>276</v>
      </c>
      <c r="Y171">
        <v>575</v>
      </c>
      <c r="Z171">
        <v>889</v>
      </c>
      <c r="AA171">
        <v>1165</v>
      </c>
    </row>
    <row r="172" spans="1:27" hidden="1">
      <c r="A172" s="41" t="s">
        <v>107</v>
      </c>
      <c r="B172" s="41">
        <v>4005</v>
      </c>
      <c r="C172" s="41">
        <v>3935</v>
      </c>
      <c r="D172" s="41">
        <v>4402</v>
      </c>
      <c r="E172" s="41">
        <v>4192</v>
      </c>
      <c r="F172" s="41">
        <v>3156</v>
      </c>
      <c r="G172" s="41">
        <v>3022</v>
      </c>
      <c r="H172" s="41">
        <v>3527</v>
      </c>
      <c r="I172" s="41">
        <v>3401</v>
      </c>
      <c r="J172" s="41">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row>
    <row r="173" spans="1:27" hidden="1">
      <c r="A173" s="41" t="s">
        <v>240</v>
      </c>
      <c r="B173" s="41">
        <v>1177</v>
      </c>
      <c r="C173" s="41">
        <v>669</v>
      </c>
      <c r="D173" s="41">
        <v>478</v>
      </c>
      <c r="E173" s="41">
        <v>414</v>
      </c>
      <c r="F173" s="41">
        <v>676</v>
      </c>
      <c r="G173" s="41">
        <v>792</v>
      </c>
      <c r="H173" s="41">
        <v>567</v>
      </c>
      <c r="I173" s="41">
        <v>1795</v>
      </c>
      <c r="J173" s="41">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row>
    <row r="174" spans="1:27" hidden="1">
      <c r="A174" s="41" t="s">
        <v>762</v>
      </c>
      <c r="B174" s="41">
        <v>420</v>
      </c>
      <c r="C174" s="41">
        <v>905</v>
      </c>
      <c r="D174" s="41">
        <v>0</v>
      </c>
      <c r="E174" s="41">
        <v>0</v>
      </c>
      <c r="F174" s="41">
        <v>243</v>
      </c>
      <c r="G174" s="41">
        <v>230</v>
      </c>
      <c r="H174" s="41">
        <v>245</v>
      </c>
      <c r="I174" s="41">
        <v>313</v>
      </c>
      <c r="J174" s="41">
        <v>176</v>
      </c>
      <c r="K174">
        <v>217</v>
      </c>
      <c r="L174">
        <v>419</v>
      </c>
      <c r="M174">
        <v>313</v>
      </c>
      <c r="N174">
        <v>293</v>
      </c>
      <c r="O174">
        <v>82</v>
      </c>
      <c r="P174">
        <v>168</v>
      </c>
      <c r="Q174">
        <v>3</v>
      </c>
      <c r="R174">
        <v>6</v>
      </c>
      <c r="S174">
        <v>73</v>
      </c>
      <c r="T174">
        <v>50</v>
      </c>
      <c r="U174">
        <v>78</v>
      </c>
      <c r="V174">
        <v>72</v>
      </c>
      <c r="W174">
        <v>51</v>
      </c>
      <c r="X174">
        <v>60</v>
      </c>
      <c r="Y174">
        <v>102</v>
      </c>
      <c r="Z174">
        <v>70</v>
      </c>
      <c r="AA174">
        <v>80</v>
      </c>
    </row>
    <row r="175" spans="1:27" hidden="1">
      <c r="A175" s="41" t="s">
        <v>147</v>
      </c>
      <c r="B175" s="41">
        <v>1339</v>
      </c>
      <c r="C175" s="41">
        <v>1142</v>
      </c>
      <c r="D175" s="41">
        <v>1084</v>
      </c>
      <c r="E175" s="41">
        <v>933</v>
      </c>
      <c r="F175" s="41">
        <v>792</v>
      </c>
      <c r="G175" s="41">
        <v>1046</v>
      </c>
      <c r="H175" s="41">
        <v>1128</v>
      </c>
      <c r="I175" s="41">
        <v>1509</v>
      </c>
      <c r="J175" s="41">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row>
    <row r="176" spans="1:27" hidden="1">
      <c r="A176" s="41" t="s">
        <v>748</v>
      </c>
      <c r="B176" s="41">
        <v>265</v>
      </c>
      <c r="C176" s="41">
        <v>246</v>
      </c>
      <c r="D176" s="41">
        <v>232</v>
      </c>
      <c r="E176" s="41">
        <v>236</v>
      </c>
      <c r="F176" s="41">
        <v>206</v>
      </c>
      <c r="G176" s="41">
        <v>182</v>
      </c>
      <c r="H176" s="41">
        <v>226</v>
      </c>
      <c r="I176" s="41">
        <v>213</v>
      </c>
      <c r="J176" s="41">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row>
    <row r="177" spans="1:27" hidden="1">
      <c r="A177" s="41" t="s">
        <v>264</v>
      </c>
      <c r="B177" s="41">
        <v>2923</v>
      </c>
      <c r="C177" s="41">
        <v>1362</v>
      </c>
      <c r="D177" s="41">
        <v>2460</v>
      </c>
      <c r="E177" s="41">
        <v>3056</v>
      </c>
      <c r="F177" s="41">
        <v>2721</v>
      </c>
      <c r="G177" s="41">
        <v>1512</v>
      </c>
      <c r="H177" s="41">
        <v>1170</v>
      </c>
      <c r="I177" s="41">
        <v>1378</v>
      </c>
      <c r="J177" s="41">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row>
    <row r="178" spans="1:27" hidden="1">
      <c r="A178" s="41" t="s">
        <v>38</v>
      </c>
      <c r="B178" s="41">
        <v>6001</v>
      </c>
      <c r="C178" s="41">
        <v>12082</v>
      </c>
      <c r="D178" s="41">
        <v>8755</v>
      </c>
      <c r="E178" s="41">
        <v>13184</v>
      </c>
      <c r="F178" s="41">
        <v>12988</v>
      </c>
      <c r="G178" s="41">
        <v>6562</v>
      </c>
      <c r="H178" s="41">
        <v>7094</v>
      </c>
      <c r="I178" s="41">
        <v>7373</v>
      </c>
      <c r="J178" s="41">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row>
    <row r="179" spans="1:27" hidden="1">
      <c r="A179" s="41" t="s">
        <v>51</v>
      </c>
      <c r="B179" s="41">
        <v>4791</v>
      </c>
      <c r="C179" s="41">
        <v>7626</v>
      </c>
      <c r="D179" s="41">
        <v>2539</v>
      </c>
      <c r="E179" s="41">
        <v>3770</v>
      </c>
      <c r="F179" s="41">
        <v>2839</v>
      </c>
      <c r="G179" s="41">
        <v>2086</v>
      </c>
      <c r="H179" s="41">
        <v>1005</v>
      </c>
      <c r="I179" s="41">
        <v>1990</v>
      </c>
      <c r="J179" s="41">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row>
    <row r="180" spans="1:27" hidden="1">
      <c r="A180" s="41" t="s">
        <v>778</v>
      </c>
      <c r="B180" s="41">
        <v>0</v>
      </c>
      <c r="C180" s="41">
        <v>0</v>
      </c>
      <c r="D180" s="41">
        <v>0</v>
      </c>
      <c r="E180" s="41">
        <v>0</v>
      </c>
      <c r="F180" s="41">
        <v>0</v>
      </c>
      <c r="G180" s="41">
        <v>15</v>
      </c>
      <c r="H180" s="41">
        <v>156</v>
      </c>
      <c r="I180" s="41">
        <v>386</v>
      </c>
      <c r="J180" s="41">
        <v>397</v>
      </c>
      <c r="K180">
        <v>168</v>
      </c>
      <c r="L180">
        <v>292</v>
      </c>
      <c r="M180">
        <v>335</v>
      </c>
      <c r="N180">
        <v>522</v>
      </c>
      <c r="O180">
        <v>0</v>
      </c>
      <c r="P180">
        <v>0</v>
      </c>
      <c r="Q180">
        <v>0</v>
      </c>
      <c r="R180">
        <v>0</v>
      </c>
      <c r="S180">
        <v>0</v>
      </c>
      <c r="T180">
        <v>0</v>
      </c>
      <c r="U180">
        <v>14</v>
      </c>
      <c r="V180">
        <v>3</v>
      </c>
      <c r="W180">
        <v>44</v>
      </c>
      <c r="X180">
        <v>18</v>
      </c>
      <c r="Y180">
        <v>37</v>
      </c>
      <c r="Z180">
        <v>29</v>
      </c>
      <c r="AA180">
        <v>77</v>
      </c>
    </row>
    <row r="181" spans="1:27" hidden="1">
      <c r="A181" s="41" t="s">
        <v>461</v>
      </c>
      <c r="B181" s="41">
        <v>2331</v>
      </c>
      <c r="C181" s="41">
        <v>2258</v>
      </c>
      <c r="D181" s="41">
        <v>2009</v>
      </c>
      <c r="E181" s="41">
        <v>1233</v>
      </c>
      <c r="F181" s="41">
        <v>987</v>
      </c>
      <c r="G181" s="41">
        <v>1447</v>
      </c>
      <c r="H181" s="41">
        <v>3227</v>
      </c>
      <c r="I181" s="41">
        <v>1849</v>
      </c>
      <c r="J181" s="41">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row>
    <row r="182" spans="1:27" hidden="1">
      <c r="A182" s="41" t="s">
        <v>25</v>
      </c>
      <c r="B182" s="41">
        <v>6166</v>
      </c>
      <c r="C182" s="41">
        <v>18443</v>
      </c>
      <c r="D182" s="41">
        <v>18111</v>
      </c>
      <c r="E182" s="41">
        <v>43927</v>
      </c>
      <c r="F182" s="41">
        <v>45214</v>
      </c>
      <c r="G182" s="41">
        <v>42221</v>
      </c>
      <c r="H182" s="41">
        <v>32418</v>
      </c>
      <c r="I182" s="41">
        <v>43067</v>
      </c>
      <c r="J182" s="41">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row>
    <row r="183" spans="1:27" hidden="1">
      <c r="A183" s="41" t="s">
        <v>319</v>
      </c>
      <c r="B183" s="41">
        <v>2775</v>
      </c>
      <c r="C183" s="41">
        <v>5453</v>
      </c>
      <c r="D183" s="41">
        <v>3575</v>
      </c>
      <c r="E183" s="41">
        <v>939</v>
      </c>
      <c r="F183" s="41">
        <v>1665</v>
      </c>
      <c r="G183" s="41">
        <v>1015</v>
      </c>
      <c r="H183" s="41">
        <v>1447</v>
      </c>
      <c r="I183" s="41">
        <v>1250</v>
      </c>
      <c r="J183" s="41">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row>
    <row r="184" spans="1:27" hidden="1">
      <c r="A184" s="41" t="s">
        <v>722</v>
      </c>
      <c r="B184" s="41">
        <v>772</v>
      </c>
      <c r="C184" s="41">
        <v>752</v>
      </c>
      <c r="D184" s="41">
        <v>882</v>
      </c>
      <c r="E184" s="41">
        <v>751</v>
      </c>
      <c r="F184" s="41">
        <v>516</v>
      </c>
      <c r="G184" s="41">
        <v>729</v>
      </c>
      <c r="H184" s="41">
        <v>560</v>
      </c>
      <c r="I184" s="41">
        <v>630</v>
      </c>
      <c r="J184" s="41">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row>
    <row r="185" spans="1:27" hidden="1">
      <c r="A185" s="41" t="s">
        <v>458</v>
      </c>
      <c r="B185" s="41">
        <v>3362</v>
      </c>
      <c r="C185" s="41">
        <v>5362</v>
      </c>
      <c r="D185" s="41">
        <v>4587</v>
      </c>
      <c r="E185" s="41">
        <v>3398</v>
      </c>
      <c r="F185" s="41">
        <v>2881</v>
      </c>
      <c r="G185" s="41">
        <v>3856</v>
      </c>
      <c r="H185" s="41">
        <v>4317</v>
      </c>
      <c r="I185" s="41">
        <v>3115</v>
      </c>
      <c r="J185" s="41">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row>
    <row r="186" spans="1:27" hidden="1">
      <c r="A186" s="41" t="s">
        <v>587</v>
      </c>
      <c r="B186" s="41">
        <v>490</v>
      </c>
      <c r="C186" s="41">
        <v>818</v>
      </c>
      <c r="D186" s="41">
        <v>604</v>
      </c>
      <c r="E186" s="41">
        <v>782</v>
      </c>
      <c r="F186" s="41">
        <v>746</v>
      </c>
      <c r="G186" s="41">
        <v>684</v>
      </c>
      <c r="H186" s="41">
        <v>1002</v>
      </c>
      <c r="I186" s="41">
        <v>1213</v>
      </c>
      <c r="J186" s="41">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row>
    <row r="187" spans="1:27" hidden="1">
      <c r="A187" s="41" t="s">
        <v>393</v>
      </c>
      <c r="B187" s="41">
        <v>0</v>
      </c>
      <c r="C187" s="41">
        <v>0</v>
      </c>
      <c r="D187" s="41">
        <v>0</v>
      </c>
      <c r="E187" s="41">
        <v>0</v>
      </c>
      <c r="F187" s="41">
        <v>0</v>
      </c>
      <c r="G187" s="41">
        <v>0</v>
      </c>
      <c r="H187" s="41">
        <v>0</v>
      </c>
      <c r="I187" s="41">
        <v>1279</v>
      </c>
      <c r="J187" s="41">
        <v>1150</v>
      </c>
      <c r="K187">
        <v>1046</v>
      </c>
      <c r="L187">
        <v>790</v>
      </c>
      <c r="M187">
        <v>838</v>
      </c>
      <c r="N187">
        <v>1196</v>
      </c>
      <c r="O187">
        <v>0</v>
      </c>
      <c r="P187">
        <v>0</v>
      </c>
      <c r="Q187">
        <v>0</v>
      </c>
      <c r="R187">
        <v>0</v>
      </c>
      <c r="S187">
        <v>0</v>
      </c>
      <c r="T187">
        <v>0</v>
      </c>
      <c r="U187">
        <v>0</v>
      </c>
      <c r="V187">
        <v>448</v>
      </c>
      <c r="W187">
        <v>368</v>
      </c>
      <c r="X187">
        <v>341</v>
      </c>
      <c r="Y187">
        <v>308</v>
      </c>
      <c r="Z187">
        <v>334</v>
      </c>
      <c r="AA187">
        <v>434</v>
      </c>
    </row>
    <row r="188" spans="1:27" hidden="1">
      <c r="A188" s="41" t="s">
        <v>338</v>
      </c>
      <c r="B188" s="41">
        <v>803</v>
      </c>
      <c r="C188" s="41">
        <v>744</v>
      </c>
      <c r="D188" s="41">
        <v>538</v>
      </c>
      <c r="E188" s="41">
        <v>968</v>
      </c>
      <c r="F188" s="41">
        <v>1086</v>
      </c>
      <c r="G188" s="41">
        <v>1251</v>
      </c>
      <c r="H188" s="41">
        <v>1003</v>
      </c>
      <c r="I188" s="41">
        <v>1410</v>
      </c>
      <c r="J188" s="41">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row>
    <row r="189" spans="1:27" hidden="1">
      <c r="A189" s="41" t="s">
        <v>67</v>
      </c>
      <c r="B189" s="41">
        <v>8044</v>
      </c>
      <c r="C189" s="41">
        <v>7125</v>
      </c>
      <c r="D189" s="41">
        <v>5755</v>
      </c>
      <c r="E189" s="41">
        <v>6160</v>
      </c>
      <c r="F189" s="41">
        <v>5552</v>
      </c>
      <c r="G189" s="41">
        <v>5251</v>
      </c>
      <c r="H189" s="41">
        <v>4817</v>
      </c>
      <c r="I189" s="41">
        <v>5169</v>
      </c>
      <c r="J189" s="41">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row>
    <row r="190" spans="1:27" hidden="1">
      <c r="A190" s="41" t="s">
        <v>245</v>
      </c>
      <c r="B190" s="41">
        <v>1959</v>
      </c>
      <c r="C190" s="41">
        <v>1940</v>
      </c>
      <c r="D190" s="41">
        <v>1506</v>
      </c>
      <c r="E190" s="41">
        <v>1606</v>
      </c>
      <c r="F190" s="41">
        <v>1689</v>
      </c>
      <c r="G190" s="41">
        <v>1668</v>
      </c>
      <c r="H190" s="41">
        <v>1723</v>
      </c>
      <c r="I190" s="41">
        <v>3158</v>
      </c>
      <c r="J190" s="41">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row>
    <row r="191" spans="1:27" hidden="1">
      <c r="A191" s="41" t="s">
        <v>175</v>
      </c>
      <c r="B191" s="41">
        <v>0</v>
      </c>
      <c r="C191" s="41">
        <v>0</v>
      </c>
      <c r="D191" s="41">
        <v>0</v>
      </c>
      <c r="E191" s="41">
        <v>0</v>
      </c>
      <c r="F191" s="41">
        <v>0</v>
      </c>
      <c r="G191" s="41">
        <v>0</v>
      </c>
      <c r="H191" s="41">
        <v>0</v>
      </c>
      <c r="I191" s="41">
        <v>0</v>
      </c>
      <c r="J191" s="41">
        <v>638</v>
      </c>
      <c r="K191">
        <v>1403</v>
      </c>
      <c r="L191">
        <v>422</v>
      </c>
      <c r="M191">
        <v>727</v>
      </c>
      <c r="N191">
        <v>698</v>
      </c>
      <c r="O191">
        <v>0</v>
      </c>
      <c r="P191">
        <v>0</v>
      </c>
      <c r="Q191">
        <v>0</v>
      </c>
      <c r="R191">
        <v>0</v>
      </c>
      <c r="S191">
        <v>0</v>
      </c>
      <c r="T191">
        <v>0</v>
      </c>
      <c r="U191">
        <v>0</v>
      </c>
      <c r="V191">
        <v>0</v>
      </c>
      <c r="W191">
        <v>237</v>
      </c>
      <c r="X191">
        <v>204</v>
      </c>
      <c r="Y191">
        <v>165</v>
      </c>
      <c r="Z191">
        <v>174</v>
      </c>
      <c r="AA191">
        <v>189</v>
      </c>
    </row>
    <row r="192" spans="1:27" hidden="1">
      <c r="A192" s="41" t="s">
        <v>789</v>
      </c>
      <c r="B192" s="41">
        <v>34</v>
      </c>
      <c r="C192" s="41">
        <v>25</v>
      </c>
      <c r="D192" s="41">
        <v>24</v>
      </c>
      <c r="E192" s="41">
        <v>24</v>
      </c>
      <c r="F192" s="41">
        <v>23</v>
      </c>
      <c r="G192" s="41">
        <v>17</v>
      </c>
      <c r="H192" s="41">
        <v>19</v>
      </c>
      <c r="I192" s="41">
        <v>20</v>
      </c>
      <c r="J192" s="41">
        <v>20</v>
      </c>
      <c r="K192">
        <v>22</v>
      </c>
      <c r="L192">
        <v>24</v>
      </c>
      <c r="M192">
        <v>19</v>
      </c>
      <c r="N192">
        <v>16</v>
      </c>
      <c r="O192">
        <v>2</v>
      </c>
      <c r="P192">
        <v>1</v>
      </c>
      <c r="Q192">
        <v>8</v>
      </c>
      <c r="R192">
        <v>4</v>
      </c>
      <c r="S192">
        <v>3</v>
      </c>
      <c r="T192">
        <v>4</v>
      </c>
      <c r="U192">
        <v>6</v>
      </c>
      <c r="V192">
        <v>9</v>
      </c>
      <c r="W192">
        <v>3</v>
      </c>
      <c r="X192">
        <v>4</v>
      </c>
      <c r="Y192">
        <v>8</v>
      </c>
      <c r="Z192">
        <v>8</v>
      </c>
      <c r="AA192">
        <v>4</v>
      </c>
    </row>
    <row r="193" spans="1:27" hidden="1">
      <c r="A193" s="41" t="s">
        <v>768</v>
      </c>
      <c r="B193" s="41">
        <v>243</v>
      </c>
      <c r="C193" s="41">
        <v>0</v>
      </c>
      <c r="D193" s="41">
        <v>379</v>
      </c>
      <c r="E193" s="41">
        <v>196</v>
      </c>
      <c r="F193" s="41">
        <v>201</v>
      </c>
      <c r="G193" s="41">
        <v>212</v>
      </c>
      <c r="H193" s="41">
        <v>110</v>
      </c>
      <c r="I193" s="41">
        <v>239</v>
      </c>
      <c r="J193" s="41">
        <v>216</v>
      </c>
      <c r="K193">
        <v>193</v>
      </c>
      <c r="L193">
        <v>232</v>
      </c>
      <c r="M193">
        <v>204</v>
      </c>
      <c r="N193">
        <v>211</v>
      </c>
      <c r="O193">
        <v>78</v>
      </c>
      <c r="P193">
        <v>0</v>
      </c>
      <c r="Q193">
        <v>88</v>
      </c>
      <c r="R193">
        <v>81</v>
      </c>
      <c r="S193">
        <v>54</v>
      </c>
      <c r="T193">
        <v>56</v>
      </c>
      <c r="U193">
        <v>26</v>
      </c>
      <c r="V193">
        <v>60</v>
      </c>
      <c r="W193">
        <v>55</v>
      </c>
      <c r="X193">
        <v>65</v>
      </c>
      <c r="Y193">
        <v>86</v>
      </c>
      <c r="Z193">
        <v>50</v>
      </c>
      <c r="AA193">
        <v>64</v>
      </c>
    </row>
    <row r="194" spans="1:27" hidden="1">
      <c r="A194" s="41" t="s">
        <v>200</v>
      </c>
      <c r="B194" s="41">
        <v>2807</v>
      </c>
      <c r="C194" s="41">
        <v>3308</v>
      </c>
      <c r="D194" s="41">
        <v>2318</v>
      </c>
      <c r="E194" s="41">
        <v>1462</v>
      </c>
      <c r="F194" s="41">
        <v>1432</v>
      </c>
      <c r="G194" s="41">
        <v>1427</v>
      </c>
      <c r="H194" s="41">
        <v>1178</v>
      </c>
      <c r="I194" s="41">
        <v>1374</v>
      </c>
      <c r="J194" s="41">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row>
    <row r="195" spans="1:27" hidden="1">
      <c r="A195" s="41" t="s">
        <v>495</v>
      </c>
      <c r="B195" s="41">
        <v>1489</v>
      </c>
      <c r="C195" s="41">
        <v>1414</v>
      </c>
      <c r="D195" s="41">
        <v>1815</v>
      </c>
      <c r="E195" s="41">
        <v>1285</v>
      </c>
      <c r="F195" s="41">
        <v>1025</v>
      </c>
      <c r="G195" s="41">
        <v>1202</v>
      </c>
      <c r="H195" s="41">
        <v>1602</v>
      </c>
      <c r="I195" s="41">
        <v>1525</v>
      </c>
      <c r="J195" s="41">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row>
    <row r="196" spans="1:27" hidden="1">
      <c r="A196" s="41" t="s">
        <v>199</v>
      </c>
      <c r="B196" s="41">
        <v>944</v>
      </c>
      <c r="C196" s="41">
        <v>1028</v>
      </c>
      <c r="D196" s="41">
        <v>907</v>
      </c>
      <c r="E196" s="41">
        <v>912</v>
      </c>
      <c r="F196" s="41">
        <v>577</v>
      </c>
      <c r="G196" s="41">
        <v>850</v>
      </c>
      <c r="H196" s="41">
        <v>494</v>
      </c>
      <c r="I196" s="41">
        <v>552</v>
      </c>
      <c r="J196" s="41">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row>
    <row r="197" spans="1:27" hidden="1">
      <c r="A197" s="41" t="s">
        <v>532</v>
      </c>
      <c r="B197" s="41">
        <v>1615</v>
      </c>
      <c r="C197" s="41">
        <v>1381</v>
      </c>
      <c r="D197" s="41">
        <v>982</v>
      </c>
      <c r="E197" s="41">
        <v>920</v>
      </c>
      <c r="F197" s="41">
        <v>824</v>
      </c>
      <c r="G197" s="41">
        <v>771</v>
      </c>
      <c r="H197" s="41">
        <v>667</v>
      </c>
      <c r="I197" s="41">
        <v>757</v>
      </c>
      <c r="J197" s="41">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row>
    <row r="198" spans="1:27" hidden="1">
      <c r="A198" s="41" t="s">
        <v>166</v>
      </c>
      <c r="B198" s="41">
        <v>2755</v>
      </c>
      <c r="C198" s="41">
        <v>2732</v>
      </c>
      <c r="D198" s="41">
        <v>3730</v>
      </c>
      <c r="E198" s="41">
        <v>2782</v>
      </c>
      <c r="F198" s="41">
        <v>2268</v>
      </c>
      <c r="G198" s="41">
        <v>2521</v>
      </c>
      <c r="H198" s="41">
        <v>2102</v>
      </c>
      <c r="I198" s="41">
        <v>2669</v>
      </c>
      <c r="J198" s="41">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row>
    <row r="199" spans="1:27" hidden="1">
      <c r="A199" s="41" t="s">
        <v>446</v>
      </c>
      <c r="B199" s="41">
        <v>1109</v>
      </c>
      <c r="C199" s="41">
        <v>944</v>
      </c>
      <c r="D199" s="41">
        <v>927</v>
      </c>
      <c r="E199" s="41">
        <v>989</v>
      </c>
      <c r="F199" s="41">
        <v>1019</v>
      </c>
      <c r="G199" s="41">
        <v>945</v>
      </c>
      <c r="H199" s="41">
        <v>963</v>
      </c>
      <c r="I199" s="41">
        <v>934</v>
      </c>
      <c r="J199" s="41">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row>
    <row r="200" spans="1:27" hidden="1">
      <c r="A200" s="41" t="s">
        <v>288</v>
      </c>
      <c r="B200" s="41">
        <v>788</v>
      </c>
      <c r="C200" s="41">
        <v>1486</v>
      </c>
      <c r="D200" s="41">
        <v>760</v>
      </c>
      <c r="E200" s="41">
        <v>625</v>
      </c>
      <c r="F200" s="41">
        <v>615</v>
      </c>
      <c r="G200" s="41">
        <v>631</v>
      </c>
      <c r="H200" s="41">
        <v>485</v>
      </c>
      <c r="I200" s="41">
        <v>978</v>
      </c>
      <c r="J200" s="41">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row>
    <row r="201" spans="1:27" hidden="1">
      <c r="A201" s="41" t="s">
        <v>176</v>
      </c>
      <c r="B201" s="41">
        <v>1756</v>
      </c>
      <c r="C201" s="41">
        <v>2130</v>
      </c>
      <c r="D201" s="41">
        <v>4704</v>
      </c>
      <c r="E201" s="41">
        <v>2398</v>
      </c>
      <c r="F201" s="41">
        <v>2991</v>
      </c>
      <c r="G201" s="41">
        <v>1792</v>
      </c>
      <c r="H201" s="41">
        <v>1099</v>
      </c>
      <c r="I201" s="41">
        <v>4398</v>
      </c>
      <c r="J201" s="41">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row>
    <row r="202" spans="1:27" hidden="1">
      <c r="A202" s="41" t="s">
        <v>389</v>
      </c>
      <c r="B202" s="41">
        <v>1769</v>
      </c>
      <c r="C202" s="41">
        <v>891</v>
      </c>
      <c r="D202" s="41">
        <v>46</v>
      </c>
      <c r="E202" s="41">
        <v>1060</v>
      </c>
      <c r="F202" s="41">
        <v>1496</v>
      </c>
      <c r="G202" s="41">
        <v>1484</v>
      </c>
      <c r="H202" s="41">
        <v>1170</v>
      </c>
      <c r="I202" s="41">
        <v>1548</v>
      </c>
      <c r="J202" s="41">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row>
    <row r="203" spans="1:27" hidden="1">
      <c r="A203" s="41" t="s">
        <v>674</v>
      </c>
      <c r="B203" s="41">
        <v>1169</v>
      </c>
      <c r="C203" s="41">
        <v>1287</v>
      </c>
      <c r="D203" s="41">
        <v>1659</v>
      </c>
      <c r="E203" s="41">
        <v>1409</v>
      </c>
      <c r="F203" s="41">
        <v>1673</v>
      </c>
      <c r="G203" s="41">
        <v>1641</v>
      </c>
      <c r="H203" s="41">
        <v>1234</v>
      </c>
      <c r="I203" s="41">
        <v>1346</v>
      </c>
      <c r="J203" s="41">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row>
    <row r="204" spans="1:27" hidden="1">
      <c r="A204" s="41" t="s">
        <v>692</v>
      </c>
      <c r="B204" s="41">
        <v>2223</v>
      </c>
      <c r="C204" s="41">
        <v>2498</v>
      </c>
      <c r="D204" s="41">
        <v>2104</v>
      </c>
      <c r="E204" s="41">
        <v>2020</v>
      </c>
      <c r="F204" s="41">
        <v>1803</v>
      </c>
      <c r="G204" s="41">
        <v>1278</v>
      </c>
      <c r="H204" s="41">
        <v>1057</v>
      </c>
      <c r="I204" s="41">
        <v>1016</v>
      </c>
      <c r="J204" s="41">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row>
    <row r="205" spans="1:27" hidden="1">
      <c r="A205" s="41" t="s">
        <v>229</v>
      </c>
      <c r="B205" s="41">
        <v>1237</v>
      </c>
      <c r="C205" s="41">
        <v>833</v>
      </c>
      <c r="D205" s="41">
        <v>804</v>
      </c>
      <c r="E205" s="41">
        <v>2592</v>
      </c>
      <c r="F205" s="41">
        <v>984</v>
      </c>
      <c r="G205" s="41">
        <v>1591</v>
      </c>
      <c r="H205" s="41">
        <v>966</v>
      </c>
      <c r="I205" s="41">
        <v>1220</v>
      </c>
      <c r="J205" s="41">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row>
    <row r="206" spans="1:27" hidden="1">
      <c r="A206" s="41" t="s">
        <v>622</v>
      </c>
      <c r="B206" s="41">
        <v>1768</v>
      </c>
      <c r="C206" s="41">
        <v>1586</v>
      </c>
      <c r="D206" s="41">
        <v>1711</v>
      </c>
      <c r="E206" s="41">
        <v>2105</v>
      </c>
      <c r="F206" s="41">
        <v>1778</v>
      </c>
      <c r="G206" s="41">
        <v>3232</v>
      </c>
      <c r="H206" s="41">
        <v>1148</v>
      </c>
      <c r="I206" s="41">
        <v>1287</v>
      </c>
      <c r="J206" s="41">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row>
    <row r="207" spans="1:27" hidden="1">
      <c r="A207" s="41" t="s">
        <v>324</v>
      </c>
      <c r="B207" s="41">
        <v>1118</v>
      </c>
      <c r="C207" s="41">
        <v>1244</v>
      </c>
      <c r="D207" s="41">
        <v>1200</v>
      </c>
      <c r="E207" s="41">
        <v>1279</v>
      </c>
      <c r="F207" s="41">
        <v>1042</v>
      </c>
      <c r="G207" s="41">
        <v>1108</v>
      </c>
      <c r="H207" s="41">
        <v>981</v>
      </c>
      <c r="I207" s="41">
        <v>1299</v>
      </c>
      <c r="J207" s="41">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row>
    <row r="208" spans="1:27" hidden="1">
      <c r="A208" s="41" t="s">
        <v>372</v>
      </c>
      <c r="B208" s="41">
        <v>1120</v>
      </c>
      <c r="C208" s="41">
        <v>1188</v>
      </c>
      <c r="D208" s="41">
        <v>573</v>
      </c>
      <c r="E208" s="41">
        <v>556</v>
      </c>
      <c r="F208" s="41">
        <v>816</v>
      </c>
      <c r="G208" s="41">
        <v>832</v>
      </c>
      <c r="H208" s="41">
        <v>1186</v>
      </c>
      <c r="I208" s="41">
        <v>1343</v>
      </c>
      <c r="J208" s="41">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row>
    <row r="209" spans="1:27" hidden="1">
      <c r="A209" s="41" t="s">
        <v>373</v>
      </c>
      <c r="B209" s="41">
        <v>0</v>
      </c>
      <c r="C209" s="41">
        <v>0</v>
      </c>
      <c r="D209" s="41">
        <v>0</v>
      </c>
      <c r="E209" s="41">
        <v>1898</v>
      </c>
      <c r="F209" s="41">
        <v>1728</v>
      </c>
      <c r="G209" s="41">
        <v>1394</v>
      </c>
      <c r="H209" s="41">
        <v>1405</v>
      </c>
      <c r="I209" s="41">
        <v>934</v>
      </c>
      <c r="J209" s="41">
        <v>1260</v>
      </c>
      <c r="K209">
        <v>1121</v>
      </c>
      <c r="L209">
        <v>866</v>
      </c>
      <c r="M209">
        <v>974</v>
      </c>
      <c r="N209">
        <v>1352</v>
      </c>
      <c r="O209">
        <v>0</v>
      </c>
      <c r="P209">
        <v>0</v>
      </c>
      <c r="Q209">
        <v>0</v>
      </c>
      <c r="R209">
        <v>521</v>
      </c>
      <c r="S209">
        <v>453</v>
      </c>
      <c r="T209">
        <v>319</v>
      </c>
      <c r="U209">
        <v>288</v>
      </c>
      <c r="V209">
        <v>232</v>
      </c>
      <c r="W209">
        <v>305</v>
      </c>
      <c r="X209">
        <v>325</v>
      </c>
      <c r="Y209">
        <v>270</v>
      </c>
      <c r="Z209">
        <v>261</v>
      </c>
      <c r="AA209">
        <v>385</v>
      </c>
    </row>
    <row r="210" spans="1:27" hidden="1">
      <c r="A210" s="41" t="s">
        <v>1251</v>
      </c>
      <c r="B210" s="41">
        <v>0</v>
      </c>
      <c r="C210" s="41">
        <v>5</v>
      </c>
      <c r="D210" s="41">
        <v>0</v>
      </c>
      <c r="E210" s="41">
        <v>0</v>
      </c>
      <c r="F210" s="41">
        <v>0</v>
      </c>
      <c r="G210" s="41">
        <v>0</v>
      </c>
      <c r="H210" s="41">
        <v>0</v>
      </c>
      <c r="I210" s="41">
        <v>0</v>
      </c>
      <c r="J210" s="41">
        <v>0</v>
      </c>
      <c r="K210">
        <v>154</v>
      </c>
      <c r="L210">
        <v>0</v>
      </c>
      <c r="M210">
        <v>0</v>
      </c>
      <c r="N210">
        <v>0</v>
      </c>
      <c r="O210">
        <v>0</v>
      </c>
      <c r="P210">
        <v>2</v>
      </c>
      <c r="Q210">
        <v>0</v>
      </c>
      <c r="R210">
        <v>0</v>
      </c>
      <c r="S210">
        <v>0</v>
      </c>
      <c r="T210">
        <v>0</v>
      </c>
      <c r="U210">
        <v>0</v>
      </c>
      <c r="V210">
        <v>0</v>
      </c>
      <c r="W210">
        <v>0</v>
      </c>
      <c r="X210">
        <v>15</v>
      </c>
      <c r="Y210">
        <v>0</v>
      </c>
      <c r="Z210">
        <v>0</v>
      </c>
      <c r="AA210">
        <v>0</v>
      </c>
    </row>
    <row r="211" spans="1:27" hidden="1">
      <c r="A211" s="41" t="s">
        <v>494</v>
      </c>
      <c r="B211" s="41">
        <v>1237</v>
      </c>
      <c r="C211" s="41">
        <v>2363</v>
      </c>
      <c r="D211" s="41">
        <v>1303</v>
      </c>
      <c r="E211" s="41">
        <v>1272</v>
      </c>
      <c r="F211" s="41">
        <v>966</v>
      </c>
      <c r="G211" s="41">
        <v>979</v>
      </c>
      <c r="H211" s="41">
        <v>1008</v>
      </c>
      <c r="I211" s="41">
        <v>952</v>
      </c>
      <c r="J211" s="41">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row>
    <row r="212" spans="1:27" hidden="1">
      <c r="A212" s="41" t="s">
        <v>723</v>
      </c>
      <c r="B212" s="41">
        <v>635</v>
      </c>
      <c r="C212" s="41">
        <v>544</v>
      </c>
      <c r="D212" s="41">
        <v>394</v>
      </c>
      <c r="E212" s="41">
        <v>374</v>
      </c>
      <c r="F212" s="41">
        <v>247</v>
      </c>
      <c r="G212" s="41">
        <v>361</v>
      </c>
      <c r="H212" s="41">
        <v>1056</v>
      </c>
      <c r="I212" s="41">
        <v>749</v>
      </c>
      <c r="J212" s="41">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row>
    <row r="213" spans="1:27" hidden="1">
      <c r="A213" s="41" t="s">
        <v>181</v>
      </c>
      <c r="B213" s="41">
        <v>0</v>
      </c>
      <c r="C213" s="41">
        <v>639</v>
      </c>
      <c r="D213" s="41">
        <v>547</v>
      </c>
      <c r="E213" s="41">
        <v>724</v>
      </c>
      <c r="F213" s="41">
        <v>597</v>
      </c>
      <c r="G213" s="41">
        <v>623</v>
      </c>
      <c r="H213" s="41">
        <v>573</v>
      </c>
      <c r="I213" s="41">
        <v>591</v>
      </c>
      <c r="J213" s="41">
        <v>485</v>
      </c>
      <c r="K213">
        <v>599</v>
      </c>
      <c r="L213">
        <v>782</v>
      </c>
      <c r="M213">
        <v>699</v>
      </c>
      <c r="N213">
        <v>854</v>
      </c>
      <c r="O213">
        <v>0</v>
      </c>
      <c r="P213">
        <v>28</v>
      </c>
      <c r="Q213">
        <v>223</v>
      </c>
      <c r="R213">
        <v>365</v>
      </c>
      <c r="S213">
        <v>281</v>
      </c>
      <c r="T213">
        <v>269</v>
      </c>
      <c r="U213">
        <v>299</v>
      </c>
      <c r="V213">
        <v>233</v>
      </c>
      <c r="W213">
        <v>244</v>
      </c>
      <c r="X213">
        <v>250</v>
      </c>
      <c r="Y213">
        <v>273</v>
      </c>
      <c r="Z213">
        <v>273</v>
      </c>
      <c r="AA213">
        <v>405</v>
      </c>
    </row>
    <row r="214" spans="1:27" hidden="1">
      <c r="A214" s="41" t="s">
        <v>490</v>
      </c>
      <c r="B214" s="41">
        <v>597</v>
      </c>
      <c r="C214" s="41">
        <v>557</v>
      </c>
      <c r="D214" s="41">
        <v>571</v>
      </c>
      <c r="E214" s="41">
        <v>571</v>
      </c>
      <c r="F214" s="41">
        <v>514</v>
      </c>
      <c r="G214" s="41">
        <v>590</v>
      </c>
      <c r="H214" s="41">
        <v>601</v>
      </c>
      <c r="I214" s="41">
        <v>587</v>
      </c>
      <c r="J214" s="41">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row>
    <row r="215" spans="1:27" hidden="1">
      <c r="A215" s="41" t="s">
        <v>159</v>
      </c>
      <c r="B215" s="41">
        <v>1712</v>
      </c>
      <c r="C215" s="41">
        <v>1625</v>
      </c>
      <c r="D215" s="41">
        <v>1508</v>
      </c>
      <c r="E215" s="41">
        <v>2088</v>
      </c>
      <c r="F215" s="41">
        <v>2519</v>
      </c>
      <c r="G215" s="41">
        <v>1783</v>
      </c>
      <c r="H215" s="41">
        <v>1946</v>
      </c>
      <c r="I215" s="41">
        <v>1727</v>
      </c>
      <c r="J215" s="41">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row>
    <row r="216" spans="1:27" hidden="1">
      <c r="A216" s="41" t="s">
        <v>174</v>
      </c>
      <c r="B216" s="41">
        <v>779</v>
      </c>
      <c r="C216" s="41">
        <v>580</v>
      </c>
      <c r="D216" s="41">
        <v>444</v>
      </c>
      <c r="E216" s="41">
        <v>479</v>
      </c>
      <c r="F216" s="41">
        <v>360</v>
      </c>
      <c r="G216" s="41">
        <v>449</v>
      </c>
      <c r="H216" s="41">
        <v>378</v>
      </c>
      <c r="I216" s="41">
        <v>741</v>
      </c>
      <c r="J216" s="41">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row>
    <row r="217" spans="1:27" hidden="1">
      <c r="A217" s="41" t="s">
        <v>93</v>
      </c>
      <c r="B217" s="41">
        <v>2633</v>
      </c>
      <c r="C217" s="41">
        <v>3011</v>
      </c>
      <c r="D217" s="41">
        <v>2255</v>
      </c>
      <c r="E217" s="41">
        <v>2706</v>
      </c>
      <c r="F217" s="41">
        <v>2629</v>
      </c>
      <c r="G217" s="41">
        <v>2994</v>
      </c>
      <c r="H217" s="41">
        <v>2355</v>
      </c>
      <c r="I217" s="41">
        <v>2124</v>
      </c>
      <c r="J217" s="41">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row>
    <row r="218" spans="1:27" hidden="1">
      <c r="A218" s="41" t="s">
        <v>23</v>
      </c>
      <c r="B218" s="41">
        <v>4738</v>
      </c>
      <c r="C218" s="41">
        <v>4476</v>
      </c>
      <c r="D218" s="41">
        <v>4408</v>
      </c>
      <c r="E218" s="41">
        <v>4991</v>
      </c>
      <c r="F218" s="41">
        <v>0</v>
      </c>
      <c r="G218" s="41">
        <v>18476</v>
      </c>
      <c r="H218" s="41">
        <v>4034</v>
      </c>
      <c r="I218" s="41">
        <v>12946</v>
      </c>
      <c r="J218" s="41">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row>
    <row r="219" spans="1:27" hidden="1">
      <c r="A219" s="41" t="s">
        <v>351</v>
      </c>
      <c r="B219" s="41">
        <v>1830</v>
      </c>
      <c r="C219" s="41">
        <v>2841</v>
      </c>
      <c r="D219" s="41">
        <v>3914</v>
      </c>
      <c r="E219" s="41">
        <v>5183</v>
      </c>
      <c r="F219" s="41">
        <v>1988</v>
      </c>
      <c r="G219" s="41">
        <v>1740</v>
      </c>
      <c r="H219" s="41">
        <v>1307</v>
      </c>
      <c r="I219" s="41">
        <v>1032</v>
      </c>
      <c r="J219" s="41">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row>
    <row r="220" spans="1:27" hidden="1">
      <c r="A220" s="41" t="s">
        <v>62</v>
      </c>
      <c r="B220" s="41">
        <v>859</v>
      </c>
      <c r="C220" s="41">
        <v>993</v>
      </c>
      <c r="D220" s="41">
        <v>921</v>
      </c>
      <c r="E220" s="41">
        <v>1014</v>
      </c>
      <c r="F220" s="41">
        <v>985</v>
      </c>
      <c r="G220" s="41">
        <v>907</v>
      </c>
      <c r="H220" s="41">
        <v>1104</v>
      </c>
      <c r="I220" s="41">
        <v>1503</v>
      </c>
      <c r="J220" s="41">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row>
    <row r="221" spans="1:27" hidden="1">
      <c r="A221" s="41" t="s">
        <v>470</v>
      </c>
      <c r="B221" s="41">
        <v>0</v>
      </c>
      <c r="C221" s="41">
        <v>262</v>
      </c>
      <c r="D221" s="41">
        <v>1302</v>
      </c>
      <c r="E221" s="41">
        <v>1630</v>
      </c>
      <c r="F221" s="41">
        <v>1087</v>
      </c>
      <c r="G221" s="41">
        <v>967</v>
      </c>
      <c r="H221" s="41">
        <v>1199</v>
      </c>
      <c r="I221" s="41">
        <v>1971</v>
      </c>
      <c r="J221" s="41">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row>
    <row r="222" spans="1:27" hidden="1">
      <c r="A222" s="41" t="s">
        <v>99</v>
      </c>
      <c r="B222" s="41">
        <v>2136</v>
      </c>
      <c r="C222" s="41">
        <v>2353</v>
      </c>
      <c r="D222" s="41">
        <v>1497</v>
      </c>
      <c r="E222" s="41">
        <v>1319</v>
      </c>
      <c r="F222" s="41">
        <v>1243</v>
      </c>
      <c r="G222" s="41">
        <v>1281</v>
      </c>
      <c r="H222" s="41">
        <v>1054</v>
      </c>
      <c r="I222" s="41">
        <v>1336</v>
      </c>
      <c r="J222" s="41">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row>
    <row r="223" spans="1:27" hidden="1">
      <c r="A223" s="41" t="s">
        <v>741</v>
      </c>
      <c r="B223" s="41">
        <v>1728</v>
      </c>
      <c r="C223" s="41">
        <v>813</v>
      </c>
      <c r="D223" s="41">
        <v>816</v>
      </c>
      <c r="E223" s="41">
        <v>1103</v>
      </c>
      <c r="F223" s="41">
        <v>891</v>
      </c>
      <c r="G223" s="41">
        <v>694</v>
      </c>
      <c r="H223" s="41">
        <v>648</v>
      </c>
      <c r="I223" s="41">
        <v>694</v>
      </c>
      <c r="J223" s="41">
        <v>582</v>
      </c>
      <c r="K223">
        <v>735</v>
      </c>
      <c r="L223">
        <v>953</v>
      </c>
      <c r="M223">
        <v>853</v>
      </c>
      <c r="N223">
        <v>974</v>
      </c>
      <c r="O223">
        <v>130</v>
      </c>
      <c r="P223">
        <v>92</v>
      </c>
      <c r="Q223">
        <v>174</v>
      </c>
      <c r="R223">
        <v>138</v>
      </c>
      <c r="S223">
        <v>242</v>
      </c>
      <c r="T223">
        <v>170</v>
      </c>
      <c r="U223">
        <v>89</v>
      </c>
      <c r="V223">
        <v>175</v>
      </c>
      <c r="W223">
        <v>83</v>
      </c>
      <c r="X223">
        <v>134</v>
      </c>
      <c r="Y223">
        <v>366</v>
      </c>
      <c r="Z223">
        <v>221</v>
      </c>
      <c r="AA223">
        <v>314</v>
      </c>
    </row>
    <row r="224" spans="1:27" hidden="1">
      <c r="A224" s="41" t="s">
        <v>745</v>
      </c>
      <c r="B224" s="41">
        <v>0</v>
      </c>
      <c r="C224" s="41">
        <v>0</v>
      </c>
      <c r="D224" s="41">
        <v>0</v>
      </c>
      <c r="E224" s="41">
        <v>0</v>
      </c>
      <c r="F224" s="41">
        <v>0</v>
      </c>
      <c r="G224" s="41">
        <v>0</v>
      </c>
      <c r="H224" s="41">
        <v>0</v>
      </c>
      <c r="I224" s="41">
        <v>0</v>
      </c>
      <c r="J224" s="41">
        <v>320</v>
      </c>
      <c r="K224">
        <v>1016</v>
      </c>
      <c r="L224">
        <v>435</v>
      </c>
      <c r="M224">
        <v>670</v>
      </c>
      <c r="N224">
        <v>683</v>
      </c>
      <c r="O224">
        <v>0</v>
      </c>
      <c r="P224">
        <v>0</v>
      </c>
      <c r="Q224">
        <v>0</v>
      </c>
      <c r="R224">
        <v>0</v>
      </c>
      <c r="S224">
        <v>0</v>
      </c>
      <c r="T224">
        <v>0</v>
      </c>
      <c r="U224">
        <v>0</v>
      </c>
      <c r="V224">
        <v>0</v>
      </c>
      <c r="W224">
        <v>91</v>
      </c>
      <c r="X224">
        <v>283</v>
      </c>
      <c r="Y224">
        <v>119</v>
      </c>
      <c r="Z224">
        <v>141</v>
      </c>
      <c r="AA224">
        <v>167</v>
      </c>
    </row>
    <row r="225" spans="1:27" hidden="1">
      <c r="A225" s="41" t="s">
        <v>250</v>
      </c>
      <c r="B225" s="41">
        <v>6790</v>
      </c>
      <c r="C225" s="41">
        <v>6625</v>
      </c>
      <c r="D225" s="41">
        <v>4246</v>
      </c>
      <c r="E225" s="41">
        <v>3787</v>
      </c>
      <c r="F225" s="41">
        <v>4239</v>
      </c>
      <c r="G225" s="41">
        <v>3515</v>
      </c>
      <c r="H225" s="41">
        <v>3929</v>
      </c>
      <c r="I225" s="41">
        <v>3313</v>
      </c>
      <c r="J225" s="41">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row>
    <row r="226" spans="1:27" hidden="1">
      <c r="A226" s="41" t="s">
        <v>403</v>
      </c>
      <c r="B226" s="41">
        <v>1353</v>
      </c>
      <c r="C226" s="41">
        <v>1212</v>
      </c>
      <c r="D226" s="41">
        <v>1254</v>
      </c>
      <c r="E226" s="41">
        <v>1058</v>
      </c>
      <c r="F226" s="41">
        <v>1069</v>
      </c>
      <c r="G226" s="41">
        <v>992</v>
      </c>
      <c r="H226" s="41">
        <v>1002</v>
      </c>
      <c r="I226" s="41">
        <v>1015</v>
      </c>
      <c r="J226" s="41">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row>
    <row r="227" spans="1:27" hidden="1">
      <c r="A227" s="41" t="s">
        <v>105</v>
      </c>
      <c r="B227" s="41">
        <v>2428</v>
      </c>
      <c r="C227" s="41">
        <v>2992</v>
      </c>
      <c r="D227" s="41">
        <v>3055</v>
      </c>
      <c r="E227" s="41">
        <v>2948</v>
      </c>
      <c r="F227" s="41">
        <v>2517</v>
      </c>
      <c r="G227" s="41">
        <v>2548</v>
      </c>
      <c r="H227" s="41">
        <v>2539</v>
      </c>
      <c r="I227" s="41">
        <v>2879</v>
      </c>
      <c r="J227" s="41">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row>
    <row r="228" spans="1:27" hidden="1">
      <c r="A228" s="41" t="s">
        <v>781</v>
      </c>
      <c r="B228" s="41">
        <v>2330</v>
      </c>
      <c r="C228" s="41">
        <v>1555</v>
      </c>
      <c r="D228" s="41">
        <v>2367</v>
      </c>
      <c r="E228" s="41">
        <v>1074</v>
      </c>
      <c r="F228" s="41">
        <v>585</v>
      </c>
      <c r="G228" s="41">
        <v>770</v>
      </c>
      <c r="H228" s="41">
        <v>721</v>
      </c>
      <c r="I228" s="41">
        <v>685</v>
      </c>
      <c r="J228" s="41">
        <v>716</v>
      </c>
      <c r="K228">
        <v>549</v>
      </c>
      <c r="L228">
        <v>490</v>
      </c>
      <c r="M228">
        <v>0</v>
      </c>
      <c r="N228">
        <v>0</v>
      </c>
      <c r="O228">
        <v>274</v>
      </c>
      <c r="P228">
        <v>201</v>
      </c>
      <c r="Q228">
        <v>283</v>
      </c>
      <c r="R228">
        <v>185</v>
      </c>
      <c r="S228">
        <v>111</v>
      </c>
      <c r="T228">
        <v>135</v>
      </c>
      <c r="U228">
        <v>156</v>
      </c>
      <c r="V228">
        <v>127</v>
      </c>
      <c r="W228">
        <v>144</v>
      </c>
      <c r="X228">
        <v>137</v>
      </c>
      <c r="Y228">
        <v>132</v>
      </c>
      <c r="Z228">
        <v>2</v>
      </c>
      <c r="AA228">
        <v>0</v>
      </c>
    </row>
    <row r="229" spans="1:27" hidden="1">
      <c r="A229" s="41" t="s">
        <v>770</v>
      </c>
      <c r="B229" s="41">
        <v>641</v>
      </c>
      <c r="C229" s="41">
        <v>615</v>
      </c>
      <c r="D229" s="41">
        <v>441</v>
      </c>
      <c r="E229" s="41">
        <v>252</v>
      </c>
      <c r="F229" s="41">
        <v>319</v>
      </c>
      <c r="G229" s="41">
        <v>283</v>
      </c>
      <c r="H229" s="41">
        <v>127</v>
      </c>
      <c r="I229" s="41">
        <v>344</v>
      </c>
      <c r="J229" s="41">
        <v>331</v>
      </c>
      <c r="K229">
        <v>328</v>
      </c>
      <c r="L229">
        <v>315</v>
      </c>
      <c r="M229">
        <v>274</v>
      </c>
      <c r="N229">
        <v>334</v>
      </c>
      <c r="O229">
        <v>119</v>
      </c>
      <c r="P229">
        <v>107</v>
      </c>
      <c r="Q229">
        <v>99</v>
      </c>
      <c r="R229">
        <v>42</v>
      </c>
      <c r="S229">
        <v>79</v>
      </c>
      <c r="T229">
        <v>67</v>
      </c>
      <c r="U229">
        <v>17</v>
      </c>
      <c r="V229">
        <v>74</v>
      </c>
      <c r="W229">
        <v>59</v>
      </c>
      <c r="X229">
        <v>96</v>
      </c>
      <c r="Y229">
        <v>61</v>
      </c>
      <c r="Z229">
        <v>60</v>
      </c>
      <c r="AA229">
        <v>83</v>
      </c>
    </row>
    <row r="230" spans="1:27" hidden="1">
      <c r="A230" s="41" t="s">
        <v>708</v>
      </c>
      <c r="B230" s="41">
        <v>1539</v>
      </c>
      <c r="C230" s="41">
        <v>925</v>
      </c>
      <c r="D230" s="41">
        <v>921</v>
      </c>
      <c r="E230" s="41">
        <v>740</v>
      </c>
      <c r="F230" s="41">
        <v>659</v>
      </c>
      <c r="G230" s="41">
        <v>582</v>
      </c>
      <c r="H230" s="41">
        <v>467</v>
      </c>
      <c r="I230" s="41">
        <v>616</v>
      </c>
      <c r="J230" s="41">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row>
    <row r="231" spans="1:27" hidden="1">
      <c r="A231" s="41" t="s">
        <v>345</v>
      </c>
      <c r="B231" s="41">
        <v>2507</v>
      </c>
      <c r="C231" s="41">
        <v>2195</v>
      </c>
      <c r="D231" s="41">
        <v>5543</v>
      </c>
      <c r="E231" s="41">
        <v>2949</v>
      </c>
      <c r="F231" s="41">
        <v>4757</v>
      </c>
      <c r="G231" s="41">
        <v>2710</v>
      </c>
      <c r="H231" s="41">
        <v>2773</v>
      </c>
      <c r="I231" s="41">
        <v>2627</v>
      </c>
      <c r="J231" s="41">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row>
    <row r="232" spans="1:27" hidden="1">
      <c r="A232" s="41" t="s">
        <v>453</v>
      </c>
      <c r="B232" s="41">
        <v>1053</v>
      </c>
      <c r="C232" s="41">
        <v>1148</v>
      </c>
      <c r="D232" s="41">
        <v>826</v>
      </c>
      <c r="E232" s="41">
        <v>993</v>
      </c>
      <c r="F232" s="41">
        <v>685</v>
      </c>
      <c r="G232" s="41">
        <v>806</v>
      </c>
      <c r="H232" s="41">
        <v>602</v>
      </c>
      <c r="I232" s="41">
        <v>1053</v>
      </c>
      <c r="J232" s="41">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row>
    <row r="233" spans="1:27" hidden="1">
      <c r="A233" s="41" t="s">
        <v>72</v>
      </c>
      <c r="B233" s="41">
        <v>5762</v>
      </c>
      <c r="C233" s="41">
        <v>4959</v>
      </c>
      <c r="D233" s="41">
        <v>5692</v>
      </c>
      <c r="E233" s="41">
        <v>5409</v>
      </c>
      <c r="F233" s="41">
        <v>4892</v>
      </c>
      <c r="G233" s="41">
        <v>4067</v>
      </c>
      <c r="H233" s="41">
        <v>2818</v>
      </c>
      <c r="I233" s="41">
        <v>2952</v>
      </c>
      <c r="J233" s="41">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row>
    <row r="234" spans="1:27" hidden="1">
      <c r="A234" s="41" t="s">
        <v>502</v>
      </c>
      <c r="B234" s="41">
        <v>651</v>
      </c>
      <c r="C234" s="41">
        <v>722</v>
      </c>
      <c r="D234" s="41">
        <v>660</v>
      </c>
      <c r="E234" s="41">
        <v>708</v>
      </c>
      <c r="F234" s="41">
        <v>570</v>
      </c>
      <c r="G234" s="41">
        <v>553</v>
      </c>
      <c r="H234" s="41">
        <v>472</v>
      </c>
      <c r="I234" s="41">
        <v>615</v>
      </c>
      <c r="J234" s="41">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row>
    <row r="235" spans="1:27" hidden="1">
      <c r="A235" s="41" t="s">
        <v>567</v>
      </c>
      <c r="B235" s="41">
        <v>981</v>
      </c>
      <c r="C235" s="41">
        <v>927</v>
      </c>
      <c r="D235" s="41">
        <v>872</v>
      </c>
      <c r="E235" s="41">
        <v>773</v>
      </c>
      <c r="F235" s="41">
        <v>884</v>
      </c>
      <c r="G235" s="41">
        <v>1202</v>
      </c>
      <c r="H235" s="41">
        <v>852</v>
      </c>
      <c r="I235" s="41">
        <v>1061</v>
      </c>
      <c r="J235" s="41">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row>
    <row r="236" spans="1:27" hidden="1">
      <c r="A236" s="41" t="s">
        <v>456</v>
      </c>
      <c r="B236" s="41">
        <v>1446</v>
      </c>
      <c r="C236" s="41">
        <v>1145</v>
      </c>
      <c r="D236" s="41">
        <v>785</v>
      </c>
      <c r="E236" s="41">
        <v>592</v>
      </c>
      <c r="F236" s="41">
        <v>634</v>
      </c>
      <c r="G236" s="41">
        <v>737</v>
      </c>
      <c r="H236" s="41">
        <v>690</v>
      </c>
      <c r="I236" s="41">
        <v>906</v>
      </c>
      <c r="J236" s="41">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row>
    <row r="237" spans="1:27" hidden="1">
      <c r="A237" s="41" t="s">
        <v>686</v>
      </c>
      <c r="B237" s="41">
        <v>408</v>
      </c>
      <c r="C237" s="41">
        <v>0</v>
      </c>
      <c r="D237" s="41">
        <v>1257</v>
      </c>
      <c r="E237" s="41">
        <v>888</v>
      </c>
      <c r="F237" s="41">
        <v>826</v>
      </c>
      <c r="G237" s="41">
        <v>882</v>
      </c>
      <c r="H237" s="41">
        <v>725</v>
      </c>
      <c r="I237" s="41">
        <v>862</v>
      </c>
      <c r="J237" s="41">
        <v>640</v>
      </c>
      <c r="K237">
        <v>714</v>
      </c>
      <c r="L237">
        <v>613</v>
      </c>
      <c r="M237">
        <v>915</v>
      </c>
      <c r="N237">
        <v>952</v>
      </c>
      <c r="O237">
        <v>97</v>
      </c>
      <c r="P237">
        <v>0</v>
      </c>
      <c r="Q237">
        <v>288</v>
      </c>
      <c r="R237">
        <v>257</v>
      </c>
      <c r="S237">
        <v>266</v>
      </c>
      <c r="T237">
        <v>260</v>
      </c>
      <c r="U237">
        <v>195</v>
      </c>
      <c r="V237">
        <v>204</v>
      </c>
      <c r="W237">
        <v>211</v>
      </c>
      <c r="X237">
        <v>220</v>
      </c>
      <c r="Y237">
        <v>210</v>
      </c>
      <c r="Z237">
        <v>230</v>
      </c>
      <c r="AA237">
        <v>291</v>
      </c>
    </row>
    <row r="238" spans="1:27" hidden="1">
      <c r="A238" s="41" t="s">
        <v>699</v>
      </c>
      <c r="B238" s="41">
        <v>1417</v>
      </c>
      <c r="C238" s="41">
        <v>1243</v>
      </c>
      <c r="D238" s="41">
        <v>1246</v>
      </c>
      <c r="E238" s="41">
        <v>1187</v>
      </c>
      <c r="F238" s="41">
        <v>654</v>
      </c>
      <c r="G238" s="41">
        <v>666</v>
      </c>
      <c r="H238" s="41">
        <v>596</v>
      </c>
      <c r="I238" s="41">
        <v>553</v>
      </c>
      <c r="J238" s="41">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row>
    <row r="239" spans="1:27" hidden="1">
      <c r="A239" s="41" t="s">
        <v>675</v>
      </c>
      <c r="B239" s="41">
        <v>0</v>
      </c>
      <c r="C239" s="41">
        <v>0</v>
      </c>
      <c r="D239" s="41">
        <v>0</v>
      </c>
      <c r="E239" s="41">
        <v>0</v>
      </c>
      <c r="F239" s="41">
        <v>0</v>
      </c>
      <c r="G239" s="41">
        <v>0</v>
      </c>
      <c r="H239" s="41">
        <v>0</v>
      </c>
      <c r="I239" s="41">
        <v>0</v>
      </c>
      <c r="J239" s="41">
        <v>96</v>
      </c>
      <c r="K239">
        <v>306</v>
      </c>
      <c r="L239">
        <v>290</v>
      </c>
      <c r="M239">
        <v>605</v>
      </c>
      <c r="N239">
        <v>930</v>
      </c>
      <c r="O239">
        <v>0</v>
      </c>
      <c r="P239">
        <v>0</v>
      </c>
      <c r="Q239">
        <v>0</v>
      </c>
      <c r="R239">
        <v>0</v>
      </c>
      <c r="S239">
        <v>0</v>
      </c>
      <c r="T239">
        <v>0</v>
      </c>
      <c r="U239">
        <v>0</v>
      </c>
      <c r="V239">
        <v>0</v>
      </c>
      <c r="W239">
        <v>33</v>
      </c>
      <c r="X239">
        <v>76</v>
      </c>
      <c r="Y239">
        <v>76</v>
      </c>
      <c r="Z239">
        <v>191</v>
      </c>
      <c r="AA239">
        <v>280</v>
      </c>
    </row>
    <row r="240" spans="1:27" hidden="1">
      <c r="A240" s="41" t="s">
        <v>707</v>
      </c>
      <c r="B240" s="41">
        <v>1361</v>
      </c>
      <c r="C240" s="41">
        <v>1065</v>
      </c>
      <c r="D240" s="41">
        <v>1044</v>
      </c>
      <c r="E240" s="41">
        <v>1095</v>
      </c>
      <c r="F240" s="41">
        <v>1296</v>
      </c>
      <c r="G240" s="41">
        <v>920</v>
      </c>
      <c r="H240" s="41">
        <v>616</v>
      </c>
      <c r="I240" s="41">
        <v>591</v>
      </c>
      <c r="J240" s="41">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row>
    <row r="241" spans="1:27" hidden="1">
      <c r="A241" s="41" t="s">
        <v>444</v>
      </c>
      <c r="B241" s="41">
        <v>557</v>
      </c>
      <c r="C241" s="41">
        <v>580</v>
      </c>
      <c r="D241" s="41">
        <v>483</v>
      </c>
      <c r="E241" s="41">
        <v>472</v>
      </c>
      <c r="F241" s="41">
        <v>709</v>
      </c>
      <c r="G241" s="41">
        <v>656</v>
      </c>
      <c r="H241" s="41">
        <v>715</v>
      </c>
      <c r="I241" s="41">
        <v>797</v>
      </c>
      <c r="J241" s="41">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row>
    <row r="242" spans="1:27" hidden="1">
      <c r="A242" s="41" t="s">
        <v>216</v>
      </c>
      <c r="B242" s="41">
        <v>1577</v>
      </c>
      <c r="C242" s="41">
        <v>1264</v>
      </c>
      <c r="D242" s="41">
        <v>1436</v>
      </c>
      <c r="E242" s="41">
        <v>1633</v>
      </c>
      <c r="F242" s="41">
        <v>1407</v>
      </c>
      <c r="G242" s="41">
        <v>2169</v>
      </c>
      <c r="H242" s="41">
        <v>1557</v>
      </c>
      <c r="I242" s="41">
        <v>1783</v>
      </c>
      <c r="J242" s="41">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row>
    <row r="243" spans="1:27" hidden="1">
      <c r="A243" s="41" t="s">
        <v>315</v>
      </c>
      <c r="B243" s="41">
        <v>3284</v>
      </c>
      <c r="C243" s="41">
        <v>4751</v>
      </c>
      <c r="D243" s="41">
        <v>2584</v>
      </c>
      <c r="E243" s="41">
        <v>1839</v>
      </c>
      <c r="F243" s="41">
        <v>1830</v>
      </c>
      <c r="G243" s="41">
        <v>1937</v>
      </c>
      <c r="H243" s="41">
        <v>1357</v>
      </c>
      <c r="I243" s="41">
        <v>1615</v>
      </c>
      <c r="J243" s="41">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row>
    <row r="244" spans="1:27" hidden="1">
      <c r="A244" s="41" t="s">
        <v>442</v>
      </c>
      <c r="B244" s="41">
        <v>1110</v>
      </c>
      <c r="C244" s="41">
        <v>1155</v>
      </c>
      <c r="D244" s="41">
        <v>999</v>
      </c>
      <c r="E244" s="41">
        <v>915</v>
      </c>
      <c r="F244" s="41">
        <v>1005</v>
      </c>
      <c r="G244" s="41">
        <v>1661</v>
      </c>
      <c r="H244" s="41">
        <v>989</v>
      </c>
      <c r="I244" s="41">
        <v>1000</v>
      </c>
      <c r="J244" s="41">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row>
    <row r="245" spans="1:27" hidden="1">
      <c r="A245" s="41" t="s">
        <v>269</v>
      </c>
      <c r="B245" s="41">
        <v>1780</v>
      </c>
      <c r="C245" s="41">
        <v>1869</v>
      </c>
      <c r="D245" s="41">
        <v>1656</v>
      </c>
      <c r="E245" s="41">
        <v>1440</v>
      </c>
      <c r="F245" s="41">
        <v>1081</v>
      </c>
      <c r="G245" s="41">
        <v>1009</v>
      </c>
      <c r="H245" s="41">
        <v>981</v>
      </c>
      <c r="I245" s="41">
        <v>1397</v>
      </c>
      <c r="J245" s="41">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row>
    <row r="246" spans="1:27" hidden="1">
      <c r="A246" s="41" t="s">
        <v>285</v>
      </c>
      <c r="B246" s="41">
        <v>3612</v>
      </c>
      <c r="C246" s="41">
        <v>3948</v>
      </c>
      <c r="D246" s="41">
        <v>3511</v>
      </c>
      <c r="E246" s="41">
        <v>61</v>
      </c>
      <c r="F246" s="41">
        <v>10706</v>
      </c>
      <c r="G246" s="41">
        <v>6300</v>
      </c>
      <c r="H246" s="41">
        <v>2733</v>
      </c>
      <c r="I246" s="41">
        <v>2931</v>
      </c>
      <c r="J246" s="41">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row>
    <row r="247" spans="1:27" hidden="1">
      <c r="A247" s="41" t="s">
        <v>162</v>
      </c>
      <c r="B247" s="41">
        <v>2451</v>
      </c>
      <c r="C247" s="41">
        <v>3313</v>
      </c>
      <c r="D247" s="41">
        <v>1362</v>
      </c>
      <c r="E247" s="41">
        <v>1958</v>
      </c>
      <c r="F247" s="41">
        <v>1726</v>
      </c>
      <c r="G247" s="41">
        <v>1144</v>
      </c>
      <c r="H247" s="41">
        <v>1378</v>
      </c>
      <c r="I247" s="41">
        <v>1174</v>
      </c>
      <c r="J247" s="41">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row>
    <row r="248" spans="1:27" hidden="1">
      <c r="A248" s="41" t="s">
        <v>331</v>
      </c>
      <c r="B248" s="41">
        <v>1233</v>
      </c>
      <c r="C248" s="41">
        <v>1416</v>
      </c>
      <c r="D248" s="41">
        <v>1396</v>
      </c>
      <c r="E248" s="41">
        <v>1992</v>
      </c>
      <c r="F248" s="41">
        <v>1444</v>
      </c>
      <c r="G248" s="41">
        <v>1030</v>
      </c>
      <c r="H248" s="41">
        <v>1037</v>
      </c>
      <c r="I248" s="41">
        <v>1802</v>
      </c>
      <c r="J248" s="41">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row>
    <row r="249" spans="1:27" hidden="1">
      <c r="A249" s="41" t="s">
        <v>590</v>
      </c>
      <c r="B249" s="41">
        <v>703</v>
      </c>
      <c r="C249" s="41">
        <v>542</v>
      </c>
      <c r="D249" s="41">
        <v>644</v>
      </c>
      <c r="E249" s="41">
        <v>682</v>
      </c>
      <c r="F249" s="41">
        <v>771</v>
      </c>
      <c r="G249" s="41">
        <v>775</v>
      </c>
      <c r="H249" s="41">
        <v>879</v>
      </c>
      <c r="I249" s="41">
        <v>731</v>
      </c>
      <c r="J249" s="41">
        <v>5</v>
      </c>
      <c r="K249">
        <v>0</v>
      </c>
      <c r="L249">
        <v>1</v>
      </c>
      <c r="M249">
        <v>726</v>
      </c>
      <c r="N249">
        <v>1007</v>
      </c>
      <c r="O249">
        <v>163</v>
      </c>
      <c r="P249">
        <v>157</v>
      </c>
      <c r="Q249">
        <v>153</v>
      </c>
      <c r="R249">
        <v>215</v>
      </c>
      <c r="S249">
        <v>294</v>
      </c>
      <c r="T249">
        <v>227</v>
      </c>
      <c r="U249">
        <v>275</v>
      </c>
      <c r="V249">
        <v>226</v>
      </c>
      <c r="W249">
        <v>5</v>
      </c>
      <c r="X249">
        <v>1</v>
      </c>
      <c r="Y249">
        <v>2</v>
      </c>
      <c r="Z249">
        <v>167</v>
      </c>
      <c r="AA249">
        <v>378</v>
      </c>
    </row>
    <row r="250" spans="1:27" hidden="1">
      <c r="A250" s="41" t="s">
        <v>678</v>
      </c>
      <c r="B250" s="41">
        <v>1663</v>
      </c>
      <c r="C250" s="41">
        <v>2104</v>
      </c>
      <c r="D250" s="41">
        <v>1680</v>
      </c>
      <c r="E250" s="41">
        <v>2200</v>
      </c>
      <c r="F250" s="41">
        <v>1696</v>
      </c>
      <c r="G250" s="41">
        <v>1276</v>
      </c>
      <c r="H250" s="41">
        <v>777</v>
      </c>
      <c r="I250" s="41">
        <v>609</v>
      </c>
      <c r="J250" s="41">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row>
    <row r="251" spans="1:27" hidden="1">
      <c r="A251" s="41" t="s">
        <v>743</v>
      </c>
      <c r="B251" s="41">
        <v>230</v>
      </c>
      <c r="C251" s="41">
        <v>222</v>
      </c>
      <c r="D251" s="41">
        <v>763</v>
      </c>
      <c r="E251" s="41">
        <v>688</v>
      </c>
      <c r="F251" s="41">
        <v>494</v>
      </c>
      <c r="G251" s="41">
        <v>492</v>
      </c>
      <c r="H251" s="41">
        <v>526</v>
      </c>
      <c r="I251" s="41">
        <v>726</v>
      </c>
      <c r="J251" s="41">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row>
    <row r="252" spans="1:27" hidden="1">
      <c r="A252" s="41" t="s">
        <v>1252</v>
      </c>
      <c r="B252" s="41">
        <v>128</v>
      </c>
      <c r="C252" s="41">
        <v>78</v>
      </c>
      <c r="D252" s="41">
        <v>65</v>
      </c>
      <c r="E252" s="41">
        <v>130</v>
      </c>
      <c r="F252" s="41">
        <v>99</v>
      </c>
      <c r="G252" s="41">
        <v>115</v>
      </c>
      <c r="H252" s="41">
        <v>164</v>
      </c>
      <c r="I252" s="41">
        <v>153</v>
      </c>
      <c r="J252" s="41">
        <v>63</v>
      </c>
      <c r="K252">
        <v>69</v>
      </c>
      <c r="L252">
        <v>130</v>
      </c>
      <c r="M252">
        <v>60</v>
      </c>
      <c r="N252">
        <v>102</v>
      </c>
      <c r="O252">
        <v>0</v>
      </c>
      <c r="P252">
        <v>0</v>
      </c>
      <c r="Q252">
        <v>0</v>
      </c>
      <c r="R252">
        <v>0</v>
      </c>
      <c r="S252">
        <v>0</v>
      </c>
      <c r="T252">
        <v>0</v>
      </c>
      <c r="U252">
        <v>0</v>
      </c>
      <c r="V252">
        <v>0</v>
      </c>
      <c r="W252">
        <v>0</v>
      </c>
      <c r="X252">
        <v>0</v>
      </c>
      <c r="Y252">
        <v>0</v>
      </c>
      <c r="Z252">
        <v>0</v>
      </c>
      <c r="AA252">
        <v>0</v>
      </c>
    </row>
    <row r="253" spans="1:27" hidden="1">
      <c r="A253" s="41" t="s">
        <v>1253</v>
      </c>
      <c r="B253" s="41">
        <v>66</v>
      </c>
      <c r="C253" s="41">
        <v>96</v>
      </c>
      <c r="D253" s="41">
        <v>90</v>
      </c>
      <c r="E253" s="41">
        <v>104</v>
      </c>
      <c r="F253" s="41">
        <v>99</v>
      </c>
      <c r="G253" s="41">
        <v>183</v>
      </c>
      <c r="H253" s="41">
        <v>113</v>
      </c>
      <c r="I253" s="41">
        <v>91</v>
      </c>
      <c r="J253" s="41">
        <v>51</v>
      </c>
      <c r="K253">
        <v>76</v>
      </c>
      <c r="L253">
        <v>76</v>
      </c>
      <c r="M253">
        <v>60</v>
      </c>
      <c r="N253">
        <v>68</v>
      </c>
      <c r="O253">
        <v>0</v>
      </c>
      <c r="P253">
        <v>0</v>
      </c>
      <c r="Q253">
        <v>0</v>
      </c>
      <c r="R253">
        <v>0</v>
      </c>
      <c r="S253">
        <v>0</v>
      </c>
      <c r="T253">
        <v>0</v>
      </c>
      <c r="U253">
        <v>0</v>
      </c>
      <c r="V253">
        <v>0</v>
      </c>
      <c r="W253">
        <v>0</v>
      </c>
      <c r="X253">
        <v>0</v>
      </c>
      <c r="Y253">
        <v>0</v>
      </c>
      <c r="Z253">
        <v>0</v>
      </c>
      <c r="AA253">
        <v>0</v>
      </c>
    </row>
    <row r="254" spans="1:27" hidden="1">
      <c r="A254" s="41" t="s">
        <v>1254</v>
      </c>
      <c r="B254" s="41">
        <v>249</v>
      </c>
      <c r="C254" s="41">
        <v>289</v>
      </c>
      <c r="D254" s="41">
        <v>262</v>
      </c>
      <c r="E254" s="41">
        <v>251</v>
      </c>
      <c r="F254" s="41">
        <v>279</v>
      </c>
      <c r="G254" s="41">
        <v>166</v>
      </c>
      <c r="H254" s="41">
        <v>128</v>
      </c>
      <c r="I254" s="41">
        <v>144</v>
      </c>
      <c r="J254" s="41">
        <v>118</v>
      </c>
      <c r="K254">
        <v>52</v>
      </c>
      <c r="L254">
        <v>82</v>
      </c>
      <c r="M254">
        <v>55</v>
      </c>
      <c r="N254">
        <v>59</v>
      </c>
      <c r="O254">
        <v>0</v>
      </c>
      <c r="P254">
        <v>0</v>
      </c>
      <c r="Q254">
        <v>0</v>
      </c>
      <c r="R254">
        <v>0</v>
      </c>
      <c r="S254">
        <v>0</v>
      </c>
      <c r="T254">
        <v>0</v>
      </c>
      <c r="U254">
        <v>0</v>
      </c>
      <c r="V254">
        <v>0</v>
      </c>
      <c r="W254">
        <v>0</v>
      </c>
      <c r="X254">
        <v>0</v>
      </c>
      <c r="Y254">
        <v>0</v>
      </c>
      <c r="Z254">
        <v>0</v>
      </c>
      <c r="AA254">
        <v>0</v>
      </c>
    </row>
    <row r="255" spans="1:27" hidden="1">
      <c r="A255" s="41" t="s">
        <v>83</v>
      </c>
      <c r="B255" s="41">
        <v>757</v>
      </c>
      <c r="C255" s="41">
        <v>792</v>
      </c>
      <c r="D255" s="41">
        <v>718</v>
      </c>
      <c r="E255" s="41">
        <v>777</v>
      </c>
      <c r="F255" s="41">
        <v>818</v>
      </c>
      <c r="G255" s="41">
        <v>763</v>
      </c>
      <c r="H255" s="41">
        <v>939</v>
      </c>
      <c r="I255" s="41">
        <v>613</v>
      </c>
      <c r="J255" s="41">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row>
    <row r="256" spans="1:27" hidden="1">
      <c r="A256" s="41" t="s">
        <v>731</v>
      </c>
      <c r="B256" s="41">
        <v>0</v>
      </c>
      <c r="C256" s="41">
        <v>0</v>
      </c>
      <c r="D256" s="41">
        <v>0</v>
      </c>
      <c r="E256" s="41">
        <v>0</v>
      </c>
      <c r="F256" s="41">
        <v>0</v>
      </c>
      <c r="G256" s="41">
        <v>0</v>
      </c>
      <c r="H256" s="41">
        <v>0</v>
      </c>
      <c r="I256" s="41">
        <v>0</v>
      </c>
      <c r="J256" s="41">
        <v>18</v>
      </c>
      <c r="K256">
        <v>450</v>
      </c>
      <c r="L256">
        <v>539</v>
      </c>
      <c r="M256">
        <v>0</v>
      </c>
      <c r="N256">
        <v>630</v>
      </c>
      <c r="O256">
        <v>0</v>
      </c>
      <c r="P256">
        <v>0</v>
      </c>
      <c r="Q256">
        <v>0</v>
      </c>
      <c r="R256">
        <v>0</v>
      </c>
      <c r="S256">
        <v>0</v>
      </c>
      <c r="T256">
        <v>0</v>
      </c>
      <c r="U256">
        <v>0</v>
      </c>
      <c r="V256">
        <v>0</v>
      </c>
      <c r="W256">
        <v>0</v>
      </c>
      <c r="X256">
        <v>127</v>
      </c>
      <c r="Y256">
        <v>159</v>
      </c>
      <c r="Z256">
        <v>0</v>
      </c>
      <c r="AA256">
        <v>241</v>
      </c>
    </row>
    <row r="257" spans="1:27" hidden="1">
      <c r="A257" s="41" t="s">
        <v>1255</v>
      </c>
      <c r="B257" s="41">
        <v>415</v>
      </c>
      <c r="C257" s="41">
        <v>390</v>
      </c>
      <c r="D257" s="41">
        <v>389</v>
      </c>
      <c r="E257" s="41">
        <v>386</v>
      </c>
      <c r="F257" s="41">
        <v>247</v>
      </c>
      <c r="G257" s="41">
        <v>283</v>
      </c>
      <c r="H257" s="41">
        <v>275</v>
      </c>
      <c r="I257" s="41">
        <v>240</v>
      </c>
      <c r="J257" s="41">
        <v>132</v>
      </c>
      <c r="K257">
        <v>129</v>
      </c>
      <c r="L257">
        <v>130</v>
      </c>
      <c r="M257">
        <v>96</v>
      </c>
      <c r="N257">
        <v>181</v>
      </c>
      <c r="O257">
        <v>0</v>
      </c>
      <c r="P257">
        <v>0</v>
      </c>
      <c r="Q257">
        <v>0</v>
      </c>
      <c r="R257">
        <v>0</v>
      </c>
      <c r="S257">
        <v>0</v>
      </c>
      <c r="T257">
        <v>0</v>
      </c>
      <c r="U257">
        <v>0</v>
      </c>
      <c r="V257">
        <v>0</v>
      </c>
      <c r="W257">
        <v>0</v>
      </c>
      <c r="X257">
        <v>0</v>
      </c>
      <c r="Y257">
        <v>0</v>
      </c>
      <c r="Z257">
        <v>0</v>
      </c>
      <c r="AA257">
        <v>0</v>
      </c>
    </row>
    <row r="258" spans="1:27" hidden="1">
      <c r="A258" s="41" t="s">
        <v>440</v>
      </c>
      <c r="B258" s="41">
        <v>2526</v>
      </c>
      <c r="C258" s="41">
        <v>2812</v>
      </c>
      <c r="D258" s="41">
        <v>1885</v>
      </c>
      <c r="E258" s="41">
        <v>1859</v>
      </c>
      <c r="F258" s="41">
        <v>1363</v>
      </c>
      <c r="G258" s="41">
        <v>1537</v>
      </c>
      <c r="H258" s="41">
        <v>1028</v>
      </c>
      <c r="I258" s="41">
        <v>990</v>
      </c>
      <c r="J258" s="41">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row>
    <row r="259" spans="1:27" hidden="1">
      <c r="A259" s="41" t="s">
        <v>423</v>
      </c>
      <c r="B259" s="41">
        <v>6506</v>
      </c>
      <c r="C259" s="41">
        <v>1653</v>
      </c>
      <c r="D259" s="41">
        <v>1706</v>
      </c>
      <c r="E259" s="41">
        <v>3416</v>
      </c>
      <c r="F259" s="41">
        <v>2077</v>
      </c>
      <c r="G259" s="41">
        <v>1490</v>
      </c>
      <c r="H259" s="41">
        <v>1556</v>
      </c>
      <c r="I259" s="41">
        <v>1335</v>
      </c>
      <c r="J259" s="41">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row>
    <row r="260" spans="1:27" hidden="1">
      <c r="A260" s="41" t="s">
        <v>1256</v>
      </c>
      <c r="B260" s="41">
        <v>174</v>
      </c>
      <c r="C260" s="41">
        <v>135</v>
      </c>
      <c r="D260" s="41">
        <v>92</v>
      </c>
      <c r="E260" s="41">
        <v>87</v>
      </c>
      <c r="F260" s="41">
        <v>54</v>
      </c>
      <c r="G260" s="41">
        <v>58</v>
      </c>
      <c r="H260" s="41">
        <v>62</v>
      </c>
      <c r="I260" s="41">
        <v>54</v>
      </c>
      <c r="J260" s="41">
        <v>44</v>
      </c>
      <c r="K260">
        <v>42</v>
      </c>
      <c r="L260">
        <v>58</v>
      </c>
      <c r="M260">
        <v>59</v>
      </c>
      <c r="N260">
        <v>44</v>
      </c>
      <c r="O260">
        <v>0</v>
      </c>
      <c r="P260">
        <v>0</v>
      </c>
      <c r="Q260">
        <v>0</v>
      </c>
      <c r="R260">
        <v>0</v>
      </c>
      <c r="S260">
        <v>0</v>
      </c>
      <c r="T260">
        <v>0</v>
      </c>
      <c r="U260">
        <v>0</v>
      </c>
      <c r="V260">
        <v>0</v>
      </c>
      <c r="W260">
        <v>0</v>
      </c>
      <c r="X260">
        <v>0</v>
      </c>
      <c r="Y260">
        <v>0</v>
      </c>
      <c r="Z260">
        <v>0</v>
      </c>
      <c r="AA260">
        <v>0</v>
      </c>
    </row>
    <row r="261" spans="1:27" hidden="1">
      <c r="A261" s="41" t="s">
        <v>1035</v>
      </c>
      <c r="B261" s="41">
        <v>469</v>
      </c>
      <c r="C261" s="41">
        <v>547</v>
      </c>
      <c r="D261" s="41">
        <v>493</v>
      </c>
      <c r="E261" s="41">
        <v>532</v>
      </c>
      <c r="F261" s="41">
        <v>375</v>
      </c>
      <c r="G261" s="41">
        <v>375</v>
      </c>
      <c r="H261" s="41">
        <v>334</v>
      </c>
      <c r="I261" s="41">
        <v>408</v>
      </c>
      <c r="J261" s="41">
        <v>310</v>
      </c>
      <c r="K261">
        <v>261</v>
      </c>
      <c r="L261">
        <v>31</v>
      </c>
      <c r="M261">
        <v>0</v>
      </c>
      <c r="N261">
        <v>0</v>
      </c>
      <c r="O261">
        <v>234</v>
      </c>
      <c r="P261">
        <v>196</v>
      </c>
      <c r="Q261">
        <v>198</v>
      </c>
      <c r="R261">
        <v>207</v>
      </c>
      <c r="S261">
        <v>187</v>
      </c>
      <c r="T261">
        <v>164</v>
      </c>
      <c r="U261">
        <v>155</v>
      </c>
      <c r="V261">
        <v>182</v>
      </c>
      <c r="W261">
        <v>151</v>
      </c>
      <c r="X261">
        <v>98</v>
      </c>
      <c r="Y261">
        <v>4</v>
      </c>
      <c r="Z261">
        <v>0</v>
      </c>
      <c r="AA261">
        <v>0</v>
      </c>
    </row>
    <row r="262" spans="1:27" hidden="1">
      <c r="A262" s="41" t="s">
        <v>595</v>
      </c>
      <c r="B262" s="41">
        <v>1174</v>
      </c>
      <c r="C262" s="41">
        <v>1444</v>
      </c>
      <c r="D262" s="41">
        <v>894</v>
      </c>
      <c r="E262" s="41">
        <v>634</v>
      </c>
      <c r="F262" s="41">
        <v>688</v>
      </c>
      <c r="G262" s="41">
        <v>950</v>
      </c>
      <c r="H262" s="41">
        <v>795</v>
      </c>
      <c r="I262" s="41">
        <v>1036</v>
      </c>
      <c r="J262" s="41">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row>
    <row r="263" spans="1:27" hidden="1">
      <c r="A263" s="41" t="s">
        <v>98</v>
      </c>
      <c r="B263" s="41">
        <v>2377</v>
      </c>
      <c r="C263" s="41">
        <v>2724</v>
      </c>
      <c r="D263" s="41">
        <v>2647</v>
      </c>
      <c r="E263" s="41">
        <v>2129</v>
      </c>
      <c r="F263" s="41">
        <v>1557</v>
      </c>
      <c r="G263" s="41">
        <v>2007</v>
      </c>
      <c r="H263" s="41">
        <v>1624</v>
      </c>
      <c r="I263" s="41">
        <v>1818</v>
      </c>
      <c r="J263" s="41">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row>
    <row r="264" spans="1:27" hidden="1">
      <c r="A264" s="41" t="s">
        <v>220</v>
      </c>
      <c r="B264" s="41">
        <v>5506</v>
      </c>
      <c r="C264" s="41">
        <v>6106</v>
      </c>
      <c r="D264" s="41">
        <v>7999</v>
      </c>
      <c r="E264" s="41">
        <v>9107</v>
      </c>
      <c r="F264" s="41">
        <v>5073</v>
      </c>
      <c r="G264" s="41">
        <v>15811</v>
      </c>
      <c r="H264" s="41">
        <v>7910</v>
      </c>
      <c r="I264" s="41">
        <v>2182</v>
      </c>
      <c r="J264" s="41">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row>
    <row r="265" spans="1:27" hidden="1">
      <c r="A265" s="41" t="s">
        <v>667</v>
      </c>
      <c r="B265" s="41">
        <v>542</v>
      </c>
      <c r="C265" s="41">
        <v>447</v>
      </c>
      <c r="D265" s="41">
        <v>282</v>
      </c>
      <c r="E265" s="41">
        <v>395</v>
      </c>
      <c r="F265" s="41">
        <v>247</v>
      </c>
      <c r="G265" s="41">
        <v>312</v>
      </c>
      <c r="H265" s="41">
        <v>1053</v>
      </c>
      <c r="I265" s="41">
        <v>318</v>
      </c>
      <c r="J265" s="41">
        <v>1010</v>
      </c>
      <c r="K265">
        <v>638</v>
      </c>
      <c r="L265">
        <v>457</v>
      </c>
      <c r="M265">
        <v>589</v>
      </c>
      <c r="N265">
        <v>743</v>
      </c>
      <c r="O265">
        <v>108</v>
      </c>
      <c r="P265">
        <v>72</v>
      </c>
      <c r="Q265">
        <v>63</v>
      </c>
      <c r="R265">
        <v>93</v>
      </c>
      <c r="S265">
        <v>105</v>
      </c>
      <c r="T265">
        <v>110</v>
      </c>
      <c r="U265">
        <v>297</v>
      </c>
      <c r="V265">
        <v>95</v>
      </c>
      <c r="W265">
        <v>286</v>
      </c>
      <c r="X265">
        <v>249</v>
      </c>
      <c r="Y265">
        <v>198</v>
      </c>
      <c r="Z265">
        <v>187</v>
      </c>
      <c r="AA265">
        <v>192</v>
      </c>
    </row>
    <row r="266" spans="1:27" hidden="1">
      <c r="A266" s="41" t="s">
        <v>28</v>
      </c>
      <c r="B266" s="41">
        <v>10487</v>
      </c>
      <c r="C266" s="41">
        <v>11096</v>
      </c>
      <c r="D266" s="41">
        <v>9969</v>
      </c>
      <c r="E266" s="41">
        <v>12032</v>
      </c>
      <c r="F266" s="41">
        <v>10029</v>
      </c>
      <c r="G266" s="41">
        <v>8746</v>
      </c>
      <c r="H266" s="41">
        <v>7125</v>
      </c>
      <c r="I266" s="41">
        <v>8281</v>
      </c>
      <c r="J266" s="41">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row>
    <row r="267" spans="1:27" hidden="1">
      <c r="A267" s="41" t="s">
        <v>448</v>
      </c>
      <c r="B267" s="41">
        <v>386</v>
      </c>
      <c r="C267" s="41">
        <v>647</v>
      </c>
      <c r="D267" s="41">
        <v>473</v>
      </c>
      <c r="E267" s="41">
        <v>454</v>
      </c>
      <c r="F267" s="41">
        <v>433</v>
      </c>
      <c r="G267" s="41">
        <v>448</v>
      </c>
      <c r="H267" s="41">
        <v>460</v>
      </c>
      <c r="I267" s="41">
        <v>491</v>
      </c>
      <c r="J267" s="41">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row>
    <row r="268" spans="1:27" hidden="1">
      <c r="A268" s="41" t="s">
        <v>807</v>
      </c>
      <c r="B268" s="41">
        <v>445</v>
      </c>
      <c r="C268" s="41">
        <v>551</v>
      </c>
      <c r="D268" s="41">
        <v>534</v>
      </c>
      <c r="E268" s="41">
        <v>388</v>
      </c>
      <c r="F268" s="41">
        <v>262</v>
      </c>
      <c r="G268" s="41">
        <v>245</v>
      </c>
      <c r="H268" s="41">
        <v>228</v>
      </c>
      <c r="I268" s="41">
        <v>232</v>
      </c>
      <c r="J268" s="41">
        <v>134</v>
      </c>
      <c r="K268">
        <v>38</v>
      </c>
      <c r="L268">
        <v>0</v>
      </c>
      <c r="M268">
        <v>0</v>
      </c>
      <c r="N268">
        <v>0</v>
      </c>
      <c r="O268">
        <v>167</v>
      </c>
      <c r="P268">
        <v>239</v>
      </c>
      <c r="Q268">
        <v>240</v>
      </c>
      <c r="R268">
        <v>162</v>
      </c>
      <c r="S268">
        <v>123</v>
      </c>
      <c r="T268">
        <v>90</v>
      </c>
      <c r="U268">
        <v>96</v>
      </c>
      <c r="V268">
        <v>94</v>
      </c>
      <c r="W268">
        <v>50</v>
      </c>
      <c r="X268">
        <v>1</v>
      </c>
      <c r="Y268">
        <v>0</v>
      </c>
      <c r="Z268">
        <v>0</v>
      </c>
      <c r="AA268">
        <v>0</v>
      </c>
    </row>
    <row r="269" spans="1:27" hidden="1">
      <c r="A269" s="41" t="s">
        <v>254</v>
      </c>
      <c r="B269" s="41">
        <v>567</v>
      </c>
      <c r="C269" s="41">
        <v>717</v>
      </c>
      <c r="D269" s="41">
        <v>613</v>
      </c>
      <c r="E269" s="41">
        <v>721</v>
      </c>
      <c r="F269" s="41">
        <v>711</v>
      </c>
      <c r="G269" s="41">
        <v>650</v>
      </c>
      <c r="H269" s="41">
        <v>795</v>
      </c>
      <c r="I269" s="41">
        <v>643</v>
      </c>
      <c r="J269" s="41">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row>
    <row r="270" spans="1:27" hidden="1">
      <c r="A270" s="41" t="s">
        <v>282</v>
      </c>
      <c r="B270" s="41">
        <v>776</v>
      </c>
      <c r="C270" s="41">
        <v>961</v>
      </c>
      <c r="D270" s="41">
        <v>1120</v>
      </c>
      <c r="E270" s="41">
        <v>2090</v>
      </c>
      <c r="F270" s="41">
        <v>1559</v>
      </c>
      <c r="G270" s="41">
        <v>1571</v>
      </c>
      <c r="H270" s="41">
        <v>1068</v>
      </c>
      <c r="I270" s="41">
        <v>1080</v>
      </c>
      <c r="J270" s="41">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row>
    <row r="271" spans="1:27" hidden="1">
      <c r="A271" s="41" t="s">
        <v>749</v>
      </c>
      <c r="B271" s="41">
        <v>1071</v>
      </c>
      <c r="C271" s="41">
        <v>848</v>
      </c>
      <c r="D271" s="41">
        <v>759</v>
      </c>
      <c r="E271" s="41">
        <v>3829</v>
      </c>
      <c r="F271" s="41">
        <v>15</v>
      </c>
      <c r="G271" s="41">
        <v>466</v>
      </c>
      <c r="H271" s="41">
        <v>114</v>
      </c>
      <c r="I271" s="41">
        <v>1150</v>
      </c>
      <c r="J271" s="41">
        <v>613</v>
      </c>
      <c r="K271">
        <v>593</v>
      </c>
      <c r="L271">
        <v>432</v>
      </c>
      <c r="M271">
        <v>388</v>
      </c>
      <c r="N271">
        <v>425</v>
      </c>
      <c r="O271">
        <v>271</v>
      </c>
      <c r="P271">
        <v>233</v>
      </c>
      <c r="Q271">
        <v>206</v>
      </c>
      <c r="R271">
        <v>936</v>
      </c>
      <c r="S271">
        <v>5</v>
      </c>
      <c r="T271">
        <v>34</v>
      </c>
      <c r="U271">
        <v>22</v>
      </c>
      <c r="V271">
        <v>320</v>
      </c>
      <c r="W271">
        <v>135</v>
      </c>
      <c r="X271">
        <v>166</v>
      </c>
      <c r="Y271">
        <v>123</v>
      </c>
      <c r="Z271">
        <v>91</v>
      </c>
      <c r="AA271">
        <v>132</v>
      </c>
    </row>
    <row r="272" spans="1:27" hidden="1">
      <c r="A272" s="41" t="s">
        <v>774</v>
      </c>
      <c r="B272" s="41">
        <v>0</v>
      </c>
      <c r="C272" s="41">
        <v>0</v>
      </c>
      <c r="D272" s="41">
        <v>0</v>
      </c>
      <c r="E272" s="41">
        <v>7</v>
      </c>
      <c r="F272" s="41">
        <v>127</v>
      </c>
      <c r="G272" s="41">
        <v>250</v>
      </c>
      <c r="H272" s="41">
        <v>317</v>
      </c>
      <c r="I272" s="41">
        <v>232</v>
      </c>
      <c r="J272" s="41">
        <v>152</v>
      </c>
      <c r="K272">
        <v>247</v>
      </c>
      <c r="L272">
        <v>175</v>
      </c>
      <c r="M272">
        <v>191</v>
      </c>
      <c r="N272">
        <v>365</v>
      </c>
      <c r="O272">
        <v>0</v>
      </c>
      <c r="P272">
        <v>0</v>
      </c>
      <c r="Q272">
        <v>0</v>
      </c>
      <c r="R272">
        <v>0</v>
      </c>
      <c r="S272">
        <v>22</v>
      </c>
      <c r="T272">
        <v>60</v>
      </c>
      <c r="U272">
        <v>93</v>
      </c>
      <c r="V272">
        <v>62</v>
      </c>
      <c r="W272">
        <v>43</v>
      </c>
      <c r="X272">
        <v>86</v>
      </c>
      <c r="Y272">
        <v>81</v>
      </c>
      <c r="Z272">
        <v>36</v>
      </c>
      <c r="AA272">
        <v>127</v>
      </c>
    </row>
    <row r="273" spans="1:27" hidden="1">
      <c r="A273" s="41" t="s">
        <v>755</v>
      </c>
      <c r="B273" s="41">
        <v>0</v>
      </c>
      <c r="C273" s="41">
        <v>0</v>
      </c>
      <c r="D273" s="41">
        <v>0</v>
      </c>
      <c r="E273" s="41">
        <v>7</v>
      </c>
      <c r="F273" s="41">
        <v>78</v>
      </c>
      <c r="G273" s="41">
        <v>758</v>
      </c>
      <c r="H273" s="41">
        <v>617</v>
      </c>
      <c r="I273" s="41">
        <v>591</v>
      </c>
      <c r="J273" s="41">
        <v>618</v>
      </c>
      <c r="K273">
        <v>457</v>
      </c>
      <c r="L273">
        <v>472</v>
      </c>
      <c r="M273">
        <v>582</v>
      </c>
      <c r="N273">
        <v>713</v>
      </c>
      <c r="O273">
        <v>0</v>
      </c>
      <c r="P273">
        <v>0</v>
      </c>
      <c r="Q273">
        <v>0</v>
      </c>
      <c r="R273">
        <v>0</v>
      </c>
      <c r="S273">
        <v>12</v>
      </c>
      <c r="T273">
        <v>212</v>
      </c>
      <c r="U273">
        <v>201</v>
      </c>
      <c r="V273">
        <v>156</v>
      </c>
      <c r="W273">
        <v>142</v>
      </c>
      <c r="X273">
        <v>107</v>
      </c>
      <c r="Y273">
        <v>138</v>
      </c>
      <c r="Z273">
        <v>142</v>
      </c>
      <c r="AA273">
        <v>168</v>
      </c>
    </row>
    <row r="274" spans="1:27" hidden="1">
      <c r="A274" s="41" t="s">
        <v>641</v>
      </c>
      <c r="B274" s="41">
        <v>1376</v>
      </c>
      <c r="C274" s="41">
        <v>1490</v>
      </c>
      <c r="D274" s="41">
        <v>1633</v>
      </c>
      <c r="E274" s="41">
        <v>2115</v>
      </c>
      <c r="F274" s="41">
        <v>2313</v>
      </c>
      <c r="G274" s="41">
        <v>2024</v>
      </c>
      <c r="H274" s="41">
        <v>1534</v>
      </c>
      <c r="I274" s="41">
        <v>1289</v>
      </c>
      <c r="J274" s="41">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row>
    <row r="275" spans="1:27" hidden="1">
      <c r="A275" s="41" t="s">
        <v>564</v>
      </c>
      <c r="B275" s="41">
        <v>1494</v>
      </c>
      <c r="C275" s="41">
        <v>1532</v>
      </c>
      <c r="D275" s="41">
        <v>901</v>
      </c>
      <c r="E275" s="41">
        <v>903</v>
      </c>
      <c r="F275" s="41">
        <v>880</v>
      </c>
      <c r="G275" s="41">
        <v>537</v>
      </c>
      <c r="H275" s="41">
        <v>563</v>
      </c>
      <c r="I275" s="41">
        <v>485</v>
      </c>
      <c r="J275" s="41">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row>
    <row r="276" spans="1:27" hidden="1">
      <c r="A276" s="41" t="s">
        <v>754</v>
      </c>
      <c r="B276" s="41">
        <v>1023</v>
      </c>
      <c r="C276" s="41">
        <v>1283</v>
      </c>
      <c r="D276" s="41">
        <v>920</v>
      </c>
      <c r="E276" s="41">
        <v>1123</v>
      </c>
      <c r="F276" s="41">
        <v>615</v>
      </c>
      <c r="G276" s="41">
        <v>941</v>
      </c>
      <c r="H276" s="41">
        <v>626</v>
      </c>
      <c r="I276" s="41">
        <v>624</v>
      </c>
      <c r="J276" s="41">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row>
    <row r="277" spans="1:27" hidden="1">
      <c r="A277" s="41" t="s">
        <v>783</v>
      </c>
      <c r="B277" s="41">
        <v>377</v>
      </c>
      <c r="C277" s="41">
        <v>285</v>
      </c>
      <c r="D277" s="41">
        <v>264</v>
      </c>
      <c r="E277" s="41">
        <v>244</v>
      </c>
      <c r="F277" s="41">
        <v>128</v>
      </c>
      <c r="G277" s="41">
        <v>161</v>
      </c>
      <c r="H277" s="41">
        <v>152</v>
      </c>
      <c r="I277" s="41">
        <v>126</v>
      </c>
      <c r="J277" s="41">
        <v>96</v>
      </c>
      <c r="K277">
        <v>64</v>
      </c>
      <c r="L277">
        <v>65</v>
      </c>
      <c r="M277">
        <v>50</v>
      </c>
      <c r="N277">
        <v>0</v>
      </c>
      <c r="O277">
        <v>125</v>
      </c>
      <c r="P277">
        <v>93</v>
      </c>
      <c r="Q277">
        <v>57</v>
      </c>
      <c r="R277">
        <v>87</v>
      </c>
      <c r="S277">
        <v>53</v>
      </c>
      <c r="T277">
        <v>79</v>
      </c>
      <c r="U277">
        <v>81</v>
      </c>
      <c r="V277">
        <v>52</v>
      </c>
      <c r="W277">
        <v>43</v>
      </c>
      <c r="X277">
        <v>47</v>
      </c>
      <c r="Y277">
        <v>42</v>
      </c>
      <c r="Z277">
        <v>35</v>
      </c>
      <c r="AA277">
        <v>1</v>
      </c>
    </row>
    <row r="278" spans="1:27" hidden="1">
      <c r="A278" s="41" t="s">
        <v>236</v>
      </c>
      <c r="B278" s="41">
        <v>3171</v>
      </c>
      <c r="C278" s="41">
        <v>4127</v>
      </c>
      <c r="D278" s="41">
        <v>3524</v>
      </c>
      <c r="E278" s="41">
        <v>3184</v>
      </c>
      <c r="F278" s="41">
        <v>2090</v>
      </c>
      <c r="G278" s="41">
        <v>2207</v>
      </c>
      <c r="H278" s="41">
        <v>2204</v>
      </c>
      <c r="I278" s="41">
        <v>1840</v>
      </c>
      <c r="J278" s="41">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row>
    <row r="279" spans="1:27" hidden="1">
      <c r="A279" s="41" t="s">
        <v>596</v>
      </c>
      <c r="B279" s="41">
        <v>2072</v>
      </c>
      <c r="C279" s="41">
        <v>1791</v>
      </c>
      <c r="D279" s="41">
        <v>1421</v>
      </c>
      <c r="E279" s="41">
        <v>1912</v>
      </c>
      <c r="F279" s="41">
        <v>1584</v>
      </c>
      <c r="G279" s="41">
        <v>1583</v>
      </c>
      <c r="H279" s="41">
        <v>1623</v>
      </c>
      <c r="I279" s="41">
        <v>1306</v>
      </c>
      <c r="J279" s="41">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row>
    <row r="280" spans="1:27" hidden="1">
      <c r="A280" s="41" t="s">
        <v>1257</v>
      </c>
      <c r="B280" s="41">
        <v>187</v>
      </c>
      <c r="C280" s="41">
        <v>195</v>
      </c>
      <c r="D280" s="41">
        <v>162</v>
      </c>
      <c r="E280" s="41">
        <v>91</v>
      </c>
      <c r="F280" s="41">
        <v>296</v>
      </c>
      <c r="G280" s="41">
        <v>376</v>
      </c>
      <c r="H280" s="41">
        <v>287</v>
      </c>
      <c r="I280" s="41">
        <v>274</v>
      </c>
      <c r="J280" s="41">
        <v>175</v>
      </c>
      <c r="K280">
        <v>139</v>
      </c>
      <c r="L280">
        <v>142</v>
      </c>
      <c r="M280">
        <v>137</v>
      </c>
      <c r="N280">
        <v>269</v>
      </c>
      <c r="O280">
        <v>0</v>
      </c>
      <c r="P280">
        <v>0</v>
      </c>
      <c r="Q280">
        <v>0</v>
      </c>
      <c r="R280">
        <v>0</v>
      </c>
      <c r="S280">
        <v>0</v>
      </c>
      <c r="T280">
        <v>0</v>
      </c>
      <c r="U280">
        <v>0</v>
      </c>
      <c r="V280">
        <v>0</v>
      </c>
      <c r="W280">
        <v>0</v>
      </c>
      <c r="X280">
        <v>0</v>
      </c>
      <c r="Y280">
        <v>0</v>
      </c>
      <c r="Z280">
        <v>0</v>
      </c>
      <c r="AA280">
        <v>0</v>
      </c>
    </row>
    <row r="281" spans="1:27" hidden="1">
      <c r="A281" s="41" t="s">
        <v>239</v>
      </c>
      <c r="B281" s="41">
        <v>3502</v>
      </c>
      <c r="C281" s="41">
        <v>2908</v>
      </c>
      <c r="D281" s="41">
        <v>1916</v>
      </c>
      <c r="E281" s="41">
        <v>1345</v>
      </c>
      <c r="F281" s="41">
        <v>1184</v>
      </c>
      <c r="G281" s="41">
        <v>1013</v>
      </c>
      <c r="H281" s="41">
        <v>922</v>
      </c>
      <c r="I281" s="41">
        <v>1373</v>
      </c>
      <c r="J281" s="41">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row>
    <row r="282" spans="1:27" hidden="1">
      <c r="A282" s="41" t="s">
        <v>390</v>
      </c>
      <c r="B282" s="41">
        <v>955</v>
      </c>
      <c r="C282" s="41">
        <v>925</v>
      </c>
      <c r="D282" s="41">
        <v>790</v>
      </c>
      <c r="E282" s="41">
        <v>789</v>
      </c>
      <c r="F282" s="41">
        <v>679</v>
      </c>
      <c r="G282" s="41">
        <v>900</v>
      </c>
      <c r="H282" s="41">
        <v>740</v>
      </c>
      <c r="I282" s="41">
        <v>672</v>
      </c>
      <c r="J282" s="41">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row>
    <row r="283" spans="1:27" hidden="1">
      <c r="A283" s="41" t="s">
        <v>165</v>
      </c>
      <c r="B283" s="41">
        <v>926</v>
      </c>
      <c r="C283" s="41">
        <v>1037</v>
      </c>
      <c r="D283" s="41">
        <v>1105</v>
      </c>
      <c r="E283" s="41">
        <v>1299</v>
      </c>
      <c r="F283" s="41">
        <v>1069</v>
      </c>
      <c r="G283" s="41">
        <v>1267</v>
      </c>
      <c r="H283" s="41">
        <v>832</v>
      </c>
      <c r="I283" s="41">
        <v>1225</v>
      </c>
      <c r="J283" s="41">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row>
    <row r="284" spans="1:27" hidden="1">
      <c r="A284" s="41" t="s">
        <v>101</v>
      </c>
      <c r="B284" s="41">
        <v>3641</v>
      </c>
      <c r="C284" s="41">
        <v>2735</v>
      </c>
      <c r="D284" s="41">
        <v>3567</v>
      </c>
      <c r="E284" s="41">
        <v>2779</v>
      </c>
      <c r="F284" s="41">
        <v>2881</v>
      </c>
      <c r="G284" s="41">
        <v>2559</v>
      </c>
      <c r="H284" s="41">
        <v>2501</v>
      </c>
      <c r="I284" s="41">
        <v>2075</v>
      </c>
      <c r="J284" s="41">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row>
    <row r="285" spans="1:27" hidden="1">
      <c r="A285" s="41" t="s">
        <v>215</v>
      </c>
      <c r="B285" s="41">
        <v>1513</v>
      </c>
      <c r="C285" s="41">
        <v>1383</v>
      </c>
      <c r="D285" s="41">
        <v>1814</v>
      </c>
      <c r="E285" s="41">
        <v>2238</v>
      </c>
      <c r="F285" s="41">
        <v>1732</v>
      </c>
      <c r="G285" s="41">
        <v>1325</v>
      </c>
      <c r="H285" s="41">
        <v>1186</v>
      </c>
      <c r="I285" s="41">
        <v>5017</v>
      </c>
      <c r="J285" s="41">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row>
    <row r="286" spans="1:27" hidden="1">
      <c r="A286" s="41" t="s">
        <v>116</v>
      </c>
      <c r="B286" s="41">
        <v>3781</v>
      </c>
      <c r="C286" s="41">
        <v>2038</v>
      </c>
      <c r="D286" s="41">
        <v>5905</v>
      </c>
      <c r="E286" s="41">
        <v>1004</v>
      </c>
      <c r="F286" s="41">
        <v>817</v>
      </c>
      <c r="G286" s="41">
        <v>984</v>
      </c>
      <c r="H286" s="41">
        <v>795</v>
      </c>
      <c r="I286" s="41">
        <v>1122</v>
      </c>
      <c r="J286" s="41">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row>
    <row r="287" spans="1:27" hidden="1">
      <c r="A287" s="41" t="s">
        <v>550</v>
      </c>
      <c r="B287" s="41">
        <v>2591</v>
      </c>
      <c r="C287" s="41">
        <v>5074</v>
      </c>
      <c r="D287" s="41">
        <v>3286</v>
      </c>
      <c r="E287" s="41">
        <v>4622</v>
      </c>
      <c r="F287" s="41">
        <v>4504</v>
      </c>
      <c r="G287" s="41">
        <v>2900</v>
      </c>
      <c r="H287" s="41">
        <v>1937</v>
      </c>
      <c r="I287" s="41">
        <v>2049</v>
      </c>
      <c r="J287" s="41">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row>
    <row r="288" spans="1:27" hidden="1">
      <c r="A288" s="41" t="s">
        <v>536</v>
      </c>
      <c r="B288" s="41">
        <v>0</v>
      </c>
      <c r="C288" s="41">
        <v>0</v>
      </c>
      <c r="D288" s="41">
        <v>0</v>
      </c>
      <c r="E288" s="41">
        <v>0</v>
      </c>
      <c r="F288" s="41">
        <v>0</v>
      </c>
      <c r="G288" s="41">
        <v>0</v>
      </c>
      <c r="H288" s="41">
        <v>44</v>
      </c>
      <c r="I288" s="41">
        <v>357</v>
      </c>
      <c r="J288" s="41">
        <v>1127</v>
      </c>
      <c r="K288">
        <v>1177</v>
      </c>
      <c r="L288">
        <v>707</v>
      </c>
      <c r="M288">
        <v>531</v>
      </c>
      <c r="N288">
        <v>704</v>
      </c>
      <c r="O288">
        <v>0</v>
      </c>
      <c r="P288">
        <v>0</v>
      </c>
      <c r="Q288">
        <v>0</v>
      </c>
      <c r="R288">
        <v>0</v>
      </c>
      <c r="S288">
        <v>0</v>
      </c>
      <c r="T288">
        <v>0</v>
      </c>
      <c r="U288">
        <v>1</v>
      </c>
      <c r="V288">
        <v>40</v>
      </c>
      <c r="W288">
        <v>101</v>
      </c>
      <c r="X288">
        <v>130</v>
      </c>
      <c r="Y288">
        <v>104</v>
      </c>
      <c r="Z288">
        <v>63</v>
      </c>
      <c r="AA288">
        <v>101</v>
      </c>
    </row>
    <row r="289" spans="1:27" hidden="1">
      <c r="A289" s="41" t="s">
        <v>756</v>
      </c>
      <c r="B289" s="41">
        <v>0</v>
      </c>
      <c r="C289" s="41">
        <v>0</v>
      </c>
      <c r="D289" s="41">
        <v>0</v>
      </c>
      <c r="E289" s="41">
        <v>0</v>
      </c>
      <c r="F289" s="41">
        <v>0</v>
      </c>
      <c r="G289" s="41">
        <v>0</v>
      </c>
      <c r="H289" s="41">
        <v>0</v>
      </c>
      <c r="I289" s="41">
        <v>0</v>
      </c>
      <c r="J289" s="41">
        <v>2</v>
      </c>
      <c r="K289">
        <v>203</v>
      </c>
      <c r="L289">
        <v>248</v>
      </c>
      <c r="M289">
        <v>614</v>
      </c>
      <c r="N289">
        <v>482</v>
      </c>
      <c r="O289">
        <v>0</v>
      </c>
      <c r="P289">
        <v>0</v>
      </c>
      <c r="Q289">
        <v>0</v>
      </c>
      <c r="R289">
        <v>0</v>
      </c>
      <c r="S289">
        <v>0</v>
      </c>
      <c r="T289">
        <v>0</v>
      </c>
      <c r="U289">
        <v>0</v>
      </c>
      <c r="V289">
        <v>0</v>
      </c>
      <c r="W289">
        <v>0</v>
      </c>
      <c r="X289">
        <v>89</v>
      </c>
      <c r="Y289">
        <v>52</v>
      </c>
      <c r="Z289">
        <v>106</v>
      </c>
      <c r="AA289">
        <v>93</v>
      </c>
    </row>
    <row r="290" spans="1:27" hidden="1">
      <c r="A290" s="41" t="s">
        <v>485</v>
      </c>
      <c r="B290" s="41">
        <v>1239</v>
      </c>
      <c r="C290" s="41">
        <v>1186</v>
      </c>
      <c r="D290" s="41">
        <v>1067</v>
      </c>
      <c r="E290" s="41">
        <v>1047</v>
      </c>
      <c r="F290" s="41">
        <v>773</v>
      </c>
      <c r="G290" s="41">
        <v>930</v>
      </c>
      <c r="H290" s="41">
        <v>776</v>
      </c>
      <c r="I290" s="41">
        <v>897</v>
      </c>
      <c r="J290" s="41">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row>
    <row r="291" spans="1:27" hidden="1">
      <c r="A291" s="41" t="s">
        <v>281</v>
      </c>
      <c r="B291" s="41">
        <v>797</v>
      </c>
      <c r="C291" s="41">
        <v>765</v>
      </c>
      <c r="D291" s="41">
        <v>729</v>
      </c>
      <c r="E291" s="41">
        <v>1009</v>
      </c>
      <c r="F291" s="41">
        <v>1347</v>
      </c>
      <c r="G291" s="41">
        <v>818</v>
      </c>
      <c r="H291" s="41">
        <v>567</v>
      </c>
      <c r="I291" s="41">
        <v>633</v>
      </c>
      <c r="J291" s="41">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row>
    <row r="292" spans="1:27" hidden="1">
      <c r="A292" s="41" t="s">
        <v>223</v>
      </c>
      <c r="B292" s="41">
        <v>0</v>
      </c>
      <c r="C292" s="41">
        <v>296</v>
      </c>
      <c r="D292" s="41">
        <v>624</v>
      </c>
      <c r="E292" s="41">
        <v>1056</v>
      </c>
      <c r="F292" s="41">
        <v>1062</v>
      </c>
      <c r="G292" s="41">
        <v>1368</v>
      </c>
      <c r="H292" s="41">
        <v>1293</v>
      </c>
      <c r="I292" s="41">
        <v>2189</v>
      </c>
      <c r="J292" s="41">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row>
    <row r="293" spans="1:27" hidden="1">
      <c r="A293" s="41" t="s">
        <v>724</v>
      </c>
      <c r="B293" s="41">
        <v>636</v>
      </c>
      <c r="C293" s="41">
        <v>662</v>
      </c>
      <c r="D293" s="41">
        <v>750</v>
      </c>
      <c r="E293" s="41">
        <v>974</v>
      </c>
      <c r="F293" s="41">
        <v>821</v>
      </c>
      <c r="G293" s="41">
        <v>70</v>
      </c>
      <c r="H293" s="41">
        <v>0</v>
      </c>
      <c r="I293" s="41">
        <v>755</v>
      </c>
      <c r="J293" s="41">
        <v>619</v>
      </c>
      <c r="K293">
        <v>607</v>
      </c>
      <c r="L293">
        <v>798</v>
      </c>
      <c r="M293">
        <v>703</v>
      </c>
      <c r="N293">
        <v>959</v>
      </c>
      <c r="O293">
        <v>117</v>
      </c>
      <c r="P293">
        <v>165</v>
      </c>
      <c r="Q293">
        <v>179</v>
      </c>
      <c r="R293">
        <v>278</v>
      </c>
      <c r="S293">
        <v>244</v>
      </c>
      <c r="T293">
        <v>7</v>
      </c>
      <c r="U293">
        <v>0</v>
      </c>
      <c r="V293">
        <v>209</v>
      </c>
      <c r="W293">
        <v>211</v>
      </c>
      <c r="X293">
        <v>165</v>
      </c>
      <c r="Y293">
        <v>267</v>
      </c>
      <c r="Z293">
        <v>243</v>
      </c>
      <c r="AA293">
        <v>299</v>
      </c>
    </row>
    <row r="294" spans="1:27" hidden="1">
      <c r="A294" s="41" t="s">
        <v>545</v>
      </c>
      <c r="B294" s="41">
        <v>0</v>
      </c>
      <c r="C294" s="41">
        <v>905</v>
      </c>
      <c r="D294" s="41">
        <v>885</v>
      </c>
      <c r="E294" s="41">
        <v>1682</v>
      </c>
      <c r="F294" s="41">
        <v>1578</v>
      </c>
      <c r="G294" s="41">
        <v>1430</v>
      </c>
      <c r="H294" s="41">
        <v>1500</v>
      </c>
      <c r="I294" s="41">
        <v>1252</v>
      </c>
      <c r="J294" s="41">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row>
    <row r="295" spans="1:27" hidden="1">
      <c r="A295" s="41" t="s">
        <v>92</v>
      </c>
      <c r="B295" s="41">
        <v>606</v>
      </c>
      <c r="C295" s="41">
        <v>1263</v>
      </c>
      <c r="D295" s="41">
        <v>721</v>
      </c>
      <c r="E295" s="41">
        <v>712</v>
      </c>
      <c r="F295" s="41">
        <v>903</v>
      </c>
      <c r="G295" s="41">
        <v>1130</v>
      </c>
      <c r="H295" s="41">
        <v>605</v>
      </c>
      <c r="I295" s="41">
        <v>2738</v>
      </c>
      <c r="J295" s="41">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row>
    <row r="296" spans="1:27" hidden="1">
      <c r="A296" s="41" t="s">
        <v>718</v>
      </c>
      <c r="B296" s="41">
        <v>0</v>
      </c>
      <c r="C296" s="41">
        <v>181</v>
      </c>
      <c r="D296" s="41">
        <v>325</v>
      </c>
      <c r="E296" s="41">
        <v>325</v>
      </c>
      <c r="F296" s="41">
        <v>316</v>
      </c>
      <c r="G296" s="41">
        <v>407</v>
      </c>
      <c r="H296" s="41">
        <v>711</v>
      </c>
      <c r="I296" s="41">
        <v>844</v>
      </c>
      <c r="J296" s="41">
        <v>694</v>
      </c>
      <c r="K296">
        <v>542</v>
      </c>
      <c r="L296">
        <v>594</v>
      </c>
      <c r="M296">
        <v>625</v>
      </c>
      <c r="N296">
        <v>780</v>
      </c>
      <c r="O296">
        <v>0</v>
      </c>
      <c r="P296">
        <v>50</v>
      </c>
      <c r="Q296">
        <v>68</v>
      </c>
      <c r="R296">
        <v>64</v>
      </c>
      <c r="S296">
        <v>69</v>
      </c>
      <c r="T296">
        <v>77</v>
      </c>
      <c r="U296">
        <v>202</v>
      </c>
      <c r="V296">
        <v>221</v>
      </c>
      <c r="W296">
        <v>210</v>
      </c>
      <c r="X296">
        <v>163</v>
      </c>
      <c r="Y296">
        <v>164</v>
      </c>
      <c r="Z296">
        <v>161</v>
      </c>
      <c r="AA296">
        <v>219</v>
      </c>
    </row>
    <row r="297" spans="1:27" hidden="1">
      <c r="A297" s="41" t="s">
        <v>694</v>
      </c>
      <c r="B297" s="41">
        <v>987</v>
      </c>
      <c r="C297" s="41">
        <v>1274</v>
      </c>
      <c r="D297" s="41">
        <v>947</v>
      </c>
      <c r="E297" s="41">
        <v>936</v>
      </c>
      <c r="F297" s="41">
        <v>1075</v>
      </c>
      <c r="G297" s="41">
        <v>1129</v>
      </c>
      <c r="H297" s="41">
        <v>872</v>
      </c>
      <c r="I297" s="41">
        <v>773</v>
      </c>
      <c r="J297" s="41">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row>
    <row r="298" spans="1:27" hidden="1">
      <c r="A298" s="41" t="s">
        <v>233</v>
      </c>
      <c r="B298" s="41">
        <v>2112</v>
      </c>
      <c r="C298" s="41">
        <v>2248</v>
      </c>
      <c r="D298" s="41">
        <v>1592</v>
      </c>
      <c r="E298" s="41">
        <v>1693</v>
      </c>
      <c r="F298" s="41">
        <v>1282</v>
      </c>
      <c r="G298" s="41">
        <v>1242</v>
      </c>
      <c r="H298" s="41">
        <v>1323</v>
      </c>
      <c r="I298" s="41">
        <v>1508</v>
      </c>
      <c r="J298" s="41">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row>
    <row r="299" spans="1:27" hidden="1">
      <c r="A299" s="41" t="s">
        <v>679</v>
      </c>
      <c r="B299" s="41">
        <v>182</v>
      </c>
      <c r="C299" s="41">
        <v>217</v>
      </c>
      <c r="D299" s="41">
        <v>215</v>
      </c>
      <c r="E299" s="41">
        <v>257</v>
      </c>
      <c r="F299" s="41">
        <v>519</v>
      </c>
      <c r="G299" s="41">
        <v>624</v>
      </c>
      <c r="H299" s="41">
        <v>229</v>
      </c>
      <c r="I299" s="41">
        <v>642</v>
      </c>
      <c r="J299" s="41">
        <v>738</v>
      </c>
      <c r="K299">
        <v>765</v>
      </c>
      <c r="L299">
        <v>716</v>
      </c>
      <c r="M299">
        <v>624</v>
      </c>
      <c r="N299">
        <v>1158</v>
      </c>
      <c r="O299">
        <v>41</v>
      </c>
      <c r="P299">
        <v>36</v>
      </c>
      <c r="Q299">
        <v>48</v>
      </c>
      <c r="R299">
        <v>61</v>
      </c>
      <c r="S299">
        <v>96</v>
      </c>
      <c r="T299">
        <v>120</v>
      </c>
      <c r="U299">
        <v>20</v>
      </c>
      <c r="V299">
        <v>176</v>
      </c>
      <c r="W299">
        <v>200</v>
      </c>
      <c r="X299">
        <v>200</v>
      </c>
      <c r="Y299">
        <v>177</v>
      </c>
      <c r="Z299">
        <v>154</v>
      </c>
      <c r="AA299">
        <v>294</v>
      </c>
    </row>
    <row r="300" spans="1:27" hidden="1">
      <c r="A300" s="41" t="s">
        <v>720</v>
      </c>
      <c r="B300" s="41">
        <v>0</v>
      </c>
      <c r="C300" s="41">
        <v>0</v>
      </c>
      <c r="D300" s="41">
        <v>0</v>
      </c>
      <c r="E300" s="41">
        <v>0</v>
      </c>
      <c r="F300" s="41">
        <v>0</v>
      </c>
      <c r="G300" s="41">
        <v>0</v>
      </c>
      <c r="H300" s="41">
        <v>0</v>
      </c>
      <c r="I300" s="41">
        <v>0</v>
      </c>
      <c r="J300" s="41">
        <v>41</v>
      </c>
      <c r="K300">
        <v>448</v>
      </c>
      <c r="L300">
        <v>475</v>
      </c>
      <c r="M300">
        <v>503</v>
      </c>
      <c r="N300">
        <v>596</v>
      </c>
      <c r="O300">
        <v>0</v>
      </c>
      <c r="P300">
        <v>0</v>
      </c>
      <c r="Q300">
        <v>0</v>
      </c>
      <c r="R300">
        <v>0</v>
      </c>
      <c r="S300">
        <v>0</v>
      </c>
      <c r="T300">
        <v>0</v>
      </c>
      <c r="U300">
        <v>0</v>
      </c>
      <c r="V300">
        <v>0</v>
      </c>
      <c r="W300">
        <v>12</v>
      </c>
      <c r="X300">
        <v>152</v>
      </c>
      <c r="Y300">
        <v>148</v>
      </c>
      <c r="Z300">
        <v>180</v>
      </c>
      <c r="AA300">
        <v>205</v>
      </c>
    </row>
    <row r="301" spans="1:27" hidden="1">
      <c r="A301" s="41" t="s">
        <v>701</v>
      </c>
      <c r="B301" s="41">
        <v>0</v>
      </c>
      <c r="C301" s="41">
        <v>0</v>
      </c>
      <c r="D301" s="41">
        <v>0</v>
      </c>
      <c r="E301" s="41">
        <v>0</v>
      </c>
      <c r="F301" s="41">
        <v>0</v>
      </c>
      <c r="G301" s="41">
        <v>0</v>
      </c>
      <c r="H301" s="41">
        <v>0</v>
      </c>
      <c r="I301" s="41">
        <v>0</v>
      </c>
      <c r="J301" s="41">
        <v>0</v>
      </c>
      <c r="K301">
        <v>136</v>
      </c>
      <c r="L301">
        <v>240</v>
      </c>
      <c r="M301">
        <v>635</v>
      </c>
      <c r="N301">
        <v>979</v>
      </c>
      <c r="O301">
        <v>0</v>
      </c>
      <c r="P301">
        <v>0</v>
      </c>
      <c r="Q301">
        <v>0</v>
      </c>
      <c r="R301">
        <v>0</v>
      </c>
      <c r="S301">
        <v>0</v>
      </c>
      <c r="T301">
        <v>0</v>
      </c>
      <c r="U301">
        <v>0</v>
      </c>
      <c r="V301">
        <v>0</v>
      </c>
      <c r="W301">
        <v>0</v>
      </c>
      <c r="X301">
        <v>39</v>
      </c>
      <c r="Y301">
        <v>90</v>
      </c>
      <c r="Z301">
        <v>230</v>
      </c>
      <c r="AA301">
        <v>343</v>
      </c>
    </row>
    <row r="302" spans="1:27" hidden="1">
      <c r="A302" s="41" t="s">
        <v>210</v>
      </c>
      <c r="B302" s="41">
        <v>2315</v>
      </c>
      <c r="C302" s="41">
        <v>2405</v>
      </c>
      <c r="D302" s="41">
        <v>2006</v>
      </c>
      <c r="E302" s="41">
        <v>1413</v>
      </c>
      <c r="F302" s="41">
        <v>1434</v>
      </c>
      <c r="G302" s="41">
        <v>1782</v>
      </c>
      <c r="H302" s="41">
        <v>1669</v>
      </c>
      <c r="I302" s="41">
        <v>2225</v>
      </c>
      <c r="J302" s="41">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row>
    <row r="303" spans="1:27" hidden="1">
      <c r="A303" s="41" t="s">
        <v>627</v>
      </c>
      <c r="B303" s="41">
        <v>980</v>
      </c>
      <c r="C303" s="41">
        <v>895</v>
      </c>
      <c r="D303" s="41">
        <v>759</v>
      </c>
      <c r="E303" s="41">
        <v>550</v>
      </c>
      <c r="F303" s="41">
        <v>545</v>
      </c>
      <c r="G303" s="41">
        <v>532</v>
      </c>
      <c r="H303" s="41">
        <v>726</v>
      </c>
      <c r="I303" s="41">
        <v>642</v>
      </c>
      <c r="J303" s="41">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row>
    <row r="304" spans="1:27" hidden="1">
      <c r="A304" s="41" t="s">
        <v>425</v>
      </c>
      <c r="B304" s="41">
        <v>1043</v>
      </c>
      <c r="C304" s="41">
        <v>1155</v>
      </c>
      <c r="D304" s="41">
        <v>1282</v>
      </c>
      <c r="E304" s="41">
        <v>1441</v>
      </c>
      <c r="F304" s="41">
        <v>883</v>
      </c>
      <c r="G304" s="41">
        <v>944</v>
      </c>
      <c r="H304" s="41">
        <v>800</v>
      </c>
      <c r="I304" s="41">
        <v>923</v>
      </c>
      <c r="J304" s="41">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row>
    <row r="305" spans="1:27" hidden="1">
      <c r="A305" s="41" t="s">
        <v>267</v>
      </c>
      <c r="B305" s="41">
        <v>565</v>
      </c>
      <c r="C305" s="41">
        <v>576</v>
      </c>
      <c r="D305" s="41">
        <v>298</v>
      </c>
      <c r="E305" s="41">
        <v>435</v>
      </c>
      <c r="F305" s="41">
        <v>442</v>
      </c>
      <c r="G305" s="41">
        <v>682</v>
      </c>
      <c r="H305" s="41">
        <v>1040</v>
      </c>
      <c r="I305" s="41">
        <v>1030</v>
      </c>
      <c r="J305" s="41">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row>
    <row r="306" spans="1:27" hidden="1">
      <c r="A306" s="41" t="s">
        <v>554</v>
      </c>
      <c r="B306" s="41">
        <v>1662</v>
      </c>
      <c r="C306" s="41">
        <v>809</v>
      </c>
      <c r="D306" s="41">
        <v>1176</v>
      </c>
      <c r="E306" s="41">
        <v>2081</v>
      </c>
      <c r="F306" s="41">
        <v>901</v>
      </c>
      <c r="G306" s="41">
        <v>640</v>
      </c>
      <c r="H306" s="41">
        <v>90</v>
      </c>
      <c r="I306" s="41">
        <v>938</v>
      </c>
      <c r="J306" s="41">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row>
    <row r="307" spans="1:27" hidden="1">
      <c r="A307" s="41" t="s">
        <v>742</v>
      </c>
      <c r="B307" s="41">
        <v>859</v>
      </c>
      <c r="C307" s="41">
        <v>860</v>
      </c>
      <c r="D307" s="41">
        <v>1049</v>
      </c>
      <c r="E307" s="41">
        <v>459</v>
      </c>
      <c r="F307" s="41">
        <v>532</v>
      </c>
      <c r="G307" s="41">
        <v>1242</v>
      </c>
      <c r="H307" s="41">
        <v>1354</v>
      </c>
      <c r="I307" s="41">
        <v>1758</v>
      </c>
      <c r="J307" s="41">
        <v>1661</v>
      </c>
      <c r="K307">
        <v>1251</v>
      </c>
      <c r="L307">
        <v>3236</v>
      </c>
      <c r="M307">
        <v>2309</v>
      </c>
      <c r="N307">
        <v>0</v>
      </c>
      <c r="O307">
        <v>150</v>
      </c>
      <c r="P307">
        <v>99</v>
      </c>
      <c r="Q307">
        <v>75</v>
      </c>
      <c r="R307">
        <v>83</v>
      </c>
      <c r="S307">
        <v>85</v>
      </c>
      <c r="T307">
        <v>125</v>
      </c>
      <c r="U307">
        <v>163</v>
      </c>
      <c r="V307">
        <v>142</v>
      </c>
      <c r="W307">
        <v>159</v>
      </c>
      <c r="X307">
        <v>117</v>
      </c>
      <c r="Y307">
        <v>144</v>
      </c>
      <c r="Z307">
        <v>94</v>
      </c>
      <c r="AA307">
        <v>1</v>
      </c>
    </row>
    <row r="308" spans="1:27" hidden="1">
      <c r="A308" s="41" t="s">
        <v>402</v>
      </c>
      <c r="B308" s="41">
        <v>537</v>
      </c>
      <c r="C308" s="41">
        <v>546</v>
      </c>
      <c r="D308" s="41">
        <v>627</v>
      </c>
      <c r="E308" s="41">
        <v>794</v>
      </c>
      <c r="F308" s="41">
        <v>558</v>
      </c>
      <c r="G308" s="41">
        <v>390</v>
      </c>
      <c r="H308" s="41">
        <v>351</v>
      </c>
      <c r="I308" s="41">
        <v>339</v>
      </c>
      <c r="J308" s="41">
        <v>251</v>
      </c>
      <c r="K308">
        <v>0</v>
      </c>
      <c r="L308">
        <v>0</v>
      </c>
      <c r="M308">
        <v>0</v>
      </c>
      <c r="N308">
        <v>0</v>
      </c>
      <c r="O308">
        <v>145</v>
      </c>
      <c r="P308">
        <v>168</v>
      </c>
      <c r="Q308">
        <v>292</v>
      </c>
      <c r="R308">
        <v>397</v>
      </c>
      <c r="S308">
        <v>264</v>
      </c>
      <c r="T308">
        <v>166</v>
      </c>
      <c r="U308">
        <v>121</v>
      </c>
      <c r="V308">
        <v>130</v>
      </c>
      <c r="W308">
        <v>79</v>
      </c>
      <c r="X308">
        <v>2</v>
      </c>
      <c r="Y308">
        <v>1</v>
      </c>
      <c r="Z308">
        <v>0</v>
      </c>
      <c r="AA308">
        <v>0</v>
      </c>
    </row>
    <row r="309" spans="1:27" hidden="1">
      <c r="A309" s="41" t="s">
        <v>39</v>
      </c>
      <c r="B309" s="41">
        <v>4641</v>
      </c>
      <c r="C309" s="41">
        <v>5402</v>
      </c>
      <c r="D309" s="41">
        <v>12968</v>
      </c>
      <c r="E309" s="41">
        <v>405</v>
      </c>
      <c r="F309" s="41">
        <v>4626</v>
      </c>
      <c r="G309" s="41">
        <v>14443</v>
      </c>
      <c r="H309" s="41">
        <v>9978</v>
      </c>
      <c r="I309" s="41">
        <v>9294</v>
      </c>
      <c r="J309" s="41">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row>
    <row r="310" spans="1:27" hidden="1">
      <c r="A310" s="41" t="s">
        <v>439</v>
      </c>
      <c r="B310" s="41">
        <v>142</v>
      </c>
      <c r="C310" s="41">
        <v>784</v>
      </c>
      <c r="D310" s="41">
        <v>1453</v>
      </c>
      <c r="E310" s="41">
        <v>1497</v>
      </c>
      <c r="F310" s="41">
        <v>688</v>
      </c>
      <c r="G310" s="41">
        <v>965</v>
      </c>
      <c r="H310" s="41">
        <v>693</v>
      </c>
      <c r="I310" s="41">
        <v>706</v>
      </c>
      <c r="J310" s="41">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row>
    <row r="311" spans="1:27" hidden="1">
      <c r="A311" s="41" t="s">
        <v>133</v>
      </c>
      <c r="B311" s="41">
        <v>3132</v>
      </c>
      <c r="C311" s="41">
        <v>2039</v>
      </c>
      <c r="D311" s="41">
        <v>3023</v>
      </c>
      <c r="E311" s="41">
        <v>3663</v>
      </c>
      <c r="F311" s="41">
        <v>3838</v>
      </c>
      <c r="G311" s="41">
        <v>4391</v>
      </c>
      <c r="H311" s="41">
        <v>4888</v>
      </c>
      <c r="I311" s="41">
        <v>4759</v>
      </c>
      <c r="J311" s="41">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row>
    <row r="312" spans="1:27" hidden="1">
      <c r="A312" s="41" t="s">
        <v>263</v>
      </c>
      <c r="B312" s="41">
        <v>1659</v>
      </c>
      <c r="C312" s="41">
        <v>1434</v>
      </c>
      <c r="D312" s="41">
        <v>1562</v>
      </c>
      <c r="E312" s="41">
        <v>1244</v>
      </c>
      <c r="F312" s="41">
        <v>1149</v>
      </c>
      <c r="G312" s="41">
        <v>1155</v>
      </c>
      <c r="H312" s="41">
        <v>1334</v>
      </c>
      <c r="I312" s="41">
        <v>1368</v>
      </c>
      <c r="J312" s="41">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row>
    <row r="313" spans="1:27" hidden="1">
      <c r="A313" s="41" t="s">
        <v>212</v>
      </c>
      <c r="B313" s="41">
        <v>876</v>
      </c>
      <c r="C313" s="41">
        <v>860</v>
      </c>
      <c r="D313" s="41">
        <v>1105</v>
      </c>
      <c r="E313" s="41">
        <v>1072</v>
      </c>
      <c r="F313" s="41">
        <v>983</v>
      </c>
      <c r="G313" s="41">
        <v>1089</v>
      </c>
      <c r="H313" s="41">
        <v>848</v>
      </c>
      <c r="I313" s="41">
        <v>1287</v>
      </c>
      <c r="J313" s="41">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row>
    <row r="314" spans="1:27" hidden="1">
      <c r="A314" s="41" t="s">
        <v>710</v>
      </c>
      <c r="B314" s="41">
        <v>997</v>
      </c>
      <c r="C314" s="41">
        <v>1850</v>
      </c>
      <c r="D314" s="41">
        <v>1025</v>
      </c>
      <c r="E314" s="41">
        <v>799</v>
      </c>
      <c r="F314" s="41">
        <v>710</v>
      </c>
      <c r="G314" s="41">
        <v>691</v>
      </c>
      <c r="H314" s="41">
        <v>660</v>
      </c>
      <c r="I314" s="41">
        <v>770</v>
      </c>
      <c r="J314" s="41">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row>
    <row r="315" spans="1:27" hidden="1">
      <c r="A315" s="41" t="s">
        <v>449</v>
      </c>
      <c r="B315" s="41">
        <v>2355</v>
      </c>
      <c r="C315" s="41">
        <v>1934</v>
      </c>
      <c r="D315" s="41">
        <v>2039</v>
      </c>
      <c r="E315" s="41">
        <v>1536</v>
      </c>
      <c r="F315" s="41">
        <v>1410</v>
      </c>
      <c r="G315" s="41">
        <v>1279</v>
      </c>
      <c r="H315" s="41">
        <v>1075</v>
      </c>
      <c r="I315" s="41">
        <v>1303</v>
      </c>
      <c r="J315" s="41">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row>
    <row r="316" spans="1:27" hidden="1">
      <c r="A316" s="41" t="s">
        <v>340</v>
      </c>
      <c r="B316" s="41">
        <v>2621</v>
      </c>
      <c r="C316" s="41">
        <v>2019</v>
      </c>
      <c r="D316" s="41">
        <v>2673</v>
      </c>
      <c r="E316" s="41">
        <v>2544</v>
      </c>
      <c r="F316" s="41">
        <v>1653</v>
      </c>
      <c r="G316" s="41">
        <v>1577</v>
      </c>
      <c r="H316" s="41">
        <v>1246</v>
      </c>
      <c r="I316" s="41">
        <v>1403</v>
      </c>
      <c r="J316" s="41">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row>
    <row r="317" spans="1:27" hidden="1">
      <c r="A317" s="41" t="s">
        <v>658</v>
      </c>
      <c r="B317" s="41">
        <v>0</v>
      </c>
      <c r="C317" s="41">
        <v>0</v>
      </c>
      <c r="D317" s="41">
        <v>11</v>
      </c>
      <c r="E317" s="41">
        <v>1977</v>
      </c>
      <c r="F317" s="41">
        <v>2804</v>
      </c>
      <c r="G317" s="41">
        <v>1930</v>
      </c>
      <c r="H317" s="41">
        <v>863</v>
      </c>
      <c r="I317" s="41">
        <v>540</v>
      </c>
      <c r="J317" s="41">
        <v>582</v>
      </c>
      <c r="K317">
        <v>495</v>
      </c>
      <c r="L317">
        <v>580</v>
      </c>
      <c r="M317">
        <v>742</v>
      </c>
      <c r="N317">
        <v>940</v>
      </c>
      <c r="O317">
        <v>0</v>
      </c>
      <c r="P317">
        <v>0</v>
      </c>
      <c r="Q317">
        <v>0</v>
      </c>
      <c r="R317">
        <v>532</v>
      </c>
      <c r="S317">
        <v>956</v>
      </c>
      <c r="T317">
        <v>628</v>
      </c>
      <c r="U317">
        <v>252</v>
      </c>
      <c r="V317">
        <v>196</v>
      </c>
      <c r="W317">
        <v>219</v>
      </c>
      <c r="X317">
        <v>208</v>
      </c>
      <c r="Y317">
        <v>236</v>
      </c>
      <c r="Z317">
        <v>308</v>
      </c>
      <c r="AA317">
        <v>392</v>
      </c>
    </row>
    <row r="318" spans="1:27" hidden="1">
      <c r="A318" s="41" t="s">
        <v>368</v>
      </c>
      <c r="B318" s="41">
        <v>0</v>
      </c>
      <c r="C318" s="41">
        <v>1336</v>
      </c>
      <c r="D318" s="41">
        <v>1505</v>
      </c>
      <c r="E318" s="41">
        <v>392</v>
      </c>
      <c r="F318" s="41">
        <v>847</v>
      </c>
      <c r="G318" s="41">
        <v>516</v>
      </c>
      <c r="H318" s="41">
        <v>980</v>
      </c>
      <c r="I318" s="41">
        <v>968</v>
      </c>
      <c r="J318" s="41">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row>
    <row r="319" spans="1:27" hidden="1">
      <c r="A319" s="41" t="s">
        <v>138</v>
      </c>
      <c r="B319" s="41">
        <v>1136</v>
      </c>
      <c r="C319" s="41">
        <v>1864</v>
      </c>
      <c r="D319" s="41">
        <v>4153</v>
      </c>
      <c r="E319" s="41">
        <v>4283</v>
      </c>
      <c r="F319" s="41">
        <v>4912</v>
      </c>
      <c r="G319" s="41">
        <v>2632</v>
      </c>
      <c r="H319" s="41">
        <v>1166</v>
      </c>
      <c r="I319" s="41">
        <v>4260</v>
      </c>
      <c r="J319" s="41">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row>
    <row r="320" spans="1:27" hidden="1">
      <c r="A320" s="41" t="s">
        <v>303</v>
      </c>
      <c r="B320" s="41">
        <v>0</v>
      </c>
      <c r="C320" s="41">
        <v>0</v>
      </c>
      <c r="D320" s="41">
        <v>0</v>
      </c>
      <c r="E320" s="41">
        <v>164</v>
      </c>
      <c r="F320" s="41">
        <v>53</v>
      </c>
      <c r="G320" s="41">
        <v>371</v>
      </c>
      <c r="H320" s="41">
        <v>517</v>
      </c>
      <c r="I320" s="41">
        <v>388</v>
      </c>
      <c r="J320" s="41">
        <v>404</v>
      </c>
      <c r="K320">
        <v>419</v>
      </c>
      <c r="L320">
        <v>367</v>
      </c>
      <c r="M320">
        <v>313</v>
      </c>
      <c r="N320">
        <v>340</v>
      </c>
      <c r="O320">
        <v>0</v>
      </c>
      <c r="P320">
        <v>0</v>
      </c>
      <c r="Q320">
        <v>0</v>
      </c>
      <c r="R320">
        <v>43</v>
      </c>
      <c r="S320">
        <v>2</v>
      </c>
      <c r="T320">
        <v>125</v>
      </c>
      <c r="U320">
        <v>225</v>
      </c>
      <c r="V320">
        <v>142</v>
      </c>
      <c r="W320">
        <v>120</v>
      </c>
      <c r="X320">
        <v>170</v>
      </c>
      <c r="Y320">
        <v>132</v>
      </c>
      <c r="Z320">
        <v>82</v>
      </c>
      <c r="AA320">
        <v>112</v>
      </c>
    </row>
    <row r="321" spans="1:27" hidden="1">
      <c r="A321" s="41" t="s">
        <v>290</v>
      </c>
      <c r="B321" s="41">
        <v>0</v>
      </c>
      <c r="C321" s="41">
        <v>0</v>
      </c>
      <c r="D321" s="41">
        <v>0</v>
      </c>
      <c r="E321" s="41">
        <v>0</v>
      </c>
      <c r="F321" s="41">
        <v>0</v>
      </c>
      <c r="G321" s="41">
        <v>0</v>
      </c>
      <c r="H321" s="41">
        <v>1040</v>
      </c>
      <c r="I321" s="41">
        <v>0</v>
      </c>
      <c r="J321" s="41">
        <v>756</v>
      </c>
      <c r="K321">
        <v>1171</v>
      </c>
      <c r="L321">
        <v>1110</v>
      </c>
      <c r="M321">
        <v>1275</v>
      </c>
      <c r="N321">
        <v>0</v>
      </c>
      <c r="O321">
        <v>0</v>
      </c>
      <c r="P321">
        <v>0</v>
      </c>
      <c r="Q321">
        <v>0</v>
      </c>
      <c r="R321">
        <v>0</v>
      </c>
      <c r="S321">
        <v>0</v>
      </c>
      <c r="T321">
        <v>0</v>
      </c>
      <c r="U321">
        <v>374</v>
      </c>
      <c r="V321">
        <v>0</v>
      </c>
      <c r="W321">
        <v>222</v>
      </c>
      <c r="X321">
        <v>287</v>
      </c>
      <c r="Y321">
        <v>167</v>
      </c>
      <c r="Z321">
        <v>150</v>
      </c>
      <c r="AA321">
        <v>0</v>
      </c>
    </row>
    <row r="322" spans="1:27" hidden="1">
      <c r="A322" s="41" t="s">
        <v>505</v>
      </c>
      <c r="B322" s="41">
        <v>0</v>
      </c>
      <c r="C322" s="41">
        <v>435</v>
      </c>
      <c r="D322" s="41">
        <v>405</v>
      </c>
      <c r="E322" s="41">
        <v>972</v>
      </c>
      <c r="F322" s="41">
        <v>925</v>
      </c>
      <c r="G322" s="41">
        <v>761</v>
      </c>
      <c r="H322" s="41">
        <v>830</v>
      </c>
      <c r="I322" s="41">
        <v>1199</v>
      </c>
      <c r="J322" s="41">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row>
    <row r="323" spans="1:27" hidden="1">
      <c r="A323" s="41" t="s">
        <v>222</v>
      </c>
      <c r="B323" s="41">
        <v>0</v>
      </c>
      <c r="C323" s="41">
        <v>0</v>
      </c>
      <c r="D323" s="41">
        <v>356</v>
      </c>
      <c r="E323" s="41">
        <v>1037</v>
      </c>
      <c r="F323" s="41">
        <v>959</v>
      </c>
      <c r="G323" s="41">
        <v>880</v>
      </c>
      <c r="H323" s="41">
        <v>751</v>
      </c>
      <c r="I323" s="41">
        <v>1087</v>
      </c>
      <c r="J323" s="41">
        <v>986</v>
      </c>
      <c r="K323">
        <v>930</v>
      </c>
      <c r="L323">
        <v>962</v>
      </c>
      <c r="M323">
        <v>799</v>
      </c>
      <c r="N323">
        <v>866</v>
      </c>
      <c r="O323">
        <v>0</v>
      </c>
      <c r="P323">
        <v>0</v>
      </c>
      <c r="Q323">
        <v>129</v>
      </c>
      <c r="R323">
        <v>276</v>
      </c>
      <c r="S323">
        <v>248</v>
      </c>
      <c r="T323">
        <v>167</v>
      </c>
      <c r="U323">
        <v>188</v>
      </c>
      <c r="V323">
        <v>328</v>
      </c>
      <c r="W323">
        <v>276</v>
      </c>
      <c r="X323">
        <v>263</v>
      </c>
      <c r="Y323">
        <v>246</v>
      </c>
      <c r="Z323">
        <v>201</v>
      </c>
      <c r="AA323">
        <v>215</v>
      </c>
    </row>
    <row r="324" spans="1:27" hidden="1">
      <c r="A324" s="41" t="s">
        <v>30</v>
      </c>
      <c r="B324" s="41">
        <v>1577</v>
      </c>
      <c r="C324" s="41">
        <v>2979</v>
      </c>
      <c r="D324" s="41">
        <v>2259</v>
      </c>
      <c r="E324" s="41">
        <v>1840</v>
      </c>
      <c r="F324" s="41">
        <v>1839</v>
      </c>
      <c r="G324" s="41">
        <v>2765</v>
      </c>
      <c r="H324" s="41">
        <v>2954</v>
      </c>
      <c r="I324" s="41">
        <v>2655</v>
      </c>
      <c r="J324" s="41">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row>
    <row r="325" spans="1:27" hidden="1">
      <c r="A325" s="41" t="s">
        <v>500</v>
      </c>
      <c r="B325" s="41">
        <v>0</v>
      </c>
      <c r="C325" s="41">
        <v>0</v>
      </c>
      <c r="D325" s="41">
        <v>0</v>
      </c>
      <c r="E325" s="41">
        <v>104</v>
      </c>
      <c r="F325" s="41">
        <v>0</v>
      </c>
      <c r="G325" s="41">
        <v>815</v>
      </c>
      <c r="H325" s="41">
        <v>1012</v>
      </c>
      <c r="I325" s="41">
        <v>957</v>
      </c>
      <c r="J325" s="41">
        <v>975</v>
      </c>
      <c r="K325">
        <v>800</v>
      </c>
      <c r="L325">
        <v>911</v>
      </c>
      <c r="M325">
        <v>550</v>
      </c>
      <c r="N325">
        <v>665</v>
      </c>
      <c r="O325">
        <v>0</v>
      </c>
      <c r="P325">
        <v>0</v>
      </c>
      <c r="Q325">
        <v>0</v>
      </c>
      <c r="R325">
        <v>21</v>
      </c>
      <c r="S325">
        <v>0</v>
      </c>
      <c r="T325">
        <v>346</v>
      </c>
      <c r="U325">
        <v>337</v>
      </c>
      <c r="V325">
        <v>285</v>
      </c>
      <c r="W325">
        <v>309</v>
      </c>
      <c r="X325">
        <v>232</v>
      </c>
      <c r="Y325">
        <v>260</v>
      </c>
      <c r="Z325">
        <v>98</v>
      </c>
      <c r="AA325">
        <v>186</v>
      </c>
    </row>
    <row r="326" spans="1:27" hidden="1">
      <c r="A326" s="41" t="s">
        <v>209</v>
      </c>
      <c r="B326" s="41">
        <v>0</v>
      </c>
      <c r="C326" s="41">
        <v>123</v>
      </c>
      <c r="D326" s="41">
        <v>330</v>
      </c>
      <c r="E326" s="41">
        <v>372</v>
      </c>
      <c r="F326" s="41">
        <v>240</v>
      </c>
      <c r="G326" s="41">
        <v>375</v>
      </c>
      <c r="H326" s="41">
        <v>438</v>
      </c>
      <c r="I326" s="41">
        <v>591</v>
      </c>
      <c r="J326" s="41">
        <v>553</v>
      </c>
      <c r="K326">
        <v>640</v>
      </c>
      <c r="L326">
        <v>248</v>
      </c>
      <c r="M326">
        <v>224</v>
      </c>
      <c r="N326">
        <v>632</v>
      </c>
      <c r="O326">
        <v>0</v>
      </c>
      <c r="P326">
        <v>32</v>
      </c>
      <c r="Q326">
        <v>71</v>
      </c>
      <c r="R326">
        <v>80</v>
      </c>
      <c r="S326">
        <v>61</v>
      </c>
      <c r="T326">
        <v>94</v>
      </c>
      <c r="U326">
        <v>125</v>
      </c>
      <c r="V326">
        <v>216</v>
      </c>
      <c r="W326">
        <v>210</v>
      </c>
      <c r="X326">
        <v>216</v>
      </c>
      <c r="Y326">
        <v>82</v>
      </c>
      <c r="Z326">
        <v>51</v>
      </c>
      <c r="AA326">
        <v>194</v>
      </c>
    </row>
    <row r="327" spans="1:27" hidden="1">
      <c r="A327" s="41" t="s">
        <v>202</v>
      </c>
      <c r="B327" s="41">
        <v>0</v>
      </c>
      <c r="C327" s="41">
        <v>0</v>
      </c>
      <c r="D327" s="41">
        <v>0</v>
      </c>
      <c r="E327" s="41">
        <v>0</v>
      </c>
      <c r="F327" s="41">
        <v>0</v>
      </c>
      <c r="G327" s="41">
        <v>0</v>
      </c>
      <c r="H327" s="41">
        <v>3</v>
      </c>
      <c r="I327" s="41">
        <v>285</v>
      </c>
      <c r="J327" s="41">
        <v>734</v>
      </c>
      <c r="K327">
        <v>788</v>
      </c>
      <c r="L327">
        <v>450</v>
      </c>
      <c r="M327">
        <v>417</v>
      </c>
      <c r="N327">
        <v>668</v>
      </c>
      <c r="O327">
        <v>0</v>
      </c>
      <c r="P327">
        <v>0</v>
      </c>
      <c r="Q327">
        <v>0</v>
      </c>
      <c r="R327">
        <v>0</v>
      </c>
      <c r="S327">
        <v>0</v>
      </c>
      <c r="T327">
        <v>0</v>
      </c>
      <c r="U327">
        <v>0</v>
      </c>
      <c r="V327">
        <v>56</v>
      </c>
      <c r="W327">
        <v>184</v>
      </c>
      <c r="X327">
        <v>193</v>
      </c>
      <c r="Y327">
        <v>82</v>
      </c>
      <c r="Z327">
        <v>146</v>
      </c>
      <c r="AA327">
        <v>155</v>
      </c>
    </row>
    <row r="328" spans="1:27" hidden="1">
      <c r="A328" s="41" t="s">
        <v>57</v>
      </c>
      <c r="B328" s="41">
        <v>0</v>
      </c>
      <c r="C328" s="41">
        <v>0</v>
      </c>
      <c r="D328" s="41">
        <v>822</v>
      </c>
      <c r="E328" s="41">
        <v>1928</v>
      </c>
      <c r="F328" s="41">
        <v>1563</v>
      </c>
      <c r="G328" s="41">
        <v>2064</v>
      </c>
      <c r="H328" s="41">
        <v>2099</v>
      </c>
      <c r="I328" s="41">
        <v>2454</v>
      </c>
      <c r="J328" s="41">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row>
    <row r="329" spans="1:27" hidden="1">
      <c r="A329" s="41" t="s">
        <v>381</v>
      </c>
      <c r="B329" s="41">
        <v>1295</v>
      </c>
      <c r="C329" s="41">
        <v>3249</v>
      </c>
      <c r="D329" s="41">
        <v>2721</v>
      </c>
      <c r="E329" s="41">
        <v>2361</v>
      </c>
      <c r="F329" s="41">
        <v>2349</v>
      </c>
      <c r="G329" s="41">
        <v>1891</v>
      </c>
      <c r="H329" s="41">
        <v>2300</v>
      </c>
      <c r="I329" s="41">
        <v>1954</v>
      </c>
      <c r="J329" s="41">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row>
    <row r="330" spans="1:27" hidden="1">
      <c r="A330" s="41" t="s">
        <v>206</v>
      </c>
      <c r="B330" s="41">
        <v>0</v>
      </c>
      <c r="C330" s="41">
        <v>0</v>
      </c>
      <c r="D330" s="41">
        <v>41</v>
      </c>
      <c r="E330" s="41">
        <v>419</v>
      </c>
      <c r="F330" s="41">
        <v>509</v>
      </c>
      <c r="G330" s="41">
        <v>582</v>
      </c>
      <c r="H330" s="41">
        <v>1850</v>
      </c>
      <c r="I330" s="41">
        <v>1334</v>
      </c>
      <c r="J330" s="41">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row>
    <row r="331" spans="1:27" hidden="1">
      <c r="A331" s="41" t="s">
        <v>56</v>
      </c>
      <c r="B331" s="41">
        <v>0</v>
      </c>
      <c r="C331" s="41">
        <v>0</v>
      </c>
      <c r="D331" s="41">
        <v>136</v>
      </c>
      <c r="E331" s="41">
        <v>1743</v>
      </c>
      <c r="F331" s="41">
        <v>962</v>
      </c>
      <c r="G331" s="41">
        <v>672</v>
      </c>
      <c r="H331" s="41">
        <v>854</v>
      </c>
      <c r="I331" s="41">
        <v>999</v>
      </c>
      <c r="J331" s="41">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row>
    <row r="332" spans="1:27" hidden="1">
      <c r="A332" s="41" t="s">
        <v>695</v>
      </c>
      <c r="B332" s="41">
        <v>0</v>
      </c>
      <c r="C332" s="41">
        <v>0</v>
      </c>
      <c r="D332" s="41">
        <v>1136</v>
      </c>
      <c r="E332" s="41">
        <v>1169</v>
      </c>
      <c r="F332" s="41">
        <v>907</v>
      </c>
      <c r="G332" s="41">
        <v>861</v>
      </c>
      <c r="H332" s="41">
        <v>710</v>
      </c>
      <c r="I332" s="41">
        <v>602</v>
      </c>
      <c r="J332" s="41">
        <v>529</v>
      </c>
      <c r="K332">
        <v>746</v>
      </c>
      <c r="L332">
        <v>600</v>
      </c>
      <c r="M332">
        <v>787</v>
      </c>
      <c r="N332">
        <v>1002</v>
      </c>
      <c r="O332">
        <v>0</v>
      </c>
      <c r="P332">
        <v>0</v>
      </c>
      <c r="Q332">
        <v>297</v>
      </c>
      <c r="R332">
        <v>266</v>
      </c>
      <c r="S332">
        <v>233</v>
      </c>
      <c r="T332">
        <v>247</v>
      </c>
      <c r="U332">
        <v>190</v>
      </c>
      <c r="V332">
        <v>209</v>
      </c>
      <c r="W332">
        <v>146</v>
      </c>
      <c r="X332">
        <v>253</v>
      </c>
      <c r="Y332">
        <v>196</v>
      </c>
      <c r="Z332">
        <v>274</v>
      </c>
      <c r="AA332">
        <v>347</v>
      </c>
    </row>
    <row r="333" spans="1:27" hidden="1">
      <c r="A333" s="41" t="s">
        <v>685</v>
      </c>
      <c r="B333" s="41">
        <v>2010</v>
      </c>
      <c r="C333" s="41">
        <v>3174</v>
      </c>
      <c r="D333" s="41">
        <v>823</v>
      </c>
      <c r="E333" s="41">
        <v>3749</v>
      </c>
      <c r="F333" s="41">
        <v>2541</v>
      </c>
      <c r="G333" s="41">
        <v>2523</v>
      </c>
      <c r="H333" s="41">
        <v>1288</v>
      </c>
      <c r="I333" s="41">
        <v>3176</v>
      </c>
      <c r="J333" s="41">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row>
    <row r="334" spans="1:27" hidden="1">
      <c r="A334" s="41" t="s">
        <v>278</v>
      </c>
      <c r="B334" s="41">
        <v>0</v>
      </c>
      <c r="C334" s="41">
        <v>0</v>
      </c>
      <c r="D334" s="41">
        <v>0</v>
      </c>
      <c r="E334" s="41">
        <v>0</v>
      </c>
      <c r="F334" s="41">
        <v>0</v>
      </c>
      <c r="G334" s="41">
        <v>0</v>
      </c>
      <c r="H334" s="41">
        <v>326</v>
      </c>
      <c r="I334" s="41">
        <v>736</v>
      </c>
      <c r="J334" s="41">
        <v>567</v>
      </c>
      <c r="K334">
        <v>2399</v>
      </c>
      <c r="L334">
        <v>1225</v>
      </c>
      <c r="M334">
        <v>1088</v>
      </c>
      <c r="N334">
        <v>2548</v>
      </c>
      <c r="O334">
        <v>0</v>
      </c>
      <c r="P334">
        <v>0</v>
      </c>
      <c r="Q334">
        <v>0</v>
      </c>
      <c r="R334">
        <v>0</v>
      </c>
      <c r="S334">
        <v>0</v>
      </c>
      <c r="T334">
        <v>0</v>
      </c>
      <c r="U334">
        <v>38</v>
      </c>
      <c r="V334">
        <v>110</v>
      </c>
      <c r="W334">
        <v>53</v>
      </c>
      <c r="X334">
        <v>392</v>
      </c>
      <c r="Y334">
        <v>165</v>
      </c>
      <c r="Z334">
        <v>186</v>
      </c>
      <c r="AA334">
        <v>457</v>
      </c>
    </row>
    <row r="335" spans="1:27" hidden="1">
      <c r="A335" s="41" t="s">
        <v>231</v>
      </c>
      <c r="B335" s="41">
        <v>0</v>
      </c>
      <c r="C335" s="41">
        <v>0</v>
      </c>
      <c r="D335" s="41">
        <v>0</v>
      </c>
      <c r="E335" s="41">
        <v>0</v>
      </c>
      <c r="F335" s="41">
        <v>0</v>
      </c>
      <c r="G335" s="41">
        <v>495</v>
      </c>
      <c r="H335" s="41">
        <v>934</v>
      </c>
      <c r="I335" s="41">
        <v>2236</v>
      </c>
      <c r="J335" s="41">
        <v>1954</v>
      </c>
      <c r="K335">
        <v>1579</v>
      </c>
      <c r="L335">
        <v>1718</v>
      </c>
      <c r="M335">
        <v>2380</v>
      </c>
      <c r="N335">
        <v>1473</v>
      </c>
      <c r="O335">
        <v>0</v>
      </c>
      <c r="P335">
        <v>0</v>
      </c>
      <c r="Q335">
        <v>0</v>
      </c>
      <c r="R335">
        <v>0</v>
      </c>
      <c r="S335">
        <v>0</v>
      </c>
      <c r="T335">
        <v>66</v>
      </c>
      <c r="U335">
        <v>141</v>
      </c>
      <c r="V335">
        <v>309</v>
      </c>
      <c r="W335">
        <v>335</v>
      </c>
      <c r="X335">
        <v>316</v>
      </c>
      <c r="Y335">
        <v>293</v>
      </c>
      <c r="Z335">
        <v>294</v>
      </c>
      <c r="AA335">
        <v>321</v>
      </c>
    </row>
    <row r="336" spans="1:27" hidden="1">
      <c r="A336" s="41" t="s">
        <v>47</v>
      </c>
      <c r="B336" s="41">
        <v>0</v>
      </c>
      <c r="C336" s="41">
        <v>0</v>
      </c>
      <c r="D336" s="41">
        <v>0</v>
      </c>
      <c r="E336" s="41">
        <v>0</v>
      </c>
      <c r="F336" s="41">
        <v>0</v>
      </c>
      <c r="G336" s="41">
        <v>145</v>
      </c>
      <c r="H336" s="41">
        <v>2954</v>
      </c>
      <c r="I336" s="41">
        <v>3011</v>
      </c>
      <c r="J336" s="41">
        <v>1938</v>
      </c>
      <c r="K336">
        <v>2398</v>
      </c>
      <c r="L336">
        <v>2000</v>
      </c>
      <c r="M336">
        <v>2125</v>
      </c>
      <c r="N336">
        <v>2735</v>
      </c>
      <c r="O336">
        <v>0</v>
      </c>
      <c r="P336">
        <v>0</v>
      </c>
      <c r="Q336">
        <v>0</v>
      </c>
      <c r="R336">
        <v>0</v>
      </c>
      <c r="S336">
        <v>0</v>
      </c>
      <c r="T336">
        <v>7</v>
      </c>
      <c r="U336">
        <v>223</v>
      </c>
      <c r="V336">
        <v>540</v>
      </c>
      <c r="W336">
        <v>309</v>
      </c>
      <c r="X336">
        <v>461</v>
      </c>
      <c r="Y336">
        <v>401</v>
      </c>
      <c r="Z336">
        <v>480</v>
      </c>
      <c r="AA336">
        <v>527</v>
      </c>
    </row>
    <row r="337" spans="1:27" hidden="1">
      <c r="A337" s="41" t="s">
        <v>158</v>
      </c>
      <c r="B337" s="41">
        <v>0</v>
      </c>
      <c r="C337" s="41">
        <v>0</v>
      </c>
      <c r="D337" s="41">
        <v>0</v>
      </c>
      <c r="E337" s="41">
        <v>0</v>
      </c>
      <c r="F337" s="41">
        <v>8530</v>
      </c>
      <c r="G337" s="41">
        <v>9175</v>
      </c>
      <c r="H337" s="41">
        <v>7003</v>
      </c>
      <c r="I337" s="41">
        <v>6856</v>
      </c>
      <c r="J337" s="41">
        <v>4631</v>
      </c>
      <c r="K337">
        <v>4375</v>
      </c>
      <c r="L337">
        <v>5819</v>
      </c>
      <c r="M337">
        <v>4976</v>
      </c>
      <c r="N337">
        <v>5695</v>
      </c>
      <c r="O337">
        <v>0</v>
      </c>
      <c r="P337">
        <v>0</v>
      </c>
      <c r="Q337">
        <v>0</v>
      </c>
      <c r="R337">
        <v>0</v>
      </c>
      <c r="S337">
        <v>990</v>
      </c>
      <c r="T337">
        <v>925</v>
      </c>
      <c r="U337">
        <v>759</v>
      </c>
      <c r="V337">
        <v>807</v>
      </c>
      <c r="W337">
        <v>547</v>
      </c>
      <c r="X337">
        <v>684</v>
      </c>
      <c r="Y337">
        <v>677</v>
      </c>
      <c r="Z337">
        <v>660</v>
      </c>
      <c r="AA337">
        <v>887</v>
      </c>
    </row>
    <row r="338" spans="1:27" hidden="1">
      <c r="A338" s="41" t="s">
        <v>337</v>
      </c>
      <c r="B338" s="41">
        <v>0</v>
      </c>
      <c r="C338" s="41">
        <v>0</v>
      </c>
      <c r="D338" s="41">
        <v>0</v>
      </c>
      <c r="E338" s="41">
        <v>0</v>
      </c>
      <c r="F338" s="41">
        <v>0</v>
      </c>
      <c r="G338" s="41">
        <v>334</v>
      </c>
      <c r="H338" s="41">
        <v>456</v>
      </c>
      <c r="I338" s="41">
        <v>562</v>
      </c>
      <c r="J338" s="41">
        <v>607</v>
      </c>
      <c r="K338">
        <v>792</v>
      </c>
      <c r="L338">
        <v>430</v>
      </c>
      <c r="M338">
        <v>476</v>
      </c>
      <c r="N338">
        <v>784</v>
      </c>
      <c r="O338">
        <v>0</v>
      </c>
      <c r="P338">
        <v>0</v>
      </c>
      <c r="Q338">
        <v>0</v>
      </c>
      <c r="R338">
        <v>0</v>
      </c>
      <c r="S338">
        <v>0</v>
      </c>
      <c r="T338">
        <v>41</v>
      </c>
      <c r="U338">
        <v>75</v>
      </c>
      <c r="V338">
        <v>78</v>
      </c>
      <c r="W338">
        <v>88</v>
      </c>
      <c r="X338">
        <v>127</v>
      </c>
      <c r="Y338">
        <v>94</v>
      </c>
      <c r="Z338">
        <v>103</v>
      </c>
      <c r="AA338">
        <v>171</v>
      </c>
    </row>
    <row r="339" spans="1:27" hidden="1">
      <c r="A339" s="41" t="s">
        <v>318</v>
      </c>
      <c r="B339" s="41">
        <v>0</v>
      </c>
      <c r="C339" s="41">
        <v>0</v>
      </c>
      <c r="D339" s="41">
        <v>0</v>
      </c>
      <c r="E339" s="41">
        <v>0</v>
      </c>
      <c r="F339" s="41">
        <v>0</v>
      </c>
      <c r="G339" s="41">
        <v>212</v>
      </c>
      <c r="H339" s="41">
        <v>308</v>
      </c>
      <c r="I339" s="41">
        <v>326</v>
      </c>
      <c r="J339" s="41">
        <v>475</v>
      </c>
      <c r="K339">
        <v>458</v>
      </c>
      <c r="L339">
        <v>458</v>
      </c>
      <c r="M339">
        <v>545</v>
      </c>
      <c r="N339">
        <v>722</v>
      </c>
      <c r="O339">
        <v>0</v>
      </c>
      <c r="P339">
        <v>0</v>
      </c>
      <c r="Q339">
        <v>0</v>
      </c>
      <c r="R339">
        <v>0</v>
      </c>
      <c r="S339">
        <v>0</v>
      </c>
      <c r="T339">
        <v>22</v>
      </c>
      <c r="U339">
        <v>70</v>
      </c>
      <c r="V339">
        <v>87</v>
      </c>
      <c r="W339">
        <v>124</v>
      </c>
      <c r="X339">
        <v>118</v>
      </c>
      <c r="Y339">
        <v>101</v>
      </c>
      <c r="Z339">
        <v>118</v>
      </c>
      <c r="AA339">
        <v>215</v>
      </c>
    </row>
    <row r="340" spans="1:27" hidden="1">
      <c r="A340" s="41" t="s">
        <v>602</v>
      </c>
      <c r="B340" s="41">
        <v>0</v>
      </c>
      <c r="C340" s="41">
        <v>0</v>
      </c>
      <c r="D340" s="41">
        <v>0</v>
      </c>
      <c r="E340" s="41">
        <v>0</v>
      </c>
      <c r="F340" s="41">
        <v>0</v>
      </c>
      <c r="G340" s="41">
        <v>0</v>
      </c>
      <c r="H340" s="41">
        <v>3140</v>
      </c>
      <c r="I340" s="41">
        <v>1959</v>
      </c>
      <c r="J340" s="41">
        <v>4171</v>
      </c>
      <c r="K340">
        <v>3650</v>
      </c>
      <c r="L340">
        <v>3312</v>
      </c>
      <c r="M340">
        <v>4458</v>
      </c>
      <c r="N340">
        <v>4003</v>
      </c>
      <c r="O340">
        <v>0</v>
      </c>
      <c r="P340">
        <v>0</v>
      </c>
      <c r="Q340">
        <v>0</v>
      </c>
      <c r="R340">
        <v>0</v>
      </c>
      <c r="S340">
        <v>0</v>
      </c>
      <c r="T340">
        <v>0</v>
      </c>
      <c r="U340">
        <v>1065</v>
      </c>
      <c r="V340">
        <v>484</v>
      </c>
      <c r="W340">
        <v>1138</v>
      </c>
      <c r="X340">
        <v>1032</v>
      </c>
      <c r="Y340">
        <v>716</v>
      </c>
      <c r="Z340">
        <v>994</v>
      </c>
      <c r="AA340">
        <v>796</v>
      </c>
    </row>
    <row r="341" spans="1:27" hidden="1">
      <c r="A341" s="41" t="s">
        <v>357</v>
      </c>
      <c r="B341" s="41">
        <v>0</v>
      </c>
      <c r="C341" s="41">
        <v>0</v>
      </c>
      <c r="D341" s="41">
        <v>0</v>
      </c>
      <c r="E341" s="41">
        <v>0</v>
      </c>
      <c r="F341" s="41">
        <v>10326</v>
      </c>
      <c r="G341" s="41">
        <v>8337</v>
      </c>
      <c r="H341" s="41">
        <v>7328</v>
      </c>
      <c r="I341" s="41">
        <v>8243</v>
      </c>
      <c r="J341" s="41">
        <v>4856</v>
      </c>
      <c r="K341">
        <v>4622</v>
      </c>
      <c r="L341">
        <v>3425</v>
      </c>
      <c r="M341">
        <v>2313</v>
      </c>
      <c r="N341">
        <v>5707</v>
      </c>
      <c r="O341">
        <v>0</v>
      </c>
      <c r="P341">
        <v>0</v>
      </c>
      <c r="Q341">
        <v>0</v>
      </c>
      <c r="R341">
        <v>0</v>
      </c>
      <c r="S341">
        <v>93</v>
      </c>
      <c r="T341">
        <v>453</v>
      </c>
      <c r="U341">
        <v>411</v>
      </c>
      <c r="V341">
        <v>706</v>
      </c>
      <c r="W341">
        <v>446</v>
      </c>
      <c r="X341">
        <v>721</v>
      </c>
      <c r="Y341">
        <v>363</v>
      </c>
      <c r="Z341">
        <v>426</v>
      </c>
      <c r="AA341">
        <v>1136</v>
      </c>
    </row>
    <row r="342" spans="1:27" hidden="1">
      <c r="A342" s="41" t="s">
        <v>95</v>
      </c>
      <c r="B342" s="41">
        <v>0</v>
      </c>
      <c r="C342" s="41">
        <v>0</v>
      </c>
      <c r="D342" s="41">
        <v>0</v>
      </c>
      <c r="E342" s="41">
        <v>0</v>
      </c>
      <c r="F342" s="41">
        <v>0</v>
      </c>
      <c r="G342" s="41">
        <v>0</v>
      </c>
      <c r="H342" s="41">
        <v>172</v>
      </c>
      <c r="I342" s="41">
        <v>1743</v>
      </c>
      <c r="J342" s="41">
        <v>770</v>
      </c>
      <c r="K342">
        <v>2303</v>
      </c>
      <c r="L342">
        <v>2067</v>
      </c>
      <c r="M342">
        <v>1775</v>
      </c>
      <c r="N342">
        <v>1828</v>
      </c>
      <c r="O342">
        <v>0</v>
      </c>
      <c r="P342">
        <v>0</v>
      </c>
      <c r="Q342">
        <v>0</v>
      </c>
      <c r="R342">
        <v>0</v>
      </c>
      <c r="S342">
        <v>0</v>
      </c>
      <c r="T342">
        <v>0</v>
      </c>
      <c r="U342">
        <v>27</v>
      </c>
      <c r="V342">
        <v>424</v>
      </c>
      <c r="W342">
        <v>151</v>
      </c>
      <c r="X342">
        <v>597</v>
      </c>
      <c r="Y342">
        <v>594</v>
      </c>
      <c r="Z342">
        <v>505</v>
      </c>
      <c r="AA342">
        <v>493</v>
      </c>
    </row>
    <row r="343" spans="1:27" hidden="1">
      <c r="A343" s="41" t="s">
        <v>205</v>
      </c>
      <c r="B343" s="41">
        <v>0</v>
      </c>
      <c r="C343" s="41">
        <v>0</v>
      </c>
      <c r="D343" s="41">
        <v>0</v>
      </c>
      <c r="E343" s="41">
        <v>0</v>
      </c>
      <c r="F343" s="41">
        <v>8752</v>
      </c>
      <c r="G343" s="41">
        <v>12087</v>
      </c>
      <c r="H343" s="41">
        <v>10201</v>
      </c>
      <c r="I343" s="41">
        <v>8685</v>
      </c>
      <c r="J343" s="41">
        <v>6433</v>
      </c>
      <c r="K343">
        <v>6174</v>
      </c>
      <c r="L343">
        <v>7717</v>
      </c>
      <c r="M343">
        <v>6267</v>
      </c>
      <c r="N343">
        <v>6149</v>
      </c>
      <c r="O343">
        <v>0</v>
      </c>
      <c r="P343">
        <v>0</v>
      </c>
      <c r="Q343">
        <v>0</v>
      </c>
      <c r="R343">
        <v>0</v>
      </c>
      <c r="S343">
        <v>398</v>
      </c>
      <c r="T343">
        <v>564</v>
      </c>
      <c r="U343">
        <v>483</v>
      </c>
      <c r="V343">
        <v>492</v>
      </c>
      <c r="W343">
        <v>332</v>
      </c>
      <c r="X343">
        <v>359</v>
      </c>
      <c r="Y343">
        <v>559</v>
      </c>
      <c r="Z343">
        <v>342</v>
      </c>
      <c r="AA343">
        <v>404</v>
      </c>
    </row>
    <row r="344" spans="1:27" hidden="1">
      <c r="A344" s="41" t="s">
        <v>549</v>
      </c>
      <c r="B344" s="41">
        <v>0</v>
      </c>
      <c r="C344" s="41">
        <v>0</v>
      </c>
      <c r="D344" s="41">
        <v>0</v>
      </c>
      <c r="E344" s="41">
        <v>0</v>
      </c>
      <c r="F344" s="41">
        <v>0</v>
      </c>
      <c r="G344" s="41">
        <v>436</v>
      </c>
      <c r="H344" s="41">
        <v>0</v>
      </c>
      <c r="I344" s="41">
        <v>0</v>
      </c>
      <c r="J344" s="41">
        <v>564</v>
      </c>
      <c r="K344">
        <v>852</v>
      </c>
      <c r="L344">
        <v>648</v>
      </c>
      <c r="M344">
        <v>473</v>
      </c>
      <c r="N344">
        <v>828</v>
      </c>
      <c r="O344">
        <v>0</v>
      </c>
      <c r="P344">
        <v>0</v>
      </c>
      <c r="Q344">
        <v>0</v>
      </c>
      <c r="R344">
        <v>0</v>
      </c>
      <c r="S344">
        <v>0</v>
      </c>
      <c r="T344">
        <v>94</v>
      </c>
      <c r="U344">
        <v>0</v>
      </c>
      <c r="V344">
        <v>0</v>
      </c>
      <c r="W344">
        <v>68</v>
      </c>
      <c r="X344">
        <v>121</v>
      </c>
      <c r="Y344">
        <v>117</v>
      </c>
      <c r="Z344">
        <v>70</v>
      </c>
      <c r="AA344">
        <v>153</v>
      </c>
    </row>
    <row r="345" spans="1:27" hidden="1">
      <c r="A345" s="41" t="s">
        <v>335</v>
      </c>
      <c r="B345" s="41">
        <v>0</v>
      </c>
      <c r="C345" s="41">
        <v>0</v>
      </c>
      <c r="D345" s="41">
        <v>0</v>
      </c>
      <c r="E345" s="41">
        <v>0</v>
      </c>
      <c r="F345" s="41">
        <v>0</v>
      </c>
      <c r="G345" s="41">
        <v>390</v>
      </c>
      <c r="H345" s="41">
        <v>691</v>
      </c>
      <c r="I345" s="41">
        <v>1148</v>
      </c>
      <c r="J345" s="41">
        <v>1255</v>
      </c>
      <c r="K345">
        <v>1022</v>
      </c>
      <c r="L345">
        <v>2574</v>
      </c>
      <c r="M345">
        <v>4585</v>
      </c>
      <c r="N345">
        <v>2321</v>
      </c>
      <c r="O345">
        <v>0</v>
      </c>
      <c r="P345">
        <v>0</v>
      </c>
      <c r="Q345">
        <v>0</v>
      </c>
      <c r="R345">
        <v>0</v>
      </c>
      <c r="S345">
        <v>0</v>
      </c>
      <c r="T345">
        <v>64</v>
      </c>
      <c r="U345">
        <v>223</v>
      </c>
      <c r="V345">
        <v>342</v>
      </c>
      <c r="W345">
        <v>354</v>
      </c>
      <c r="X345">
        <v>254</v>
      </c>
      <c r="Y345">
        <v>552</v>
      </c>
      <c r="Z345">
        <v>637</v>
      </c>
      <c r="AA345">
        <v>537</v>
      </c>
    </row>
    <row r="346" spans="1:27" hidden="1">
      <c r="A346" s="41" t="s">
        <v>689</v>
      </c>
      <c r="B346" s="41">
        <v>0</v>
      </c>
      <c r="C346" s="41">
        <v>0</v>
      </c>
      <c r="D346" s="41">
        <v>0</v>
      </c>
      <c r="E346" s="41">
        <v>0</v>
      </c>
      <c r="F346" s="41">
        <v>0</v>
      </c>
      <c r="G346" s="41">
        <v>739</v>
      </c>
      <c r="H346" s="41">
        <v>1555</v>
      </c>
      <c r="I346" s="41">
        <v>751</v>
      </c>
      <c r="J346" s="41">
        <v>1647</v>
      </c>
      <c r="K346">
        <v>1035</v>
      </c>
      <c r="L346">
        <v>876</v>
      </c>
      <c r="M346">
        <v>862</v>
      </c>
      <c r="N346">
        <v>926</v>
      </c>
      <c r="O346">
        <v>0</v>
      </c>
      <c r="P346">
        <v>0</v>
      </c>
      <c r="Q346">
        <v>0</v>
      </c>
      <c r="R346">
        <v>0</v>
      </c>
      <c r="S346">
        <v>0</v>
      </c>
      <c r="T346">
        <v>231</v>
      </c>
      <c r="U346">
        <v>657</v>
      </c>
      <c r="V346">
        <v>116</v>
      </c>
      <c r="W346">
        <v>789</v>
      </c>
      <c r="X346">
        <v>342</v>
      </c>
      <c r="Y346">
        <v>305</v>
      </c>
      <c r="Z346">
        <v>258</v>
      </c>
      <c r="AA346">
        <v>282</v>
      </c>
    </row>
    <row r="347" spans="1:27" hidden="1">
      <c r="A347" s="41" t="s">
        <v>428</v>
      </c>
      <c r="B347" s="41">
        <v>0</v>
      </c>
      <c r="C347" s="41">
        <v>0</v>
      </c>
      <c r="D347" s="41">
        <v>0</v>
      </c>
      <c r="E347" s="41">
        <v>0</v>
      </c>
      <c r="F347" s="41">
        <v>98</v>
      </c>
      <c r="G347" s="41">
        <v>561</v>
      </c>
      <c r="H347" s="41">
        <v>584</v>
      </c>
      <c r="I347" s="41">
        <v>524</v>
      </c>
      <c r="J347" s="41">
        <v>632</v>
      </c>
      <c r="K347">
        <v>890</v>
      </c>
      <c r="L347">
        <v>2179</v>
      </c>
      <c r="M347">
        <v>4759</v>
      </c>
      <c r="N347">
        <v>1624</v>
      </c>
      <c r="O347">
        <v>0</v>
      </c>
      <c r="P347">
        <v>0</v>
      </c>
      <c r="Q347">
        <v>0</v>
      </c>
      <c r="R347">
        <v>0</v>
      </c>
      <c r="S347">
        <v>31</v>
      </c>
      <c r="T347">
        <v>125</v>
      </c>
      <c r="U347">
        <v>145</v>
      </c>
      <c r="V347">
        <v>60</v>
      </c>
      <c r="W347">
        <v>162</v>
      </c>
      <c r="X347">
        <v>205</v>
      </c>
      <c r="Y347">
        <v>326</v>
      </c>
      <c r="Z347">
        <v>428</v>
      </c>
      <c r="AA347">
        <v>305</v>
      </c>
    </row>
    <row r="348" spans="1:27" hidden="1">
      <c r="A348" s="41" t="s">
        <v>87</v>
      </c>
      <c r="B348" s="41">
        <v>0</v>
      </c>
      <c r="C348" s="41">
        <v>0</v>
      </c>
      <c r="D348" s="41">
        <v>0</v>
      </c>
      <c r="E348" s="41">
        <v>0</v>
      </c>
      <c r="F348" s="41">
        <v>0</v>
      </c>
      <c r="G348" s="41">
        <v>0</v>
      </c>
      <c r="H348" s="41">
        <v>393</v>
      </c>
      <c r="I348" s="41">
        <v>2532</v>
      </c>
      <c r="J348" s="41">
        <v>2864</v>
      </c>
      <c r="K348">
        <v>3379</v>
      </c>
      <c r="L348">
        <v>2157</v>
      </c>
      <c r="M348">
        <v>2349</v>
      </c>
      <c r="N348">
        <v>2197</v>
      </c>
      <c r="O348">
        <v>0</v>
      </c>
      <c r="P348">
        <v>0</v>
      </c>
      <c r="Q348">
        <v>0</v>
      </c>
      <c r="R348">
        <v>0</v>
      </c>
      <c r="S348">
        <v>0</v>
      </c>
      <c r="T348">
        <v>0</v>
      </c>
      <c r="U348">
        <v>91</v>
      </c>
      <c r="V348">
        <v>796</v>
      </c>
      <c r="W348">
        <v>917</v>
      </c>
      <c r="X348">
        <v>1053</v>
      </c>
      <c r="Y348">
        <v>674</v>
      </c>
      <c r="Z348">
        <v>744</v>
      </c>
      <c r="AA348">
        <v>607</v>
      </c>
    </row>
    <row r="349" spans="1:27" hidden="1">
      <c r="A349" s="41" t="s">
        <v>510</v>
      </c>
      <c r="B349" s="41">
        <v>0</v>
      </c>
      <c r="C349" s="41">
        <v>0</v>
      </c>
      <c r="D349" s="41">
        <v>0</v>
      </c>
      <c r="E349" s="41">
        <v>0</v>
      </c>
      <c r="F349" s="41">
        <v>0</v>
      </c>
      <c r="G349" s="41">
        <v>0</v>
      </c>
      <c r="H349" s="41">
        <v>0</v>
      </c>
      <c r="I349" s="41">
        <v>0</v>
      </c>
      <c r="J349" s="41">
        <v>1557</v>
      </c>
      <c r="K349">
        <v>2098</v>
      </c>
      <c r="L349">
        <v>1575</v>
      </c>
      <c r="M349">
        <v>1557</v>
      </c>
      <c r="N349">
        <v>2041</v>
      </c>
      <c r="O349">
        <v>0</v>
      </c>
      <c r="P349">
        <v>0</v>
      </c>
      <c r="Q349">
        <v>0</v>
      </c>
      <c r="R349">
        <v>0</v>
      </c>
      <c r="S349">
        <v>0</v>
      </c>
      <c r="T349">
        <v>0</v>
      </c>
      <c r="U349">
        <v>0</v>
      </c>
      <c r="V349">
        <v>0</v>
      </c>
      <c r="W349">
        <v>213</v>
      </c>
      <c r="X349">
        <v>263</v>
      </c>
      <c r="Y349">
        <v>232</v>
      </c>
      <c r="Z349">
        <v>253</v>
      </c>
      <c r="AA349">
        <v>326</v>
      </c>
    </row>
    <row r="350" spans="1:27" hidden="1">
      <c r="A350" s="41" t="s">
        <v>711</v>
      </c>
      <c r="B350" s="41">
        <v>0</v>
      </c>
      <c r="C350" s="41">
        <v>0</v>
      </c>
      <c r="D350" s="41">
        <v>0</v>
      </c>
      <c r="E350" s="41">
        <v>0</v>
      </c>
      <c r="F350" s="41">
        <v>0</v>
      </c>
      <c r="G350" s="41">
        <v>12</v>
      </c>
      <c r="H350" s="41">
        <v>279</v>
      </c>
      <c r="I350" s="41">
        <v>1318</v>
      </c>
      <c r="J350" s="41">
        <v>573</v>
      </c>
      <c r="K350">
        <v>395</v>
      </c>
      <c r="L350">
        <v>1570</v>
      </c>
      <c r="M350">
        <v>3596</v>
      </c>
      <c r="N350">
        <v>744</v>
      </c>
      <c r="O350">
        <v>0</v>
      </c>
      <c r="P350">
        <v>0</v>
      </c>
      <c r="Q350">
        <v>0</v>
      </c>
      <c r="R350">
        <v>0</v>
      </c>
      <c r="S350">
        <v>0</v>
      </c>
      <c r="T350">
        <v>0</v>
      </c>
      <c r="U350">
        <v>64</v>
      </c>
      <c r="V350">
        <v>112</v>
      </c>
      <c r="W350">
        <v>138</v>
      </c>
      <c r="X350">
        <v>189</v>
      </c>
      <c r="Y350">
        <v>129</v>
      </c>
      <c r="Z350">
        <v>390</v>
      </c>
      <c r="AA350">
        <v>145</v>
      </c>
    </row>
    <row r="351" spans="1:27" hidden="1">
      <c r="A351" s="41" t="s">
        <v>300</v>
      </c>
      <c r="B351" s="41">
        <v>0</v>
      </c>
      <c r="C351" s="41">
        <v>0</v>
      </c>
      <c r="D351" s="41">
        <v>0</v>
      </c>
      <c r="E351" s="41">
        <v>0</v>
      </c>
      <c r="F351" s="41">
        <v>0</v>
      </c>
      <c r="G351" s="41">
        <v>0</v>
      </c>
      <c r="H351" s="41">
        <v>160</v>
      </c>
      <c r="I351" s="41">
        <v>1483</v>
      </c>
      <c r="J351" s="41">
        <v>2491</v>
      </c>
      <c r="K351">
        <v>3416</v>
      </c>
      <c r="L351">
        <v>3566</v>
      </c>
      <c r="M351">
        <v>1842</v>
      </c>
      <c r="N351">
        <v>3462</v>
      </c>
      <c r="O351">
        <v>0</v>
      </c>
      <c r="P351">
        <v>0</v>
      </c>
      <c r="Q351">
        <v>0</v>
      </c>
      <c r="R351">
        <v>0</v>
      </c>
      <c r="S351">
        <v>0</v>
      </c>
      <c r="T351">
        <v>0</v>
      </c>
      <c r="U351">
        <v>19</v>
      </c>
      <c r="V351">
        <v>248</v>
      </c>
      <c r="W351">
        <v>484</v>
      </c>
      <c r="X351">
        <v>675</v>
      </c>
      <c r="Y351">
        <v>597</v>
      </c>
      <c r="Z351">
        <v>351</v>
      </c>
      <c r="AA351">
        <v>715</v>
      </c>
    </row>
    <row r="352" spans="1:27" hidden="1">
      <c r="A352" s="41" t="s">
        <v>687</v>
      </c>
      <c r="B352" s="41">
        <v>0</v>
      </c>
      <c r="C352" s="41">
        <v>0</v>
      </c>
      <c r="D352" s="41">
        <v>0</v>
      </c>
      <c r="E352" s="41">
        <v>0</v>
      </c>
      <c r="F352" s="41">
        <v>0</v>
      </c>
      <c r="G352" s="41">
        <v>301</v>
      </c>
      <c r="H352" s="41">
        <v>600</v>
      </c>
      <c r="I352" s="41">
        <v>576</v>
      </c>
      <c r="J352" s="41">
        <v>397</v>
      </c>
      <c r="K352">
        <v>653</v>
      </c>
      <c r="L352">
        <v>537</v>
      </c>
      <c r="M352">
        <v>517</v>
      </c>
      <c r="N352">
        <v>550</v>
      </c>
      <c r="O352">
        <v>0</v>
      </c>
      <c r="P352">
        <v>0</v>
      </c>
      <c r="Q352">
        <v>0</v>
      </c>
      <c r="R352">
        <v>0</v>
      </c>
      <c r="S352">
        <v>0</v>
      </c>
      <c r="T352">
        <v>125</v>
      </c>
      <c r="U352">
        <v>294</v>
      </c>
      <c r="V352">
        <v>269</v>
      </c>
      <c r="W352">
        <v>148</v>
      </c>
      <c r="X352">
        <v>243</v>
      </c>
      <c r="Y352">
        <v>229</v>
      </c>
      <c r="Z352">
        <v>175</v>
      </c>
      <c r="AA352">
        <v>249</v>
      </c>
    </row>
    <row r="353" spans="1:27" hidden="1">
      <c r="A353" s="41" t="s">
        <v>698</v>
      </c>
      <c r="B353" s="41">
        <v>0</v>
      </c>
      <c r="C353" s="41">
        <v>0</v>
      </c>
      <c r="D353" s="41">
        <v>0</v>
      </c>
      <c r="E353" s="41">
        <v>0</v>
      </c>
      <c r="F353" s="41">
        <v>0</v>
      </c>
      <c r="G353" s="41">
        <v>138</v>
      </c>
      <c r="H353" s="41">
        <v>416</v>
      </c>
      <c r="I353" s="41">
        <v>484</v>
      </c>
      <c r="J353" s="41">
        <v>540</v>
      </c>
      <c r="K353">
        <v>395</v>
      </c>
      <c r="L353">
        <v>268</v>
      </c>
      <c r="M353">
        <v>489</v>
      </c>
      <c r="N353">
        <v>0</v>
      </c>
      <c r="O353">
        <v>0</v>
      </c>
      <c r="P353">
        <v>0</v>
      </c>
      <c r="Q353">
        <v>0</v>
      </c>
      <c r="R353">
        <v>0</v>
      </c>
      <c r="S353">
        <v>0</v>
      </c>
      <c r="T353">
        <v>36</v>
      </c>
      <c r="U353">
        <v>138</v>
      </c>
      <c r="V353">
        <v>196</v>
      </c>
      <c r="W353">
        <v>216</v>
      </c>
      <c r="X353">
        <v>168</v>
      </c>
      <c r="Y353">
        <v>119</v>
      </c>
      <c r="Z353">
        <v>199</v>
      </c>
      <c r="AA353">
        <v>1</v>
      </c>
    </row>
    <row r="354" spans="1:27" hidden="1">
      <c r="A354" s="41" t="s">
        <v>570</v>
      </c>
      <c r="B354" s="41">
        <v>0</v>
      </c>
      <c r="C354" s="41">
        <v>0</v>
      </c>
      <c r="D354" s="41">
        <v>0</v>
      </c>
      <c r="E354" s="41">
        <v>0</v>
      </c>
      <c r="F354" s="41">
        <v>0</v>
      </c>
      <c r="G354" s="41">
        <v>0</v>
      </c>
      <c r="H354" s="41">
        <v>0</v>
      </c>
      <c r="I354" s="41">
        <v>408</v>
      </c>
      <c r="J354" s="41">
        <v>599</v>
      </c>
      <c r="K354">
        <v>871</v>
      </c>
      <c r="L354">
        <v>557</v>
      </c>
      <c r="M354">
        <v>780</v>
      </c>
      <c r="N354">
        <v>550</v>
      </c>
      <c r="O354">
        <v>0</v>
      </c>
      <c r="P354">
        <v>0</v>
      </c>
      <c r="Q354">
        <v>0</v>
      </c>
      <c r="R354">
        <v>0</v>
      </c>
      <c r="S354">
        <v>0</v>
      </c>
      <c r="T354">
        <v>0</v>
      </c>
      <c r="U354">
        <v>0</v>
      </c>
      <c r="V354">
        <v>122</v>
      </c>
      <c r="W354">
        <v>234</v>
      </c>
      <c r="X354">
        <v>328</v>
      </c>
      <c r="Y354">
        <v>236</v>
      </c>
      <c r="Z354">
        <v>330</v>
      </c>
      <c r="AA354">
        <v>182</v>
      </c>
    </row>
    <row r="355" spans="1:27" hidden="1">
      <c r="A355" s="41" t="s">
        <v>725</v>
      </c>
      <c r="B355" s="41">
        <v>0</v>
      </c>
      <c r="C355" s="41">
        <v>0</v>
      </c>
      <c r="D355" s="41">
        <v>0</v>
      </c>
      <c r="E355" s="41">
        <v>0</v>
      </c>
      <c r="F355" s="41">
        <v>0</v>
      </c>
      <c r="G355" s="41">
        <v>0</v>
      </c>
      <c r="H355" s="41">
        <v>6</v>
      </c>
      <c r="I355" s="41">
        <v>957</v>
      </c>
      <c r="J355" s="41">
        <v>1314</v>
      </c>
      <c r="K355">
        <v>951</v>
      </c>
      <c r="L355">
        <v>1123</v>
      </c>
      <c r="M355">
        <v>1273</v>
      </c>
      <c r="N355">
        <v>1684</v>
      </c>
      <c r="O355">
        <v>0</v>
      </c>
      <c r="P355">
        <v>0</v>
      </c>
      <c r="Q355">
        <v>0</v>
      </c>
      <c r="R355">
        <v>0</v>
      </c>
      <c r="S355">
        <v>0</v>
      </c>
      <c r="T355">
        <v>0</v>
      </c>
      <c r="U355">
        <v>0</v>
      </c>
      <c r="V355">
        <v>116</v>
      </c>
      <c r="W355">
        <v>154</v>
      </c>
      <c r="X355">
        <v>171</v>
      </c>
      <c r="Y355">
        <v>113</v>
      </c>
      <c r="Z355">
        <v>130</v>
      </c>
      <c r="AA355">
        <v>176</v>
      </c>
    </row>
    <row r="356" spans="1:27" hidden="1">
      <c r="A356" s="41" t="s">
        <v>419</v>
      </c>
      <c r="B356" s="41">
        <v>0</v>
      </c>
      <c r="C356" s="41">
        <v>0</v>
      </c>
      <c r="D356" s="41">
        <v>0</v>
      </c>
      <c r="E356" s="41">
        <v>0</v>
      </c>
      <c r="F356" s="41">
        <v>0</v>
      </c>
      <c r="G356" s="41">
        <v>773</v>
      </c>
      <c r="H356" s="41">
        <v>647</v>
      </c>
      <c r="I356" s="41">
        <v>608</v>
      </c>
      <c r="J356" s="41">
        <v>765</v>
      </c>
      <c r="K356">
        <v>794</v>
      </c>
      <c r="L356">
        <v>654</v>
      </c>
      <c r="M356">
        <v>1075</v>
      </c>
      <c r="N356">
        <v>683</v>
      </c>
      <c r="O356">
        <v>0</v>
      </c>
      <c r="P356">
        <v>0</v>
      </c>
      <c r="Q356">
        <v>0</v>
      </c>
      <c r="R356">
        <v>0</v>
      </c>
      <c r="S356">
        <v>0</v>
      </c>
      <c r="T356">
        <v>220</v>
      </c>
      <c r="U356">
        <v>182</v>
      </c>
      <c r="V356">
        <v>221</v>
      </c>
      <c r="W356">
        <v>260</v>
      </c>
      <c r="X356">
        <v>243</v>
      </c>
      <c r="Y356">
        <v>231</v>
      </c>
      <c r="Z356">
        <v>385</v>
      </c>
      <c r="AA356">
        <v>246</v>
      </c>
    </row>
    <row r="357" spans="1:27" hidden="1">
      <c r="A357" s="41" t="s">
        <v>179</v>
      </c>
      <c r="B357" s="41">
        <v>0</v>
      </c>
      <c r="C357" s="41">
        <v>0</v>
      </c>
      <c r="D357" s="41">
        <v>0</v>
      </c>
      <c r="E357" s="41">
        <v>0</v>
      </c>
      <c r="F357" s="41">
        <v>0</v>
      </c>
      <c r="G357" s="41">
        <v>7</v>
      </c>
      <c r="H357" s="41">
        <v>2458</v>
      </c>
      <c r="I357" s="41">
        <v>1177</v>
      </c>
      <c r="J357" s="41">
        <v>1357</v>
      </c>
      <c r="K357">
        <v>1990</v>
      </c>
      <c r="L357">
        <v>2238</v>
      </c>
      <c r="M357">
        <v>2466</v>
      </c>
      <c r="N357">
        <v>2610</v>
      </c>
      <c r="O357">
        <v>0</v>
      </c>
      <c r="P357">
        <v>0</v>
      </c>
      <c r="Q357">
        <v>0</v>
      </c>
      <c r="R357">
        <v>0</v>
      </c>
      <c r="S357">
        <v>0</v>
      </c>
      <c r="T357">
        <v>0</v>
      </c>
      <c r="U357">
        <v>862</v>
      </c>
      <c r="V357">
        <v>311</v>
      </c>
      <c r="W357">
        <v>472</v>
      </c>
      <c r="X357">
        <v>633</v>
      </c>
      <c r="Y357">
        <v>793</v>
      </c>
      <c r="Z357">
        <v>642</v>
      </c>
      <c r="AA357">
        <v>749</v>
      </c>
    </row>
    <row r="358" spans="1:27" hidden="1">
      <c r="A358" s="41" t="s">
        <v>237</v>
      </c>
      <c r="B358" s="41">
        <v>0</v>
      </c>
      <c r="C358" s="41">
        <v>0</v>
      </c>
      <c r="D358" s="41">
        <v>0</v>
      </c>
      <c r="E358" s="41">
        <v>0</v>
      </c>
      <c r="F358" s="41">
        <v>0</v>
      </c>
      <c r="G358" s="41">
        <v>1446</v>
      </c>
      <c r="H358" s="41">
        <v>2491</v>
      </c>
      <c r="I358" s="41">
        <v>3474</v>
      </c>
      <c r="J358" s="41">
        <v>3257</v>
      </c>
      <c r="K358">
        <v>5293</v>
      </c>
      <c r="L358">
        <v>4070</v>
      </c>
      <c r="M358">
        <v>3634</v>
      </c>
      <c r="N358">
        <v>4404</v>
      </c>
      <c r="O358">
        <v>0</v>
      </c>
      <c r="P358">
        <v>0</v>
      </c>
      <c r="Q358">
        <v>0</v>
      </c>
      <c r="R358">
        <v>0</v>
      </c>
      <c r="S358">
        <v>0</v>
      </c>
      <c r="T358">
        <v>399</v>
      </c>
      <c r="U358">
        <v>566</v>
      </c>
      <c r="V358">
        <v>836</v>
      </c>
      <c r="W358">
        <v>784</v>
      </c>
      <c r="X358">
        <v>1447</v>
      </c>
      <c r="Y358">
        <v>1139</v>
      </c>
      <c r="Z358">
        <v>825</v>
      </c>
      <c r="AA358">
        <v>953</v>
      </c>
    </row>
    <row r="359" spans="1:27" hidden="1">
      <c r="A359" s="41" t="s">
        <v>759</v>
      </c>
      <c r="B359" s="41">
        <v>0</v>
      </c>
      <c r="C359" s="41">
        <v>0</v>
      </c>
      <c r="D359" s="41">
        <v>0</v>
      </c>
      <c r="E359" s="41">
        <v>0</v>
      </c>
      <c r="F359" s="41">
        <v>0</v>
      </c>
      <c r="G359" s="41">
        <v>1785</v>
      </c>
      <c r="H359" s="41">
        <v>1444</v>
      </c>
      <c r="I359" s="41">
        <v>1189</v>
      </c>
      <c r="J359" s="41">
        <v>618</v>
      </c>
      <c r="K359">
        <v>291</v>
      </c>
      <c r="L359">
        <v>635</v>
      </c>
      <c r="M359">
        <v>501</v>
      </c>
      <c r="N359">
        <v>658</v>
      </c>
      <c r="O359">
        <v>0</v>
      </c>
      <c r="P359">
        <v>0</v>
      </c>
      <c r="Q359">
        <v>0</v>
      </c>
      <c r="R359">
        <v>0</v>
      </c>
      <c r="S359">
        <v>0</v>
      </c>
      <c r="T359">
        <v>205</v>
      </c>
      <c r="U359">
        <v>289</v>
      </c>
      <c r="V359">
        <v>263</v>
      </c>
      <c r="W359">
        <v>106</v>
      </c>
      <c r="X359">
        <v>80</v>
      </c>
      <c r="Y359">
        <v>76</v>
      </c>
      <c r="Z359">
        <v>68</v>
      </c>
      <c r="AA359">
        <v>112</v>
      </c>
    </row>
    <row r="360" spans="1:27" hidden="1">
      <c r="A360" s="41" t="s">
        <v>33</v>
      </c>
      <c r="B360" s="41">
        <v>0</v>
      </c>
      <c r="C360" s="41">
        <v>0</v>
      </c>
      <c r="D360" s="41">
        <v>0</v>
      </c>
      <c r="E360" s="41">
        <v>0</v>
      </c>
      <c r="F360" s="41">
        <v>0</v>
      </c>
      <c r="G360" s="41">
        <v>0</v>
      </c>
      <c r="H360" s="41">
        <v>0</v>
      </c>
      <c r="I360" s="41">
        <v>762</v>
      </c>
      <c r="J360" s="41">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row>
    <row r="361" spans="1:27" hidden="1">
      <c r="A361" s="41" t="s">
        <v>168</v>
      </c>
      <c r="B361" s="41">
        <v>0</v>
      </c>
      <c r="C361" s="41">
        <v>0</v>
      </c>
      <c r="D361" s="41">
        <v>0</v>
      </c>
      <c r="E361" s="41">
        <v>0</v>
      </c>
      <c r="F361" s="41">
        <v>0</v>
      </c>
      <c r="G361" s="41">
        <v>7630</v>
      </c>
      <c r="H361" s="41">
        <v>2562</v>
      </c>
      <c r="I361" s="41">
        <v>2152</v>
      </c>
      <c r="J361" s="41">
        <v>3470</v>
      </c>
      <c r="K361">
        <v>5129</v>
      </c>
      <c r="L361">
        <v>3255</v>
      </c>
      <c r="M361">
        <v>2612</v>
      </c>
      <c r="N361">
        <v>6158</v>
      </c>
      <c r="O361">
        <v>0</v>
      </c>
      <c r="P361">
        <v>0</v>
      </c>
      <c r="Q361">
        <v>0</v>
      </c>
      <c r="R361">
        <v>0</v>
      </c>
      <c r="S361">
        <v>0</v>
      </c>
      <c r="T361">
        <v>176</v>
      </c>
      <c r="U361">
        <v>639</v>
      </c>
      <c r="V361">
        <v>75</v>
      </c>
      <c r="W361">
        <v>1013</v>
      </c>
      <c r="X361">
        <v>844</v>
      </c>
      <c r="Y361">
        <v>323</v>
      </c>
      <c r="Z361">
        <v>310</v>
      </c>
      <c r="AA361">
        <v>476</v>
      </c>
    </row>
    <row r="362" spans="1:27" hidden="1">
      <c r="A362" s="41" t="s">
        <v>304</v>
      </c>
      <c r="B362" s="41">
        <v>0</v>
      </c>
      <c r="C362" s="41">
        <v>0</v>
      </c>
      <c r="D362" s="41">
        <v>0</v>
      </c>
      <c r="E362" s="41">
        <v>0</v>
      </c>
      <c r="F362" s="41">
        <v>0</v>
      </c>
      <c r="G362" s="41">
        <v>260</v>
      </c>
      <c r="H362" s="41">
        <v>228</v>
      </c>
      <c r="I362" s="41">
        <v>499</v>
      </c>
      <c r="J362" s="41">
        <v>895</v>
      </c>
      <c r="K362">
        <v>947</v>
      </c>
      <c r="L362">
        <v>1210</v>
      </c>
      <c r="M362">
        <v>1576</v>
      </c>
      <c r="N362">
        <v>1459</v>
      </c>
      <c r="O362">
        <v>0</v>
      </c>
      <c r="P362">
        <v>0</v>
      </c>
      <c r="Q362">
        <v>0</v>
      </c>
      <c r="R362">
        <v>0</v>
      </c>
      <c r="S362">
        <v>0</v>
      </c>
      <c r="T362">
        <v>72</v>
      </c>
      <c r="U362">
        <v>46</v>
      </c>
      <c r="V362">
        <v>84</v>
      </c>
      <c r="W362">
        <v>174</v>
      </c>
      <c r="X362">
        <v>238</v>
      </c>
      <c r="Y362">
        <v>296</v>
      </c>
      <c r="Z362">
        <v>354</v>
      </c>
      <c r="AA362">
        <v>337</v>
      </c>
    </row>
    <row r="363" spans="1:27" hidden="1">
      <c r="A363" s="41" t="s">
        <v>308</v>
      </c>
      <c r="B363" s="41">
        <v>0</v>
      </c>
      <c r="C363" s="41">
        <v>0</v>
      </c>
      <c r="D363" s="41">
        <v>0</v>
      </c>
      <c r="E363" s="41">
        <v>74</v>
      </c>
      <c r="F363" s="41">
        <v>732</v>
      </c>
      <c r="G363" s="41">
        <v>2355</v>
      </c>
      <c r="H363" s="41">
        <v>1554</v>
      </c>
      <c r="I363" s="41">
        <v>1083</v>
      </c>
      <c r="J363" s="41">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row>
    <row r="364" spans="1:27" hidden="1">
      <c r="A364" s="41" t="s">
        <v>790</v>
      </c>
      <c r="B364" s="41">
        <v>0</v>
      </c>
      <c r="C364" s="41">
        <v>0</v>
      </c>
      <c r="D364" s="41">
        <v>0</v>
      </c>
      <c r="E364" s="41">
        <v>66</v>
      </c>
      <c r="F364" s="41">
        <v>40</v>
      </c>
      <c r="G364" s="41">
        <v>147</v>
      </c>
      <c r="H364" s="41">
        <v>138</v>
      </c>
      <c r="I364" s="41">
        <v>116</v>
      </c>
      <c r="J364" s="41">
        <v>178</v>
      </c>
      <c r="K364">
        <v>141</v>
      </c>
      <c r="L364">
        <v>183</v>
      </c>
      <c r="M364">
        <v>0</v>
      </c>
      <c r="N364">
        <v>61</v>
      </c>
      <c r="O364">
        <v>0</v>
      </c>
      <c r="P364">
        <v>0</v>
      </c>
      <c r="Q364">
        <v>0</v>
      </c>
      <c r="R364">
        <v>18</v>
      </c>
      <c r="S364">
        <v>12</v>
      </c>
      <c r="T364">
        <v>25</v>
      </c>
      <c r="U364">
        <v>31</v>
      </c>
      <c r="V364">
        <v>27</v>
      </c>
      <c r="W364">
        <v>45</v>
      </c>
      <c r="X364">
        <v>28</v>
      </c>
      <c r="Y364">
        <v>68</v>
      </c>
      <c r="Z364">
        <v>0</v>
      </c>
      <c r="AA364">
        <v>26</v>
      </c>
    </row>
    <row r="365" spans="1:27" hidden="1">
      <c r="A365" s="41" t="s">
        <v>178</v>
      </c>
      <c r="B365" s="41">
        <v>0</v>
      </c>
      <c r="C365" s="41">
        <v>0</v>
      </c>
      <c r="D365" s="41">
        <v>0</v>
      </c>
      <c r="E365" s="41">
        <v>216</v>
      </c>
      <c r="F365" s="41">
        <v>572</v>
      </c>
      <c r="G365" s="41">
        <v>531</v>
      </c>
      <c r="H365" s="41">
        <v>442</v>
      </c>
      <c r="I365" s="41">
        <v>923</v>
      </c>
      <c r="J365" s="41">
        <v>619</v>
      </c>
      <c r="K365">
        <v>960</v>
      </c>
      <c r="L365">
        <v>135</v>
      </c>
      <c r="M365">
        <v>437</v>
      </c>
      <c r="N365">
        <v>1445</v>
      </c>
      <c r="O365">
        <v>0</v>
      </c>
      <c r="P365">
        <v>0</v>
      </c>
      <c r="Q365">
        <v>0</v>
      </c>
      <c r="R365">
        <v>9</v>
      </c>
      <c r="S365">
        <v>92</v>
      </c>
      <c r="T365">
        <v>93</v>
      </c>
      <c r="U365">
        <v>57</v>
      </c>
      <c r="V365">
        <v>145</v>
      </c>
      <c r="W365">
        <v>89</v>
      </c>
      <c r="X365">
        <v>220</v>
      </c>
      <c r="Y365">
        <v>31</v>
      </c>
      <c r="Z365">
        <v>90</v>
      </c>
      <c r="AA365">
        <v>178</v>
      </c>
    </row>
    <row r="366" spans="1:27" hidden="1">
      <c r="A366" s="41" t="s">
        <v>753</v>
      </c>
      <c r="B366" s="41">
        <v>0</v>
      </c>
      <c r="C366" s="41">
        <v>0</v>
      </c>
      <c r="D366" s="41">
        <v>0</v>
      </c>
      <c r="E366" s="41">
        <v>0</v>
      </c>
      <c r="F366" s="41">
        <v>0</v>
      </c>
      <c r="G366" s="41">
        <v>0</v>
      </c>
      <c r="H366" s="41">
        <v>0</v>
      </c>
      <c r="I366" s="41">
        <v>0</v>
      </c>
      <c r="J366" s="41">
        <v>187</v>
      </c>
      <c r="K366">
        <v>988</v>
      </c>
      <c r="L366">
        <v>532</v>
      </c>
      <c r="M366">
        <v>680</v>
      </c>
      <c r="N366">
        <v>0</v>
      </c>
      <c r="O366">
        <v>0</v>
      </c>
      <c r="P366">
        <v>0</v>
      </c>
      <c r="Q366">
        <v>0</v>
      </c>
      <c r="R366">
        <v>0</v>
      </c>
      <c r="S366">
        <v>0</v>
      </c>
      <c r="T366">
        <v>0</v>
      </c>
      <c r="U366">
        <v>0</v>
      </c>
      <c r="V366">
        <v>0</v>
      </c>
      <c r="W366">
        <v>38</v>
      </c>
      <c r="X366">
        <v>121</v>
      </c>
      <c r="Y366">
        <v>86</v>
      </c>
      <c r="Z366">
        <v>89</v>
      </c>
      <c r="AA366">
        <v>0</v>
      </c>
    </row>
    <row r="367" spans="1:27" hidden="1">
      <c r="A367" s="41" t="s">
        <v>287</v>
      </c>
      <c r="B367" s="41">
        <v>0</v>
      </c>
      <c r="C367" s="41">
        <v>0</v>
      </c>
      <c r="D367" s="41">
        <v>0</v>
      </c>
      <c r="E367" s="41">
        <v>0</v>
      </c>
      <c r="F367" s="41">
        <v>0</v>
      </c>
      <c r="G367" s="41">
        <v>0</v>
      </c>
      <c r="H367" s="41">
        <v>0</v>
      </c>
      <c r="I367" s="41">
        <v>15</v>
      </c>
      <c r="J367" s="41">
        <v>282</v>
      </c>
      <c r="K367">
        <v>279</v>
      </c>
      <c r="L367">
        <v>175</v>
      </c>
      <c r="M367">
        <v>310</v>
      </c>
      <c r="N367">
        <v>457</v>
      </c>
      <c r="O367">
        <v>0</v>
      </c>
      <c r="P367">
        <v>0</v>
      </c>
      <c r="Q367">
        <v>0</v>
      </c>
      <c r="R367">
        <v>0</v>
      </c>
      <c r="S367">
        <v>0</v>
      </c>
      <c r="T367">
        <v>0</v>
      </c>
      <c r="U367">
        <v>0</v>
      </c>
      <c r="V367">
        <v>0</v>
      </c>
      <c r="W367">
        <v>50</v>
      </c>
      <c r="X367">
        <v>47</v>
      </c>
      <c r="Y367">
        <v>22</v>
      </c>
      <c r="Z367">
        <v>38</v>
      </c>
      <c r="AA367">
        <v>72</v>
      </c>
    </row>
    <row r="368" spans="1:27" hidden="1">
      <c r="A368" s="41" t="s">
        <v>523</v>
      </c>
      <c r="B368" s="41">
        <v>0</v>
      </c>
      <c r="C368" s="41">
        <v>0</v>
      </c>
      <c r="D368" s="41">
        <v>0</v>
      </c>
      <c r="E368" s="41">
        <v>0</v>
      </c>
      <c r="F368" s="41">
        <v>0</v>
      </c>
      <c r="G368" s="41">
        <v>0</v>
      </c>
      <c r="H368" s="41">
        <v>0</v>
      </c>
      <c r="I368" s="41">
        <v>3</v>
      </c>
      <c r="J368" s="41">
        <v>1632</v>
      </c>
      <c r="K368">
        <v>1654</v>
      </c>
      <c r="L368">
        <v>1612</v>
      </c>
      <c r="M368">
        <v>1324</v>
      </c>
      <c r="N368">
        <v>2097</v>
      </c>
      <c r="O368">
        <v>0</v>
      </c>
      <c r="P368">
        <v>0</v>
      </c>
      <c r="Q368">
        <v>0</v>
      </c>
      <c r="R368">
        <v>0</v>
      </c>
      <c r="S368">
        <v>0</v>
      </c>
      <c r="T368">
        <v>0</v>
      </c>
      <c r="U368">
        <v>0</v>
      </c>
      <c r="V368">
        <v>0</v>
      </c>
      <c r="W368">
        <v>193</v>
      </c>
      <c r="X368">
        <v>226</v>
      </c>
      <c r="Y368">
        <v>213</v>
      </c>
      <c r="Z368">
        <v>212</v>
      </c>
      <c r="AA368">
        <v>353</v>
      </c>
    </row>
    <row r="369" spans="1:27" hidden="1">
      <c r="A369" s="41" t="s">
        <v>192</v>
      </c>
      <c r="B369" s="41">
        <v>0</v>
      </c>
      <c r="C369" s="41">
        <v>0</v>
      </c>
      <c r="D369" s="41">
        <v>0</v>
      </c>
      <c r="E369" s="41">
        <v>0</v>
      </c>
      <c r="F369" s="41">
        <v>0</v>
      </c>
      <c r="G369" s="41">
        <v>0</v>
      </c>
      <c r="H369" s="41">
        <v>0</v>
      </c>
      <c r="I369" s="41">
        <v>0</v>
      </c>
      <c r="J369" s="41">
        <v>0</v>
      </c>
      <c r="K369">
        <v>89</v>
      </c>
      <c r="L369">
        <v>1099</v>
      </c>
      <c r="M369">
        <v>901</v>
      </c>
      <c r="N369">
        <v>1775</v>
      </c>
      <c r="O369">
        <v>0</v>
      </c>
      <c r="P369">
        <v>0</v>
      </c>
      <c r="Q369">
        <v>0</v>
      </c>
      <c r="R369">
        <v>0</v>
      </c>
      <c r="S369">
        <v>0</v>
      </c>
      <c r="T369">
        <v>0</v>
      </c>
      <c r="U369">
        <v>0</v>
      </c>
      <c r="V369">
        <v>0</v>
      </c>
      <c r="W369">
        <v>0</v>
      </c>
      <c r="X369">
        <v>24</v>
      </c>
      <c r="Y369">
        <v>339</v>
      </c>
      <c r="Z369">
        <v>137</v>
      </c>
      <c r="AA369">
        <v>370</v>
      </c>
    </row>
    <row r="370" spans="1:27" hidden="1">
      <c r="A370" s="41" t="s">
        <v>104</v>
      </c>
      <c r="B370" s="41">
        <v>0</v>
      </c>
      <c r="C370" s="41">
        <v>0</v>
      </c>
      <c r="D370" s="41">
        <v>0</v>
      </c>
      <c r="E370" s="41">
        <v>0</v>
      </c>
      <c r="F370" s="41">
        <v>0</v>
      </c>
      <c r="G370" s="41">
        <v>0</v>
      </c>
      <c r="H370" s="41">
        <v>0</v>
      </c>
      <c r="I370" s="41">
        <v>1854</v>
      </c>
      <c r="J370" s="41">
        <v>5025</v>
      </c>
      <c r="K370">
        <v>3061</v>
      </c>
      <c r="L370">
        <v>3625</v>
      </c>
      <c r="M370">
        <v>4380</v>
      </c>
      <c r="N370">
        <v>5852</v>
      </c>
      <c r="O370">
        <v>0</v>
      </c>
      <c r="P370">
        <v>0</v>
      </c>
      <c r="Q370">
        <v>0</v>
      </c>
      <c r="R370">
        <v>0</v>
      </c>
      <c r="S370">
        <v>0</v>
      </c>
      <c r="T370">
        <v>0</v>
      </c>
      <c r="U370">
        <v>0</v>
      </c>
      <c r="V370">
        <v>331</v>
      </c>
      <c r="W370">
        <v>1087</v>
      </c>
      <c r="X370">
        <v>665</v>
      </c>
      <c r="Y370">
        <v>801</v>
      </c>
      <c r="Z370">
        <v>946</v>
      </c>
      <c r="AA370">
        <v>1305</v>
      </c>
    </row>
    <row r="371" spans="1:27" hidden="1">
      <c r="A371" s="41" t="s">
        <v>607</v>
      </c>
      <c r="B371" s="41">
        <v>0</v>
      </c>
      <c r="C371" s="41">
        <v>0</v>
      </c>
      <c r="D371" s="41">
        <v>0</v>
      </c>
      <c r="E371" s="41">
        <v>0</v>
      </c>
      <c r="F371" s="41">
        <v>0</v>
      </c>
      <c r="G371" s="41">
        <v>0</v>
      </c>
      <c r="H371" s="41">
        <v>18</v>
      </c>
      <c r="I371" s="41">
        <v>1584</v>
      </c>
      <c r="J371" s="41">
        <v>722</v>
      </c>
      <c r="K371">
        <v>2957</v>
      </c>
      <c r="L371">
        <v>3729</v>
      </c>
      <c r="M371">
        <v>1711</v>
      </c>
      <c r="N371">
        <v>4745</v>
      </c>
      <c r="O371">
        <v>0</v>
      </c>
      <c r="P371">
        <v>0</v>
      </c>
      <c r="Q371">
        <v>0</v>
      </c>
      <c r="R371">
        <v>0</v>
      </c>
      <c r="S371">
        <v>0</v>
      </c>
      <c r="T371">
        <v>0</v>
      </c>
      <c r="U371">
        <v>0</v>
      </c>
      <c r="V371">
        <v>24</v>
      </c>
      <c r="W371">
        <v>20</v>
      </c>
      <c r="X371">
        <v>87</v>
      </c>
      <c r="Y371">
        <v>66</v>
      </c>
      <c r="Z371">
        <v>67</v>
      </c>
      <c r="AA371">
        <v>201</v>
      </c>
    </row>
    <row r="372" spans="1:27" hidden="1">
      <c r="A372" s="41" t="s">
        <v>251</v>
      </c>
      <c r="B372" s="41">
        <v>0</v>
      </c>
      <c r="C372" s="41">
        <v>0</v>
      </c>
      <c r="D372" s="41">
        <v>0</v>
      </c>
      <c r="E372" s="41">
        <v>0</v>
      </c>
      <c r="F372" s="41">
        <v>0</v>
      </c>
      <c r="G372" s="41">
        <v>0</v>
      </c>
      <c r="H372" s="41">
        <v>0</v>
      </c>
      <c r="I372" s="41">
        <v>169</v>
      </c>
      <c r="J372" s="41">
        <v>1813</v>
      </c>
      <c r="K372">
        <v>5468</v>
      </c>
      <c r="L372">
        <v>2750</v>
      </c>
      <c r="M372">
        <v>2999</v>
      </c>
      <c r="N372">
        <v>5283</v>
      </c>
      <c r="O372">
        <v>0</v>
      </c>
      <c r="P372">
        <v>0</v>
      </c>
      <c r="Q372">
        <v>0</v>
      </c>
      <c r="R372">
        <v>0</v>
      </c>
      <c r="S372">
        <v>0</v>
      </c>
      <c r="T372">
        <v>0</v>
      </c>
      <c r="U372">
        <v>0</v>
      </c>
      <c r="V372">
        <v>48</v>
      </c>
      <c r="W372">
        <v>155</v>
      </c>
      <c r="X372">
        <v>502</v>
      </c>
      <c r="Y372">
        <v>389</v>
      </c>
      <c r="Z372">
        <v>415</v>
      </c>
      <c r="AA372">
        <v>810</v>
      </c>
    </row>
    <row r="373" spans="1:27" hidden="1">
      <c r="A373" s="41" t="s">
        <v>172</v>
      </c>
      <c r="B373" s="41">
        <v>0</v>
      </c>
      <c r="C373" s="41">
        <v>0</v>
      </c>
      <c r="D373" s="41">
        <v>0</v>
      </c>
      <c r="E373" s="41">
        <v>0</v>
      </c>
      <c r="F373" s="41">
        <v>0</v>
      </c>
      <c r="G373" s="41">
        <v>0</v>
      </c>
      <c r="H373" s="41">
        <v>0</v>
      </c>
      <c r="I373" s="41">
        <v>0</v>
      </c>
      <c r="J373" s="41">
        <v>0</v>
      </c>
      <c r="K373">
        <v>1</v>
      </c>
      <c r="L373">
        <v>432</v>
      </c>
      <c r="M373">
        <v>794</v>
      </c>
      <c r="N373">
        <v>1176</v>
      </c>
      <c r="O373">
        <v>0</v>
      </c>
      <c r="P373">
        <v>0</v>
      </c>
      <c r="Q373">
        <v>0</v>
      </c>
      <c r="R373">
        <v>0</v>
      </c>
      <c r="S373">
        <v>0</v>
      </c>
      <c r="T373">
        <v>0</v>
      </c>
      <c r="U373">
        <v>0</v>
      </c>
      <c r="V373">
        <v>0</v>
      </c>
      <c r="W373">
        <v>0</v>
      </c>
      <c r="X373">
        <v>0</v>
      </c>
      <c r="Y373">
        <v>153</v>
      </c>
      <c r="Z373">
        <v>202</v>
      </c>
      <c r="AA373">
        <v>338</v>
      </c>
    </row>
    <row r="374" spans="1:27" hidden="1">
      <c r="A374" s="41" t="s">
        <v>59</v>
      </c>
      <c r="B374" s="41">
        <v>0</v>
      </c>
      <c r="C374" s="41">
        <v>0</v>
      </c>
      <c r="D374" s="41">
        <v>0</v>
      </c>
      <c r="E374" s="41">
        <v>0</v>
      </c>
      <c r="F374" s="41">
        <v>0</v>
      </c>
      <c r="G374" s="41">
        <v>0</v>
      </c>
      <c r="H374" s="41">
        <v>0</v>
      </c>
      <c r="I374" s="41">
        <v>699</v>
      </c>
      <c r="J374" s="41">
        <v>1548</v>
      </c>
      <c r="K374">
        <v>1571</v>
      </c>
      <c r="L374">
        <v>1659</v>
      </c>
      <c r="M374">
        <v>3665</v>
      </c>
      <c r="N374">
        <v>1988</v>
      </c>
      <c r="O374">
        <v>0</v>
      </c>
      <c r="P374">
        <v>0</v>
      </c>
      <c r="Q374">
        <v>0</v>
      </c>
      <c r="R374">
        <v>0</v>
      </c>
      <c r="S374">
        <v>0</v>
      </c>
      <c r="T374">
        <v>0</v>
      </c>
      <c r="U374">
        <v>0</v>
      </c>
      <c r="V374">
        <v>225</v>
      </c>
      <c r="W374">
        <v>396</v>
      </c>
      <c r="X374">
        <v>370</v>
      </c>
      <c r="Y374">
        <v>381</v>
      </c>
      <c r="Z374">
        <v>872</v>
      </c>
      <c r="AA374">
        <v>391</v>
      </c>
    </row>
    <row r="375" spans="1:27" hidden="1">
      <c r="A375" s="41" t="s">
        <v>605</v>
      </c>
      <c r="B375" s="41">
        <v>0</v>
      </c>
      <c r="C375" s="41">
        <v>0</v>
      </c>
      <c r="D375" s="41">
        <v>0</v>
      </c>
      <c r="E375" s="41">
        <v>0</v>
      </c>
      <c r="F375" s="41">
        <v>0</v>
      </c>
      <c r="G375" s="41">
        <v>0</v>
      </c>
      <c r="H375" s="41">
        <v>0</v>
      </c>
      <c r="I375" s="41">
        <v>0</v>
      </c>
      <c r="J375" s="41">
        <v>1598</v>
      </c>
      <c r="K375">
        <v>2982</v>
      </c>
      <c r="L375">
        <v>1770</v>
      </c>
      <c r="M375">
        <v>1550</v>
      </c>
      <c r="N375">
        <v>2410</v>
      </c>
      <c r="O375">
        <v>0</v>
      </c>
      <c r="P375">
        <v>0</v>
      </c>
      <c r="Q375">
        <v>0</v>
      </c>
      <c r="R375">
        <v>0</v>
      </c>
      <c r="S375">
        <v>0</v>
      </c>
      <c r="T375">
        <v>0</v>
      </c>
      <c r="U375">
        <v>0</v>
      </c>
      <c r="V375">
        <v>0</v>
      </c>
      <c r="W375">
        <v>229</v>
      </c>
      <c r="X375">
        <v>547</v>
      </c>
      <c r="Y375">
        <v>284</v>
      </c>
      <c r="Z375">
        <v>264</v>
      </c>
      <c r="AA375">
        <v>322</v>
      </c>
    </row>
    <row r="376" spans="1:27" hidden="1">
      <c r="A376" s="41" t="s">
        <v>312</v>
      </c>
      <c r="B376" s="41">
        <v>0</v>
      </c>
      <c r="C376" s="41">
        <v>0</v>
      </c>
      <c r="D376" s="41">
        <v>0</v>
      </c>
      <c r="E376" s="41">
        <v>0</v>
      </c>
      <c r="F376" s="41">
        <v>0</v>
      </c>
      <c r="G376" s="41">
        <v>0</v>
      </c>
      <c r="H376" s="41">
        <v>0</v>
      </c>
      <c r="I376" s="41">
        <v>0</v>
      </c>
      <c r="J376" s="41">
        <v>0</v>
      </c>
      <c r="K376">
        <v>199</v>
      </c>
      <c r="L376">
        <v>944</v>
      </c>
      <c r="M376">
        <v>1775</v>
      </c>
      <c r="N376">
        <v>2660</v>
      </c>
      <c r="O376">
        <v>0</v>
      </c>
      <c r="P376">
        <v>0</v>
      </c>
      <c r="Q376">
        <v>0</v>
      </c>
      <c r="R376">
        <v>0</v>
      </c>
      <c r="S376">
        <v>0</v>
      </c>
      <c r="T376">
        <v>0</v>
      </c>
      <c r="U376">
        <v>0</v>
      </c>
      <c r="V376">
        <v>0</v>
      </c>
      <c r="W376">
        <v>0</v>
      </c>
      <c r="X376">
        <v>36</v>
      </c>
      <c r="Y376">
        <v>154</v>
      </c>
      <c r="Z376">
        <v>291</v>
      </c>
      <c r="AA376">
        <v>400</v>
      </c>
    </row>
    <row r="377" spans="1:27" hidden="1">
      <c r="A377" s="41" t="s">
        <v>619</v>
      </c>
      <c r="B377" s="41">
        <v>0</v>
      </c>
      <c r="C377" s="41">
        <v>0</v>
      </c>
      <c r="D377" s="41">
        <v>0</v>
      </c>
      <c r="E377" s="41">
        <v>0</v>
      </c>
      <c r="F377" s="41">
        <v>0</v>
      </c>
      <c r="G377" s="41">
        <v>0</v>
      </c>
      <c r="H377" s="41">
        <v>0</v>
      </c>
      <c r="I377" s="41">
        <v>0</v>
      </c>
      <c r="J377" s="41">
        <v>8</v>
      </c>
      <c r="K377">
        <v>1041</v>
      </c>
      <c r="L377">
        <v>1036</v>
      </c>
      <c r="M377">
        <v>1029</v>
      </c>
      <c r="N377">
        <v>2453</v>
      </c>
      <c r="O377">
        <v>0</v>
      </c>
      <c r="P377">
        <v>0</v>
      </c>
      <c r="Q377">
        <v>0</v>
      </c>
      <c r="R377">
        <v>0</v>
      </c>
      <c r="S377">
        <v>0</v>
      </c>
      <c r="T377">
        <v>0</v>
      </c>
      <c r="U377">
        <v>0</v>
      </c>
      <c r="V377">
        <v>0</v>
      </c>
      <c r="W377">
        <v>0</v>
      </c>
      <c r="X377">
        <v>171</v>
      </c>
      <c r="Y377">
        <v>171</v>
      </c>
      <c r="Z377">
        <v>133</v>
      </c>
      <c r="AA377">
        <v>422</v>
      </c>
    </row>
    <row r="378" spans="1:27" hidden="1">
      <c r="A378" s="41" t="s">
        <v>122</v>
      </c>
      <c r="B378" s="41">
        <v>0</v>
      </c>
      <c r="C378" s="41">
        <v>0</v>
      </c>
      <c r="D378" s="41">
        <v>0</v>
      </c>
      <c r="E378" s="41">
        <v>0</v>
      </c>
      <c r="F378" s="41">
        <v>0</v>
      </c>
      <c r="G378" s="41">
        <v>0</v>
      </c>
      <c r="H378" s="41">
        <v>0</v>
      </c>
      <c r="I378" s="41">
        <v>0</v>
      </c>
      <c r="J378" s="41">
        <v>0</v>
      </c>
      <c r="K378">
        <v>365</v>
      </c>
      <c r="L378">
        <v>961</v>
      </c>
      <c r="M378">
        <v>851</v>
      </c>
      <c r="N378">
        <v>1606</v>
      </c>
      <c r="O378">
        <v>0</v>
      </c>
      <c r="P378">
        <v>0</v>
      </c>
      <c r="Q378">
        <v>0</v>
      </c>
      <c r="R378">
        <v>0</v>
      </c>
      <c r="S378">
        <v>0</v>
      </c>
      <c r="T378">
        <v>0</v>
      </c>
      <c r="U378">
        <v>0</v>
      </c>
      <c r="V378">
        <v>0</v>
      </c>
      <c r="W378">
        <v>0</v>
      </c>
      <c r="X378">
        <v>73</v>
      </c>
      <c r="Y378">
        <v>253</v>
      </c>
      <c r="Z378">
        <v>222</v>
      </c>
      <c r="AA378">
        <v>355</v>
      </c>
    </row>
    <row r="379" spans="1:27" hidden="1">
      <c r="A379" s="41" t="s">
        <v>369</v>
      </c>
      <c r="B379" s="41">
        <v>0</v>
      </c>
      <c r="C379" s="41">
        <v>0</v>
      </c>
      <c r="D379" s="41">
        <v>0</v>
      </c>
      <c r="E379" s="41">
        <v>0</v>
      </c>
      <c r="F379" s="41">
        <v>0</v>
      </c>
      <c r="G379" s="41">
        <v>1321</v>
      </c>
      <c r="H379" s="41">
        <v>2615</v>
      </c>
      <c r="I379" s="41">
        <v>2472</v>
      </c>
      <c r="J379" s="41">
        <v>1956</v>
      </c>
      <c r="K379">
        <v>1699</v>
      </c>
      <c r="L379">
        <v>2976</v>
      </c>
      <c r="M379">
        <v>2260</v>
      </c>
      <c r="N379">
        <v>2133</v>
      </c>
      <c r="O379">
        <v>0</v>
      </c>
      <c r="P379">
        <v>0</v>
      </c>
      <c r="Q379">
        <v>0</v>
      </c>
      <c r="R379">
        <v>0</v>
      </c>
      <c r="S379">
        <v>0</v>
      </c>
      <c r="T379">
        <v>111</v>
      </c>
      <c r="U379">
        <v>249</v>
      </c>
      <c r="V379">
        <v>291</v>
      </c>
      <c r="W379">
        <v>336</v>
      </c>
      <c r="X379">
        <v>284</v>
      </c>
      <c r="Y379">
        <v>1193</v>
      </c>
      <c r="Z379">
        <v>335</v>
      </c>
      <c r="AA379">
        <v>341</v>
      </c>
    </row>
    <row r="380" spans="1:27" hidden="1">
      <c r="A380" s="41" t="s">
        <v>196</v>
      </c>
      <c r="B380" s="41">
        <v>0</v>
      </c>
      <c r="C380" s="41">
        <v>0</v>
      </c>
      <c r="D380" s="41">
        <v>0</v>
      </c>
      <c r="E380" s="41">
        <v>0</v>
      </c>
      <c r="F380" s="41">
        <v>0</v>
      </c>
      <c r="G380" s="41">
        <v>0</v>
      </c>
      <c r="H380" s="41">
        <v>0</v>
      </c>
      <c r="I380" s="41">
        <v>0</v>
      </c>
      <c r="J380" s="41">
        <v>168</v>
      </c>
      <c r="K380">
        <v>609</v>
      </c>
      <c r="L380">
        <v>662</v>
      </c>
      <c r="M380">
        <v>945</v>
      </c>
      <c r="N380">
        <v>1137</v>
      </c>
      <c r="O380">
        <v>0</v>
      </c>
      <c r="P380">
        <v>0</v>
      </c>
      <c r="Q380">
        <v>0</v>
      </c>
      <c r="R380">
        <v>0</v>
      </c>
      <c r="S380">
        <v>0</v>
      </c>
      <c r="T380">
        <v>0</v>
      </c>
      <c r="U380">
        <v>0</v>
      </c>
      <c r="V380">
        <v>0</v>
      </c>
      <c r="W380">
        <v>34</v>
      </c>
      <c r="X380">
        <v>143</v>
      </c>
      <c r="Y380">
        <v>141</v>
      </c>
      <c r="Z380">
        <v>221</v>
      </c>
      <c r="AA380">
        <v>241</v>
      </c>
    </row>
    <row r="381" spans="1:27" hidden="1">
      <c r="A381" s="41" t="s">
        <v>213</v>
      </c>
      <c r="B381" s="41">
        <v>0</v>
      </c>
      <c r="C381" s="41">
        <v>0</v>
      </c>
      <c r="D381" s="41">
        <v>0</v>
      </c>
      <c r="E381" s="41">
        <v>0</v>
      </c>
      <c r="F381" s="41">
        <v>0</v>
      </c>
      <c r="G381" s="41">
        <v>0</v>
      </c>
      <c r="H381" s="41">
        <v>0</v>
      </c>
      <c r="I381" s="41">
        <v>0</v>
      </c>
      <c r="J381" s="41">
        <v>677</v>
      </c>
      <c r="K381">
        <v>5736</v>
      </c>
      <c r="L381">
        <v>2881</v>
      </c>
      <c r="M381">
        <v>6153</v>
      </c>
      <c r="N381">
        <v>8709</v>
      </c>
      <c r="O381">
        <v>0</v>
      </c>
      <c r="P381">
        <v>0</v>
      </c>
      <c r="Q381">
        <v>0</v>
      </c>
      <c r="R381">
        <v>0</v>
      </c>
      <c r="S381">
        <v>0</v>
      </c>
      <c r="T381">
        <v>0</v>
      </c>
      <c r="U381">
        <v>0</v>
      </c>
      <c r="V381">
        <v>0</v>
      </c>
      <c r="W381">
        <v>74</v>
      </c>
      <c r="X381">
        <v>1033</v>
      </c>
      <c r="Y381">
        <v>439</v>
      </c>
      <c r="Z381">
        <v>749</v>
      </c>
      <c r="AA381">
        <v>1717</v>
      </c>
    </row>
    <row r="382" spans="1:27" hidden="1">
      <c r="A382" s="41" t="s">
        <v>413</v>
      </c>
      <c r="B382" s="41">
        <v>0</v>
      </c>
      <c r="C382" s="41">
        <v>0</v>
      </c>
      <c r="D382" s="41">
        <v>0</v>
      </c>
      <c r="E382" s="41">
        <v>0</v>
      </c>
      <c r="F382" s="41">
        <v>0</v>
      </c>
      <c r="G382" s="41">
        <v>0</v>
      </c>
      <c r="H382" s="41">
        <v>0</v>
      </c>
      <c r="I382" s="41">
        <v>0</v>
      </c>
      <c r="J382" s="41">
        <v>0</v>
      </c>
      <c r="K382">
        <v>75</v>
      </c>
      <c r="L382">
        <v>647</v>
      </c>
      <c r="M382">
        <v>1370</v>
      </c>
      <c r="N382">
        <v>949</v>
      </c>
      <c r="O382">
        <v>0</v>
      </c>
      <c r="P382">
        <v>0</v>
      </c>
      <c r="Q382">
        <v>0</v>
      </c>
      <c r="R382">
        <v>0</v>
      </c>
      <c r="S382">
        <v>0</v>
      </c>
      <c r="T382">
        <v>0</v>
      </c>
      <c r="U382">
        <v>0</v>
      </c>
      <c r="V382">
        <v>0</v>
      </c>
      <c r="W382">
        <v>0</v>
      </c>
      <c r="X382">
        <v>21</v>
      </c>
      <c r="Y382">
        <v>197</v>
      </c>
      <c r="Z382">
        <v>381</v>
      </c>
      <c r="AA382">
        <v>235</v>
      </c>
    </row>
    <row r="383" spans="1:27" hidden="1">
      <c r="A383" s="41" t="s">
        <v>757</v>
      </c>
      <c r="B383" s="41">
        <v>0</v>
      </c>
      <c r="C383" s="41">
        <v>0</v>
      </c>
      <c r="D383" s="41">
        <v>0</v>
      </c>
      <c r="E383" s="41">
        <v>0</v>
      </c>
      <c r="F383" s="41">
        <v>0</v>
      </c>
      <c r="G383" s="41">
        <v>0</v>
      </c>
      <c r="H383" s="41">
        <v>0</v>
      </c>
      <c r="I383" s="41">
        <v>0</v>
      </c>
      <c r="J383" s="41">
        <v>19</v>
      </c>
      <c r="K383">
        <v>317</v>
      </c>
      <c r="L383">
        <v>353</v>
      </c>
      <c r="M383">
        <v>423</v>
      </c>
      <c r="N383">
        <v>836</v>
      </c>
      <c r="O383">
        <v>0</v>
      </c>
      <c r="P383">
        <v>0</v>
      </c>
      <c r="Q383">
        <v>0</v>
      </c>
      <c r="R383">
        <v>0</v>
      </c>
      <c r="S383">
        <v>0</v>
      </c>
      <c r="T383">
        <v>0</v>
      </c>
      <c r="U383">
        <v>0</v>
      </c>
      <c r="V383">
        <v>0</v>
      </c>
      <c r="W383">
        <v>4</v>
      </c>
      <c r="X383">
        <v>83</v>
      </c>
      <c r="Y383">
        <v>89</v>
      </c>
      <c r="Z383">
        <v>101</v>
      </c>
      <c r="AA383">
        <v>231</v>
      </c>
    </row>
    <row r="384" spans="1:27" hidden="1">
      <c r="A384" s="41" t="s">
        <v>1258</v>
      </c>
      <c r="B384" s="41">
        <v>0</v>
      </c>
      <c r="C384" s="41">
        <v>0</v>
      </c>
      <c r="D384" s="41">
        <v>0</v>
      </c>
      <c r="E384" s="41">
        <v>0</v>
      </c>
      <c r="F384" s="41">
        <v>0</v>
      </c>
      <c r="G384" s="41">
        <v>0</v>
      </c>
      <c r="H384" s="41">
        <v>0</v>
      </c>
      <c r="I384" s="41">
        <v>729</v>
      </c>
      <c r="J384" s="41">
        <v>77</v>
      </c>
      <c r="K384">
        <v>36</v>
      </c>
      <c r="L384">
        <v>48</v>
      </c>
      <c r="M384">
        <v>9</v>
      </c>
      <c r="N384">
        <v>13</v>
      </c>
      <c r="O384">
        <v>0</v>
      </c>
      <c r="P384">
        <v>0</v>
      </c>
      <c r="Q384">
        <v>0</v>
      </c>
      <c r="R384">
        <v>0</v>
      </c>
      <c r="S384">
        <v>0</v>
      </c>
      <c r="T384">
        <v>0</v>
      </c>
      <c r="U384">
        <v>0</v>
      </c>
      <c r="V384">
        <v>0</v>
      </c>
      <c r="W384">
        <v>0</v>
      </c>
      <c r="X384">
        <v>0</v>
      </c>
      <c r="Y384">
        <v>0</v>
      </c>
      <c r="Z384">
        <v>0</v>
      </c>
      <c r="AA384">
        <v>0</v>
      </c>
    </row>
    <row r="385" spans="1:27" hidden="1">
      <c r="A385" s="41" t="s">
        <v>1259</v>
      </c>
      <c r="B385" s="41">
        <v>0</v>
      </c>
      <c r="C385" s="41">
        <v>0</v>
      </c>
      <c r="D385" s="41">
        <v>0</v>
      </c>
      <c r="E385" s="41">
        <v>0</v>
      </c>
      <c r="F385" s="41">
        <v>0</v>
      </c>
      <c r="G385" s="41">
        <v>0</v>
      </c>
      <c r="H385" s="41">
        <v>0</v>
      </c>
      <c r="I385" s="41">
        <v>1351</v>
      </c>
      <c r="J385" s="41">
        <v>465</v>
      </c>
      <c r="K385">
        <v>306</v>
      </c>
      <c r="L385">
        <v>240</v>
      </c>
      <c r="M385">
        <v>151</v>
      </c>
      <c r="N385">
        <v>102</v>
      </c>
      <c r="O385">
        <v>0</v>
      </c>
      <c r="P385">
        <v>0</v>
      </c>
      <c r="Q385">
        <v>0</v>
      </c>
      <c r="R385">
        <v>0</v>
      </c>
      <c r="S385">
        <v>0</v>
      </c>
      <c r="T385">
        <v>0</v>
      </c>
      <c r="U385">
        <v>0</v>
      </c>
      <c r="V385">
        <v>0</v>
      </c>
      <c r="W385">
        <v>0</v>
      </c>
      <c r="X385">
        <v>0</v>
      </c>
      <c r="Y385">
        <v>0</v>
      </c>
      <c r="Z385">
        <v>0</v>
      </c>
      <c r="AA385">
        <v>0</v>
      </c>
    </row>
    <row r="386" spans="1:27" hidden="1">
      <c r="A386" s="41" t="s">
        <v>292</v>
      </c>
      <c r="B386" s="41">
        <v>0</v>
      </c>
      <c r="C386" s="41">
        <v>0</v>
      </c>
      <c r="D386" s="41">
        <v>0</v>
      </c>
      <c r="E386" s="41">
        <v>0</v>
      </c>
      <c r="F386" s="41">
        <v>0</v>
      </c>
      <c r="G386" s="41">
        <v>0</v>
      </c>
      <c r="H386" s="41">
        <v>0</v>
      </c>
      <c r="I386" s="41">
        <v>0</v>
      </c>
      <c r="J386" s="41">
        <v>0</v>
      </c>
      <c r="K386">
        <v>574</v>
      </c>
      <c r="L386">
        <v>1481</v>
      </c>
      <c r="M386">
        <v>1922</v>
      </c>
      <c r="N386">
        <v>2377</v>
      </c>
      <c r="O386">
        <v>0</v>
      </c>
      <c r="P386">
        <v>0</v>
      </c>
      <c r="Q386">
        <v>0</v>
      </c>
      <c r="R386">
        <v>0</v>
      </c>
      <c r="S386">
        <v>0</v>
      </c>
      <c r="T386">
        <v>0</v>
      </c>
      <c r="U386">
        <v>0</v>
      </c>
      <c r="V386">
        <v>0</v>
      </c>
      <c r="W386">
        <v>0</v>
      </c>
      <c r="X386">
        <v>4</v>
      </c>
      <c r="Y386">
        <v>102</v>
      </c>
      <c r="Z386">
        <v>153</v>
      </c>
      <c r="AA386">
        <v>215</v>
      </c>
    </row>
    <row r="387" spans="1:27" hidden="1">
      <c r="A387" s="41" t="s">
        <v>779</v>
      </c>
      <c r="B387" s="41">
        <v>0</v>
      </c>
      <c r="C387" s="41">
        <v>0</v>
      </c>
      <c r="D387" s="41">
        <v>0</v>
      </c>
      <c r="E387" s="41">
        <v>0</v>
      </c>
      <c r="F387" s="41">
        <v>0</v>
      </c>
      <c r="G387" s="41">
        <v>0</v>
      </c>
      <c r="H387" s="41">
        <v>0</v>
      </c>
      <c r="I387" s="41">
        <v>0</v>
      </c>
      <c r="J387" s="41">
        <v>0</v>
      </c>
      <c r="K387">
        <v>8</v>
      </c>
      <c r="L387">
        <v>98</v>
      </c>
      <c r="M387">
        <v>578</v>
      </c>
      <c r="N387">
        <v>559</v>
      </c>
      <c r="O387">
        <v>0</v>
      </c>
      <c r="P387">
        <v>0</v>
      </c>
      <c r="Q387">
        <v>0</v>
      </c>
      <c r="R387">
        <v>0</v>
      </c>
      <c r="S387">
        <v>0</v>
      </c>
      <c r="T387">
        <v>0</v>
      </c>
      <c r="U387">
        <v>0</v>
      </c>
      <c r="V387">
        <v>0</v>
      </c>
      <c r="W387">
        <v>0</v>
      </c>
      <c r="X387">
        <v>0</v>
      </c>
      <c r="Y387">
        <v>15</v>
      </c>
      <c r="Z387">
        <v>78</v>
      </c>
      <c r="AA387">
        <v>75</v>
      </c>
    </row>
    <row r="388" spans="1:27" hidden="1">
      <c r="A388" s="41" t="s">
        <v>776</v>
      </c>
      <c r="B388" s="41">
        <v>0</v>
      </c>
      <c r="C388" s="41">
        <v>0</v>
      </c>
      <c r="D388" s="41">
        <v>0</v>
      </c>
      <c r="E388" s="41">
        <v>0</v>
      </c>
      <c r="F388" s="41">
        <v>0</v>
      </c>
      <c r="G388" s="41">
        <v>0</v>
      </c>
      <c r="H388" s="41">
        <v>0</v>
      </c>
      <c r="I388" s="41">
        <v>0</v>
      </c>
      <c r="J388" s="41">
        <v>0</v>
      </c>
      <c r="K388">
        <v>30</v>
      </c>
      <c r="L388">
        <v>119</v>
      </c>
      <c r="M388">
        <v>327</v>
      </c>
      <c r="N388">
        <v>295</v>
      </c>
      <c r="O388">
        <v>0</v>
      </c>
      <c r="P388">
        <v>0</v>
      </c>
      <c r="Q388">
        <v>0</v>
      </c>
      <c r="R388">
        <v>0</v>
      </c>
      <c r="S388">
        <v>0</v>
      </c>
      <c r="T388">
        <v>0</v>
      </c>
      <c r="U388">
        <v>0</v>
      </c>
      <c r="V388">
        <v>0</v>
      </c>
      <c r="W388">
        <v>0</v>
      </c>
      <c r="X388">
        <v>0</v>
      </c>
      <c r="Y388">
        <v>15</v>
      </c>
      <c r="Z388">
        <v>43</v>
      </c>
      <c r="AA388">
        <v>53</v>
      </c>
    </row>
    <row r="389" spans="1:27" hidden="1">
      <c r="A389" s="41" t="s">
        <v>1260</v>
      </c>
      <c r="B389" s="41">
        <v>0</v>
      </c>
      <c r="C389" s="41">
        <v>0</v>
      </c>
      <c r="D389" s="41">
        <v>0</v>
      </c>
      <c r="E389" s="41">
        <v>0</v>
      </c>
      <c r="F389" s="41">
        <v>0</v>
      </c>
      <c r="G389" s="41">
        <v>0</v>
      </c>
      <c r="H389" s="41">
        <v>0</v>
      </c>
      <c r="I389" s="41">
        <v>1661</v>
      </c>
      <c r="J389" s="41">
        <v>427</v>
      </c>
      <c r="K389">
        <v>205</v>
      </c>
      <c r="L389">
        <v>301</v>
      </c>
      <c r="M389">
        <v>64</v>
      </c>
      <c r="N389">
        <v>36</v>
      </c>
      <c r="O389">
        <v>0</v>
      </c>
      <c r="P389">
        <v>0</v>
      </c>
      <c r="Q389">
        <v>0</v>
      </c>
      <c r="R389">
        <v>0</v>
      </c>
      <c r="S389">
        <v>0</v>
      </c>
      <c r="T389">
        <v>0</v>
      </c>
      <c r="U389">
        <v>0</v>
      </c>
      <c r="V389">
        <v>0</v>
      </c>
      <c r="W389">
        <v>0</v>
      </c>
      <c r="X389">
        <v>0</v>
      </c>
      <c r="Y389">
        <v>0</v>
      </c>
      <c r="Z389">
        <v>0</v>
      </c>
      <c r="AA389">
        <v>0</v>
      </c>
    </row>
    <row r="390" spans="1:27" hidden="1">
      <c r="A390" s="41" t="s">
        <v>1261</v>
      </c>
      <c r="B390" s="41">
        <v>0</v>
      </c>
      <c r="C390" s="41">
        <v>0</v>
      </c>
      <c r="D390" s="41">
        <v>0</v>
      </c>
      <c r="E390" s="41">
        <v>0</v>
      </c>
      <c r="F390" s="41">
        <v>0</v>
      </c>
      <c r="G390" s="41">
        <v>0</v>
      </c>
      <c r="H390" s="41">
        <v>0</v>
      </c>
      <c r="I390" s="41">
        <v>1163</v>
      </c>
      <c r="J390" s="41">
        <v>215</v>
      </c>
      <c r="K390">
        <v>165</v>
      </c>
      <c r="L390">
        <v>57</v>
      </c>
      <c r="M390">
        <v>28</v>
      </c>
      <c r="N390">
        <v>50</v>
      </c>
      <c r="O390">
        <v>0</v>
      </c>
      <c r="P390">
        <v>0</v>
      </c>
      <c r="Q390">
        <v>0</v>
      </c>
      <c r="R390">
        <v>0</v>
      </c>
      <c r="S390">
        <v>0</v>
      </c>
      <c r="T390">
        <v>0</v>
      </c>
      <c r="U390">
        <v>0</v>
      </c>
      <c r="V390">
        <v>0</v>
      </c>
      <c r="W390">
        <v>0</v>
      </c>
      <c r="X390">
        <v>0</v>
      </c>
      <c r="Y390">
        <v>0</v>
      </c>
      <c r="Z390">
        <v>0</v>
      </c>
      <c r="AA390">
        <v>0</v>
      </c>
    </row>
    <row r="391" spans="1:27" hidden="1">
      <c r="A391" s="41" t="s">
        <v>362</v>
      </c>
      <c r="B391" s="41">
        <v>0</v>
      </c>
      <c r="C391" s="41">
        <v>0</v>
      </c>
      <c r="D391" s="41">
        <v>0</v>
      </c>
      <c r="E391" s="41">
        <v>0</v>
      </c>
      <c r="F391" s="41">
        <v>0</v>
      </c>
      <c r="G391" s="41">
        <v>0</v>
      </c>
      <c r="H391" s="41">
        <v>0</v>
      </c>
      <c r="I391" s="41">
        <v>0</v>
      </c>
      <c r="J391" s="41">
        <v>0</v>
      </c>
      <c r="K391">
        <v>866</v>
      </c>
      <c r="L391">
        <v>1026</v>
      </c>
      <c r="M391">
        <v>1378</v>
      </c>
      <c r="N391">
        <v>1195</v>
      </c>
      <c r="O391">
        <v>0</v>
      </c>
      <c r="P391">
        <v>0</v>
      </c>
      <c r="Q391">
        <v>0</v>
      </c>
      <c r="R391">
        <v>0</v>
      </c>
      <c r="S391">
        <v>0</v>
      </c>
      <c r="T391">
        <v>0</v>
      </c>
      <c r="U391">
        <v>0</v>
      </c>
      <c r="V391">
        <v>0</v>
      </c>
      <c r="W391">
        <v>0</v>
      </c>
      <c r="X391">
        <v>306</v>
      </c>
      <c r="Y391">
        <v>420</v>
      </c>
      <c r="Z391">
        <v>412</v>
      </c>
      <c r="AA391">
        <v>377</v>
      </c>
    </row>
    <row r="392" spans="1:27" hidden="1">
      <c r="A392" s="41" t="s">
        <v>1262</v>
      </c>
      <c r="B392" s="41">
        <v>0</v>
      </c>
      <c r="C392" s="41">
        <v>0</v>
      </c>
      <c r="D392" s="41">
        <v>0</v>
      </c>
      <c r="E392" s="41">
        <v>0</v>
      </c>
      <c r="F392" s="41">
        <v>0</v>
      </c>
      <c r="G392" s="41">
        <v>0</v>
      </c>
      <c r="H392" s="41">
        <v>0</v>
      </c>
      <c r="I392" s="41">
        <v>327</v>
      </c>
      <c r="J392" s="41">
        <v>298</v>
      </c>
      <c r="K392">
        <v>313</v>
      </c>
      <c r="L392">
        <v>379</v>
      </c>
      <c r="M392">
        <v>113</v>
      </c>
      <c r="N392">
        <v>209</v>
      </c>
      <c r="O392">
        <v>0</v>
      </c>
      <c r="P392">
        <v>0</v>
      </c>
      <c r="Q392">
        <v>0</v>
      </c>
      <c r="R392">
        <v>0</v>
      </c>
      <c r="S392">
        <v>0</v>
      </c>
      <c r="T392">
        <v>0</v>
      </c>
      <c r="U392">
        <v>0</v>
      </c>
      <c r="V392">
        <v>0</v>
      </c>
      <c r="W392">
        <v>0</v>
      </c>
      <c r="X392">
        <v>0</v>
      </c>
      <c r="Y392">
        <v>0</v>
      </c>
      <c r="Z392">
        <v>0</v>
      </c>
      <c r="AA392">
        <v>0</v>
      </c>
    </row>
    <row r="393" spans="1:27" hidden="1">
      <c r="A393" s="41" t="s">
        <v>1263</v>
      </c>
      <c r="B393" s="41">
        <v>0</v>
      </c>
      <c r="C393" s="41">
        <v>0</v>
      </c>
      <c r="D393" s="41">
        <v>0</v>
      </c>
      <c r="E393" s="41">
        <v>0</v>
      </c>
      <c r="F393" s="41">
        <v>0</v>
      </c>
      <c r="G393" s="41">
        <v>0</v>
      </c>
      <c r="H393" s="41">
        <v>0</v>
      </c>
      <c r="I393" s="41">
        <v>184</v>
      </c>
      <c r="J393" s="41">
        <v>103</v>
      </c>
      <c r="K393">
        <v>76</v>
      </c>
      <c r="L393">
        <v>90</v>
      </c>
      <c r="M393">
        <v>44</v>
      </c>
      <c r="N393">
        <v>69</v>
      </c>
      <c r="O393">
        <v>0</v>
      </c>
      <c r="P393">
        <v>0</v>
      </c>
      <c r="Q393">
        <v>0</v>
      </c>
      <c r="R393">
        <v>0</v>
      </c>
      <c r="S393">
        <v>0</v>
      </c>
      <c r="T393">
        <v>0</v>
      </c>
      <c r="U393">
        <v>0</v>
      </c>
      <c r="V393">
        <v>0</v>
      </c>
      <c r="W393">
        <v>0</v>
      </c>
      <c r="X393">
        <v>0</v>
      </c>
      <c r="Y393">
        <v>0</v>
      </c>
      <c r="Z393">
        <v>0</v>
      </c>
      <c r="AA393">
        <v>0</v>
      </c>
    </row>
    <row r="394" spans="1:27" hidden="1">
      <c r="A394" s="41" t="s">
        <v>358</v>
      </c>
      <c r="B394" s="41">
        <v>0</v>
      </c>
      <c r="C394" s="41">
        <v>0</v>
      </c>
      <c r="D394" s="41">
        <v>0</v>
      </c>
      <c r="E394" s="41">
        <v>0</v>
      </c>
      <c r="F394" s="41">
        <v>0</v>
      </c>
      <c r="G394" s="41">
        <v>0</v>
      </c>
      <c r="H394" s="41">
        <v>0</v>
      </c>
      <c r="I394" s="41">
        <v>0</v>
      </c>
      <c r="J394" s="41">
        <v>0</v>
      </c>
      <c r="K394">
        <v>1005</v>
      </c>
      <c r="L394">
        <v>1751</v>
      </c>
      <c r="M394">
        <v>1776</v>
      </c>
      <c r="N394">
        <v>1642</v>
      </c>
      <c r="O394">
        <v>0</v>
      </c>
      <c r="P394">
        <v>0</v>
      </c>
      <c r="Q394">
        <v>0</v>
      </c>
      <c r="R394">
        <v>0</v>
      </c>
      <c r="S394">
        <v>0</v>
      </c>
      <c r="T394">
        <v>0</v>
      </c>
      <c r="U394">
        <v>0</v>
      </c>
      <c r="V394">
        <v>0</v>
      </c>
      <c r="W394">
        <v>0</v>
      </c>
      <c r="X394">
        <v>236</v>
      </c>
      <c r="Y394">
        <v>420</v>
      </c>
      <c r="Z394">
        <v>487</v>
      </c>
      <c r="AA394">
        <v>418</v>
      </c>
    </row>
    <row r="395" spans="1:27" hidden="1">
      <c r="A395" s="41" t="s">
        <v>41</v>
      </c>
      <c r="B395" s="41">
        <v>0</v>
      </c>
      <c r="C395" s="41">
        <v>0</v>
      </c>
      <c r="D395" s="41">
        <v>0</v>
      </c>
      <c r="E395" s="41">
        <v>0</v>
      </c>
      <c r="F395" s="41">
        <v>0</v>
      </c>
      <c r="G395" s="41">
        <v>0</v>
      </c>
      <c r="H395" s="41">
        <v>0</v>
      </c>
      <c r="I395" s="41">
        <v>0</v>
      </c>
      <c r="J395" s="41">
        <v>0</v>
      </c>
      <c r="K395">
        <v>2</v>
      </c>
      <c r="L395">
        <v>1208</v>
      </c>
      <c r="M395">
        <v>2572</v>
      </c>
      <c r="N395">
        <v>2779</v>
      </c>
      <c r="O395">
        <v>0</v>
      </c>
      <c r="P395">
        <v>0</v>
      </c>
      <c r="Q395">
        <v>0</v>
      </c>
      <c r="R395">
        <v>0</v>
      </c>
      <c r="S395">
        <v>0</v>
      </c>
      <c r="T395">
        <v>0</v>
      </c>
      <c r="U395">
        <v>0</v>
      </c>
      <c r="V395">
        <v>0</v>
      </c>
      <c r="W395">
        <v>0</v>
      </c>
      <c r="X395">
        <v>0</v>
      </c>
      <c r="Y395">
        <v>488</v>
      </c>
      <c r="Z395">
        <v>684</v>
      </c>
      <c r="AA395">
        <v>463</v>
      </c>
    </row>
    <row r="396" spans="1:27" hidden="1">
      <c r="A396" s="41" t="s">
        <v>1264</v>
      </c>
      <c r="B396" s="41">
        <v>0</v>
      </c>
      <c r="C396" s="41">
        <v>0</v>
      </c>
      <c r="D396" s="41">
        <v>0</v>
      </c>
      <c r="E396" s="41">
        <v>0</v>
      </c>
      <c r="F396" s="41">
        <v>0</v>
      </c>
      <c r="G396" s="41">
        <v>0</v>
      </c>
      <c r="H396" s="41">
        <v>0</v>
      </c>
      <c r="I396" s="41">
        <v>864</v>
      </c>
      <c r="J396" s="41">
        <v>253</v>
      </c>
      <c r="K396">
        <v>224</v>
      </c>
      <c r="L396">
        <v>389</v>
      </c>
      <c r="M396">
        <v>517</v>
      </c>
      <c r="N396">
        <v>415</v>
      </c>
      <c r="O396">
        <v>0</v>
      </c>
      <c r="P396">
        <v>0</v>
      </c>
      <c r="Q396">
        <v>0</v>
      </c>
      <c r="R396">
        <v>0</v>
      </c>
      <c r="S396">
        <v>0</v>
      </c>
      <c r="T396">
        <v>0</v>
      </c>
      <c r="U396">
        <v>0</v>
      </c>
      <c r="V396">
        <v>0</v>
      </c>
      <c r="W396">
        <v>0</v>
      </c>
      <c r="X396">
        <v>0</v>
      </c>
      <c r="Y396">
        <v>0</v>
      </c>
      <c r="Z396">
        <v>0</v>
      </c>
      <c r="AA396">
        <v>0</v>
      </c>
    </row>
    <row r="397" spans="1:27" hidden="1">
      <c r="A397" s="41" t="s">
        <v>1265</v>
      </c>
      <c r="B397" s="41">
        <v>0</v>
      </c>
      <c r="C397" s="41">
        <v>0</v>
      </c>
      <c r="D397" s="41">
        <v>0</v>
      </c>
      <c r="E397" s="41">
        <v>0</v>
      </c>
      <c r="F397" s="41">
        <v>0</v>
      </c>
      <c r="G397" s="41">
        <v>0</v>
      </c>
      <c r="H397" s="41">
        <v>0</v>
      </c>
      <c r="I397" s="41">
        <v>1066</v>
      </c>
      <c r="J397" s="41">
        <v>373</v>
      </c>
      <c r="K397">
        <v>349</v>
      </c>
      <c r="L397">
        <v>534</v>
      </c>
      <c r="M397">
        <v>303</v>
      </c>
      <c r="N397">
        <v>554</v>
      </c>
      <c r="O397">
        <v>0</v>
      </c>
      <c r="P397">
        <v>0</v>
      </c>
      <c r="Q397">
        <v>0</v>
      </c>
      <c r="R397">
        <v>0</v>
      </c>
      <c r="S397">
        <v>0</v>
      </c>
      <c r="T397">
        <v>0</v>
      </c>
      <c r="U397">
        <v>0</v>
      </c>
      <c r="V397">
        <v>0</v>
      </c>
      <c r="W397">
        <v>0</v>
      </c>
      <c r="X397">
        <v>0</v>
      </c>
      <c r="Y397">
        <v>0</v>
      </c>
      <c r="Z397">
        <v>0</v>
      </c>
      <c r="AA397">
        <v>0</v>
      </c>
    </row>
    <row r="398" spans="1:27" hidden="1">
      <c r="A398" s="41" t="s">
        <v>1266</v>
      </c>
      <c r="B398" s="41">
        <v>0</v>
      </c>
      <c r="C398" s="41">
        <v>0</v>
      </c>
      <c r="D398" s="41">
        <v>0</v>
      </c>
      <c r="E398" s="41">
        <v>0</v>
      </c>
      <c r="F398" s="41">
        <v>0</v>
      </c>
      <c r="G398" s="41">
        <v>0</v>
      </c>
      <c r="H398" s="41">
        <v>0</v>
      </c>
      <c r="I398" s="41">
        <v>113</v>
      </c>
      <c r="J398" s="41">
        <v>126</v>
      </c>
      <c r="K398">
        <v>150</v>
      </c>
      <c r="L398">
        <v>242</v>
      </c>
      <c r="M398">
        <v>129</v>
      </c>
      <c r="N398">
        <v>109</v>
      </c>
      <c r="O398">
        <v>0</v>
      </c>
      <c r="P398">
        <v>0</v>
      </c>
      <c r="Q398">
        <v>0</v>
      </c>
      <c r="R398">
        <v>0</v>
      </c>
      <c r="S398">
        <v>0</v>
      </c>
      <c r="T398">
        <v>0</v>
      </c>
      <c r="U398">
        <v>0</v>
      </c>
      <c r="V398">
        <v>0</v>
      </c>
      <c r="W398">
        <v>0</v>
      </c>
      <c r="X398">
        <v>0</v>
      </c>
      <c r="Y398">
        <v>0</v>
      </c>
      <c r="Z398">
        <v>0</v>
      </c>
      <c r="AA398">
        <v>0</v>
      </c>
    </row>
    <row r="399" spans="1:27" hidden="1">
      <c r="A399" s="41" t="s">
        <v>1267</v>
      </c>
      <c r="B399" s="41">
        <v>0</v>
      </c>
      <c r="C399" s="41">
        <v>0</v>
      </c>
      <c r="D399" s="41">
        <v>0</v>
      </c>
      <c r="E399" s="41">
        <v>0</v>
      </c>
      <c r="F399" s="41">
        <v>0</v>
      </c>
      <c r="G399" s="41">
        <v>0</v>
      </c>
      <c r="H399" s="41">
        <v>0</v>
      </c>
      <c r="I399" s="41">
        <v>132</v>
      </c>
      <c r="J399" s="41">
        <v>167</v>
      </c>
      <c r="K399">
        <v>161</v>
      </c>
      <c r="L399">
        <v>147</v>
      </c>
      <c r="M399">
        <v>86</v>
      </c>
      <c r="N399">
        <v>80</v>
      </c>
      <c r="O399">
        <v>0</v>
      </c>
      <c r="P399">
        <v>0</v>
      </c>
      <c r="Q399">
        <v>0</v>
      </c>
      <c r="R399">
        <v>0</v>
      </c>
      <c r="S399">
        <v>0</v>
      </c>
      <c r="T399">
        <v>0</v>
      </c>
      <c r="U399">
        <v>0</v>
      </c>
      <c r="V399">
        <v>0</v>
      </c>
      <c r="W399">
        <v>0</v>
      </c>
      <c r="X399">
        <v>0</v>
      </c>
      <c r="Y399">
        <v>0</v>
      </c>
      <c r="Z399">
        <v>0</v>
      </c>
      <c r="AA399">
        <v>0</v>
      </c>
    </row>
    <row r="400" spans="1:27" hidden="1">
      <c r="A400" s="41" t="s">
        <v>1268</v>
      </c>
      <c r="B400" s="41">
        <v>0</v>
      </c>
      <c r="C400" s="41">
        <v>0</v>
      </c>
      <c r="D400" s="41">
        <v>0</v>
      </c>
      <c r="E400" s="41">
        <v>0</v>
      </c>
      <c r="F400" s="41">
        <v>0</v>
      </c>
      <c r="G400" s="41">
        <v>0</v>
      </c>
      <c r="H400" s="41">
        <v>0</v>
      </c>
      <c r="I400" s="41">
        <v>23</v>
      </c>
      <c r="J400" s="41">
        <v>36</v>
      </c>
      <c r="K400">
        <v>45</v>
      </c>
      <c r="L400">
        <v>61</v>
      </c>
      <c r="M400">
        <v>8</v>
      </c>
      <c r="N400">
        <v>13</v>
      </c>
      <c r="O400">
        <v>0</v>
      </c>
      <c r="P400">
        <v>0</v>
      </c>
      <c r="Q400">
        <v>0</v>
      </c>
      <c r="R400">
        <v>0</v>
      </c>
      <c r="S400">
        <v>0</v>
      </c>
      <c r="T400">
        <v>0</v>
      </c>
      <c r="U400">
        <v>0</v>
      </c>
      <c r="V400">
        <v>0</v>
      </c>
      <c r="W400">
        <v>0</v>
      </c>
      <c r="X400">
        <v>0</v>
      </c>
      <c r="Y400">
        <v>0</v>
      </c>
      <c r="Z400">
        <v>0</v>
      </c>
      <c r="AA400">
        <v>0</v>
      </c>
    </row>
    <row r="401" spans="1:27" hidden="1">
      <c r="A401" s="41" t="s">
        <v>1269</v>
      </c>
      <c r="B401" s="41">
        <v>0</v>
      </c>
      <c r="C401" s="41">
        <v>0</v>
      </c>
      <c r="D401" s="41">
        <v>0</v>
      </c>
      <c r="E401" s="41">
        <v>0</v>
      </c>
      <c r="F401" s="41">
        <v>0</v>
      </c>
      <c r="G401" s="41">
        <v>0</v>
      </c>
      <c r="H401" s="41">
        <v>0</v>
      </c>
      <c r="I401" s="41">
        <v>355</v>
      </c>
      <c r="J401" s="41">
        <v>161</v>
      </c>
      <c r="K401">
        <v>106</v>
      </c>
      <c r="L401">
        <v>130</v>
      </c>
      <c r="M401">
        <v>46</v>
      </c>
      <c r="N401">
        <v>19</v>
      </c>
      <c r="O401">
        <v>0</v>
      </c>
      <c r="P401">
        <v>0</v>
      </c>
      <c r="Q401">
        <v>0</v>
      </c>
      <c r="R401">
        <v>0</v>
      </c>
      <c r="S401">
        <v>0</v>
      </c>
      <c r="T401">
        <v>0</v>
      </c>
      <c r="U401">
        <v>0</v>
      </c>
      <c r="V401">
        <v>0</v>
      </c>
      <c r="W401">
        <v>0</v>
      </c>
      <c r="X401">
        <v>0</v>
      </c>
      <c r="Y401">
        <v>0</v>
      </c>
      <c r="Z401">
        <v>0</v>
      </c>
      <c r="AA401">
        <v>0</v>
      </c>
    </row>
    <row r="402" spans="1:27" hidden="1">
      <c r="A402" s="41" t="s">
        <v>1270</v>
      </c>
      <c r="B402" s="41">
        <v>0</v>
      </c>
      <c r="C402" s="41">
        <v>0</v>
      </c>
      <c r="D402" s="41">
        <v>0</v>
      </c>
      <c r="E402" s="41">
        <v>0</v>
      </c>
      <c r="F402" s="41">
        <v>0</v>
      </c>
      <c r="G402" s="41">
        <v>0</v>
      </c>
      <c r="H402" s="41">
        <v>0</v>
      </c>
      <c r="I402" s="41">
        <v>23</v>
      </c>
      <c r="J402" s="41">
        <v>26</v>
      </c>
      <c r="K402">
        <v>35</v>
      </c>
      <c r="L402">
        <v>13</v>
      </c>
      <c r="M402">
        <v>19</v>
      </c>
      <c r="N402">
        <v>18</v>
      </c>
      <c r="O402">
        <v>0</v>
      </c>
      <c r="P402">
        <v>0</v>
      </c>
      <c r="Q402">
        <v>0</v>
      </c>
      <c r="R402">
        <v>0</v>
      </c>
      <c r="S402">
        <v>0</v>
      </c>
      <c r="T402">
        <v>0</v>
      </c>
      <c r="U402">
        <v>0</v>
      </c>
      <c r="V402">
        <v>0</v>
      </c>
      <c r="W402">
        <v>0</v>
      </c>
      <c r="X402">
        <v>0</v>
      </c>
      <c r="Y402">
        <v>0</v>
      </c>
      <c r="Z402">
        <v>0</v>
      </c>
      <c r="AA402">
        <v>0</v>
      </c>
    </row>
    <row r="403" spans="1:27" hidden="1">
      <c r="A403" s="41" t="s">
        <v>1271</v>
      </c>
      <c r="B403" s="41">
        <v>0</v>
      </c>
      <c r="C403" s="41">
        <v>0</v>
      </c>
      <c r="D403" s="41">
        <v>0</v>
      </c>
      <c r="E403" s="41">
        <v>0</v>
      </c>
      <c r="F403" s="41">
        <v>0</v>
      </c>
      <c r="G403" s="41">
        <v>0</v>
      </c>
      <c r="H403" s="41">
        <v>0</v>
      </c>
      <c r="I403" s="41">
        <v>211</v>
      </c>
      <c r="J403" s="41">
        <v>98</v>
      </c>
      <c r="K403">
        <v>82</v>
      </c>
      <c r="L403">
        <v>85</v>
      </c>
      <c r="M403">
        <v>7</v>
      </c>
      <c r="N403">
        <v>10</v>
      </c>
      <c r="O403">
        <v>0</v>
      </c>
      <c r="P403">
        <v>0</v>
      </c>
      <c r="Q403">
        <v>0</v>
      </c>
      <c r="R403">
        <v>0</v>
      </c>
      <c r="S403">
        <v>0</v>
      </c>
      <c r="T403">
        <v>0</v>
      </c>
      <c r="U403">
        <v>0</v>
      </c>
      <c r="V403">
        <v>0</v>
      </c>
      <c r="W403">
        <v>0</v>
      </c>
      <c r="X403">
        <v>0</v>
      </c>
      <c r="Y403">
        <v>0</v>
      </c>
      <c r="Z403">
        <v>0</v>
      </c>
      <c r="AA403">
        <v>0</v>
      </c>
    </row>
    <row r="404" spans="1:27" hidden="1">
      <c r="A404" s="41" t="s">
        <v>1272</v>
      </c>
      <c r="B404" s="41">
        <v>0</v>
      </c>
      <c r="C404" s="41">
        <v>0</v>
      </c>
      <c r="D404" s="41">
        <v>0</v>
      </c>
      <c r="E404" s="41">
        <v>0</v>
      </c>
      <c r="F404" s="41">
        <v>0</v>
      </c>
      <c r="G404" s="41">
        <v>0</v>
      </c>
      <c r="H404" s="41">
        <v>0</v>
      </c>
      <c r="I404" s="41">
        <v>367</v>
      </c>
      <c r="J404" s="41">
        <v>469</v>
      </c>
      <c r="K404">
        <v>215</v>
      </c>
      <c r="L404">
        <v>252</v>
      </c>
      <c r="M404">
        <v>135</v>
      </c>
      <c r="N404">
        <v>360</v>
      </c>
      <c r="O404">
        <v>0</v>
      </c>
      <c r="P404">
        <v>0</v>
      </c>
      <c r="Q404">
        <v>0</v>
      </c>
      <c r="R404">
        <v>0</v>
      </c>
      <c r="S404">
        <v>0</v>
      </c>
      <c r="T404">
        <v>0</v>
      </c>
      <c r="U404">
        <v>0</v>
      </c>
      <c r="V404">
        <v>0</v>
      </c>
      <c r="W404">
        <v>0</v>
      </c>
      <c r="X404">
        <v>0</v>
      </c>
      <c r="Y404">
        <v>0</v>
      </c>
      <c r="Z404">
        <v>0</v>
      </c>
      <c r="AA404">
        <v>0</v>
      </c>
    </row>
    <row r="405" spans="1:27" hidden="1">
      <c r="A405" s="41" t="s">
        <v>1273</v>
      </c>
      <c r="B405" s="41">
        <v>0</v>
      </c>
      <c r="C405" s="41">
        <v>0</v>
      </c>
      <c r="D405" s="41">
        <v>0</v>
      </c>
      <c r="E405" s="41">
        <v>0</v>
      </c>
      <c r="F405" s="41">
        <v>0</v>
      </c>
      <c r="G405" s="41">
        <v>0</v>
      </c>
      <c r="H405" s="41">
        <v>0</v>
      </c>
      <c r="I405" s="41">
        <v>68</v>
      </c>
      <c r="J405" s="41">
        <v>90</v>
      </c>
      <c r="K405">
        <v>50</v>
      </c>
      <c r="L405">
        <v>68</v>
      </c>
      <c r="M405">
        <v>13</v>
      </c>
      <c r="N405">
        <v>14</v>
      </c>
      <c r="O405">
        <v>0</v>
      </c>
      <c r="P405">
        <v>0</v>
      </c>
      <c r="Q405">
        <v>0</v>
      </c>
      <c r="R405">
        <v>0</v>
      </c>
      <c r="S405">
        <v>0</v>
      </c>
      <c r="T405">
        <v>0</v>
      </c>
      <c r="U405">
        <v>0</v>
      </c>
      <c r="V405">
        <v>0</v>
      </c>
      <c r="W405">
        <v>0</v>
      </c>
      <c r="X405">
        <v>0</v>
      </c>
      <c r="Y405">
        <v>0</v>
      </c>
      <c r="Z405">
        <v>0</v>
      </c>
      <c r="AA405">
        <v>0</v>
      </c>
    </row>
    <row r="406" spans="1:27" hidden="1">
      <c r="A406" s="41" t="s">
        <v>385</v>
      </c>
      <c r="B406" s="41">
        <v>0</v>
      </c>
      <c r="C406" s="41">
        <v>0</v>
      </c>
      <c r="D406" s="41">
        <v>0</v>
      </c>
      <c r="E406" s="41">
        <v>0</v>
      </c>
      <c r="F406" s="41">
        <v>0</v>
      </c>
      <c r="G406" s="41">
        <v>0</v>
      </c>
      <c r="H406" s="41">
        <v>0</v>
      </c>
      <c r="I406" s="41">
        <v>0</v>
      </c>
      <c r="J406" s="41">
        <v>156</v>
      </c>
      <c r="K406">
        <v>354</v>
      </c>
      <c r="L406">
        <v>834</v>
      </c>
      <c r="M406">
        <v>732</v>
      </c>
      <c r="N406">
        <v>654</v>
      </c>
      <c r="O406">
        <v>0</v>
      </c>
      <c r="P406">
        <v>0</v>
      </c>
      <c r="Q406">
        <v>0</v>
      </c>
      <c r="R406">
        <v>0</v>
      </c>
      <c r="S406">
        <v>0</v>
      </c>
      <c r="T406">
        <v>0</v>
      </c>
      <c r="U406">
        <v>0</v>
      </c>
      <c r="V406">
        <v>0</v>
      </c>
      <c r="W406">
        <v>34</v>
      </c>
      <c r="X406">
        <v>126</v>
      </c>
      <c r="Y406">
        <v>251</v>
      </c>
      <c r="Z406">
        <v>239</v>
      </c>
      <c r="AA406">
        <v>237</v>
      </c>
    </row>
    <row r="407" spans="1:27" hidden="1">
      <c r="A407" s="41" t="s">
        <v>1274</v>
      </c>
      <c r="B407" s="41">
        <v>0</v>
      </c>
      <c r="C407" s="41">
        <v>0</v>
      </c>
      <c r="D407" s="41">
        <v>0</v>
      </c>
      <c r="E407" s="41">
        <v>0</v>
      </c>
      <c r="F407" s="41">
        <v>0</v>
      </c>
      <c r="G407" s="41">
        <v>0</v>
      </c>
      <c r="H407" s="41">
        <v>0</v>
      </c>
      <c r="I407" s="41">
        <v>0</v>
      </c>
      <c r="J407" s="41">
        <v>112</v>
      </c>
      <c r="K407">
        <v>104</v>
      </c>
      <c r="L407">
        <v>156</v>
      </c>
      <c r="M407">
        <v>112</v>
      </c>
      <c r="N407">
        <v>151</v>
      </c>
      <c r="O407">
        <v>0</v>
      </c>
      <c r="P407">
        <v>0</v>
      </c>
      <c r="Q407">
        <v>0</v>
      </c>
      <c r="R407">
        <v>0</v>
      </c>
      <c r="S407">
        <v>0</v>
      </c>
      <c r="T407">
        <v>0</v>
      </c>
      <c r="U407">
        <v>0</v>
      </c>
      <c r="V407">
        <v>0</v>
      </c>
      <c r="W407">
        <v>0</v>
      </c>
      <c r="X407">
        <v>0</v>
      </c>
      <c r="Y407">
        <v>0</v>
      </c>
      <c r="Z407">
        <v>0</v>
      </c>
      <c r="AA407">
        <v>0</v>
      </c>
    </row>
    <row r="408" spans="1:27" hidden="1">
      <c r="A408" s="41" t="s">
        <v>1275</v>
      </c>
      <c r="B408" s="41">
        <v>0</v>
      </c>
      <c r="C408" s="41">
        <v>0</v>
      </c>
      <c r="D408" s="41">
        <v>0</v>
      </c>
      <c r="E408" s="41">
        <v>0</v>
      </c>
      <c r="F408" s="41">
        <v>0</v>
      </c>
      <c r="G408" s="41">
        <v>0</v>
      </c>
      <c r="H408" s="41">
        <v>0</v>
      </c>
      <c r="I408" s="41">
        <v>0</v>
      </c>
      <c r="J408" s="41">
        <v>104</v>
      </c>
      <c r="K408">
        <v>59</v>
      </c>
      <c r="L408">
        <v>26</v>
      </c>
      <c r="M408">
        <v>27</v>
      </c>
      <c r="N408">
        <v>23</v>
      </c>
      <c r="O408">
        <v>0</v>
      </c>
      <c r="P408">
        <v>0</v>
      </c>
      <c r="Q408">
        <v>0</v>
      </c>
      <c r="R408">
        <v>0</v>
      </c>
      <c r="S408">
        <v>0</v>
      </c>
      <c r="T408">
        <v>0</v>
      </c>
      <c r="U408">
        <v>0</v>
      </c>
      <c r="V408">
        <v>0</v>
      </c>
      <c r="W408">
        <v>0</v>
      </c>
      <c r="X408">
        <v>0</v>
      </c>
      <c r="Y408">
        <v>0</v>
      </c>
      <c r="Z408">
        <v>0</v>
      </c>
      <c r="AA408">
        <v>0</v>
      </c>
    </row>
    <row r="409" spans="1:27" hidden="1">
      <c r="A409" s="41" t="s">
        <v>1276</v>
      </c>
      <c r="B409" s="41">
        <v>0</v>
      </c>
      <c r="C409" s="41">
        <v>0</v>
      </c>
      <c r="D409" s="41">
        <v>0</v>
      </c>
      <c r="E409" s="41">
        <v>0</v>
      </c>
      <c r="F409" s="41">
        <v>0</v>
      </c>
      <c r="G409" s="41">
        <v>0</v>
      </c>
      <c r="H409" s="41">
        <v>0</v>
      </c>
      <c r="I409" s="41">
        <v>0</v>
      </c>
      <c r="J409" s="41">
        <v>59</v>
      </c>
      <c r="K409">
        <v>43</v>
      </c>
      <c r="L409">
        <v>94</v>
      </c>
      <c r="M409">
        <v>142</v>
      </c>
      <c r="N409">
        <v>122</v>
      </c>
      <c r="O409">
        <v>0</v>
      </c>
      <c r="P409">
        <v>0</v>
      </c>
      <c r="Q409">
        <v>0</v>
      </c>
      <c r="R409">
        <v>0</v>
      </c>
      <c r="S409">
        <v>0</v>
      </c>
      <c r="T409">
        <v>0</v>
      </c>
      <c r="U409">
        <v>0</v>
      </c>
      <c r="V409">
        <v>0</v>
      </c>
      <c r="W409">
        <v>0</v>
      </c>
      <c r="X409">
        <v>0</v>
      </c>
      <c r="Y409">
        <v>0</v>
      </c>
      <c r="Z409">
        <v>0</v>
      </c>
      <c r="AA409">
        <v>0</v>
      </c>
    </row>
    <row r="410" spans="1:27" hidden="1">
      <c r="A410" s="41" t="s">
        <v>1277</v>
      </c>
      <c r="B410" s="41">
        <v>0</v>
      </c>
      <c r="C410" s="41">
        <v>0</v>
      </c>
      <c r="D410" s="41">
        <v>0</v>
      </c>
      <c r="E410" s="41">
        <v>0</v>
      </c>
      <c r="F410" s="41">
        <v>0</v>
      </c>
      <c r="G410" s="41">
        <v>0</v>
      </c>
      <c r="H410" s="41">
        <v>0</v>
      </c>
      <c r="I410" s="41">
        <v>0</v>
      </c>
      <c r="J410" s="41">
        <v>99</v>
      </c>
      <c r="K410">
        <v>45</v>
      </c>
      <c r="L410">
        <v>20</v>
      </c>
      <c r="M410">
        <v>5</v>
      </c>
      <c r="N410">
        <v>7</v>
      </c>
      <c r="O410">
        <v>0</v>
      </c>
      <c r="P410">
        <v>0</v>
      </c>
      <c r="Q410">
        <v>0</v>
      </c>
      <c r="R410">
        <v>0</v>
      </c>
      <c r="S410">
        <v>0</v>
      </c>
      <c r="T410">
        <v>0</v>
      </c>
      <c r="U410">
        <v>0</v>
      </c>
      <c r="V410">
        <v>0</v>
      </c>
      <c r="W410">
        <v>0</v>
      </c>
      <c r="X410">
        <v>0</v>
      </c>
      <c r="Y410">
        <v>0</v>
      </c>
      <c r="Z410">
        <v>0</v>
      </c>
      <c r="AA410">
        <v>0</v>
      </c>
    </row>
    <row r="411" spans="1:27" hidden="1">
      <c r="A411" s="41" t="s">
        <v>1278</v>
      </c>
      <c r="B411" s="41">
        <v>0</v>
      </c>
      <c r="C411" s="41">
        <v>0</v>
      </c>
      <c r="D411" s="41">
        <v>0</v>
      </c>
      <c r="E411" s="41">
        <v>0</v>
      </c>
      <c r="F411" s="41">
        <v>0</v>
      </c>
      <c r="G411" s="41">
        <v>0</v>
      </c>
      <c r="H411" s="41">
        <v>0</v>
      </c>
      <c r="I411" s="41">
        <v>0</v>
      </c>
      <c r="J411" s="41">
        <v>41</v>
      </c>
      <c r="K411">
        <v>37</v>
      </c>
      <c r="L411">
        <v>50</v>
      </c>
      <c r="M411">
        <v>32</v>
      </c>
      <c r="N411">
        <v>15</v>
      </c>
      <c r="O411">
        <v>0</v>
      </c>
      <c r="P411">
        <v>0</v>
      </c>
      <c r="Q411">
        <v>0</v>
      </c>
      <c r="R411">
        <v>0</v>
      </c>
      <c r="S411">
        <v>0</v>
      </c>
      <c r="T411">
        <v>0</v>
      </c>
      <c r="U411">
        <v>0</v>
      </c>
      <c r="V411">
        <v>0</v>
      </c>
      <c r="W411">
        <v>0</v>
      </c>
      <c r="X411">
        <v>0</v>
      </c>
      <c r="Y411">
        <v>0</v>
      </c>
      <c r="Z411">
        <v>0</v>
      </c>
      <c r="AA411">
        <v>0</v>
      </c>
    </row>
    <row r="412" spans="1:27" hidden="1">
      <c r="A412" s="41" t="s">
        <v>1279</v>
      </c>
      <c r="B412" s="41">
        <v>0</v>
      </c>
      <c r="C412" s="41">
        <v>0</v>
      </c>
      <c r="D412" s="41">
        <v>0</v>
      </c>
      <c r="E412" s="41">
        <v>0</v>
      </c>
      <c r="F412" s="41">
        <v>0</v>
      </c>
      <c r="G412" s="41">
        <v>0</v>
      </c>
      <c r="H412" s="41">
        <v>0</v>
      </c>
      <c r="I412" s="41">
        <v>0</v>
      </c>
      <c r="J412" s="41">
        <v>20</v>
      </c>
      <c r="K412">
        <v>30</v>
      </c>
      <c r="L412">
        <v>17</v>
      </c>
      <c r="M412">
        <v>14</v>
      </c>
      <c r="N412">
        <v>13</v>
      </c>
      <c r="O412">
        <v>0</v>
      </c>
      <c r="P412">
        <v>0</v>
      </c>
      <c r="Q412">
        <v>0</v>
      </c>
      <c r="R412">
        <v>0</v>
      </c>
      <c r="S412">
        <v>0</v>
      </c>
      <c r="T412">
        <v>0</v>
      </c>
      <c r="U412">
        <v>0</v>
      </c>
      <c r="V412">
        <v>0</v>
      </c>
      <c r="W412">
        <v>0</v>
      </c>
      <c r="X412">
        <v>0</v>
      </c>
      <c r="Y412">
        <v>0</v>
      </c>
      <c r="Z412">
        <v>0</v>
      </c>
      <c r="AA412">
        <v>0</v>
      </c>
    </row>
    <row r="413" spans="1:27" hidden="1">
      <c r="A413" s="41" t="s">
        <v>1280</v>
      </c>
      <c r="B413" s="41">
        <v>0</v>
      </c>
      <c r="C413" s="41">
        <v>0</v>
      </c>
      <c r="D413" s="41">
        <v>0</v>
      </c>
      <c r="E413" s="41">
        <v>0</v>
      </c>
      <c r="F413" s="41">
        <v>0</v>
      </c>
      <c r="G413" s="41">
        <v>0</v>
      </c>
      <c r="H413" s="41">
        <v>0</v>
      </c>
      <c r="I413" s="41">
        <v>0</v>
      </c>
      <c r="J413" s="41">
        <v>109</v>
      </c>
      <c r="K413">
        <v>153</v>
      </c>
      <c r="L413">
        <v>130</v>
      </c>
      <c r="M413">
        <v>43</v>
      </c>
      <c r="N413">
        <v>42</v>
      </c>
      <c r="O413">
        <v>0</v>
      </c>
      <c r="P413">
        <v>0</v>
      </c>
      <c r="Q413">
        <v>0</v>
      </c>
      <c r="R413">
        <v>0</v>
      </c>
      <c r="S413">
        <v>0</v>
      </c>
      <c r="T413">
        <v>0</v>
      </c>
      <c r="U413">
        <v>0</v>
      </c>
      <c r="V413">
        <v>0</v>
      </c>
      <c r="W413">
        <v>0</v>
      </c>
      <c r="X413">
        <v>0</v>
      </c>
      <c r="Y413">
        <v>0</v>
      </c>
      <c r="Z413">
        <v>0</v>
      </c>
      <c r="AA413">
        <v>0</v>
      </c>
    </row>
    <row r="414" spans="1:27" hidden="1">
      <c r="A414" s="41" t="s">
        <v>1281</v>
      </c>
      <c r="B414" s="41">
        <v>0</v>
      </c>
      <c r="C414" s="41">
        <v>0</v>
      </c>
      <c r="D414" s="41">
        <v>0</v>
      </c>
      <c r="E414" s="41">
        <v>0</v>
      </c>
      <c r="F414" s="41">
        <v>0</v>
      </c>
      <c r="G414" s="41">
        <v>0</v>
      </c>
      <c r="H414" s="41">
        <v>0</v>
      </c>
      <c r="I414" s="41">
        <v>0</v>
      </c>
      <c r="J414" s="41">
        <v>0</v>
      </c>
      <c r="K414">
        <v>18</v>
      </c>
      <c r="L414">
        <v>54</v>
      </c>
      <c r="M414">
        <v>9</v>
      </c>
      <c r="N414">
        <v>9</v>
      </c>
      <c r="O414">
        <v>0</v>
      </c>
      <c r="P414">
        <v>0</v>
      </c>
      <c r="Q414">
        <v>0</v>
      </c>
      <c r="R414">
        <v>0</v>
      </c>
      <c r="S414">
        <v>0</v>
      </c>
      <c r="T414">
        <v>0</v>
      </c>
      <c r="U414">
        <v>0</v>
      </c>
      <c r="V414">
        <v>0</v>
      </c>
      <c r="W414">
        <v>0</v>
      </c>
      <c r="X414">
        <v>0</v>
      </c>
      <c r="Y414">
        <v>0</v>
      </c>
      <c r="Z414">
        <v>0</v>
      </c>
      <c r="AA414">
        <v>0</v>
      </c>
    </row>
    <row r="415" spans="1:27" hidden="1">
      <c r="A415" s="41" t="s">
        <v>1282</v>
      </c>
      <c r="B415" s="41">
        <v>0</v>
      </c>
      <c r="C415" s="41">
        <v>0</v>
      </c>
      <c r="D415" s="41">
        <v>0</v>
      </c>
      <c r="E415" s="41">
        <v>0</v>
      </c>
      <c r="F415" s="41">
        <v>0</v>
      </c>
      <c r="G415" s="41">
        <v>0</v>
      </c>
      <c r="H415" s="41">
        <v>0</v>
      </c>
      <c r="I415" s="41">
        <v>0</v>
      </c>
      <c r="J415" s="41">
        <v>0</v>
      </c>
      <c r="K415">
        <v>7</v>
      </c>
      <c r="L415">
        <v>23</v>
      </c>
      <c r="M415">
        <v>12</v>
      </c>
      <c r="N415">
        <v>22</v>
      </c>
      <c r="O415">
        <v>0</v>
      </c>
      <c r="P415">
        <v>0</v>
      </c>
      <c r="Q415">
        <v>0</v>
      </c>
      <c r="R415">
        <v>0</v>
      </c>
      <c r="S415">
        <v>0</v>
      </c>
      <c r="T415">
        <v>0</v>
      </c>
      <c r="U415">
        <v>0</v>
      </c>
      <c r="V415">
        <v>0</v>
      </c>
      <c r="W415">
        <v>0</v>
      </c>
      <c r="X415">
        <v>0</v>
      </c>
      <c r="Y415">
        <v>0</v>
      </c>
      <c r="Z415">
        <v>0</v>
      </c>
      <c r="AA415">
        <v>0</v>
      </c>
    </row>
    <row r="416" spans="1:27" hidden="1">
      <c r="A416" s="41" t="s">
        <v>1283</v>
      </c>
      <c r="B416" s="41">
        <v>0</v>
      </c>
      <c r="C416" s="41">
        <v>0</v>
      </c>
      <c r="D416" s="41">
        <v>0</v>
      </c>
      <c r="E416" s="41">
        <v>0</v>
      </c>
      <c r="F416" s="41">
        <v>0</v>
      </c>
      <c r="G416" s="41">
        <v>0</v>
      </c>
      <c r="H416" s="41">
        <v>0</v>
      </c>
      <c r="I416" s="41">
        <v>0</v>
      </c>
      <c r="J416" s="41">
        <v>83</v>
      </c>
      <c r="K416">
        <v>80</v>
      </c>
      <c r="L416">
        <v>111</v>
      </c>
      <c r="M416">
        <v>53</v>
      </c>
      <c r="N416">
        <v>51</v>
      </c>
      <c r="O416">
        <v>0</v>
      </c>
      <c r="P416">
        <v>0</v>
      </c>
      <c r="Q416">
        <v>0</v>
      </c>
      <c r="R416">
        <v>0</v>
      </c>
      <c r="S416">
        <v>0</v>
      </c>
      <c r="T416">
        <v>0</v>
      </c>
      <c r="U416">
        <v>0</v>
      </c>
      <c r="V416">
        <v>0</v>
      </c>
      <c r="W416">
        <v>0</v>
      </c>
      <c r="X416">
        <v>0</v>
      </c>
      <c r="Y416">
        <v>0</v>
      </c>
      <c r="Z416">
        <v>0</v>
      </c>
      <c r="AA416">
        <v>0</v>
      </c>
    </row>
    <row r="417" spans="1:27" hidden="1">
      <c r="A417" s="41" t="s">
        <v>1284</v>
      </c>
      <c r="B417" s="41">
        <v>0</v>
      </c>
      <c r="C417" s="41">
        <v>0</v>
      </c>
      <c r="D417" s="41">
        <v>0</v>
      </c>
      <c r="E417" s="41">
        <v>0</v>
      </c>
      <c r="F417" s="41">
        <v>0</v>
      </c>
      <c r="G417" s="41">
        <v>0</v>
      </c>
      <c r="H417" s="41">
        <v>0</v>
      </c>
      <c r="I417" s="41">
        <v>0</v>
      </c>
      <c r="J417" s="41">
        <v>226</v>
      </c>
      <c r="K417">
        <v>171</v>
      </c>
      <c r="L417">
        <v>164</v>
      </c>
      <c r="M417">
        <v>93</v>
      </c>
      <c r="N417">
        <v>79</v>
      </c>
      <c r="O417">
        <v>0</v>
      </c>
      <c r="P417">
        <v>0</v>
      </c>
      <c r="Q417">
        <v>0</v>
      </c>
      <c r="R417">
        <v>0</v>
      </c>
      <c r="S417">
        <v>0</v>
      </c>
      <c r="T417">
        <v>0</v>
      </c>
      <c r="U417">
        <v>0</v>
      </c>
      <c r="V417">
        <v>0</v>
      </c>
      <c r="W417">
        <v>0</v>
      </c>
      <c r="X417">
        <v>0</v>
      </c>
      <c r="Y417">
        <v>0</v>
      </c>
      <c r="Z417">
        <v>0</v>
      </c>
      <c r="AA417">
        <v>0</v>
      </c>
    </row>
    <row r="418" spans="1:27" hidden="1">
      <c r="A418" s="41" t="s">
        <v>1285</v>
      </c>
      <c r="B418" s="41">
        <v>0</v>
      </c>
      <c r="C418" s="41">
        <v>0</v>
      </c>
      <c r="D418" s="41">
        <v>0</v>
      </c>
      <c r="E418" s="41">
        <v>0</v>
      </c>
      <c r="F418" s="41">
        <v>0</v>
      </c>
      <c r="G418" s="41">
        <v>0</v>
      </c>
      <c r="H418" s="41">
        <v>0</v>
      </c>
      <c r="I418" s="41">
        <v>0</v>
      </c>
      <c r="J418" s="41">
        <v>196</v>
      </c>
      <c r="K418">
        <v>206</v>
      </c>
      <c r="L418">
        <v>200</v>
      </c>
      <c r="M418">
        <v>150</v>
      </c>
      <c r="N418">
        <v>93</v>
      </c>
      <c r="O418">
        <v>0</v>
      </c>
      <c r="P418">
        <v>0</v>
      </c>
      <c r="Q418">
        <v>0</v>
      </c>
      <c r="R418">
        <v>0</v>
      </c>
      <c r="S418">
        <v>0</v>
      </c>
      <c r="T418">
        <v>0</v>
      </c>
      <c r="U418">
        <v>0</v>
      </c>
      <c r="V418">
        <v>0</v>
      </c>
      <c r="W418">
        <v>0</v>
      </c>
      <c r="X418">
        <v>0</v>
      </c>
      <c r="Y418">
        <v>0</v>
      </c>
      <c r="Z418">
        <v>0</v>
      </c>
      <c r="AA418">
        <v>0</v>
      </c>
    </row>
    <row r="419" spans="1:27" hidden="1">
      <c r="A419" s="41" t="s">
        <v>1286</v>
      </c>
      <c r="B419" s="41">
        <v>0</v>
      </c>
      <c r="C419" s="41">
        <v>0</v>
      </c>
      <c r="D419" s="41">
        <v>0</v>
      </c>
      <c r="E419" s="41">
        <v>0</v>
      </c>
      <c r="F419" s="41">
        <v>0</v>
      </c>
      <c r="G419" s="41">
        <v>0</v>
      </c>
      <c r="H419" s="41">
        <v>0</v>
      </c>
      <c r="I419" s="41">
        <v>0</v>
      </c>
      <c r="J419" s="41">
        <v>160</v>
      </c>
      <c r="K419">
        <v>212</v>
      </c>
      <c r="L419">
        <v>442</v>
      </c>
      <c r="M419">
        <v>140</v>
      </c>
      <c r="N419">
        <v>289</v>
      </c>
      <c r="O419">
        <v>0</v>
      </c>
      <c r="P419">
        <v>0</v>
      </c>
      <c r="Q419">
        <v>0</v>
      </c>
      <c r="R419">
        <v>0</v>
      </c>
      <c r="S419">
        <v>0</v>
      </c>
      <c r="T419">
        <v>0</v>
      </c>
      <c r="U419">
        <v>0</v>
      </c>
      <c r="V419">
        <v>0</v>
      </c>
      <c r="W419">
        <v>0</v>
      </c>
      <c r="X419">
        <v>0</v>
      </c>
      <c r="Y419">
        <v>0</v>
      </c>
      <c r="Z419">
        <v>0</v>
      </c>
      <c r="AA419">
        <v>0</v>
      </c>
    </row>
    <row r="420" spans="1:27" hidden="1">
      <c r="A420" s="41" t="s">
        <v>1287</v>
      </c>
      <c r="B420" s="41">
        <v>0</v>
      </c>
      <c r="C420" s="41">
        <v>0</v>
      </c>
      <c r="D420" s="41">
        <v>0</v>
      </c>
      <c r="E420" s="41">
        <v>0</v>
      </c>
      <c r="F420" s="41">
        <v>0</v>
      </c>
      <c r="G420" s="41">
        <v>0</v>
      </c>
      <c r="H420" s="41">
        <v>0</v>
      </c>
      <c r="I420" s="41">
        <v>0</v>
      </c>
      <c r="J420" s="41">
        <v>56</v>
      </c>
      <c r="K420">
        <v>116</v>
      </c>
      <c r="L420">
        <v>143</v>
      </c>
      <c r="M420">
        <v>79</v>
      </c>
      <c r="N420">
        <v>74</v>
      </c>
      <c r="O420">
        <v>0</v>
      </c>
      <c r="P420">
        <v>0</v>
      </c>
      <c r="Q420">
        <v>0</v>
      </c>
      <c r="R420">
        <v>0</v>
      </c>
      <c r="S420">
        <v>0</v>
      </c>
      <c r="T420">
        <v>0</v>
      </c>
      <c r="U420">
        <v>0</v>
      </c>
      <c r="V420">
        <v>0</v>
      </c>
      <c r="W420">
        <v>0</v>
      </c>
      <c r="X420">
        <v>0</v>
      </c>
      <c r="Y420">
        <v>0</v>
      </c>
      <c r="Z420">
        <v>0</v>
      </c>
      <c r="AA420">
        <v>0</v>
      </c>
    </row>
    <row r="421" spans="1:27" hidden="1">
      <c r="A421" s="41" t="s">
        <v>1288</v>
      </c>
      <c r="B421" s="41">
        <v>0</v>
      </c>
      <c r="C421" s="41">
        <v>0</v>
      </c>
      <c r="D421" s="41">
        <v>0</v>
      </c>
      <c r="E421" s="41">
        <v>0</v>
      </c>
      <c r="F421" s="41">
        <v>0</v>
      </c>
      <c r="G421" s="41">
        <v>0</v>
      </c>
      <c r="H421" s="41">
        <v>0</v>
      </c>
      <c r="I421" s="41">
        <v>0</v>
      </c>
      <c r="J421" s="41">
        <v>0</v>
      </c>
      <c r="K421">
        <v>126</v>
      </c>
      <c r="L421">
        <v>181</v>
      </c>
      <c r="M421">
        <v>145</v>
      </c>
      <c r="N421">
        <v>91</v>
      </c>
      <c r="O421">
        <v>0</v>
      </c>
      <c r="P421">
        <v>0</v>
      </c>
      <c r="Q421">
        <v>0</v>
      </c>
      <c r="R421">
        <v>0</v>
      </c>
      <c r="S421">
        <v>0</v>
      </c>
      <c r="T421">
        <v>0</v>
      </c>
      <c r="U421">
        <v>0</v>
      </c>
      <c r="V421">
        <v>0</v>
      </c>
      <c r="W421">
        <v>0</v>
      </c>
      <c r="X421">
        <v>0</v>
      </c>
      <c r="Y421">
        <v>0</v>
      </c>
      <c r="Z421">
        <v>0</v>
      </c>
      <c r="AA421">
        <v>0</v>
      </c>
    </row>
    <row r="422" spans="1:27" hidden="1">
      <c r="A422" s="41" t="s">
        <v>1289</v>
      </c>
      <c r="B422" s="41">
        <v>0</v>
      </c>
      <c r="C422" s="41">
        <v>0</v>
      </c>
      <c r="D422" s="41">
        <v>0</v>
      </c>
      <c r="E422" s="41">
        <v>0</v>
      </c>
      <c r="F422" s="41">
        <v>0</v>
      </c>
      <c r="G422" s="41">
        <v>0</v>
      </c>
      <c r="H422" s="41">
        <v>0</v>
      </c>
      <c r="I422" s="41">
        <v>0</v>
      </c>
      <c r="J422" s="41">
        <v>0</v>
      </c>
      <c r="K422">
        <v>890</v>
      </c>
      <c r="L422">
        <v>860</v>
      </c>
      <c r="M422">
        <v>532</v>
      </c>
      <c r="N422">
        <v>667</v>
      </c>
      <c r="O422">
        <v>0</v>
      </c>
      <c r="P422">
        <v>0</v>
      </c>
      <c r="Q422">
        <v>0</v>
      </c>
      <c r="R422">
        <v>0</v>
      </c>
      <c r="S422">
        <v>0</v>
      </c>
      <c r="T422">
        <v>0</v>
      </c>
      <c r="U422">
        <v>0</v>
      </c>
      <c r="V422">
        <v>0</v>
      </c>
      <c r="W422">
        <v>0</v>
      </c>
      <c r="X422">
        <v>0</v>
      </c>
      <c r="Y422">
        <v>0</v>
      </c>
      <c r="Z422">
        <v>0</v>
      </c>
      <c r="AA422">
        <v>0</v>
      </c>
    </row>
    <row r="423" spans="1:27" hidden="1">
      <c r="A423" s="41" t="s">
        <v>1290</v>
      </c>
      <c r="B423" s="41">
        <v>0</v>
      </c>
      <c r="C423" s="41">
        <v>0</v>
      </c>
      <c r="D423" s="41">
        <v>0</v>
      </c>
      <c r="E423" s="41">
        <v>0</v>
      </c>
      <c r="F423" s="41">
        <v>0</v>
      </c>
      <c r="G423" s="41">
        <v>0</v>
      </c>
      <c r="H423" s="41">
        <v>0</v>
      </c>
      <c r="I423" s="41">
        <v>0</v>
      </c>
      <c r="J423" s="41">
        <v>0</v>
      </c>
      <c r="K423">
        <v>260</v>
      </c>
      <c r="L423">
        <v>409</v>
      </c>
      <c r="M423">
        <v>186</v>
      </c>
      <c r="N423">
        <v>459</v>
      </c>
      <c r="O423">
        <v>0</v>
      </c>
      <c r="P423">
        <v>0</v>
      </c>
      <c r="Q423">
        <v>0</v>
      </c>
      <c r="R423">
        <v>0</v>
      </c>
      <c r="S423">
        <v>0</v>
      </c>
      <c r="T423">
        <v>0</v>
      </c>
      <c r="U423">
        <v>0</v>
      </c>
      <c r="V423">
        <v>0</v>
      </c>
      <c r="W423">
        <v>0</v>
      </c>
      <c r="X423">
        <v>0</v>
      </c>
      <c r="Y423">
        <v>0</v>
      </c>
      <c r="Z423">
        <v>0</v>
      </c>
      <c r="AA423">
        <v>0</v>
      </c>
    </row>
    <row r="424" spans="1:27" hidden="1">
      <c r="B424" s="41"/>
      <c r="C424" s="41"/>
      <c r="D424" s="41"/>
      <c r="E424" s="41"/>
      <c r="F424" s="41"/>
      <c r="G424" s="41"/>
      <c r="H424" s="41"/>
      <c r="I424" s="41"/>
    </row>
    <row r="425" spans="1:27"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row>
    <row r="426" spans="1:27">
      <c r="B426" s="41"/>
      <c r="C426" s="41"/>
      <c r="D426" s="41"/>
      <c r="E426" s="41"/>
      <c r="F426" s="41"/>
      <c r="G426" s="41"/>
      <c r="H426" s="41"/>
      <c r="I426" s="41"/>
    </row>
    <row r="427" spans="1:27">
      <c r="B427" s="41"/>
      <c r="C427" s="41"/>
      <c r="D427" s="41"/>
      <c r="E427" s="41"/>
      <c r="F427" s="41"/>
      <c r="G427" s="41"/>
      <c r="H427" s="41"/>
      <c r="I427" s="41"/>
    </row>
    <row r="428" spans="1:27">
      <c r="B428" s="41"/>
      <c r="C428" s="41"/>
      <c r="D428" s="41"/>
      <c r="E428" s="41"/>
      <c r="F428" s="41"/>
      <c r="G428" s="41"/>
      <c r="H428" s="41"/>
      <c r="J428" s="41"/>
    </row>
    <row r="429" spans="1:27">
      <c r="B429" s="41"/>
      <c r="C429" s="41"/>
      <c r="D429" s="41"/>
      <c r="E429" s="41"/>
      <c r="F429" s="41"/>
      <c r="G429" s="41"/>
      <c r="H429" s="41"/>
      <c r="I429" s="41"/>
    </row>
    <row r="430" spans="1:27">
      <c r="B430" s="41"/>
      <c r="C430" s="41"/>
      <c r="D430" s="41"/>
      <c r="E430" s="41"/>
      <c r="F430" s="41"/>
      <c r="G430" s="41"/>
      <c r="H430" s="41"/>
      <c r="I430" s="41"/>
    </row>
    <row r="432" spans="1:27">
      <c r="A432" s="42" t="s">
        <v>1291</v>
      </c>
      <c r="B432" s="43" t="s">
        <v>1292</v>
      </c>
      <c r="C432" s="44" t="s">
        <v>1293</v>
      </c>
      <c r="D432" s="42" t="s">
        <v>1294</v>
      </c>
      <c r="E432" s="43" t="s">
        <v>1295</v>
      </c>
      <c r="F432" s="44" t="s">
        <v>1296</v>
      </c>
      <c r="G432" s="45" t="s">
        <v>1297</v>
      </c>
      <c r="H432" s="46" t="s">
        <v>1298</v>
      </c>
      <c r="I432" s="47" t="s">
        <v>1299</v>
      </c>
      <c r="J432" s="44" t="s">
        <v>1300</v>
      </c>
      <c r="K432" s="54" t="s">
        <v>1301</v>
      </c>
      <c r="L432" s="47" t="s">
        <v>1302</v>
      </c>
      <c r="M432" s="54" t="s">
        <v>7</v>
      </c>
    </row>
    <row r="433" spans="1:13">
      <c r="A433" s="48">
        <f>O425/B425</f>
        <v>0.23766867074810491</v>
      </c>
      <c r="B433" s="49">
        <f>P425/C425</f>
        <v>0.23512254466103483</v>
      </c>
      <c r="C433" s="50">
        <f>Q425/D425</f>
        <v>0.22321587377192004</v>
      </c>
      <c r="D433" s="48">
        <f>R425/E425</f>
        <v>0.22286411108917126</v>
      </c>
      <c r="E433" s="49">
        <f>S425/F425</f>
        <v>0.23518985959503899</v>
      </c>
      <c r="F433" s="50">
        <f>T425/G425</f>
        <v>0.2284846065729291</v>
      </c>
      <c r="G433" s="51">
        <f>U425/H425</f>
        <v>0.25431799544130079</v>
      </c>
      <c r="H433" s="52">
        <f>V425/I425</f>
        <v>0.25263021906879796</v>
      </c>
      <c r="I433" s="53">
        <f>W425/J425</f>
        <v>0.27559785699320583</v>
      </c>
      <c r="J433" s="50">
        <f>X425/K425</f>
        <v>0.28248952000158589</v>
      </c>
      <c r="K433" s="55">
        <f>Y425/L425</f>
        <v>0.28460757844528012</v>
      </c>
      <c r="L433" s="53">
        <f>Z425/M425</f>
        <v>0.26761354721576774</v>
      </c>
      <c r="M433" s="55">
        <f>AA425/N425</f>
        <v>0.25655326446267845</v>
      </c>
    </row>
    <row r="434" spans="1:13">
      <c r="A434" s="48">
        <f>(O425+1200)/B425</f>
        <v>0.23986693192351516</v>
      </c>
      <c r="B434" s="49">
        <f>(P425+1200)/C425</f>
        <v>0.23711689731909144</v>
      </c>
      <c r="C434" s="50">
        <f>(Q425+1200)/D425</f>
        <v>0.22502464450118626</v>
      </c>
      <c r="D434" s="48">
        <f>(R425+1200)/E425</f>
        <v>0.22446512720073006</v>
      </c>
      <c r="E434" s="49">
        <f>(S425+1200)/F425</f>
        <v>0.236869847163131</v>
      </c>
      <c r="F434" s="50">
        <f>(T425+1200)/G425</f>
        <v>0.23012496821799314</v>
      </c>
      <c r="G434" s="51">
        <f>(U425+1200)/H425</f>
        <v>0.25622141890702255</v>
      </c>
      <c r="H434" s="52">
        <f>(V425+1200)/I425</f>
        <v>0.25437208600177669</v>
      </c>
      <c r="I434" s="53">
        <f>(W425+1200)/J425</f>
        <v>0.27748818936089437</v>
      </c>
      <c r="J434" s="50">
        <f>(X425+1200)/K425</f>
        <v>0.2843194215071374</v>
      </c>
      <c r="K434" s="55">
        <f>(Y425+1200)/L425</f>
        <v>0.28622264812207776</v>
      </c>
      <c r="L434" s="53">
        <f>(Z425+1200)/M425</f>
        <v>0.26940669291632735</v>
      </c>
      <c r="M434" s="55">
        <f>(AA425+1200)/N425</f>
        <v>0.25782589744487111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1303</v>
      </c>
      <c r="B1" t="s">
        <v>1304</v>
      </c>
    </row>
    <row r="2" spans="1:2">
      <c r="A2" t="s">
        <v>74</v>
      </c>
      <c r="B2" t="s">
        <v>1216</v>
      </c>
    </row>
    <row r="3" spans="1:2">
      <c r="A3" t="s">
        <v>151</v>
      </c>
      <c r="B3" t="s">
        <v>1216</v>
      </c>
    </row>
    <row r="4" spans="1:2">
      <c r="A4" t="s">
        <v>809</v>
      </c>
      <c r="B4" t="s">
        <v>1216</v>
      </c>
    </row>
    <row r="5" spans="1:2">
      <c r="A5" t="s">
        <v>660</v>
      </c>
      <c r="B5" t="s">
        <v>1216</v>
      </c>
    </row>
    <row r="6" spans="1:2">
      <c r="A6" t="s">
        <v>1305</v>
      </c>
      <c r="B6" t="s">
        <v>1216</v>
      </c>
    </row>
    <row r="7" spans="1:2">
      <c r="A7" t="s">
        <v>184</v>
      </c>
      <c r="B7" t="s">
        <v>1216</v>
      </c>
    </row>
    <row r="8" spans="1:2">
      <c r="A8" t="s">
        <v>120</v>
      </c>
      <c r="B8" t="s">
        <v>1216</v>
      </c>
    </row>
    <row r="9" spans="1:2">
      <c r="A9" t="s">
        <v>53</v>
      </c>
      <c r="B9" t="s">
        <v>1216</v>
      </c>
    </row>
    <row r="10" spans="1:2">
      <c r="A10" t="s">
        <v>402</v>
      </c>
      <c r="B10" t="s">
        <v>1216</v>
      </c>
    </row>
    <row r="11" spans="1:2">
      <c r="A11" t="s">
        <v>133</v>
      </c>
      <c r="B11" t="s">
        <v>1216</v>
      </c>
    </row>
    <row r="12" spans="1:2">
      <c r="A12" t="s">
        <v>23</v>
      </c>
      <c r="B12" t="s">
        <v>1216</v>
      </c>
    </row>
    <row r="13" spans="1:2">
      <c r="A13" t="s">
        <v>589</v>
      </c>
      <c r="B13" t="s">
        <v>1216</v>
      </c>
    </row>
    <row r="14" spans="1:2">
      <c r="A14" t="s">
        <v>216</v>
      </c>
      <c r="B14" t="s">
        <v>1216</v>
      </c>
    </row>
    <row r="15" spans="1:2">
      <c r="A15" t="s">
        <v>580</v>
      </c>
      <c r="B15" t="s">
        <v>1216</v>
      </c>
    </row>
    <row r="16" spans="1:2">
      <c r="A16" t="s">
        <v>1306</v>
      </c>
      <c r="B16" t="s">
        <v>1216</v>
      </c>
    </row>
    <row r="17" spans="1:2">
      <c r="A17" t="s">
        <v>244</v>
      </c>
      <c r="B17" t="s">
        <v>1216</v>
      </c>
    </row>
    <row r="18" spans="1:2">
      <c r="A18" t="s">
        <v>219</v>
      </c>
      <c r="B18" t="s">
        <v>1216</v>
      </c>
    </row>
    <row r="19" spans="1:2">
      <c r="A19" t="s">
        <v>314</v>
      </c>
      <c r="B19" t="s">
        <v>1216</v>
      </c>
    </row>
    <row r="20" spans="1:2">
      <c r="A20" t="s">
        <v>1307</v>
      </c>
      <c r="B20" t="s">
        <v>1216</v>
      </c>
    </row>
    <row r="21" spans="1:2">
      <c r="A21" t="s">
        <v>174</v>
      </c>
      <c r="B21" t="s">
        <v>1216</v>
      </c>
    </row>
    <row r="22" spans="1:2">
      <c r="A22" t="s">
        <v>390</v>
      </c>
      <c r="B22" t="s">
        <v>1216</v>
      </c>
    </row>
    <row r="23" spans="1:2">
      <c r="A23" t="s">
        <v>1308</v>
      </c>
      <c r="B23" t="s">
        <v>1216</v>
      </c>
    </row>
    <row r="24" spans="1:2">
      <c r="A24" t="s">
        <v>275</v>
      </c>
      <c r="B24" t="s">
        <v>1216</v>
      </c>
    </row>
    <row r="25" spans="1:2">
      <c r="A25" t="s">
        <v>460</v>
      </c>
      <c r="B25" t="s">
        <v>1216</v>
      </c>
    </row>
    <row r="26" spans="1:2">
      <c r="A26" t="s">
        <v>181</v>
      </c>
      <c r="B26" t="s">
        <v>1216</v>
      </c>
    </row>
    <row r="27" spans="1:2">
      <c r="A27" t="s">
        <v>263</v>
      </c>
      <c r="B27" t="s">
        <v>1216</v>
      </c>
    </row>
    <row r="28" spans="1:2">
      <c r="A28" t="s">
        <v>89</v>
      </c>
      <c r="B28" t="s">
        <v>1216</v>
      </c>
    </row>
    <row r="29" spans="1:2">
      <c r="A29" t="s">
        <v>377</v>
      </c>
      <c r="B29" t="s">
        <v>1216</v>
      </c>
    </row>
    <row r="30" spans="1:2">
      <c r="A30" t="s">
        <v>534</v>
      </c>
      <c r="B30" t="s">
        <v>1216</v>
      </c>
    </row>
    <row r="31" spans="1:2">
      <c r="A31" t="s">
        <v>1309</v>
      </c>
      <c r="B31" t="s">
        <v>1216</v>
      </c>
    </row>
    <row r="32" spans="1:2">
      <c r="A32" t="s">
        <v>332</v>
      </c>
      <c r="B32" t="s">
        <v>1216</v>
      </c>
    </row>
    <row r="33" spans="1:2">
      <c r="A33" t="s">
        <v>215</v>
      </c>
      <c r="B33" t="s">
        <v>1216</v>
      </c>
    </row>
    <row r="34" spans="1:2">
      <c r="A34" t="s">
        <v>107</v>
      </c>
      <c r="B34" t="s">
        <v>1216</v>
      </c>
    </row>
    <row r="35" spans="1:2">
      <c r="A35" t="s">
        <v>442</v>
      </c>
      <c r="B35" t="s">
        <v>1216</v>
      </c>
    </row>
    <row r="36" spans="1:2">
      <c r="A36" t="s">
        <v>477</v>
      </c>
      <c r="B36" t="s">
        <v>1216</v>
      </c>
    </row>
    <row r="37" spans="1:2">
      <c r="A37" t="s">
        <v>311</v>
      </c>
      <c r="B37" t="s">
        <v>1216</v>
      </c>
    </row>
    <row r="38" spans="1:2">
      <c r="A38" t="s">
        <v>50</v>
      </c>
      <c r="B38" t="s">
        <v>1216</v>
      </c>
    </row>
    <row r="39" spans="1:2">
      <c r="A39" t="s">
        <v>563</v>
      </c>
      <c r="B39" t="s">
        <v>1216</v>
      </c>
    </row>
    <row r="40" spans="1:2">
      <c r="A40" t="s">
        <v>159</v>
      </c>
      <c r="B40" t="s">
        <v>1216</v>
      </c>
    </row>
    <row r="41" spans="1:2">
      <c r="A41" t="s">
        <v>147</v>
      </c>
      <c r="B41" t="s">
        <v>1216</v>
      </c>
    </row>
    <row r="42" spans="1:2">
      <c r="A42" t="s">
        <v>573</v>
      </c>
      <c r="B42" t="s">
        <v>1216</v>
      </c>
    </row>
    <row r="43" spans="1:2">
      <c r="A43" t="s">
        <v>309</v>
      </c>
      <c r="B43" t="s">
        <v>1216</v>
      </c>
    </row>
    <row r="44" spans="1:2">
      <c r="A44" t="s">
        <v>421</v>
      </c>
      <c r="B44" t="s">
        <v>1216</v>
      </c>
    </row>
    <row r="45" spans="1:2">
      <c r="A45" t="s">
        <v>493</v>
      </c>
      <c r="B45" t="s">
        <v>1216</v>
      </c>
    </row>
    <row r="46" spans="1:2">
      <c r="A46" t="s">
        <v>203</v>
      </c>
      <c r="B46" t="s">
        <v>1216</v>
      </c>
    </row>
    <row r="47" spans="1:2">
      <c r="A47" t="s">
        <v>1310</v>
      </c>
      <c r="B47" t="s">
        <v>1216</v>
      </c>
    </row>
    <row r="48" spans="1:2">
      <c r="A48" t="s">
        <v>163</v>
      </c>
      <c r="B48" t="s">
        <v>1216</v>
      </c>
    </row>
    <row r="49" spans="1:2">
      <c r="A49" t="s">
        <v>396</v>
      </c>
      <c r="B49" t="s">
        <v>1216</v>
      </c>
    </row>
    <row r="50" spans="1:2">
      <c r="A50" t="s">
        <v>617</v>
      </c>
      <c r="B50" t="s">
        <v>1216</v>
      </c>
    </row>
    <row r="51" spans="1:2">
      <c r="A51" t="s">
        <v>586</v>
      </c>
      <c r="B51" t="s">
        <v>1216</v>
      </c>
    </row>
    <row r="52" spans="1:2">
      <c r="A52" t="s">
        <v>306</v>
      </c>
      <c r="B52" t="s">
        <v>1216</v>
      </c>
    </row>
    <row r="53" spans="1:2">
      <c r="A53" t="s">
        <v>299</v>
      </c>
      <c r="B53" t="s">
        <v>1216</v>
      </c>
    </row>
    <row r="54" spans="1:2">
      <c r="A54" t="s">
        <v>165</v>
      </c>
      <c r="B54" t="s">
        <v>1216</v>
      </c>
    </row>
    <row r="55" spans="1:2">
      <c r="A55" t="s">
        <v>542</v>
      </c>
      <c r="B55" t="s">
        <v>1216</v>
      </c>
    </row>
    <row r="56" spans="1:2">
      <c r="A56" t="s">
        <v>416</v>
      </c>
      <c r="B56" t="s">
        <v>1216</v>
      </c>
    </row>
    <row r="57" spans="1:2">
      <c r="A57" t="s">
        <v>527</v>
      </c>
      <c r="B57" t="s">
        <v>1216</v>
      </c>
    </row>
    <row r="58" spans="1:2">
      <c r="A58" t="s">
        <v>578</v>
      </c>
      <c r="B58" t="s">
        <v>1216</v>
      </c>
    </row>
    <row r="59" spans="1:2">
      <c r="A59" t="s">
        <v>487</v>
      </c>
      <c r="B59" t="s">
        <v>1216</v>
      </c>
    </row>
    <row r="60" spans="1:2">
      <c r="A60" t="s">
        <v>640</v>
      </c>
      <c r="B60" t="s">
        <v>1216</v>
      </c>
    </row>
    <row r="61" spans="1:2">
      <c r="A61" t="s">
        <v>1311</v>
      </c>
      <c r="B61" t="s">
        <v>1216</v>
      </c>
    </row>
    <row r="62" spans="1:2">
      <c r="A62" t="s">
        <v>242</v>
      </c>
      <c r="B62" t="s">
        <v>1216</v>
      </c>
    </row>
    <row r="63" spans="1:2">
      <c r="A63" t="s">
        <v>353</v>
      </c>
      <c r="B63" t="s">
        <v>1216</v>
      </c>
    </row>
    <row r="64" spans="1:2">
      <c r="A64" t="s">
        <v>1312</v>
      </c>
      <c r="B64" t="s">
        <v>1216</v>
      </c>
    </row>
    <row r="65" spans="1:2">
      <c r="A65" t="s">
        <v>653</v>
      </c>
      <c r="B65" t="s">
        <v>1216</v>
      </c>
    </row>
    <row r="66" spans="1:2">
      <c r="A66" t="s">
        <v>35</v>
      </c>
      <c r="B66" t="s">
        <v>1216</v>
      </c>
    </row>
    <row r="67" spans="1:2">
      <c r="A67" t="s">
        <v>176</v>
      </c>
      <c r="B67" t="s">
        <v>1216</v>
      </c>
    </row>
    <row r="68" spans="1:2">
      <c r="A68" t="s">
        <v>1313</v>
      </c>
      <c r="B68" t="s">
        <v>1216</v>
      </c>
    </row>
    <row r="69" spans="1:2">
      <c r="A69" t="s">
        <v>448</v>
      </c>
      <c r="B69" t="s">
        <v>1216</v>
      </c>
    </row>
    <row r="70" spans="1:2">
      <c r="A70" t="s">
        <v>507</v>
      </c>
      <c r="B70" t="s">
        <v>1216</v>
      </c>
    </row>
    <row r="71" spans="1:2">
      <c r="A71" t="s">
        <v>198</v>
      </c>
      <c r="B71" t="s">
        <v>1216</v>
      </c>
    </row>
    <row r="72" spans="1:2">
      <c r="A72" t="s">
        <v>77</v>
      </c>
      <c r="B72" t="s">
        <v>1216</v>
      </c>
    </row>
    <row r="73" spans="1:2">
      <c r="A73" t="s">
        <v>350</v>
      </c>
      <c r="B73" t="s">
        <v>1216</v>
      </c>
    </row>
    <row r="74" spans="1:2">
      <c r="A74" t="s">
        <v>280</v>
      </c>
      <c r="B74" t="s">
        <v>1216</v>
      </c>
    </row>
    <row r="75" spans="1:2">
      <c r="A75" t="s">
        <v>613</v>
      </c>
      <c r="B75" t="s">
        <v>1216</v>
      </c>
    </row>
    <row r="76" spans="1:2">
      <c r="A76" t="s">
        <v>388</v>
      </c>
      <c r="B76" t="s">
        <v>1216</v>
      </c>
    </row>
    <row r="77" spans="1:2">
      <c r="A77" t="s">
        <v>376</v>
      </c>
      <c r="B77" t="s">
        <v>1216</v>
      </c>
    </row>
    <row r="78" spans="1:2">
      <c r="A78" t="s">
        <v>504</v>
      </c>
      <c r="B78" t="s">
        <v>1216</v>
      </c>
    </row>
    <row r="79" spans="1:2">
      <c r="A79" t="s">
        <v>490</v>
      </c>
      <c r="B79" t="s">
        <v>1216</v>
      </c>
    </row>
    <row r="80" spans="1:2">
      <c r="A80" t="s">
        <v>371</v>
      </c>
      <c r="B80" t="s">
        <v>1216</v>
      </c>
    </row>
    <row r="81" spans="1:2">
      <c r="A81" t="s">
        <v>232</v>
      </c>
      <c r="B81" t="s">
        <v>1216</v>
      </c>
    </row>
    <row r="82" spans="1:2">
      <c r="A82" t="s">
        <v>1314</v>
      </c>
      <c r="B82" t="s">
        <v>1216</v>
      </c>
    </row>
    <row r="83" spans="1:2">
      <c r="A83" t="s">
        <v>512</v>
      </c>
      <c r="B83" t="s">
        <v>1216</v>
      </c>
    </row>
    <row r="84" spans="1:2">
      <c r="A84" t="s">
        <v>329</v>
      </c>
      <c r="B84" t="s">
        <v>1216</v>
      </c>
    </row>
    <row r="85" spans="1:2">
      <c r="A85" t="s">
        <v>400</v>
      </c>
      <c r="B85" t="s">
        <v>1216</v>
      </c>
    </row>
    <row r="86" spans="1:2">
      <c r="A86" t="s">
        <v>407</v>
      </c>
      <c r="B86" t="s">
        <v>1216</v>
      </c>
    </row>
    <row r="87" spans="1:2">
      <c r="A87" t="s">
        <v>128</v>
      </c>
      <c r="B87" t="s">
        <v>1216</v>
      </c>
    </row>
    <row r="88" spans="1:2">
      <c r="A88" t="s">
        <v>409</v>
      </c>
      <c r="B88" t="s">
        <v>1216</v>
      </c>
    </row>
    <row r="89" spans="1:2">
      <c r="A89" t="s">
        <v>558</v>
      </c>
      <c r="B89" t="s">
        <v>1216</v>
      </c>
    </row>
    <row r="90" spans="1:2">
      <c r="A90" t="s">
        <v>436</v>
      </c>
      <c r="B90" t="s">
        <v>1216</v>
      </c>
    </row>
    <row r="91" spans="1:2">
      <c r="A91" t="s">
        <v>361</v>
      </c>
      <c r="B91" t="s">
        <v>1216</v>
      </c>
    </row>
    <row r="92" spans="1:2">
      <c r="A92" t="s">
        <v>451</v>
      </c>
      <c r="B92" t="s">
        <v>1216</v>
      </c>
    </row>
    <row r="93" spans="1:2">
      <c r="A93" t="s">
        <v>529</v>
      </c>
      <c r="B93" t="s">
        <v>1216</v>
      </c>
    </row>
    <row r="94" spans="1:2">
      <c r="A94" t="s">
        <v>384</v>
      </c>
      <c r="B94" t="s">
        <v>1216</v>
      </c>
    </row>
    <row r="95" spans="1:2">
      <c r="A95" t="s">
        <v>412</v>
      </c>
      <c r="B95" t="s">
        <v>1216</v>
      </c>
    </row>
    <row r="96" spans="1:2">
      <c r="A96" t="s">
        <v>643</v>
      </c>
      <c r="B96" t="s">
        <v>1216</v>
      </c>
    </row>
    <row r="97" spans="1:2">
      <c r="A97" t="s">
        <v>544</v>
      </c>
      <c r="B97" t="s">
        <v>1216</v>
      </c>
    </row>
    <row r="98" spans="1:2">
      <c r="A98" t="s">
        <v>467</v>
      </c>
      <c r="B98" t="s">
        <v>1216</v>
      </c>
    </row>
    <row r="99" spans="1:2">
      <c r="A99" t="s">
        <v>472</v>
      </c>
      <c r="B99" t="s">
        <v>1216</v>
      </c>
    </row>
    <row r="100" spans="1:2">
      <c r="A100" t="s">
        <v>331</v>
      </c>
      <c r="B100" t="s">
        <v>1216</v>
      </c>
    </row>
    <row r="101" spans="1:2">
      <c r="A101" t="s">
        <v>438</v>
      </c>
      <c r="B101" t="s">
        <v>1216</v>
      </c>
    </row>
    <row r="102" spans="1:2">
      <c r="A102" t="s">
        <v>475</v>
      </c>
      <c r="B102" t="s">
        <v>1216</v>
      </c>
    </row>
    <row r="103" spans="1:2">
      <c r="A103" t="s">
        <v>427</v>
      </c>
      <c r="B103" t="s">
        <v>1216</v>
      </c>
    </row>
    <row r="104" spans="1:2">
      <c r="A104" t="s">
        <v>433</v>
      </c>
      <c r="B104" t="s">
        <v>1216</v>
      </c>
    </row>
    <row r="105" spans="1:2">
      <c r="A105" t="s">
        <v>592</v>
      </c>
      <c r="B105" t="s">
        <v>1216</v>
      </c>
    </row>
    <row r="106" spans="1:2">
      <c r="A106" t="s">
        <v>522</v>
      </c>
      <c r="B106" t="s">
        <v>1216</v>
      </c>
    </row>
    <row r="107" spans="1:2">
      <c r="A107" t="s">
        <v>598</v>
      </c>
      <c r="B107" t="s">
        <v>1216</v>
      </c>
    </row>
    <row r="108" spans="1:2">
      <c r="A108" t="s">
        <v>531</v>
      </c>
      <c r="B108" t="s">
        <v>1216</v>
      </c>
    </row>
    <row r="109" spans="1:2">
      <c r="A109" t="s">
        <v>82</v>
      </c>
      <c r="B109" t="s">
        <v>1216</v>
      </c>
    </row>
    <row r="110" spans="1:2">
      <c r="A110" t="s">
        <v>1315</v>
      </c>
      <c r="B110" t="s">
        <v>1216</v>
      </c>
    </row>
    <row r="111" spans="1:2">
      <c r="A111" t="s">
        <v>540</v>
      </c>
      <c r="B111" t="s">
        <v>1216</v>
      </c>
    </row>
    <row r="112" spans="1:2">
      <c r="A112" t="s">
        <v>556</v>
      </c>
      <c r="B112" t="s">
        <v>1216</v>
      </c>
    </row>
    <row r="113" spans="1:2">
      <c r="A113" t="s">
        <v>669</v>
      </c>
      <c r="B113" t="s">
        <v>1216</v>
      </c>
    </row>
    <row r="114" spans="1:2">
      <c r="A114" t="s">
        <v>142</v>
      </c>
      <c r="B114" t="s">
        <v>1216</v>
      </c>
    </row>
    <row r="115" spans="1:2">
      <c r="A115" t="s">
        <v>334</v>
      </c>
      <c r="B115" t="s">
        <v>1216</v>
      </c>
    </row>
    <row r="116" spans="1:2">
      <c r="A116" t="s">
        <v>594</v>
      </c>
      <c r="B116" t="s">
        <v>1216</v>
      </c>
    </row>
    <row r="117" spans="1:2">
      <c r="A117" t="s">
        <v>552</v>
      </c>
      <c r="B117" t="s">
        <v>1216</v>
      </c>
    </row>
    <row r="118" spans="1:2">
      <c r="A118" t="s">
        <v>195</v>
      </c>
      <c r="B118" t="s">
        <v>1216</v>
      </c>
    </row>
    <row r="119" spans="1:2">
      <c r="A119" t="s">
        <v>1316</v>
      </c>
      <c r="B119" t="s">
        <v>1216</v>
      </c>
    </row>
    <row r="120" spans="1:2">
      <c r="A120" t="s">
        <v>217</v>
      </c>
      <c r="B120" t="s">
        <v>1216</v>
      </c>
    </row>
    <row r="121" spans="1:2">
      <c r="A121" t="s">
        <v>348</v>
      </c>
      <c r="B121" t="s">
        <v>1216</v>
      </c>
    </row>
    <row r="122" spans="1:2">
      <c r="A122" t="s">
        <v>266</v>
      </c>
      <c r="B122" t="s">
        <v>1216</v>
      </c>
    </row>
    <row r="123" spans="1:2">
      <c r="A123" t="s">
        <v>1317</v>
      </c>
      <c r="B123" t="s">
        <v>1216</v>
      </c>
    </row>
    <row r="124" spans="1:2">
      <c r="A124" t="s">
        <v>638</v>
      </c>
      <c r="B124" t="s">
        <v>1216</v>
      </c>
    </row>
    <row r="125" spans="1:2">
      <c r="A125" t="s">
        <v>520</v>
      </c>
      <c r="B125" t="s">
        <v>1216</v>
      </c>
    </row>
    <row r="126" spans="1:2">
      <c r="A126" t="s">
        <v>253</v>
      </c>
      <c r="B126" t="s">
        <v>1216</v>
      </c>
    </row>
    <row r="127" spans="1:2">
      <c r="A127" t="s">
        <v>569</v>
      </c>
      <c r="B127" t="s">
        <v>1216</v>
      </c>
    </row>
    <row r="128" spans="1:2">
      <c r="A128" t="s">
        <v>509</v>
      </c>
      <c r="B128" t="s">
        <v>1216</v>
      </c>
    </row>
    <row r="129" spans="1:2">
      <c r="A129" t="s">
        <v>621</v>
      </c>
      <c r="B129" t="s">
        <v>1216</v>
      </c>
    </row>
    <row r="130" spans="1:2">
      <c r="A130" t="s">
        <v>392</v>
      </c>
      <c r="B130" t="s">
        <v>1216</v>
      </c>
    </row>
    <row r="131" spans="1:2">
      <c r="A131" t="s">
        <v>228</v>
      </c>
      <c r="B131" t="s">
        <v>1216</v>
      </c>
    </row>
    <row r="132" spans="1:2">
      <c r="A132" t="s">
        <v>484</v>
      </c>
      <c r="B132" t="s">
        <v>1216</v>
      </c>
    </row>
    <row r="133" spans="1:2">
      <c r="A133" t="s">
        <v>525</v>
      </c>
      <c r="B133" t="s">
        <v>1216</v>
      </c>
    </row>
    <row r="134" spans="1:2">
      <c r="A134" t="s">
        <v>291</v>
      </c>
      <c r="B134" t="s">
        <v>1216</v>
      </c>
    </row>
    <row r="135" spans="1:2">
      <c r="A135" t="s">
        <v>341</v>
      </c>
      <c r="B135" t="s">
        <v>1216</v>
      </c>
    </row>
    <row r="136" spans="1:2">
      <c r="A136" t="s">
        <v>207</v>
      </c>
      <c r="B136" t="s">
        <v>1216</v>
      </c>
    </row>
    <row r="137" spans="1:2">
      <c r="A137" t="s">
        <v>257</v>
      </c>
      <c r="B137" t="s">
        <v>1216</v>
      </c>
    </row>
    <row r="138" spans="1:2">
      <c r="A138" t="s">
        <v>235</v>
      </c>
      <c r="B138" t="s">
        <v>1216</v>
      </c>
    </row>
    <row r="139" spans="1:2">
      <c r="A139" t="s">
        <v>465</v>
      </c>
      <c r="B139" t="s">
        <v>1216</v>
      </c>
    </row>
    <row r="140" spans="1:2">
      <c r="A140" t="s">
        <v>114</v>
      </c>
      <c r="B140" t="s">
        <v>1216</v>
      </c>
    </row>
    <row r="141" spans="1:2">
      <c r="A141" t="s">
        <v>600</v>
      </c>
      <c r="B141" t="s">
        <v>1216</v>
      </c>
    </row>
    <row r="142" spans="1:2">
      <c r="A142" t="s">
        <v>630</v>
      </c>
      <c r="B142" t="s">
        <v>1216</v>
      </c>
    </row>
    <row r="143" spans="1:2">
      <c r="A143" t="s">
        <v>1318</v>
      </c>
      <c r="B143" t="s">
        <v>1216</v>
      </c>
    </row>
    <row r="144" spans="1:2">
      <c r="A144" t="s">
        <v>626</v>
      </c>
      <c r="B144" t="s">
        <v>1216</v>
      </c>
    </row>
    <row r="145" spans="1:2">
      <c r="A145" t="s">
        <v>212</v>
      </c>
      <c r="B145" t="s">
        <v>1216</v>
      </c>
    </row>
    <row r="146" spans="1:2">
      <c r="A146" t="s">
        <v>418</v>
      </c>
      <c r="B146" t="s">
        <v>1216</v>
      </c>
    </row>
    <row r="147" spans="1:2">
      <c r="A147" t="s">
        <v>473</v>
      </c>
      <c r="B147" t="s">
        <v>1216</v>
      </c>
    </row>
    <row r="148" spans="1:2">
      <c r="A148" t="s">
        <v>269</v>
      </c>
      <c r="B148" t="s">
        <v>1216</v>
      </c>
    </row>
    <row r="149" spans="1:2">
      <c r="A149" t="s">
        <v>538</v>
      </c>
      <c r="B149" t="s">
        <v>1216</v>
      </c>
    </row>
    <row r="150" spans="1:2">
      <c r="A150" t="s">
        <v>188</v>
      </c>
      <c r="B150" t="s">
        <v>1216</v>
      </c>
    </row>
    <row r="151" spans="1:2">
      <c r="A151" t="s">
        <v>284</v>
      </c>
      <c r="B151" t="s">
        <v>1216</v>
      </c>
    </row>
    <row r="152" spans="1:2">
      <c r="A152" t="s">
        <v>69</v>
      </c>
      <c r="B152" t="s">
        <v>1216</v>
      </c>
    </row>
    <row r="153" spans="1:2">
      <c r="A153" t="s">
        <v>260</v>
      </c>
      <c r="B153" t="s">
        <v>1216</v>
      </c>
    </row>
    <row r="154" spans="1:2">
      <c r="A154" t="s">
        <v>161</v>
      </c>
      <c r="B154" t="s">
        <v>1216</v>
      </c>
    </row>
    <row r="155" spans="1:2">
      <c r="A155" t="s">
        <v>582</v>
      </c>
      <c r="B155" t="s">
        <v>1216</v>
      </c>
    </row>
    <row r="156" spans="1:2">
      <c r="A156" t="s">
        <v>276</v>
      </c>
      <c r="B156" t="s">
        <v>1216</v>
      </c>
    </row>
    <row r="157" spans="1:2">
      <c r="A157" t="s">
        <v>777</v>
      </c>
      <c r="B157" t="s">
        <v>1216</v>
      </c>
    </row>
    <row r="158" spans="1:2">
      <c r="A158" t="s">
        <v>455</v>
      </c>
      <c r="B158" t="s">
        <v>1216</v>
      </c>
    </row>
    <row r="159" spans="1:2">
      <c r="A159" t="s">
        <v>111</v>
      </c>
      <c r="B159" t="s">
        <v>1216</v>
      </c>
    </row>
    <row r="160" spans="1:2">
      <c r="A160" t="s">
        <v>321</v>
      </c>
      <c r="B160" t="s">
        <v>1216</v>
      </c>
    </row>
    <row r="161" spans="1:2">
      <c r="A161" t="s">
        <v>138</v>
      </c>
      <c r="B161" t="s">
        <v>1216</v>
      </c>
    </row>
    <row r="162" spans="1:2">
      <c r="A162" t="s">
        <v>145</v>
      </c>
      <c r="B162" t="s">
        <v>1216</v>
      </c>
    </row>
    <row r="163" spans="1:2">
      <c r="A163" t="s">
        <v>93</v>
      </c>
      <c r="B163" t="s">
        <v>1216</v>
      </c>
    </row>
    <row r="164" spans="1:2">
      <c r="A164" t="s">
        <v>517</v>
      </c>
      <c r="B164" t="s">
        <v>1216</v>
      </c>
    </row>
    <row r="165" spans="1:2">
      <c r="A165" t="s">
        <v>480</v>
      </c>
      <c r="B165" t="s">
        <v>1216</v>
      </c>
    </row>
    <row r="166" spans="1:2">
      <c r="A166" t="s">
        <v>611</v>
      </c>
      <c r="B166" t="s">
        <v>1216</v>
      </c>
    </row>
    <row r="167" spans="1:2">
      <c r="A167" t="s">
        <v>247</v>
      </c>
      <c r="B167" t="s">
        <v>1216</v>
      </c>
    </row>
    <row r="168" spans="1:2">
      <c r="A168" t="s">
        <v>326</v>
      </c>
      <c r="B168" t="s">
        <v>1216</v>
      </c>
    </row>
    <row r="169" spans="1:2">
      <c r="A169" t="s">
        <v>394</v>
      </c>
      <c r="B169" t="s">
        <v>1216</v>
      </c>
    </row>
    <row r="170" spans="1:2">
      <c r="A170" t="s">
        <v>116</v>
      </c>
      <c r="B170" t="s">
        <v>1216</v>
      </c>
    </row>
    <row r="171" spans="1:2">
      <c r="A171" t="s">
        <v>64</v>
      </c>
      <c r="B171" t="s">
        <v>1216</v>
      </c>
    </row>
    <row r="172" spans="1:2">
      <c r="A172" t="s">
        <v>665</v>
      </c>
      <c r="B172" t="s">
        <v>1216</v>
      </c>
    </row>
    <row r="173" spans="1:2">
      <c r="A173" t="s">
        <v>186</v>
      </c>
      <c r="B173" t="s">
        <v>1216</v>
      </c>
    </row>
    <row r="174" spans="1:2">
      <c r="A174" t="s">
        <v>315</v>
      </c>
      <c r="B174" t="s">
        <v>1216</v>
      </c>
    </row>
    <row r="175" spans="1:2">
      <c r="A175" t="s">
        <v>550</v>
      </c>
      <c r="B175" t="s">
        <v>1216</v>
      </c>
    </row>
    <row r="176" spans="1:2">
      <c r="A176" t="s">
        <v>561</v>
      </c>
      <c r="B176" t="s">
        <v>1216</v>
      </c>
    </row>
    <row r="177" spans="1:2">
      <c r="A177" t="s">
        <v>182</v>
      </c>
      <c r="B177" t="s">
        <v>1216</v>
      </c>
    </row>
    <row r="178" spans="1:2">
      <c r="A178" t="s">
        <v>356</v>
      </c>
      <c r="B178" t="s">
        <v>1216</v>
      </c>
    </row>
    <row r="179" spans="1:2">
      <c r="A179" t="s">
        <v>239</v>
      </c>
      <c r="B179" t="s">
        <v>1216</v>
      </c>
    </row>
    <row r="180" spans="1:2">
      <c r="A180" t="s">
        <v>294</v>
      </c>
      <c r="B180" t="s">
        <v>1216</v>
      </c>
    </row>
    <row r="181" spans="1:2">
      <c r="A181" t="s">
        <v>258</v>
      </c>
      <c r="B181" t="s">
        <v>1216</v>
      </c>
    </row>
    <row r="182" spans="1:2">
      <c r="A182" t="s">
        <v>615</v>
      </c>
      <c r="B182" t="s">
        <v>1216</v>
      </c>
    </row>
    <row r="183" spans="1:2">
      <c r="A183" t="s">
        <v>45</v>
      </c>
      <c r="B183" t="s">
        <v>1216</v>
      </c>
    </row>
    <row r="184" spans="1:2">
      <c r="A184" t="s">
        <v>430</v>
      </c>
      <c r="B184" t="s">
        <v>1216</v>
      </c>
    </row>
    <row r="185" spans="1:2">
      <c r="A185" t="s">
        <v>515</v>
      </c>
      <c r="B185" t="s">
        <v>1216</v>
      </c>
    </row>
    <row r="186" spans="1:2">
      <c r="A186" t="s">
        <v>273</v>
      </c>
      <c r="B186" t="s">
        <v>1216</v>
      </c>
    </row>
    <row r="187" spans="1:2">
      <c r="A187" t="s">
        <v>51</v>
      </c>
      <c r="B187" t="s">
        <v>1216</v>
      </c>
    </row>
    <row r="188" spans="1:2">
      <c r="A188" t="s">
        <v>162</v>
      </c>
      <c r="B188" t="s">
        <v>1216</v>
      </c>
    </row>
    <row r="189" spans="1:2">
      <c r="A189" t="s">
        <v>200</v>
      </c>
      <c r="B189" t="s">
        <v>1216</v>
      </c>
    </row>
    <row r="190" spans="1:2">
      <c r="A190" t="s">
        <v>285</v>
      </c>
      <c r="B190" t="s">
        <v>1216</v>
      </c>
    </row>
    <row r="191" spans="1:2">
      <c r="A191" t="s">
        <v>365</v>
      </c>
      <c r="B191" t="s">
        <v>1216</v>
      </c>
    </row>
    <row r="192" spans="1:2">
      <c r="A192" t="s">
        <v>497</v>
      </c>
      <c r="B192" t="s">
        <v>1216</v>
      </c>
    </row>
    <row r="193" spans="1:2">
      <c r="A193" t="s">
        <v>547</v>
      </c>
      <c r="B193" t="s">
        <v>1216</v>
      </c>
    </row>
    <row r="194" spans="1:2">
      <c r="A194" t="s">
        <v>38</v>
      </c>
      <c r="B194" t="s">
        <v>1216</v>
      </c>
    </row>
    <row r="195" spans="1:2">
      <c r="A195" t="s">
        <v>25</v>
      </c>
      <c r="B195" t="s">
        <v>1216</v>
      </c>
    </row>
    <row r="196" spans="1:2">
      <c r="A196" t="s">
        <v>39</v>
      </c>
      <c r="B196" t="s">
        <v>1216</v>
      </c>
    </row>
    <row r="197" spans="1:2">
      <c r="A197" t="s">
        <v>481</v>
      </c>
      <c r="B197" t="s">
        <v>1216</v>
      </c>
    </row>
    <row r="198" spans="1:2">
      <c r="A198" t="s">
        <v>30</v>
      </c>
      <c r="B198" t="s">
        <v>1216</v>
      </c>
    </row>
    <row r="199" spans="1:2">
      <c r="A199" t="s">
        <v>101</v>
      </c>
      <c r="B199" t="s">
        <v>1216</v>
      </c>
    </row>
    <row r="200" spans="1:2">
      <c r="A200" t="s">
        <v>79</v>
      </c>
      <c r="B200" t="s">
        <v>1216</v>
      </c>
    </row>
    <row r="201" spans="1:2">
      <c r="A201" t="s">
        <v>656</v>
      </c>
      <c r="B201" t="s">
        <v>1216</v>
      </c>
    </row>
    <row r="202" spans="1:2">
      <c r="A202" t="s">
        <v>155</v>
      </c>
      <c r="B202" t="s">
        <v>1216</v>
      </c>
    </row>
    <row r="203" spans="1:2">
      <c r="A203" t="s">
        <v>209</v>
      </c>
      <c r="B203" t="s">
        <v>1216</v>
      </c>
    </row>
    <row r="204" spans="1:2">
      <c r="A204" t="s">
        <v>1319</v>
      </c>
      <c r="B204" t="s">
        <v>1216</v>
      </c>
    </row>
    <row r="205" spans="1:2">
      <c r="A205" t="s">
        <v>439</v>
      </c>
      <c r="B205" t="s">
        <v>1216</v>
      </c>
    </row>
    <row r="206" spans="1:2">
      <c r="A206" t="s">
        <v>368</v>
      </c>
      <c r="B206" t="s">
        <v>1216</v>
      </c>
    </row>
    <row r="207" spans="1:2">
      <c r="A207" t="s">
        <v>28</v>
      </c>
      <c r="B207" t="s">
        <v>1217</v>
      </c>
    </row>
    <row r="208" spans="1:2">
      <c r="A208" t="s">
        <v>264</v>
      </c>
      <c r="B208" t="s">
        <v>1217</v>
      </c>
    </row>
    <row r="209" spans="1:2">
      <c r="A209" t="s">
        <v>319</v>
      </c>
      <c r="B209" t="s">
        <v>1217</v>
      </c>
    </row>
    <row r="210" spans="1:2">
      <c r="A210" t="s">
        <v>461</v>
      </c>
      <c r="B210" t="s">
        <v>1217</v>
      </c>
    </row>
    <row r="211" spans="1:2">
      <c r="A211" s="5" t="s">
        <v>340</v>
      </c>
      <c r="B211" t="s">
        <v>1217</v>
      </c>
    </row>
    <row r="212" spans="1:2">
      <c r="A212" t="s">
        <v>150</v>
      </c>
      <c r="B212" t="s">
        <v>1217</v>
      </c>
    </row>
    <row r="213" spans="1:2">
      <c r="A213" t="s">
        <v>250</v>
      </c>
      <c r="B213" t="s">
        <v>1217</v>
      </c>
    </row>
    <row r="214" spans="1:2">
      <c r="A214" t="s">
        <v>296</v>
      </c>
      <c r="B214" t="s">
        <v>1217</v>
      </c>
    </row>
    <row r="215" spans="1:2">
      <c r="A215" t="s">
        <v>425</v>
      </c>
      <c r="B215" t="s">
        <v>1217</v>
      </c>
    </row>
    <row r="216" spans="1:2">
      <c r="A216" t="s">
        <v>189</v>
      </c>
      <c r="B216" t="s">
        <v>1217</v>
      </c>
    </row>
    <row r="217" spans="1:2">
      <c r="A217" t="s">
        <v>354</v>
      </c>
      <c r="B217" t="s">
        <v>1217</v>
      </c>
    </row>
    <row r="218" spans="1:2">
      <c r="A218" t="s">
        <v>166</v>
      </c>
      <c r="B218" t="s">
        <v>1217</v>
      </c>
    </row>
    <row r="219" spans="1:2">
      <c r="A219" t="s">
        <v>199</v>
      </c>
      <c r="B219" t="s">
        <v>1217</v>
      </c>
    </row>
    <row r="220" spans="1:2">
      <c r="A220" t="s">
        <v>190</v>
      </c>
      <c r="B220" t="s">
        <v>1217</v>
      </c>
    </row>
    <row r="221" spans="1:2">
      <c r="A221" t="s">
        <v>397</v>
      </c>
      <c r="B221" t="s">
        <v>1217</v>
      </c>
    </row>
    <row r="222" spans="1:2">
      <c r="A222" t="s">
        <v>338</v>
      </c>
      <c r="B222" t="s">
        <v>1217</v>
      </c>
    </row>
    <row r="223" spans="1:2">
      <c r="A223" t="s">
        <v>446</v>
      </c>
      <c r="B223" t="s">
        <v>1217</v>
      </c>
    </row>
    <row r="224" spans="1:2">
      <c r="A224" t="s">
        <v>1320</v>
      </c>
      <c r="B224" t="s">
        <v>1217</v>
      </c>
    </row>
    <row r="225" spans="1:2">
      <c r="A225" t="s">
        <v>1321</v>
      </c>
      <c r="B225" t="s">
        <v>1217</v>
      </c>
    </row>
    <row r="226" spans="1:2">
      <c r="A226" t="s">
        <v>261</v>
      </c>
      <c r="B226" t="s">
        <v>1217</v>
      </c>
    </row>
    <row r="227" spans="1:2">
      <c r="A227" t="s">
        <v>750</v>
      </c>
      <c r="B227" t="s">
        <v>1217</v>
      </c>
    </row>
    <row r="228" spans="1:2">
      <c r="A228" t="s">
        <v>131</v>
      </c>
      <c r="B228" t="s">
        <v>1217</v>
      </c>
    </row>
    <row r="229" spans="1:2">
      <c r="A229" t="s">
        <v>468</v>
      </c>
      <c r="B229" t="s">
        <v>1217</v>
      </c>
    </row>
    <row r="230" spans="1:2">
      <c r="A230" t="s">
        <v>554</v>
      </c>
      <c r="B230" t="s">
        <v>1217</v>
      </c>
    </row>
    <row r="231" spans="1:2">
      <c r="A231" t="s">
        <v>518</v>
      </c>
      <c r="B231" t="s">
        <v>1217</v>
      </c>
    </row>
    <row r="232" spans="1:2">
      <c r="A232" t="s">
        <v>821</v>
      </c>
      <c r="B232" t="s">
        <v>1217</v>
      </c>
    </row>
    <row r="233" spans="1:2">
      <c r="A233" t="s">
        <v>773</v>
      </c>
      <c r="B233" t="s">
        <v>1217</v>
      </c>
    </row>
    <row r="234" spans="1:2">
      <c r="A234" t="s">
        <v>44</v>
      </c>
      <c r="B234" t="s">
        <v>1217</v>
      </c>
    </row>
    <row r="235" spans="1:2">
      <c r="A235" t="s">
        <v>729</v>
      </c>
      <c r="B235" t="s">
        <v>1217</v>
      </c>
    </row>
    <row r="236" spans="1:2">
      <c r="A236" t="s">
        <v>98</v>
      </c>
      <c r="B236" t="s">
        <v>1217</v>
      </c>
    </row>
    <row r="237" spans="1:2">
      <c r="A237" t="s">
        <v>495</v>
      </c>
      <c r="B237" t="s">
        <v>1217</v>
      </c>
    </row>
    <row r="238" spans="1:2">
      <c r="A238" t="s">
        <v>810</v>
      </c>
      <c r="B238" t="s">
        <v>1217</v>
      </c>
    </row>
    <row r="239" spans="1:2">
      <c r="A239" t="s">
        <v>1322</v>
      </c>
      <c r="B239" t="s">
        <v>1217</v>
      </c>
    </row>
    <row r="240" spans="1:2">
      <c r="A240" t="s">
        <v>744</v>
      </c>
      <c r="B240" t="s">
        <v>1217</v>
      </c>
    </row>
    <row r="241" spans="1:2">
      <c r="A241" t="s">
        <v>826</v>
      </c>
      <c r="B241" t="s">
        <v>1217</v>
      </c>
    </row>
    <row r="242" spans="1:2">
      <c r="A242" t="s">
        <v>688</v>
      </c>
      <c r="B242" t="s">
        <v>1217</v>
      </c>
    </row>
    <row r="243" spans="1:2">
      <c r="A243" t="s">
        <v>817</v>
      </c>
      <c r="B243" t="s">
        <v>1217</v>
      </c>
    </row>
    <row r="244" spans="1:2">
      <c r="A244" t="s">
        <v>768</v>
      </c>
      <c r="B244" t="s">
        <v>1217</v>
      </c>
    </row>
    <row r="245" spans="1:2">
      <c r="A245" t="s">
        <v>803</v>
      </c>
      <c r="B245" t="s">
        <v>1217</v>
      </c>
    </row>
    <row r="246" spans="1:2">
      <c r="A246" t="s">
        <v>443</v>
      </c>
      <c r="B246" t="s">
        <v>1217</v>
      </c>
    </row>
    <row r="247" spans="1:2">
      <c r="A247" t="s">
        <v>532</v>
      </c>
      <c r="B247" t="s">
        <v>1217</v>
      </c>
    </row>
    <row r="248" spans="1:2">
      <c r="A248" t="s">
        <v>807</v>
      </c>
      <c r="B248" t="s">
        <v>1217</v>
      </c>
    </row>
    <row r="249" spans="1:2">
      <c r="A249" t="s">
        <v>814</v>
      </c>
      <c r="B249" t="s">
        <v>1217</v>
      </c>
    </row>
    <row r="250" spans="1:2">
      <c r="A250" t="s">
        <v>748</v>
      </c>
      <c r="B250" t="s">
        <v>1217</v>
      </c>
    </row>
    <row r="251" spans="1:2">
      <c r="A251" t="s">
        <v>741</v>
      </c>
      <c r="B251" t="s">
        <v>1217</v>
      </c>
    </row>
    <row r="252" spans="1:2">
      <c r="A252" t="s">
        <v>822</v>
      </c>
      <c r="B252" t="s">
        <v>1217</v>
      </c>
    </row>
    <row r="253" spans="1:2">
      <c r="A253" t="s">
        <v>1323</v>
      </c>
      <c r="B253" t="s">
        <v>1217</v>
      </c>
    </row>
    <row r="254" spans="1:2">
      <c r="A254" t="s">
        <v>827</v>
      </c>
      <c r="B254" t="s">
        <v>1217</v>
      </c>
    </row>
    <row r="255" spans="1:2">
      <c r="A255" t="s">
        <v>658</v>
      </c>
      <c r="B255" t="s">
        <v>1217</v>
      </c>
    </row>
    <row r="256" spans="1:2">
      <c r="A256" t="s">
        <v>423</v>
      </c>
      <c r="B256" t="s">
        <v>1217</v>
      </c>
    </row>
    <row r="257" spans="1:2">
      <c r="A257" t="s">
        <v>716</v>
      </c>
      <c r="B257" t="s">
        <v>1217</v>
      </c>
    </row>
    <row r="258" spans="1:2">
      <c r="A258" t="s">
        <v>1324</v>
      </c>
      <c r="B258" t="s">
        <v>1217</v>
      </c>
    </row>
    <row r="259" spans="1:2">
      <c r="A259" t="s">
        <v>766</v>
      </c>
      <c r="B259" t="s">
        <v>1217</v>
      </c>
    </row>
    <row r="260" spans="1:2">
      <c r="A260" t="s">
        <v>751</v>
      </c>
      <c r="B260" t="s">
        <v>1217</v>
      </c>
    </row>
    <row r="261" spans="1:2">
      <c r="A261" t="s">
        <v>797</v>
      </c>
      <c r="B261" t="s">
        <v>1217</v>
      </c>
    </row>
    <row r="262" spans="1:2">
      <c r="A262" t="s">
        <v>1325</v>
      </c>
      <c r="B262" t="s">
        <v>1217</v>
      </c>
    </row>
    <row r="263" spans="1:2">
      <c r="A263" t="s">
        <v>434</v>
      </c>
      <c r="B263" t="s">
        <v>1217</v>
      </c>
    </row>
    <row r="264" spans="1:2">
      <c r="A264" t="s">
        <v>786</v>
      </c>
      <c r="B264" t="s">
        <v>1217</v>
      </c>
    </row>
    <row r="265" spans="1:2">
      <c r="A265" t="s">
        <v>393</v>
      </c>
      <c r="B265" t="s">
        <v>1217</v>
      </c>
    </row>
    <row r="266" spans="1:2">
      <c r="A266" t="s">
        <v>1326</v>
      </c>
      <c r="B266" t="s">
        <v>1217</v>
      </c>
    </row>
    <row r="267" spans="1:2">
      <c r="A267" t="s">
        <v>771</v>
      </c>
      <c r="B267" t="s">
        <v>1217</v>
      </c>
    </row>
    <row r="268" spans="1:2">
      <c r="A268" t="s">
        <v>742</v>
      </c>
      <c r="B268" t="s">
        <v>1217</v>
      </c>
    </row>
    <row r="269" spans="1:2">
      <c r="A269" t="s">
        <v>825</v>
      </c>
      <c r="B269" t="s">
        <v>1217</v>
      </c>
    </row>
    <row r="270" spans="1:2">
      <c r="A270" t="s">
        <v>819</v>
      </c>
      <c r="B270" t="s">
        <v>1217</v>
      </c>
    </row>
    <row r="271" spans="1:2">
      <c r="A271" t="s">
        <v>782</v>
      </c>
      <c r="B271" t="s">
        <v>1217</v>
      </c>
    </row>
    <row r="272" spans="1:2">
      <c r="A272" t="s">
        <v>767</v>
      </c>
      <c r="B272" t="s">
        <v>1217</v>
      </c>
    </row>
    <row r="273" spans="1:2">
      <c r="A273" t="s">
        <v>784</v>
      </c>
      <c r="B273" t="s">
        <v>1217</v>
      </c>
    </row>
    <row r="274" spans="1:2">
      <c r="A274" t="s">
        <v>730</v>
      </c>
      <c r="B274" t="s">
        <v>1217</v>
      </c>
    </row>
    <row r="275" spans="1:2">
      <c r="A275" t="s">
        <v>813</v>
      </c>
      <c r="B275" t="s">
        <v>1217</v>
      </c>
    </row>
    <row r="276" spans="1:2">
      <c r="A276" s="5" t="s">
        <v>449</v>
      </c>
      <c r="B276" t="s">
        <v>1217</v>
      </c>
    </row>
    <row r="277" spans="1:2">
      <c r="A277" t="s">
        <v>1033</v>
      </c>
      <c r="B277" t="s">
        <v>1217</v>
      </c>
    </row>
    <row r="278" spans="1:2">
      <c r="A278" t="s">
        <v>752</v>
      </c>
      <c r="B278" t="s">
        <v>1217</v>
      </c>
    </row>
    <row r="279" spans="1:2">
      <c r="A279" t="s">
        <v>805</v>
      </c>
      <c r="B279" t="s">
        <v>1217</v>
      </c>
    </row>
    <row r="280" spans="1:2">
      <c r="A280" t="s">
        <v>823</v>
      </c>
      <c r="B280" t="s">
        <v>1217</v>
      </c>
    </row>
    <row r="281" spans="1:2">
      <c r="A281" t="s">
        <v>1327</v>
      </c>
      <c r="B281" t="s">
        <v>1217</v>
      </c>
    </row>
    <row r="282" spans="1:2">
      <c r="A282" t="s">
        <v>1328</v>
      </c>
      <c r="B282" t="s">
        <v>1217</v>
      </c>
    </row>
    <row r="283" spans="1:2">
      <c r="A283" t="s">
        <v>1329</v>
      </c>
      <c r="B283" t="s">
        <v>1217</v>
      </c>
    </row>
    <row r="284" spans="1:2">
      <c r="A284" t="s">
        <v>83</v>
      </c>
      <c r="B284" t="s">
        <v>1217</v>
      </c>
    </row>
    <row r="285" spans="1:2">
      <c r="A285" t="s">
        <v>834</v>
      </c>
      <c r="B285" t="s">
        <v>1217</v>
      </c>
    </row>
    <row r="286" spans="1:2">
      <c r="A286" t="s">
        <v>824</v>
      </c>
      <c r="B286" t="s">
        <v>1217</v>
      </c>
    </row>
    <row r="287" spans="1:2">
      <c r="A287" t="s">
        <v>501</v>
      </c>
      <c r="B287" t="s">
        <v>1217</v>
      </c>
    </row>
    <row r="288" spans="1:2">
      <c r="A288" t="s">
        <v>422</v>
      </c>
      <c r="B288" t="s">
        <v>1217</v>
      </c>
    </row>
    <row r="289" spans="1:2">
      <c r="A289" t="s">
        <v>820</v>
      </c>
      <c r="B289" t="s">
        <v>1217</v>
      </c>
    </row>
    <row r="290" spans="1:2">
      <c r="A290" t="s">
        <v>737</v>
      </c>
      <c r="B290" t="s">
        <v>1217</v>
      </c>
    </row>
    <row r="291" spans="1:2">
      <c r="A291" t="s">
        <v>812</v>
      </c>
      <c r="B291" t="s">
        <v>1217</v>
      </c>
    </row>
    <row r="292" spans="1:2">
      <c r="A292" t="s">
        <v>595</v>
      </c>
      <c r="B292" t="s">
        <v>1217</v>
      </c>
    </row>
    <row r="293" spans="1:2">
      <c r="A293" t="s">
        <v>1035</v>
      </c>
      <c r="B293" t="s">
        <v>1217</v>
      </c>
    </row>
    <row r="294" spans="1:2">
      <c r="A294" t="s">
        <v>1330</v>
      </c>
      <c r="B294" t="s">
        <v>1217</v>
      </c>
    </row>
    <row r="295" spans="1:2">
      <c r="A295" t="s">
        <v>746</v>
      </c>
      <c r="B295" t="s">
        <v>1217</v>
      </c>
    </row>
    <row r="296" spans="1:2">
      <c r="A296" t="s">
        <v>1331</v>
      </c>
      <c r="B296" t="s">
        <v>1217</v>
      </c>
    </row>
    <row r="297" spans="1:2">
      <c r="A297" t="s">
        <v>714</v>
      </c>
      <c r="B297" t="s">
        <v>1217</v>
      </c>
    </row>
    <row r="298" spans="1:2">
      <c r="A298" t="s">
        <v>709</v>
      </c>
      <c r="B298" t="s">
        <v>1217</v>
      </c>
    </row>
    <row r="299" spans="1:2">
      <c r="A299" t="s">
        <v>702</v>
      </c>
      <c r="B299" t="s">
        <v>1217</v>
      </c>
    </row>
    <row r="300" spans="1:2">
      <c r="A300" t="s">
        <v>627</v>
      </c>
      <c r="B300" t="s">
        <v>1217</v>
      </c>
    </row>
    <row r="301" spans="1:2">
      <c r="A301" t="s">
        <v>818</v>
      </c>
      <c r="B301" t="s">
        <v>1217</v>
      </c>
    </row>
    <row r="302" spans="1:2">
      <c r="A302" t="s">
        <v>734</v>
      </c>
      <c r="B302" t="s">
        <v>1217</v>
      </c>
    </row>
    <row r="303" spans="1:2">
      <c r="A303" t="s">
        <v>700</v>
      </c>
      <c r="B303" t="s">
        <v>1217</v>
      </c>
    </row>
    <row r="304" spans="1:2">
      <c r="A304" t="s">
        <v>703</v>
      </c>
      <c r="B304" t="s">
        <v>1217</v>
      </c>
    </row>
    <row r="305" spans="1:2">
      <c r="A305" t="s">
        <v>1332</v>
      </c>
      <c r="B305" t="s">
        <v>1217</v>
      </c>
    </row>
    <row r="306" spans="1:2">
      <c r="A306" t="s">
        <v>444</v>
      </c>
      <c r="B306" t="s">
        <v>1217</v>
      </c>
    </row>
    <row r="307" spans="1:2">
      <c r="A307" s="5" t="s">
        <v>710</v>
      </c>
      <c r="B307" t="s">
        <v>1217</v>
      </c>
    </row>
    <row r="308" spans="1:2">
      <c r="A308" t="s">
        <v>816</v>
      </c>
      <c r="B308" t="s">
        <v>1217</v>
      </c>
    </row>
    <row r="309" spans="1:2">
      <c r="A309" t="s">
        <v>704</v>
      </c>
      <c r="B309" t="s">
        <v>1217</v>
      </c>
    </row>
    <row r="310" spans="1:2">
      <c r="A310" t="s">
        <v>462</v>
      </c>
      <c r="B310" t="s">
        <v>1217</v>
      </c>
    </row>
    <row r="311" spans="1:2">
      <c r="A311" t="s">
        <v>828</v>
      </c>
      <c r="B311" t="s">
        <v>1217</v>
      </c>
    </row>
    <row r="312" spans="1:2">
      <c r="A312" t="s">
        <v>267</v>
      </c>
      <c r="B312" t="s">
        <v>1217</v>
      </c>
    </row>
    <row r="313" spans="1:2">
      <c r="A313" t="s">
        <v>799</v>
      </c>
      <c r="B313" t="s">
        <v>1217</v>
      </c>
    </row>
    <row r="314" spans="1:2">
      <c r="A314" t="s">
        <v>571</v>
      </c>
      <c r="B314" t="s">
        <v>1217</v>
      </c>
    </row>
    <row r="315" spans="1:2">
      <c r="A315" t="s">
        <v>677</v>
      </c>
      <c r="B315" t="s">
        <v>1217</v>
      </c>
    </row>
    <row r="316" spans="1:2">
      <c r="A316" t="s">
        <v>351</v>
      </c>
      <c r="B316" t="s">
        <v>1217</v>
      </c>
    </row>
    <row r="317" spans="1:2">
      <c r="A317" t="s">
        <v>440</v>
      </c>
      <c r="B317" t="s">
        <v>1217</v>
      </c>
    </row>
    <row r="318" spans="1:2">
      <c r="A318" t="s">
        <v>288</v>
      </c>
      <c r="B318" t="s">
        <v>1217</v>
      </c>
    </row>
    <row r="319" spans="1:2">
      <c r="A319" t="s">
        <v>815</v>
      </c>
      <c r="B319" t="s">
        <v>1217</v>
      </c>
    </row>
    <row r="320" spans="1:2">
      <c r="A320" t="s">
        <v>105</v>
      </c>
      <c r="B320" t="s">
        <v>1217</v>
      </c>
    </row>
    <row r="321" spans="1:2">
      <c r="A321" t="s">
        <v>717</v>
      </c>
      <c r="B321" t="s">
        <v>1217</v>
      </c>
    </row>
    <row r="322" spans="1:2">
      <c r="A322" t="s">
        <v>210</v>
      </c>
      <c r="B322" t="s">
        <v>1217</v>
      </c>
    </row>
    <row r="323" spans="1:2">
      <c r="A323" t="s">
        <v>99</v>
      </c>
      <c r="B323" t="s">
        <v>1217</v>
      </c>
    </row>
    <row r="324" spans="1:2">
      <c r="A324" t="s">
        <v>685</v>
      </c>
      <c r="B324" t="s">
        <v>1217</v>
      </c>
    </row>
    <row r="325" spans="1:2">
      <c r="A325" t="s">
        <v>811</v>
      </c>
      <c r="B325" t="s">
        <v>1217</v>
      </c>
    </row>
    <row r="326" spans="1:2">
      <c r="A326" t="s">
        <v>678</v>
      </c>
      <c r="B326" t="s">
        <v>1217</v>
      </c>
    </row>
    <row r="327" spans="1:2">
      <c r="A327" t="s">
        <v>470</v>
      </c>
      <c r="B327" t="s">
        <v>1217</v>
      </c>
    </row>
    <row r="328" spans="1:2">
      <c r="A328" t="s">
        <v>381</v>
      </c>
      <c r="B328" t="s">
        <v>1217</v>
      </c>
    </row>
    <row r="329" spans="1:2">
      <c r="A329" t="s">
        <v>1333</v>
      </c>
      <c r="B329" t="s">
        <v>1217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O399"/>
  <sheetViews>
    <sheetView workbookViewId="0">
      <pane xSplit="3" ySplit="22" topLeftCell="K23" activePane="bottomRight" state="frozen"/>
      <selection pane="bottomRight" activeCell="O298" sqref="O298"/>
      <selection pane="bottomLeft"/>
      <selection pane="topRight"/>
    </sheetView>
  </sheetViews>
  <sheetFormatPr defaultRowHeight="15"/>
  <cols>
    <col min="1" max="1" width="21.140625" customWidth="1"/>
    <col min="2" max="2" width="97.85546875" customWidth="1"/>
    <col min="3" max="3" width="14" customWidth="1"/>
    <col min="4" max="4" width="21" customWidth="1"/>
    <col min="5" max="5" width="21" style="19" customWidth="1"/>
    <col min="6" max="6" width="20.7109375" customWidth="1"/>
    <col min="7" max="8" width="1.7109375" customWidth="1"/>
    <col min="9" max="9" width="19" style="169" customWidth="1"/>
    <col min="10" max="10" width="9.7109375" customWidth="1"/>
    <col min="11" max="11" width="8.42578125" customWidth="1"/>
    <col min="12" max="12" width="13.85546875" customWidth="1"/>
    <col min="13" max="13" width="13.85546875" style="171" customWidth="1"/>
    <col min="14" max="14" width="13.85546875" customWidth="1"/>
    <col min="15" max="15" width="13.85546875" style="172" customWidth="1"/>
  </cols>
  <sheetData>
    <row r="1" spans="1:15" s="2" customFormat="1" ht="10.5" customHeight="1">
      <c r="A1" s="22" t="s">
        <v>1304</v>
      </c>
      <c r="B1" s="22" t="s">
        <v>1334</v>
      </c>
      <c r="C1" s="22" t="s">
        <v>1334</v>
      </c>
      <c r="D1" s="22" t="s">
        <v>1335</v>
      </c>
      <c r="E1" s="23" t="s">
        <v>1336</v>
      </c>
      <c r="F1" s="22" t="s">
        <v>1337</v>
      </c>
      <c r="G1" s="22"/>
      <c r="H1" s="22"/>
      <c r="I1" s="167" t="s">
        <v>1338</v>
      </c>
      <c r="J1" s="22" t="s">
        <v>1339</v>
      </c>
      <c r="K1" s="22"/>
      <c r="L1" s="22" t="s">
        <v>1340</v>
      </c>
      <c r="M1" s="170" t="s">
        <v>1341</v>
      </c>
      <c r="N1" s="22" t="s">
        <v>1342</v>
      </c>
      <c r="O1" s="174" t="s">
        <v>1343</v>
      </c>
    </row>
    <row r="2" spans="1:15" hidden="1">
      <c r="A2" t="s">
        <v>1344</v>
      </c>
      <c r="B2" t="s">
        <v>73</v>
      </c>
      <c r="C2" t="s">
        <v>74</v>
      </c>
      <c r="D2" s="19">
        <v>19668</v>
      </c>
      <c r="E2" s="19">
        <f>D2/28</f>
        <v>702.42857142857144</v>
      </c>
      <c r="F2">
        <v>15252.900000000001</v>
      </c>
      <c r="I2" s="19">
        <f>IF((D2/28)&gt;100,D2*2,D2*2)</f>
        <v>39336</v>
      </c>
      <c r="J2" t="b">
        <f>IF(F2&gt;1.2*I2,FALSE,TRUE)</f>
        <v>1</v>
      </c>
      <c r="K2" s="4">
        <f t="shared" ref="K2:K64" si="0">F2/I2-1</f>
        <v>-0.61224069554606464</v>
      </c>
      <c r="M2"/>
      <c r="O2"/>
    </row>
    <row r="3" spans="1:15" hidden="1">
      <c r="A3" t="s">
        <v>1344</v>
      </c>
      <c r="B3" t="s">
        <v>671</v>
      </c>
      <c r="C3" t="s">
        <v>155</v>
      </c>
      <c r="D3" s="19">
        <v>23963</v>
      </c>
      <c r="E3" s="19">
        <f t="shared" ref="E3:E64" si="1">D3/28</f>
        <v>855.82142857142856</v>
      </c>
      <c r="F3">
        <v>16129.900000000003</v>
      </c>
      <c r="I3" s="19">
        <f>IF((D3/28)&gt;100,D3*2,D3*2)</f>
        <v>47926</v>
      </c>
      <c r="J3" t="b">
        <f>IF(F3&gt;1.2*I3,FALSE,TRUE)</f>
        <v>1</v>
      </c>
      <c r="K3" s="4">
        <f t="shared" si="0"/>
        <v>-0.66344155573175301</v>
      </c>
      <c r="M3"/>
      <c r="O3"/>
    </row>
    <row r="4" spans="1:15" hidden="1">
      <c r="A4" t="s">
        <v>1344</v>
      </c>
      <c r="B4" t="s">
        <v>673</v>
      </c>
      <c r="C4" t="s">
        <v>656</v>
      </c>
      <c r="D4" s="19">
        <v>40099</v>
      </c>
      <c r="E4" s="19">
        <f t="shared" si="1"/>
        <v>1432.1071428571429</v>
      </c>
      <c r="F4">
        <v>35943.65</v>
      </c>
      <c r="I4" s="19">
        <f t="shared" ref="I4:I64" si="2">IF((D4/28)&gt;100,D4*2,D4*2)</f>
        <v>80198</v>
      </c>
      <c r="J4" t="b">
        <f t="shared" ref="J4:J64" si="3">IF(F4&gt;1.2*I4,FALSE,TRUE)</f>
        <v>1</v>
      </c>
      <c r="K4" s="4">
        <f t="shared" si="0"/>
        <v>-0.55181363625028057</v>
      </c>
      <c r="M4"/>
      <c r="O4"/>
    </row>
    <row r="5" spans="1:15" hidden="1">
      <c r="A5" t="s">
        <v>1345</v>
      </c>
      <c r="B5" t="s">
        <v>890</v>
      </c>
      <c r="C5" t="s">
        <v>28</v>
      </c>
      <c r="D5" s="19">
        <v>46706</v>
      </c>
      <c r="E5" s="19">
        <f t="shared" si="1"/>
        <v>1668.0714285714287</v>
      </c>
      <c r="F5">
        <v>31079.4</v>
      </c>
      <c r="I5" s="19">
        <f t="shared" si="2"/>
        <v>93412</v>
      </c>
      <c r="J5" t="b">
        <f t="shared" si="3"/>
        <v>1</v>
      </c>
      <c r="K5" s="4">
        <f t="shared" si="0"/>
        <v>-0.66728685821950062</v>
      </c>
      <c r="M5"/>
      <c r="O5"/>
    </row>
    <row r="6" spans="1:15" hidden="1">
      <c r="A6" t="s">
        <v>1344</v>
      </c>
      <c r="B6" t="s">
        <v>24</v>
      </c>
      <c r="C6" t="s">
        <v>25</v>
      </c>
      <c r="D6" s="19">
        <v>16650</v>
      </c>
      <c r="E6" s="19">
        <f t="shared" si="1"/>
        <v>594.64285714285711</v>
      </c>
      <c r="F6">
        <v>35168.86</v>
      </c>
      <c r="I6" s="19">
        <f t="shared" si="2"/>
        <v>33300</v>
      </c>
      <c r="J6" t="b">
        <f t="shared" si="3"/>
        <v>1</v>
      </c>
      <c r="K6" s="4">
        <f t="shared" si="0"/>
        <v>5.6121921921922002E-2</v>
      </c>
      <c r="M6"/>
      <c r="O6"/>
    </row>
    <row r="7" spans="1:15" hidden="1">
      <c r="A7" t="s">
        <v>1346</v>
      </c>
      <c r="B7" t="s">
        <v>1110</v>
      </c>
      <c r="C7" t="s">
        <v>119</v>
      </c>
      <c r="D7" s="19">
        <v>6847</v>
      </c>
      <c r="E7" s="19">
        <f t="shared" si="1"/>
        <v>244.53571428571428</v>
      </c>
      <c r="F7">
        <v>5529.76</v>
      </c>
      <c r="I7" s="19">
        <f t="shared" si="2"/>
        <v>13694</v>
      </c>
      <c r="J7" t="b">
        <f t="shared" si="3"/>
        <v>1</v>
      </c>
      <c r="K7" s="4">
        <f t="shared" si="0"/>
        <v>-0.59619103256900829</v>
      </c>
      <c r="M7"/>
      <c r="O7"/>
    </row>
    <row r="8" spans="1:15" hidden="1">
      <c r="A8" t="s">
        <v>1345</v>
      </c>
      <c r="B8" t="s">
        <v>983</v>
      </c>
      <c r="C8" t="s">
        <v>131</v>
      </c>
      <c r="D8" s="19">
        <v>13372</v>
      </c>
      <c r="E8" s="19">
        <f t="shared" si="1"/>
        <v>477.57142857142856</v>
      </c>
      <c r="F8">
        <v>12381.189999999999</v>
      </c>
      <c r="I8" s="19">
        <f t="shared" si="2"/>
        <v>26744</v>
      </c>
      <c r="J8" t="b">
        <f t="shared" si="3"/>
        <v>1</v>
      </c>
      <c r="K8" s="4">
        <f t="shared" si="0"/>
        <v>-0.53704793598564171</v>
      </c>
      <c r="M8"/>
      <c r="O8"/>
    </row>
    <row r="9" spans="1:15" hidden="1">
      <c r="A9" t="s">
        <v>1346</v>
      </c>
      <c r="B9" t="s">
        <v>1071</v>
      </c>
      <c r="C9" t="s">
        <v>67</v>
      </c>
      <c r="D9" s="19">
        <v>11432</v>
      </c>
      <c r="E9" s="19">
        <f t="shared" si="1"/>
        <v>408.28571428571428</v>
      </c>
      <c r="F9">
        <v>9526.5</v>
      </c>
      <c r="I9" s="19">
        <f t="shared" si="2"/>
        <v>22864</v>
      </c>
      <c r="J9" t="b">
        <f t="shared" si="3"/>
        <v>1</v>
      </c>
      <c r="K9" s="4">
        <f t="shared" si="0"/>
        <v>-0.58334062281315613</v>
      </c>
      <c r="M9"/>
      <c r="O9"/>
    </row>
    <row r="10" spans="1:15" hidden="1">
      <c r="A10" t="s">
        <v>1344</v>
      </c>
      <c r="B10" t="s">
        <v>183</v>
      </c>
      <c r="C10" t="s">
        <v>184</v>
      </c>
      <c r="D10" s="19">
        <v>9436</v>
      </c>
      <c r="E10" s="19">
        <f t="shared" si="1"/>
        <v>337</v>
      </c>
      <c r="F10">
        <v>12570.4</v>
      </c>
      <c r="I10" s="19">
        <f t="shared" si="2"/>
        <v>18872</v>
      </c>
      <c r="J10" t="b">
        <f t="shared" si="3"/>
        <v>1</v>
      </c>
      <c r="K10" s="4">
        <f t="shared" si="0"/>
        <v>-0.33391267486222975</v>
      </c>
      <c r="M10"/>
      <c r="O10"/>
    </row>
    <row r="11" spans="1:15" hidden="1">
      <c r="A11" t="s">
        <v>1344</v>
      </c>
      <c r="B11" t="s">
        <v>78</v>
      </c>
      <c r="C11" t="s">
        <v>79</v>
      </c>
      <c r="D11" s="19">
        <v>1869</v>
      </c>
      <c r="E11" s="19">
        <f t="shared" si="1"/>
        <v>66.75</v>
      </c>
      <c r="F11">
        <v>2708.09</v>
      </c>
      <c r="I11" s="19">
        <f t="shared" si="2"/>
        <v>3738</v>
      </c>
      <c r="J11" t="b">
        <f t="shared" si="3"/>
        <v>1</v>
      </c>
      <c r="K11" s="4">
        <f t="shared" si="0"/>
        <v>-0.27552434456928832</v>
      </c>
      <c r="M11"/>
      <c r="O11"/>
    </row>
    <row r="12" spans="1:15" hidden="1">
      <c r="A12" t="s">
        <v>1346</v>
      </c>
      <c r="B12" t="s">
        <v>1068</v>
      </c>
      <c r="C12" t="s">
        <v>72</v>
      </c>
      <c r="D12" s="19">
        <v>5313</v>
      </c>
      <c r="E12" s="19">
        <f t="shared" si="1"/>
        <v>189.75</v>
      </c>
      <c r="F12">
        <v>6995.88</v>
      </c>
      <c r="I12" s="19">
        <f t="shared" si="2"/>
        <v>10626</v>
      </c>
      <c r="J12" t="b">
        <f t="shared" si="3"/>
        <v>1</v>
      </c>
      <c r="K12" s="4">
        <f t="shared" si="0"/>
        <v>-0.34162619988706944</v>
      </c>
      <c r="M12"/>
      <c r="O12"/>
    </row>
    <row r="13" spans="1:15" hidden="1">
      <c r="A13" t="s">
        <v>1344</v>
      </c>
      <c r="B13" t="s">
        <v>670</v>
      </c>
      <c r="C13" t="s">
        <v>77</v>
      </c>
      <c r="D13" s="19">
        <v>10853</v>
      </c>
      <c r="E13" s="19">
        <f t="shared" si="1"/>
        <v>387.60714285714283</v>
      </c>
      <c r="F13">
        <v>4197.01</v>
      </c>
      <c r="I13" s="19">
        <f t="shared" si="2"/>
        <v>21706</v>
      </c>
      <c r="J13" t="b">
        <f t="shared" si="3"/>
        <v>1</v>
      </c>
      <c r="K13" s="4">
        <f t="shared" si="0"/>
        <v>-0.80664286372431582</v>
      </c>
      <c r="M13"/>
      <c r="O13"/>
    </row>
    <row r="14" spans="1:15" hidden="1">
      <c r="A14" t="s">
        <v>1344</v>
      </c>
      <c r="B14" t="s">
        <v>645</v>
      </c>
      <c r="C14" t="s">
        <v>39</v>
      </c>
      <c r="D14" s="19">
        <v>5408</v>
      </c>
      <c r="E14" s="19">
        <f t="shared" si="1"/>
        <v>193.14285714285714</v>
      </c>
      <c r="F14">
        <v>3219.79</v>
      </c>
      <c r="I14" s="19">
        <f t="shared" si="2"/>
        <v>10816</v>
      </c>
      <c r="J14" t="b">
        <f t="shared" si="3"/>
        <v>1</v>
      </c>
      <c r="K14" s="4">
        <f t="shared" si="0"/>
        <v>-0.70231231508875736</v>
      </c>
      <c r="M14"/>
      <c r="O14"/>
    </row>
    <row r="15" spans="1:15" hidden="1">
      <c r="A15" t="s">
        <v>1346</v>
      </c>
      <c r="B15" t="s">
        <v>1157</v>
      </c>
      <c r="C15" t="s">
        <v>345</v>
      </c>
      <c r="D15" s="19">
        <v>2424</v>
      </c>
      <c r="E15" s="19">
        <f t="shared" si="1"/>
        <v>86.571428571428569</v>
      </c>
      <c r="F15">
        <v>4622.55</v>
      </c>
      <c r="I15" s="19">
        <f t="shared" si="2"/>
        <v>4848</v>
      </c>
      <c r="J15" t="b">
        <f t="shared" si="3"/>
        <v>1</v>
      </c>
      <c r="K15" s="4">
        <f t="shared" si="0"/>
        <v>-4.6503712871287073E-2</v>
      </c>
      <c r="M15"/>
      <c r="O15"/>
    </row>
    <row r="16" spans="1:15" hidden="1">
      <c r="A16" t="s">
        <v>1344</v>
      </c>
      <c r="B16" t="s">
        <v>84</v>
      </c>
      <c r="C16" t="s">
        <v>38</v>
      </c>
      <c r="D16" s="19">
        <v>4885</v>
      </c>
      <c r="E16" s="19">
        <f t="shared" si="1"/>
        <v>174.46428571428572</v>
      </c>
      <c r="F16">
        <v>8075.29</v>
      </c>
      <c r="I16" s="19">
        <f t="shared" si="2"/>
        <v>9770</v>
      </c>
      <c r="J16" t="b">
        <f t="shared" si="3"/>
        <v>1</v>
      </c>
      <c r="K16" s="4">
        <f t="shared" si="0"/>
        <v>-0.17346059365404298</v>
      </c>
      <c r="M16"/>
      <c r="O16"/>
    </row>
    <row r="17" spans="1:15" hidden="1">
      <c r="A17" t="s">
        <v>1345</v>
      </c>
      <c r="B17" t="s">
        <v>1003</v>
      </c>
      <c r="C17" t="s">
        <v>190</v>
      </c>
      <c r="D17" s="19">
        <v>4474</v>
      </c>
      <c r="E17" s="19">
        <f t="shared" si="1"/>
        <v>159.78571428571428</v>
      </c>
      <c r="F17">
        <v>5227.5200000000004</v>
      </c>
      <c r="I17" s="19">
        <f t="shared" si="2"/>
        <v>8948</v>
      </c>
      <c r="J17" t="b">
        <f t="shared" si="3"/>
        <v>1</v>
      </c>
      <c r="K17" s="4">
        <f t="shared" si="0"/>
        <v>-0.41578900312919087</v>
      </c>
      <c r="M17"/>
      <c r="O17"/>
    </row>
    <row r="18" spans="1:15" hidden="1">
      <c r="A18" t="s">
        <v>1345</v>
      </c>
      <c r="B18" t="s">
        <v>997</v>
      </c>
      <c r="C18" t="s">
        <v>351</v>
      </c>
      <c r="D18" s="19">
        <v>1743</v>
      </c>
      <c r="E18" s="19">
        <f t="shared" si="1"/>
        <v>62.25</v>
      </c>
      <c r="F18">
        <v>625.11</v>
      </c>
      <c r="I18" s="19">
        <f t="shared" si="2"/>
        <v>3486</v>
      </c>
      <c r="J18" t="b">
        <f t="shared" si="3"/>
        <v>1</v>
      </c>
      <c r="K18" s="4">
        <f t="shared" si="0"/>
        <v>-0.82067986230636836</v>
      </c>
      <c r="M18"/>
      <c r="O18"/>
    </row>
    <row r="19" spans="1:15" hidden="1">
      <c r="A19" t="s">
        <v>1344</v>
      </c>
      <c r="B19" t="s">
        <v>52</v>
      </c>
      <c r="C19" t="s">
        <v>53</v>
      </c>
      <c r="D19" s="19">
        <v>5684</v>
      </c>
      <c r="E19" s="19">
        <f t="shared" si="1"/>
        <v>203</v>
      </c>
      <c r="F19">
        <v>7983.5999999999995</v>
      </c>
      <c r="I19" s="19">
        <f t="shared" si="2"/>
        <v>11368</v>
      </c>
      <c r="J19" t="b">
        <f t="shared" si="3"/>
        <v>1</v>
      </c>
      <c r="K19" s="4">
        <f t="shared" si="0"/>
        <v>-0.29771287825475024</v>
      </c>
      <c r="M19"/>
      <c r="O19"/>
    </row>
    <row r="20" spans="1:15" hidden="1">
      <c r="A20" t="s">
        <v>1346</v>
      </c>
      <c r="B20" t="s">
        <v>1093</v>
      </c>
      <c r="C20" t="s">
        <v>136</v>
      </c>
      <c r="D20" s="19">
        <v>7209</v>
      </c>
      <c r="E20" s="19">
        <f t="shared" si="1"/>
        <v>257.46428571428572</v>
      </c>
      <c r="F20">
        <v>8321.9600000000009</v>
      </c>
      <c r="I20" s="19">
        <f t="shared" si="2"/>
        <v>14418</v>
      </c>
      <c r="J20" t="b">
        <f t="shared" si="3"/>
        <v>1</v>
      </c>
      <c r="K20" s="4">
        <f t="shared" si="0"/>
        <v>-0.42280760160909969</v>
      </c>
      <c r="M20"/>
      <c r="O20"/>
    </row>
    <row r="21" spans="1:15" hidden="1">
      <c r="A21" t="s">
        <v>1344</v>
      </c>
      <c r="B21" t="s">
        <v>34</v>
      </c>
      <c r="C21" t="s">
        <v>35</v>
      </c>
      <c r="D21" s="19">
        <v>3844</v>
      </c>
      <c r="E21" s="19">
        <f t="shared" si="1"/>
        <v>137.28571428571428</v>
      </c>
      <c r="F21">
        <v>6079.5099999999993</v>
      </c>
      <c r="I21" s="19">
        <f t="shared" si="2"/>
        <v>7688</v>
      </c>
      <c r="J21" t="b">
        <f t="shared" si="3"/>
        <v>1</v>
      </c>
      <c r="K21" s="4">
        <f t="shared" si="0"/>
        <v>-0.20922086368366299</v>
      </c>
      <c r="M21"/>
      <c r="O21"/>
    </row>
    <row r="22" spans="1:15" hidden="1">
      <c r="A22" t="s">
        <v>1344</v>
      </c>
      <c r="B22" t="s">
        <v>662</v>
      </c>
      <c r="C22" t="s">
        <v>114</v>
      </c>
      <c r="D22" s="19">
        <v>7614</v>
      </c>
      <c r="E22" s="19">
        <f t="shared" si="1"/>
        <v>271.92857142857144</v>
      </c>
      <c r="F22">
        <v>7061.0999999999995</v>
      </c>
      <c r="I22" s="19">
        <f t="shared" si="2"/>
        <v>15228</v>
      </c>
      <c r="J22" t="b">
        <f t="shared" si="3"/>
        <v>1</v>
      </c>
      <c r="K22" s="4">
        <f t="shared" si="0"/>
        <v>-0.53630811662726563</v>
      </c>
      <c r="M22"/>
      <c r="O22"/>
    </row>
    <row r="23" spans="1:15">
      <c r="A23" t="s">
        <v>1346</v>
      </c>
      <c r="B23" t="s">
        <v>1049</v>
      </c>
      <c r="C23" t="s">
        <v>220</v>
      </c>
      <c r="D23" s="19">
        <v>2363</v>
      </c>
      <c r="E23" s="19">
        <f t="shared" si="1"/>
        <v>84.392857142857139</v>
      </c>
      <c r="F23">
        <v>5902.06</v>
      </c>
      <c r="I23" s="168">
        <f t="shared" si="2"/>
        <v>4726</v>
      </c>
      <c r="J23" t="b">
        <f t="shared" si="3"/>
        <v>0</v>
      </c>
      <c r="K23" s="4">
        <f t="shared" si="0"/>
        <v>0.24884892086330934</v>
      </c>
      <c r="L23" t="s">
        <v>837</v>
      </c>
      <c r="M23" s="171">
        <f>(F23/28)/E23</f>
        <v>2.4976978417266187</v>
      </c>
      <c r="N23" t="s">
        <v>1347</v>
      </c>
      <c r="O23" s="172" t="s">
        <v>1348</v>
      </c>
    </row>
    <row r="24" spans="1:15" hidden="1">
      <c r="A24" t="s">
        <v>1345</v>
      </c>
      <c r="B24" t="s">
        <v>877</v>
      </c>
      <c r="C24" t="s">
        <v>166</v>
      </c>
      <c r="D24" s="19">
        <v>5645</v>
      </c>
      <c r="E24" s="19">
        <f t="shared" si="1"/>
        <v>201.60714285714286</v>
      </c>
      <c r="F24">
        <v>6771.77</v>
      </c>
      <c r="I24" s="19">
        <f t="shared" si="2"/>
        <v>11290</v>
      </c>
      <c r="J24" t="b">
        <f t="shared" si="3"/>
        <v>1</v>
      </c>
      <c r="K24" s="4">
        <f t="shared" si="0"/>
        <v>-0.40019751992914077</v>
      </c>
      <c r="M24"/>
      <c r="O24"/>
    </row>
    <row r="25" spans="1:15" hidden="1">
      <c r="A25" t="s">
        <v>1344</v>
      </c>
      <c r="B25" t="s">
        <v>88</v>
      </c>
      <c r="C25" t="s">
        <v>89</v>
      </c>
      <c r="D25" s="19">
        <v>3351</v>
      </c>
      <c r="E25" s="19">
        <f t="shared" si="1"/>
        <v>119.67857142857143</v>
      </c>
      <c r="F25">
        <v>5005.34</v>
      </c>
      <c r="I25" s="19">
        <f t="shared" si="2"/>
        <v>6702</v>
      </c>
      <c r="J25" t="b">
        <f t="shared" si="3"/>
        <v>1</v>
      </c>
      <c r="K25" s="4">
        <f t="shared" si="0"/>
        <v>-0.25315726648761561</v>
      </c>
      <c r="M25"/>
      <c r="O25"/>
    </row>
    <row r="26" spans="1:15" hidden="1">
      <c r="A26" t="s">
        <v>1344</v>
      </c>
      <c r="B26" t="s">
        <v>307</v>
      </c>
      <c r="C26" t="s">
        <v>276</v>
      </c>
      <c r="D26" s="19">
        <v>2389</v>
      </c>
      <c r="E26" s="19">
        <f t="shared" si="1"/>
        <v>85.321428571428569</v>
      </c>
      <c r="F26">
        <v>2429.1</v>
      </c>
      <c r="I26" s="19">
        <f t="shared" si="2"/>
        <v>4778</v>
      </c>
      <c r="J26" t="b">
        <f t="shared" si="3"/>
        <v>1</v>
      </c>
      <c r="K26" s="4">
        <f t="shared" si="0"/>
        <v>-0.49160736709920472</v>
      </c>
      <c r="M26"/>
      <c r="O26"/>
    </row>
    <row r="27" spans="1:15" hidden="1">
      <c r="A27" t="s">
        <v>1344</v>
      </c>
      <c r="B27" t="s">
        <v>152</v>
      </c>
      <c r="C27" t="s">
        <v>120</v>
      </c>
      <c r="D27" s="19">
        <v>8115</v>
      </c>
      <c r="E27" s="19">
        <f t="shared" si="1"/>
        <v>289.82142857142856</v>
      </c>
      <c r="F27">
        <v>10638.23</v>
      </c>
      <c r="I27" s="19">
        <f t="shared" si="2"/>
        <v>16230</v>
      </c>
      <c r="J27" t="b">
        <f t="shared" si="3"/>
        <v>1</v>
      </c>
      <c r="K27" s="4">
        <f t="shared" si="0"/>
        <v>-0.34453296364756625</v>
      </c>
      <c r="M27"/>
      <c r="O27"/>
    </row>
    <row r="28" spans="1:15" hidden="1">
      <c r="A28" t="s">
        <v>1345</v>
      </c>
      <c r="B28" t="s">
        <v>846</v>
      </c>
      <c r="C28" t="s">
        <v>250</v>
      </c>
      <c r="D28" s="19">
        <v>3898</v>
      </c>
      <c r="E28" s="19">
        <f t="shared" si="1"/>
        <v>139.21428571428572</v>
      </c>
      <c r="F28">
        <v>9014.6</v>
      </c>
      <c r="I28" s="19">
        <f t="shared" si="2"/>
        <v>7796</v>
      </c>
      <c r="J28" t="b">
        <f t="shared" si="3"/>
        <v>1</v>
      </c>
      <c r="K28" s="4">
        <f t="shared" si="0"/>
        <v>0.15631092868137508</v>
      </c>
      <c r="M28"/>
      <c r="O28"/>
    </row>
    <row r="29" spans="1:15" hidden="1">
      <c r="A29" t="s">
        <v>1345</v>
      </c>
      <c r="B29" t="s">
        <v>905</v>
      </c>
      <c r="C29" t="s">
        <v>44</v>
      </c>
      <c r="D29" s="19">
        <v>4682</v>
      </c>
      <c r="E29" s="19">
        <f t="shared" si="1"/>
        <v>167.21428571428572</v>
      </c>
      <c r="F29">
        <v>6619.91</v>
      </c>
      <c r="I29" s="19">
        <f t="shared" si="2"/>
        <v>9364</v>
      </c>
      <c r="J29" t="b">
        <f t="shared" si="3"/>
        <v>1</v>
      </c>
      <c r="K29" s="4">
        <f t="shared" si="0"/>
        <v>-0.29304677488252884</v>
      </c>
      <c r="M29"/>
      <c r="O29"/>
    </row>
    <row r="30" spans="1:15" hidden="1">
      <c r="A30" t="s">
        <v>1345</v>
      </c>
      <c r="B30" t="s">
        <v>861</v>
      </c>
      <c r="C30" t="s">
        <v>105</v>
      </c>
      <c r="D30" s="19">
        <v>4967</v>
      </c>
      <c r="E30" s="19">
        <f t="shared" si="1"/>
        <v>177.39285714285714</v>
      </c>
      <c r="F30">
        <v>10285.14</v>
      </c>
      <c r="I30" s="19">
        <f t="shared" si="2"/>
        <v>9934</v>
      </c>
      <c r="J30" t="b">
        <f t="shared" si="3"/>
        <v>1</v>
      </c>
      <c r="K30" s="4">
        <f t="shared" si="0"/>
        <v>3.5347292128045105E-2</v>
      </c>
      <c r="M30"/>
      <c r="O30"/>
    </row>
    <row r="31" spans="1:15" hidden="1">
      <c r="A31" t="s">
        <v>1344</v>
      </c>
      <c r="B31" t="s">
        <v>664</v>
      </c>
      <c r="C31" t="s">
        <v>665</v>
      </c>
      <c r="D31" s="19">
        <v>5354</v>
      </c>
      <c r="E31" s="19">
        <f t="shared" si="1"/>
        <v>191.21428571428572</v>
      </c>
      <c r="F31" s="19">
        <v>5811.17</v>
      </c>
      <c r="I31" s="19">
        <f t="shared" si="2"/>
        <v>10708</v>
      </c>
      <c r="J31" t="b">
        <f t="shared" si="3"/>
        <v>1</v>
      </c>
      <c r="K31" s="4">
        <f t="shared" si="0"/>
        <v>-0.45730575270825546</v>
      </c>
      <c r="M31"/>
      <c r="O31"/>
    </row>
    <row r="32" spans="1:15" hidden="1">
      <c r="A32" t="s">
        <v>1344</v>
      </c>
      <c r="B32" t="s">
        <v>457</v>
      </c>
      <c r="C32" t="s">
        <v>51</v>
      </c>
      <c r="D32" s="19">
        <v>5238</v>
      </c>
      <c r="E32" s="19">
        <f t="shared" si="1"/>
        <v>187.07142857142858</v>
      </c>
      <c r="F32">
        <v>9161.64</v>
      </c>
      <c r="I32" s="19">
        <f t="shared" si="2"/>
        <v>10476</v>
      </c>
      <c r="J32" t="b">
        <f t="shared" si="3"/>
        <v>1</v>
      </c>
      <c r="K32" s="4">
        <f t="shared" si="0"/>
        <v>-0.12546391752577324</v>
      </c>
      <c r="M32"/>
      <c r="O32"/>
    </row>
    <row r="33" spans="1:15">
      <c r="A33" t="s">
        <v>1344</v>
      </c>
      <c r="B33" t="s">
        <v>100</v>
      </c>
      <c r="C33" t="s">
        <v>101</v>
      </c>
      <c r="D33" s="19">
        <v>1820</v>
      </c>
      <c r="E33" s="19">
        <f t="shared" si="1"/>
        <v>65</v>
      </c>
      <c r="F33">
        <v>4734.3700000000008</v>
      </c>
      <c r="I33" s="168">
        <f t="shared" si="2"/>
        <v>3640</v>
      </c>
      <c r="J33" t="b">
        <f t="shared" si="3"/>
        <v>0</v>
      </c>
      <c r="K33" s="4">
        <f t="shared" si="0"/>
        <v>0.30065109890109909</v>
      </c>
      <c r="L33" t="s">
        <v>837</v>
      </c>
      <c r="M33" s="171">
        <f>(F33/28)/E33</f>
        <v>2.6013021978021982</v>
      </c>
      <c r="N33" t="s">
        <v>1349</v>
      </c>
      <c r="O33" s="175" t="s">
        <v>1350</v>
      </c>
    </row>
    <row r="34" spans="1:15" hidden="1">
      <c r="A34" t="s">
        <v>1345</v>
      </c>
      <c r="B34" t="s">
        <v>850</v>
      </c>
      <c r="C34" t="s">
        <v>296</v>
      </c>
      <c r="D34" s="19">
        <v>3039</v>
      </c>
      <c r="E34" s="19">
        <f t="shared" si="1"/>
        <v>108.53571428571429</v>
      </c>
      <c r="F34">
        <v>6047.48</v>
      </c>
      <c r="I34" s="19">
        <f t="shared" si="2"/>
        <v>6078</v>
      </c>
      <c r="J34" t="b">
        <f t="shared" si="3"/>
        <v>1</v>
      </c>
      <c r="K34" s="4">
        <f t="shared" si="0"/>
        <v>-5.0213886146759368E-3</v>
      </c>
      <c r="M34"/>
      <c r="O34"/>
    </row>
    <row r="35" spans="1:15" hidden="1">
      <c r="A35" t="s">
        <v>1345</v>
      </c>
      <c r="B35" t="s">
        <v>903</v>
      </c>
      <c r="C35" t="s">
        <v>261</v>
      </c>
      <c r="D35" s="19">
        <v>2301</v>
      </c>
      <c r="E35" s="19">
        <f t="shared" si="1"/>
        <v>82.178571428571431</v>
      </c>
      <c r="F35">
        <v>3121.07</v>
      </c>
      <c r="I35" s="19">
        <f t="shared" si="2"/>
        <v>4602</v>
      </c>
      <c r="J35" t="b">
        <f t="shared" si="3"/>
        <v>1</v>
      </c>
      <c r="K35" s="4">
        <f t="shared" si="0"/>
        <v>-0.32180139069969571</v>
      </c>
      <c r="M35"/>
      <c r="O35"/>
    </row>
    <row r="36" spans="1:15" hidden="1">
      <c r="A36" t="s">
        <v>1344</v>
      </c>
      <c r="B36" t="s">
        <v>636</v>
      </c>
      <c r="C36" t="s">
        <v>258</v>
      </c>
      <c r="D36" s="19">
        <v>3333</v>
      </c>
      <c r="E36" s="19">
        <f t="shared" si="1"/>
        <v>119.03571428571429</v>
      </c>
      <c r="F36">
        <v>5755.39</v>
      </c>
      <c r="I36" s="19">
        <f t="shared" si="2"/>
        <v>6666</v>
      </c>
      <c r="J36" t="b">
        <f t="shared" si="3"/>
        <v>1</v>
      </c>
      <c r="K36" s="4">
        <f t="shared" si="0"/>
        <v>-0.13660516051605154</v>
      </c>
      <c r="M36"/>
      <c r="O36"/>
    </row>
    <row r="37" spans="1:15" hidden="1">
      <c r="A37" t="s">
        <v>1344</v>
      </c>
      <c r="B37" t="s">
        <v>157</v>
      </c>
      <c r="C37" t="s">
        <v>151</v>
      </c>
      <c r="D37" s="19">
        <v>3497</v>
      </c>
      <c r="E37" s="19">
        <f t="shared" si="1"/>
        <v>124.89285714285714</v>
      </c>
      <c r="F37">
        <v>4641.8599999999997</v>
      </c>
      <c r="I37" s="19">
        <f t="shared" si="2"/>
        <v>6994</v>
      </c>
      <c r="J37" t="b">
        <f t="shared" si="3"/>
        <v>1</v>
      </c>
      <c r="K37" s="4">
        <f t="shared" si="0"/>
        <v>-0.33630826422647986</v>
      </c>
      <c r="M37"/>
      <c r="O37"/>
    </row>
    <row r="38" spans="1:15" hidden="1">
      <c r="A38" t="s">
        <v>1344</v>
      </c>
      <c r="B38" t="s">
        <v>661</v>
      </c>
      <c r="C38" t="s">
        <v>242</v>
      </c>
      <c r="D38" s="19">
        <v>9494</v>
      </c>
      <c r="E38" s="19">
        <f t="shared" si="1"/>
        <v>339.07142857142856</v>
      </c>
      <c r="F38">
        <v>8650.24</v>
      </c>
      <c r="I38" s="19">
        <f t="shared" si="2"/>
        <v>18988</v>
      </c>
      <c r="J38" t="b">
        <f t="shared" si="3"/>
        <v>1</v>
      </c>
      <c r="K38" s="4">
        <f t="shared" si="0"/>
        <v>-0.54443648620181162</v>
      </c>
      <c r="M38"/>
      <c r="O38"/>
    </row>
    <row r="39" spans="1:15" hidden="1">
      <c r="A39" t="s">
        <v>1346</v>
      </c>
      <c r="B39" t="s">
        <v>1180</v>
      </c>
      <c r="C39" t="s">
        <v>126</v>
      </c>
      <c r="D39" s="19">
        <v>4535</v>
      </c>
      <c r="E39" s="19">
        <f t="shared" si="1"/>
        <v>161.96428571428572</v>
      </c>
      <c r="F39">
        <v>3781.37</v>
      </c>
      <c r="I39" s="19">
        <f t="shared" si="2"/>
        <v>9070</v>
      </c>
      <c r="J39" t="b">
        <f t="shared" si="3"/>
        <v>1</v>
      </c>
      <c r="K39" s="4">
        <f t="shared" si="0"/>
        <v>-0.58309040793825795</v>
      </c>
      <c r="M39"/>
      <c r="O39"/>
    </row>
    <row r="40" spans="1:15" hidden="1">
      <c r="A40" t="s">
        <v>1344</v>
      </c>
      <c r="B40" t="s">
        <v>482</v>
      </c>
      <c r="C40" t="s">
        <v>473</v>
      </c>
      <c r="D40" s="19">
        <v>1212</v>
      </c>
      <c r="E40" s="19">
        <f t="shared" si="1"/>
        <v>43.285714285714285</v>
      </c>
      <c r="F40">
        <v>1964.82</v>
      </c>
      <c r="I40" s="19">
        <f t="shared" si="2"/>
        <v>2424</v>
      </c>
      <c r="J40" t="b">
        <f t="shared" si="3"/>
        <v>1</v>
      </c>
      <c r="K40" s="4">
        <f t="shared" si="0"/>
        <v>-0.18943069306930693</v>
      </c>
      <c r="M40"/>
      <c r="O40"/>
    </row>
    <row r="41" spans="1:15" hidden="1">
      <c r="A41" t="s">
        <v>1346</v>
      </c>
      <c r="B41" t="s">
        <v>1058</v>
      </c>
      <c r="C41" t="s">
        <v>458</v>
      </c>
      <c r="D41" s="19">
        <v>4203</v>
      </c>
      <c r="E41" s="19">
        <f t="shared" si="1"/>
        <v>150.10714285714286</v>
      </c>
      <c r="F41">
        <v>4211.0599999999995</v>
      </c>
      <c r="I41" s="19">
        <f t="shared" si="2"/>
        <v>8406</v>
      </c>
      <c r="J41" t="b">
        <f t="shared" si="3"/>
        <v>1</v>
      </c>
      <c r="K41" s="4">
        <f t="shared" si="0"/>
        <v>-0.4990411610754224</v>
      </c>
      <c r="M41"/>
      <c r="O41"/>
    </row>
    <row r="42" spans="1:15" hidden="1">
      <c r="A42" t="s">
        <v>1346</v>
      </c>
      <c r="B42" t="s">
        <v>1076</v>
      </c>
      <c r="C42" t="s">
        <v>236</v>
      </c>
      <c r="D42" s="19">
        <v>3096</v>
      </c>
      <c r="E42" s="19">
        <f t="shared" si="1"/>
        <v>110.57142857142857</v>
      </c>
      <c r="F42">
        <v>4777.2300000000005</v>
      </c>
      <c r="I42" s="19">
        <f t="shared" si="2"/>
        <v>6192</v>
      </c>
      <c r="J42" t="b">
        <f t="shared" si="3"/>
        <v>1</v>
      </c>
      <c r="K42" s="4">
        <f t="shared" si="0"/>
        <v>-0.22848352713178288</v>
      </c>
      <c r="M42"/>
      <c r="O42"/>
    </row>
    <row r="43" spans="1:15" hidden="1">
      <c r="A43" t="s">
        <v>1346</v>
      </c>
      <c r="B43" t="s">
        <v>1163</v>
      </c>
      <c r="C43" t="s">
        <v>297</v>
      </c>
      <c r="D43" s="19">
        <v>4313</v>
      </c>
      <c r="E43" s="19">
        <f t="shared" si="1"/>
        <v>154.03571428571428</v>
      </c>
      <c r="F43">
        <v>3846.55</v>
      </c>
      <c r="I43" s="19">
        <f t="shared" si="2"/>
        <v>8626</v>
      </c>
      <c r="J43" t="b">
        <f t="shared" si="3"/>
        <v>1</v>
      </c>
      <c r="K43" s="4">
        <f t="shared" si="0"/>
        <v>-0.55407488986784137</v>
      </c>
      <c r="M43"/>
      <c r="O43"/>
    </row>
    <row r="44" spans="1:15" hidden="1">
      <c r="A44" t="s">
        <v>1344</v>
      </c>
      <c r="B44" t="s">
        <v>657</v>
      </c>
      <c r="C44" t="s">
        <v>145</v>
      </c>
      <c r="D44" s="19">
        <v>5078</v>
      </c>
      <c r="E44" s="19">
        <f t="shared" si="1"/>
        <v>181.35714285714286</v>
      </c>
      <c r="F44">
        <v>8256.7000000000007</v>
      </c>
      <c r="I44" s="19">
        <f t="shared" si="2"/>
        <v>10156</v>
      </c>
      <c r="J44" t="b">
        <f t="shared" si="3"/>
        <v>1</v>
      </c>
      <c r="K44" s="4">
        <f t="shared" si="0"/>
        <v>-0.18701260338716019</v>
      </c>
      <c r="M44"/>
      <c r="O44"/>
    </row>
    <row r="45" spans="1:15" hidden="1">
      <c r="A45" t="s">
        <v>1345</v>
      </c>
      <c r="B45" t="s">
        <v>917</v>
      </c>
      <c r="C45" t="s">
        <v>811</v>
      </c>
      <c r="D45" s="19">
        <v>1464</v>
      </c>
      <c r="E45" s="19">
        <f t="shared" si="1"/>
        <v>52.285714285714285</v>
      </c>
      <c r="F45">
        <v>1500.42</v>
      </c>
      <c r="I45" s="19">
        <f t="shared" si="2"/>
        <v>2928</v>
      </c>
      <c r="J45" t="b">
        <f t="shared" si="3"/>
        <v>1</v>
      </c>
      <c r="K45" s="4">
        <f t="shared" si="0"/>
        <v>-0.48756147540983608</v>
      </c>
      <c r="M45"/>
      <c r="O45"/>
    </row>
    <row r="46" spans="1:15" hidden="1">
      <c r="A46" t="s">
        <v>1345</v>
      </c>
      <c r="B46" t="s">
        <v>904</v>
      </c>
      <c r="C46" t="s">
        <v>340</v>
      </c>
      <c r="D46" s="19">
        <v>1658</v>
      </c>
      <c r="E46" s="19">
        <f t="shared" si="1"/>
        <v>59.214285714285715</v>
      </c>
      <c r="F46">
        <v>3490.55</v>
      </c>
      <c r="I46" s="19">
        <f t="shared" si="2"/>
        <v>3316</v>
      </c>
      <c r="J46" t="b">
        <f t="shared" si="3"/>
        <v>1</v>
      </c>
      <c r="K46" s="4">
        <f t="shared" si="0"/>
        <v>5.2638721351025319E-2</v>
      </c>
      <c r="M46"/>
      <c r="O46"/>
    </row>
    <row r="47" spans="1:15" hidden="1">
      <c r="A47" t="s">
        <v>1344</v>
      </c>
      <c r="B47" t="s">
        <v>546</v>
      </c>
      <c r="C47" t="s">
        <v>547</v>
      </c>
      <c r="D47" s="19">
        <v>3821</v>
      </c>
      <c r="E47" s="19">
        <f t="shared" si="1"/>
        <v>136.46428571428572</v>
      </c>
      <c r="F47">
        <v>5076.1899999999996</v>
      </c>
      <c r="I47" s="19">
        <f t="shared" si="2"/>
        <v>7642</v>
      </c>
      <c r="J47" t="b">
        <f t="shared" si="3"/>
        <v>1</v>
      </c>
      <c r="K47" s="4">
        <f t="shared" si="0"/>
        <v>-0.33575111227427379</v>
      </c>
      <c r="M47"/>
      <c r="O47"/>
    </row>
    <row r="48" spans="1:15" hidden="1">
      <c r="A48" t="s">
        <v>1344</v>
      </c>
      <c r="B48" t="s">
        <v>559</v>
      </c>
      <c r="C48" t="s">
        <v>186</v>
      </c>
      <c r="D48" s="19">
        <v>3619</v>
      </c>
      <c r="E48" s="19">
        <f t="shared" si="1"/>
        <v>129.25</v>
      </c>
      <c r="F48">
        <v>5288.58</v>
      </c>
      <c r="I48" s="19">
        <f t="shared" si="2"/>
        <v>7238</v>
      </c>
      <c r="J48" t="b">
        <f t="shared" si="3"/>
        <v>1</v>
      </c>
      <c r="K48" s="4">
        <f t="shared" si="0"/>
        <v>-0.26933130699088148</v>
      </c>
      <c r="M48"/>
      <c r="O48"/>
    </row>
    <row r="49" spans="1:15" hidden="1">
      <c r="A49" t="s">
        <v>1344</v>
      </c>
      <c r="B49" t="s">
        <v>654</v>
      </c>
      <c r="C49" t="s">
        <v>93</v>
      </c>
      <c r="D49" s="19">
        <v>5175</v>
      </c>
      <c r="E49" s="19">
        <f t="shared" si="1"/>
        <v>184.82142857142858</v>
      </c>
      <c r="F49">
        <v>7206.56</v>
      </c>
      <c r="I49" s="19">
        <f t="shared" si="2"/>
        <v>10350</v>
      </c>
      <c r="J49" t="b">
        <f t="shared" si="3"/>
        <v>1</v>
      </c>
      <c r="K49" s="4">
        <f t="shared" si="0"/>
        <v>-0.3037140096618357</v>
      </c>
      <c r="M49"/>
      <c r="O49"/>
    </row>
    <row r="50" spans="1:15" hidden="1">
      <c r="A50" t="s">
        <v>1344</v>
      </c>
      <c r="B50" t="s">
        <v>533</v>
      </c>
      <c r="C50" t="s">
        <v>534</v>
      </c>
      <c r="D50" s="19">
        <v>1060</v>
      </c>
      <c r="E50" s="19">
        <f t="shared" si="1"/>
        <v>37.857142857142854</v>
      </c>
      <c r="F50">
        <v>0</v>
      </c>
      <c r="I50" s="19">
        <f t="shared" si="2"/>
        <v>2120</v>
      </c>
      <c r="J50" t="b">
        <f t="shared" si="3"/>
        <v>1</v>
      </c>
      <c r="K50" s="4">
        <f t="shared" si="0"/>
        <v>-1</v>
      </c>
      <c r="M50"/>
      <c r="O50"/>
    </row>
    <row r="51" spans="1:15" hidden="1">
      <c r="A51" t="s">
        <v>1345</v>
      </c>
      <c r="B51" t="s">
        <v>843</v>
      </c>
      <c r="C51" t="s">
        <v>799</v>
      </c>
      <c r="D51" s="19">
        <v>9152</v>
      </c>
      <c r="E51" s="19">
        <f t="shared" si="1"/>
        <v>326.85714285714283</v>
      </c>
      <c r="F51">
        <v>14874.52</v>
      </c>
      <c r="I51" s="19">
        <f t="shared" si="2"/>
        <v>18304</v>
      </c>
      <c r="J51" t="b">
        <f t="shared" si="3"/>
        <v>1</v>
      </c>
      <c r="K51" s="4">
        <f t="shared" si="0"/>
        <v>-0.18736232517482521</v>
      </c>
      <c r="M51"/>
      <c r="O51"/>
    </row>
    <row r="52" spans="1:15" hidden="1">
      <c r="A52" t="s">
        <v>1345</v>
      </c>
      <c r="B52" t="s">
        <v>977</v>
      </c>
      <c r="C52" t="s">
        <v>425</v>
      </c>
      <c r="D52" s="19">
        <v>1768</v>
      </c>
      <c r="E52" s="19">
        <f t="shared" si="1"/>
        <v>63.142857142857146</v>
      </c>
      <c r="F52">
        <v>2013.6399999999999</v>
      </c>
      <c r="I52" s="19">
        <f t="shared" si="2"/>
        <v>3536</v>
      </c>
      <c r="J52" t="b">
        <f t="shared" si="3"/>
        <v>1</v>
      </c>
      <c r="K52" s="4">
        <f t="shared" si="0"/>
        <v>-0.43053167420814487</v>
      </c>
      <c r="M52"/>
      <c r="O52"/>
    </row>
    <row r="53" spans="1:15">
      <c r="A53" t="s">
        <v>1345</v>
      </c>
      <c r="B53" t="s">
        <v>893</v>
      </c>
      <c r="C53" t="s">
        <v>470</v>
      </c>
      <c r="D53" s="19">
        <v>1242</v>
      </c>
      <c r="E53" s="19">
        <f t="shared" si="1"/>
        <v>44.357142857142854</v>
      </c>
      <c r="F53">
        <v>3132.4900000000002</v>
      </c>
      <c r="I53" s="168">
        <f t="shared" si="2"/>
        <v>2484</v>
      </c>
      <c r="J53" t="b">
        <f t="shared" si="3"/>
        <v>0</v>
      </c>
      <c r="K53" s="4">
        <f t="shared" si="0"/>
        <v>0.26106682769726253</v>
      </c>
      <c r="L53" t="s">
        <v>837</v>
      </c>
      <c r="M53" s="171">
        <f>(F53/28)/E53</f>
        <v>2.5221336553945251</v>
      </c>
      <c r="N53" t="s">
        <v>1351</v>
      </c>
      <c r="O53" s="172" t="s">
        <v>1352</v>
      </c>
    </row>
    <row r="54" spans="1:15" hidden="1">
      <c r="A54" t="s">
        <v>1344</v>
      </c>
      <c r="B54" t="s">
        <v>676</v>
      </c>
      <c r="C54" t="s">
        <v>23</v>
      </c>
      <c r="D54" s="19">
        <v>66998</v>
      </c>
      <c r="E54" s="19">
        <f t="shared" si="1"/>
        <v>2392.7857142857142</v>
      </c>
      <c r="F54">
        <v>53050.28</v>
      </c>
      <c r="I54" s="19">
        <f t="shared" si="2"/>
        <v>133996</v>
      </c>
      <c r="J54" t="b">
        <f t="shared" si="3"/>
        <v>1</v>
      </c>
      <c r="K54" s="4">
        <f t="shared" si="0"/>
        <v>-0.60409056986775722</v>
      </c>
      <c r="M54"/>
      <c r="O54"/>
    </row>
    <row r="55" spans="1:15" hidden="1">
      <c r="A55" t="s">
        <v>1345</v>
      </c>
      <c r="B55" t="s">
        <v>874</v>
      </c>
      <c r="C55" t="s">
        <v>189</v>
      </c>
      <c r="D55" s="19">
        <v>3089</v>
      </c>
      <c r="E55" s="19">
        <f t="shared" si="1"/>
        <v>110.32142857142857</v>
      </c>
      <c r="F55">
        <v>4762.47</v>
      </c>
      <c r="I55" s="19">
        <f t="shared" si="2"/>
        <v>6178</v>
      </c>
      <c r="J55" t="b">
        <f t="shared" si="3"/>
        <v>1</v>
      </c>
      <c r="K55" s="4">
        <f t="shared" si="0"/>
        <v>-0.2291243120751052</v>
      </c>
      <c r="M55"/>
      <c r="O55"/>
    </row>
    <row r="56" spans="1:15" hidden="1">
      <c r="A56" t="s">
        <v>1344</v>
      </c>
      <c r="B56" t="s">
        <v>187</v>
      </c>
      <c r="C56" t="s">
        <v>188</v>
      </c>
      <c r="D56" s="19">
        <v>2594</v>
      </c>
      <c r="E56" s="19">
        <f t="shared" si="1"/>
        <v>92.642857142857139</v>
      </c>
      <c r="F56">
        <v>3308.4700000000003</v>
      </c>
      <c r="I56" s="19">
        <f t="shared" si="2"/>
        <v>5188</v>
      </c>
      <c r="J56" t="b">
        <f t="shared" si="3"/>
        <v>1</v>
      </c>
      <c r="K56" s="4">
        <f t="shared" si="0"/>
        <v>-0.36228411719352349</v>
      </c>
      <c r="M56"/>
      <c r="O56"/>
    </row>
    <row r="57" spans="1:15" hidden="1">
      <c r="A57" t="s">
        <v>1345</v>
      </c>
      <c r="B57" t="s">
        <v>1000</v>
      </c>
      <c r="C57" t="s">
        <v>462</v>
      </c>
      <c r="D57" s="19">
        <v>3111</v>
      </c>
      <c r="E57" s="19">
        <f t="shared" si="1"/>
        <v>111.10714285714286</v>
      </c>
      <c r="F57">
        <v>1257.19</v>
      </c>
      <c r="I57" s="19">
        <f t="shared" si="2"/>
        <v>6222</v>
      </c>
      <c r="J57" t="b">
        <f t="shared" si="3"/>
        <v>1</v>
      </c>
      <c r="K57" s="4">
        <f t="shared" si="0"/>
        <v>-0.79794439087110258</v>
      </c>
      <c r="M57"/>
      <c r="O57"/>
    </row>
    <row r="58" spans="1:15" hidden="1">
      <c r="A58" t="s">
        <v>1344</v>
      </c>
      <c r="B58" t="s">
        <v>68</v>
      </c>
      <c r="C58" t="s">
        <v>69</v>
      </c>
      <c r="D58" s="19">
        <v>1862</v>
      </c>
      <c r="E58" s="19">
        <f t="shared" si="1"/>
        <v>66.5</v>
      </c>
      <c r="F58">
        <v>3919.76</v>
      </c>
      <c r="I58" s="19">
        <f t="shared" si="2"/>
        <v>3724</v>
      </c>
      <c r="J58" t="b">
        <f t="shared" si="3"/>
        <v>1</v>
      </c>
      <c r="K58" s="4">
        <f t="shared" si="0"/>
        <v>5.2567132116004389E-2</v>
      </c>
      <c r="M58"/>
      <c r="O58"/>
    </row>
    <row r="59" spans="1:15" hidden="1">
      <c r="A59" t="s">
        <v>1344</v>
      </c>
      <c r="B59" t="s">
        <v>623</v>
      </c>
      <c r="C59" t="s">
        <v>561</v>
      </c>
      <c r="D59" s="19">
        <v>3379</v>
      </c>
      <c r="E59" s="19">
        <f t="shared" si="1"/>
        <v>120.67857142857143</v>
      </c>
      <c r="F59">
        <v>3715.39</v>
      </c>
      <c r="I59" s="19">
        <f t="shared" si="2"/>
        <v>6758</v>
      </c>
      <c r="J59" t="b">
        <f t="shared" si="3"/>
        <v>1</v>
      </c>
      <c r="K59" s="4">
        <f t="shared" si="0"/>
        <v>-0.45022343888724481</v>
      </c>
      <c r="M59"/>
      <c r="O59"/>
    </row>
    <row r="60" spans="1:15" hidden="1">
      <c r="A60" t="s">
        <v>1344</v>
      </c>
      <c r="B60" t="s">
        <v>106</v>
      </c>
      <c r="C60" t="s">
        <v>107</v>
      </c>
      <c r="D60" s="19">
        <v>2977</v>
      </c>
      <c r="E60" s="19">
        <f t="shared" si="1"/>
        <v>106.32142857142857</v>
      </c>
      <c r="F60">
        <v>5399.2800000000007</v>
      </c>
      <c r="I60" s="19">
        <f t="shared" si="2"/>
        <v>5954</v>
      </c>
      <c r="J60" t="b">
        <f t="shared" si="3"/>
        <v>1</v>
      </c>
      <c r="K60" s="4">
        <f t="shared" si="0"/>
        <v>-9.3167618407792974E-2</v>
      </c>
      <c r="M60"/>
      <c r="O60"/>
    </row>
    <row r="61" spans="1:15" hidden="1">
      <c r="A61" t="s">
        <v>1344</v>
      </c>
      <c r="B61" t="s">
        <v>330</v>
      </c>
      <c r="C61" t="s">
        <v>331</v>
      </c>
      <c r="D61" s="19">
        <v>2210</v>
      </c>
      <c r="E61" s="19">
        <f t="shared" si="1"/>
        <v>78.928571428571431</v>
      </c>
      <c r="F61">
        <v>4575.7299999999996</v>
      </c>
      <c r="I61" s="19">
        <f t="shared" si="2"/>
        <v>4420</v>
      </c>
      <c r="J61" t="b">
        <f t="shared" si="3"/>
        <v>1</v>
      </c>
      <c r="K61" s="4">
        <f t="shared" si="0"/>
        <v>3.5233031674207993E-2</v>
      </c>
      <c r="M61"/>
      <c r="O61"/>
    </row>
    <row r="62" spans="1:15" hidden="1">
      <c r="A62" t="s">
        <v>1344</v>
      </c>
      <c r="B62" t="s">
        <v>272</v>
      </c>
      <c r="C62" t="s">
        <v>273</v>
      </c>
      <c r="D62" s="19">
        <v>2589</v>
      </c>
      <c r="E62" s="19">
        <f t="shared" si="1"/>
        <v>92.464285714285708</v>
      </c>
      <c r="F62">
        <v>4460.37</v>
      </c>
      <c r="I62" s="19">
        <f t="shared" si="2"/>
        <v>5178</v>
      </c>
      <c r="J62" t="b">
        <f t="shared" si="3"/>
        <v>1</v>
      </c>
      <c r="K62" s="4">
        <f t="shared" si="0"/>
        <v>-0.13859212050984937</v>
      </c>
      <c r="M62"/>
      <c r="O62"/>
    </row>
    <row r="63" spans="1:15" hidden="1">
      <c r="A63" t="s">
        <v>1344</v>
      </c>
      <c r="B63" t="s">
        <v>110</v>
      </c>
      <c r="C63" t="s">
        <v>111</v>
      </c>
      <c r="D63" s="19">
        <v>3471</v>
      </c>
      <c r="E63" s="19">
        <f t="shared" si="1"/>
        <v>123.96428571428571</v>
      </c>
      <c r="F63">
        <v>6312.97</v>
      </c>
      <c r="I63" s="19">
        <f t="shared" si="2"/>
        <v>6942</v>
      </c>
      <c r="J63" t="b">
        <f t="shared" si="3"/>
        <v>1</v>
      </c>
      <c r="K63" s="4">
        <f t="shared" si="0"/>
        <v>-9.0612215499855875E-2</v>
      </c>
      <c r="M63"/>
      <c r="O63"/>
    </row>
    <row r="64" spans="1:15" hidden="1">
      <c r="A64" t="s">
        <v>1344</v>
      </c>
      <c r="B64" t="s">
        <v>63</v>
      </c>
      <c r="C64" t="s">
        <v>64</v>
      </c>
      <c r="D64" s="19">
        <v>5007</v>
      </c>
      <c r="E64" s="19">
        <f t="shared" si="1"/>
        <v>178.82142857142858</v>
      </c>
      <c r="F64">
        <v>10215.879999999999</v>
      </c>
      <c r="I64" s="19">
        <f t="shared" si="2"/>
        <v>10014</v>
      </c>
      <c r="J64" t="b">
        <f t="shared" si="3"/>
        <v>1</v>
      </c>
      <c r="K64" s="4">
        <f t="shared" si="0"/>
        <v>2.015977631316157E-2</v>
      </c>
      <c r="M64"/>
      <c r="O64"/>
    </row>
    <row r="65" spans="1:15" hidden="1">
      <c r="A65" t="s">
        <v>1345</v>
      </c>
      <c r="B65" t="s">
        <v>979</v>
      </c>
      <c r="C65" t="s">
        <v>264</v>
      </c>
      <c r="D65" s="19">
        <v>1986</v>
      </c>
      <c r="E65" s="19">
        <f t="shared" ref="E65:E128" si="4">D65/28</f>
        <v>70.928571428571431</v>
      </c>
      <c r="F65">
        <v>2494.56</v>
      </c>
      <c r="I65" s="19">
        <f t="shared" ref="I65:I128" si="5">IF((D65/28)&gt;100,D65*2,D65*2)</f>
        <v>3972</v>
      </c>
      <c r="J65" t="b">
        <f t="shared" ref="J65:J128" si="6">IF(F65&gt;1.2*I65,FALSE,TRUE)</f>
        <v>1</v>
      </c>
      <c r="K65" s="4">
        <f t="shared" ref="K65:K128" si="7">F65/I65-1</f>
        <v>-0.37196374622356498</v>
      </c>
      <c r="M65"/>
      <c r="O65"/>
    </row>
    <row r="66" spans="1:15" hidden="1">
      <c r="A66" t="s">
        <v>1346</v>
      </c>
      <c r="B66" t="s">
        <v>1056</v>
      </c>
      <c r="C66" t="s">
        <v>170</v>
      </c>
      <c r="D66" s="19">
        <v>2862</v>
      </c>
      <c r="E66" s="19">
        <f t="shared" si="4"/>
        <v>102.21428571428571</v>
      </c>
      <c r="F66">
        <v>4480.33</v>
      </c>
      <c r="I66" s="19">
        <f t="shared" si="5"/>
        <v>5724</v>
      </c>
      <c r="J66" t="b">
        <f t="shared" si="6"/>
        <v>1</v>
      </c>
      <c r="K66" s="4">
        <f t="shared" si="7"/>
        <v>-0.21727288609364082</v>
      </c>
      <c r="M66"/>
      <c r="O66"/>
    </row>
    <row r="67" spans="1:15" hidden="1">
      <c r="A67" t="s">
        <v>1345</v>
      </c>
      <c r="B67" t="s">
        <v>946</v>
      </c>
      <c r="C67" t="s">
        <v>440</v>
      </c>
      <c r="D67" s="19">
        <v>1414</v>
      </c>
      <c r="E67" s="19">
        <f t="shared" si="4"/>
        <v>50.5</v>
      </c>
      <c r="F67">
        <v>3164.17</v>
      </c>
      <c r="I67" s="19">
        <f t="shared" si="5"/>
        <v>2828</v>
      </c>
      <c r="J67" t="b">
        <f t="shared" si="6"/>
        <v>1</v>
      </c>
      <c r="K67" s="4">
        <f t="shared" si="7"/>
        <v>0.11887199434229134</v>
      </c>
      <c r="M67"/>
      <c r="O67"/>
    </row>
    <row r="68" spans="1:15" hidden="1">
      <c r="A68" t="s">
        <v>1345</v>
      </c>
      <c r="B68" t="s">
        <v>894</v>
      </c>
      <c r="C68" t="s">
        <v>98</v>
      </c>
      <c r="D68" s="19">
        <v>2448</v>
      </c>
      <c r="E68" s="19">
        <f t="shared" si="4"/>
        <v>87.428571428571431</v>
      </c>
      <c r="F68">
        <v>4308.8899999999994</v>
      </c>
      <c r="I68" s="19">
        <f t="shared" si="5"/>
        <v>4896</v>
      </c>
      <c r="J68" t="b">
        <f t="shared" si="6"/>
        <v>1</v>
      </c>
      <c r="K68" s="4">
        <f t="shared" si="7"/>
        <v>-0.11991625816993479</v>
      </c>
      <c r="M68"/>
      <c r="O68"/>
    </row>
    <row r="69" spans="1:15" hidden="1">
      <c r="A69" t="s">
        <v>1344</v>
      </c>
      <c r="B69" t="s">
        <v>313</v>
      </c>
      <c r="C69" t="s">
        <v>314</v>
      </c>
      <c r="D69" s="19">
        <v>2174</v>
      </c>
      <c r="E69" s="19">
        <f t="shared" si="4"/>
        <v>77.642857142857139</v>
      </c>
      <c r="F69">
        <v>2713.17</v>
      </c>
      <c r="I69" s="19">
        <f t="shared" si="5"/>
        <v>4348</v>
      </c>
      <c r="J69" t="b">
        <f t="shared" si="6"/>
        <v>1</v>
      </c>
      <c r="K69" s="4">
        <f t="shared" si="7"/>
        <v>-0.37599586016559339</v>
      </c>
      <c r="M69"/>
      <c r="O69"/>
    </row>
    <row r="70" spans="1:15" hidden="1">
      <c r="A70" t="s">
        <v>1344</v>
      </c>
      <c r="B70" t="s">
        <v>241</v>
      </c>
      <c r="C70" t="s">
        <v>159</v>
      </c>
      <c r="D70" s="19">
        <v>3909</v>
      </c>
      <c r="E70" s="19">
        <f t="shared" si="4"/>
        <v>139.60714285714286</v>
      </c>
      <c r="F70">
        <v>6362.1900000000005</v>
      </c>
      <c r="I70" s="19">
        <f t="shared" si="5"/>
        <v>7818</v>
      </c>
      <c r="J70" t="b">
        <f t="shared" si="6"/>
        <v>1</v>
      </c>
      <c r="K70" s="4">
        <f t="shared" si="7"/>
        <v>-0.18621258633921711</v>
      </c>
      <c r="M70"/>
      <c r="O70"/>
    </row>
    <row r="71" spans="1:15" hidden="1">
      <c r="A71" t="s">
        <v>1346</v>
      </c>
      <c r="B71" t="s">
        <v>1052</v>
      </c>
      <c r="C71" t="s">
        <v>674</v>
      </c>
      <c r="D71" s="19">
        <v>1218</v>
      </c>
      <c r="E71" s="19">
        <f t="shared" si="4"/>
        <v>43.5</v>
      </c>
      <c r="F71">
        <v>1501.5900000000001</v>
      </c>
      <c r="I71" s="19">
        <f t="shared" si="5"/>
        <v>2436</v>
      </c>
      <c r="J71" t="b">
        <f t="shared" si="6"/>
        <v>1</v>
      </c>
      <c r="K71" s="4">
        <f t="shared" si="7"/>
        <v>-0.38358374384236449</v>
      </c>
      <c r="M71"/>
      <c r="O71"/>
    </row>
    <row r="72" spans="1:15" hidden="1">
      <c r="A72" t="s">
        <v>1344</v>
      </c>
      <c r="B72" t="s">
        <v>214</v>
      </c>
      <c r="C72" t="s">
        <v>215</v>
      </c>
      <c r="D72" s="19">
        <v>1231</v>
      </c>
      <c r="E72" s="19">
        <f t="shared" si="4"/>
        <v>43.964285714285715</v>
      </c>
      <c r="F72">
        <v>2902.63</v>
      </c>
      <c r="I72" s="19">
        <f t="shared" si="5"/>
        <v>2462</v>
      </c>
      <c r="J72" t="b">
        <f t="shared" si="6"/>
        <v>1</v>
      </c>
      <c r="K72" s="4">
        <f t="shared" si="7"/>
        <v>0.17897238017871664</v>
      </c>
      <c r="M72"/>
      <c r="O72"/>
    </row>
    <row r="73" spans="1:15" hidden="1">
      <c r="A73" t="s">
        <v>1345</v>
      </c>
      <c r="B73" t="s">
        <v>975</v>
      </c>
      <c r="C73" t="s">
        <v>381</v>
      </c>
      <c r="D73" s="19">
        <v>2468</v>
      </c>
      <c r="E73" s="19">
        <f t="shared" si="4"/>
        <v>88.142857142857139</v>
      </c>
      <c r="F73">
        <v>2775.51</v>
      </c>
      <c r="I73" s="19">
        <f t="shared" si="5"/>
        <v>4936</v>
      </c>
      <c r="J73" t="b">
        <f t="shared" si="6"/>
        <v>1</v>
      </c>
      <c r="K73" s="4">
        <f t="shared" si="7"/>
        <v>-0.43770056726093998</v>
      </c>
      <c r="M73"/>
      <c r="O73"/>
    </row>
    <row r="74" spans="1:15" hidden="1">
      <c r="A74" t="s">
        <v>1346</v>
      </c>
      <c r="B74" t="s">
        <v>1176</v>
      </c>
      <c r="C74" t="s">
        <v>346</v>
      </c>
      <c r="D74" s="19">
        <v>2557</v>
      </c>
      <c r="E74" s="19">
        <f t="shared" si="4"/>
        <v>91.321428571428569</v>
      </c>
      <c r="F74">
        <v>1107.06</v>
      </c>
      <c r="I74" s="19">
        <f t="shared" si="5"/>
        <v>5114</v>
      </c>
      <c r="J74" t="b">
        <f t="shared" si="6"/>
        <v>1</v>
      </c>
      <c r="K74" s="4">
        <f t="shared" si="7"/>
        <v>-0.78352366053969491</v>
      </c>
      <c r="M74"/>
      <c r="O74"/>
    </row>
    <row r="75" spans="1:15" hidden="1">
      <c r="A75" t="s">
        <v>1344</v>
      </c>
      <c r="B75" t="s">
        <v>132</v>
      </c>
      <c r="C75" t="s">
        <v>133</v>
      </c>
      <c r="D75" s="19">
        <v>3964</v>
      </c>
      <c r="E75" s="19">
        <f t="shared" si="4"/>
        <v>141.57142857142858</v>
      </c>
      <c r="F75">
        <v>8274.42</v>
      </c>
      <c r="I75" s="19">
        <f t="shared" si="5"/>
        <v>7928</v>
      </c>
      <c r="J75" t="b">
        <f t="shared" si="6"/>
        <v>1</v>
      </c>
      <c r="K75" s="4">
        <f t="shared" si="7"/>
        <v>4.3695761856710424E-2</v>
      </c>
      <c r="M75"/>
      <c r="O75"/>
    </row>
    <row r="76" spans="1:15" hidden="1">
      <c r="A76" t="s">
        <v>1345</v>
      </c>
      <c r="B76" t="s">
        <v>897</v>
      </c>
      <c r="C76" t="s">
        <v>423</v>
      </c>
      <c r="D76" s="19">
        <v>2410</v>
      </c>
      <c r="E76" s="19">
        <f t="shared" si="4"/>
        <v>86.071428571428569</v>
      </c>
      <c r="F76">
        <v>2425.73</v>
      </c>
      <c r="I76" s="19">
        <f t="shared" si="5"/>
        <v>4820</v>
      </c>
      <c r="J76" t="b">
        <f t="shared" si="6"/>
        <v>1</v>
      </c>
      <c r="K76" s="4">
        <f t="shared" si="7"/>
        <v>-0.49673651452282153</v>
      </c>
      <c r="M76"/>
      <c r="O76"/>
    </row>
    <row r="77" spans="1:15" hidden="1">
      <c r="A77" t="s">
        <v>1345</v>
      </c>
      <c r="B77" t="s">
        <v>1014</v>
      </c>
      <c r="C77" t="s">
        <v>434</v>
      </c>
      <c r="D77" s="19">
        <v>2488</v>
      </c>
      <c r="E77" s="19">
        <f t="shared" si="4"/>
        <v>88.857142857142861</v>
      </c>
      <c r="F77">
        <v>2896.21</v>
      </c>
      <c r="I77" s="19">
        <f t="shared" si="5"/>
        <v>4976</v>
      </c>
      <c r="J77" t="b">
        <f t="shared" si="6"/>
        <v>1</v>
      </c>
      <c r="K77" s="4">
        <f t="shared" si="7"/>
        <v>-0.41796422829581992</v>
      </c>
      <c r="M77"/>
      <c r="O77"/>
    </row>
    <row r="78" spans="1:15" hidden="1">
      <c r="A78" t="s">
        <v>1346</v>
      </c>
      <c r="B78" t="s">
        <v>1085</v>
      </c>
      <c r="C78" t="s">
        <v>410</v>
      </c>
      <c r="D78" s="19">
        <v>1496</v>
      </c>
      <c r="E78" s="19">
        <f t="shared" si="4"/>
        <v>53.428571428571431</v>
      </c>
      <c r="F78">
        <v>2150.4399999999996</v>
      </c>
      <c r="I78" s="19">
        <f t="shared" si="5"/>
        <v>2992</v>
      </c>
      <c r="J78" t="b">
        <f t="shared" si="6"/>
        <v>1</v>
      </c>
      <c r="K78" s="4">
        <f t="shared" si="7"/>
        <v>-0.28127005347593592</v>
      </c>
      <c r="M78"/>
      <c r="O78"/>
    </row>
    <row r="79" spans="1:15" hidden="1">
      <c r="A79" t="s">
        <v>1345</v>
      </c>
      <c r="B79" t="s">
        <v>930</v>
      </c>
      <c r="C79" t="s">
        <v>658</v>
      </c>
      <c r="D79" s="19">
        <v>1335</v>
      </c>
      <c r="E79" s="19">
        <f t="shared" si="4"/>
        <v>47.678571428571431</v>
      </c>
      <c r="F79">
        <v>2990.56</v>
      </c>
      <c r="I79" s="19">
        <f t="shared" si="5"/>
        <v>2670</v>
      </c>
      <c r="J79" t="b">
        <f t="shared" si="6"/>
        <v>1</v>
      </c>
      <c r="K79" s="4">
        <f t="shared" si="7"/>
        <v>0.12005992509363295</v>
      </c>
      <c r="M79"/>
      <c r="O79"/>
    </row>
    <row r="80" spans="1:15">
      <c r="A80" t="s">
        <v>1344</v>
      </c>
      <c r="B80" t="s">
        <v>565</v>
      </c>
      <c r="C80" t="s">
        <v>550</v>
      </c>
      <c r="D80" s="19">
        <v>918</v>
      </c>
      <c r="E80" s="19">
        <f>D80/28</f>
        <v>32.785714285714285</v>
      </c>
      <c r="F80" s="19">
        <v>2718.95</v>
      </c>
      <c r="I80" s="168">
        <f>IF((D80/28)&gt;100,D80*2,D80*2)</f>
        <v>1836</v>
      </c>
      <c r="J80" t="b">
        <f t="shared" si="6"/>
        <v>0</v>
      </c>
      <c r="K80" s="4">
        <f>F80/I80-1</f>
        <v>0.4809095860566448</v>
      </c>
      <c r="L80" t="s">
        <v>837</v>
      </c>
      <c r="M80" s="171">
        <f>(F80/28)/E80</f>
        <v>2.9618191721132896</v>
      </c>
      <c r="N80" t="s">
        <v>566</v>
      </c>
      <c r="O80" s="178" t="s">
        <v>1353</v>
      </c>
    </row>
    <row r="81" spans="1:11" customFormat="1" hidden="1">
      <c r="A81" t="s">
        <v>1344</v>
      </c>
      <c r="B81" t="s">
        <v>666</v>
      </c>
      <c r="C81" t="s">
        <v>50</v>
      </c>
      <c r="D81" s="19">
        <v>4373</v>
      </c>
      <c r="E81" s="19">
        <f t="shared" si="4"/>
        <v>156.17857142857142</v>
      </c>
      <c r="F81">
        <v>2858.51</v>
      </c>
      <c r="I81" s="19">
        <f t="shared" si="5"/>
        <v>8746</v>
      </c>
      <c r="J81" t="b">
        <f t="shared" si="6"/>
        <v>1</v>
      </c>
      <c r="K81" s="4">
        <f t="shared" si="7"/>
        <v>-0.6731637319917676</v>
      </c>
    </row>
    <row r="82" spans="1:11" customFormat="1" hidden="1">
      <c r="A82" t="s">
        <v>1344</v>
      </c>
      <c r="B82" t="s">
        <v>382</v>
      </c>
      <c r="C82" t="s">
        <v>315</v>
      </c>
      <c r="D82" s="19">
        <v>2472</v>
      </c>
      <c r="E82" s="19">
        <f t="shared" si="4"/>
        <v>88.285714285714292</v>
      </c>
      <c r="F82">
        <v>4205.25</v>
      </c>
      <c r="I82" s="19">
        <f t="shared" si="5"/>
        <v>4944</v>
      </c>
      <c r="J82" t="b">
        <f t="shared" si="6"/>
        <v>1</v>
      </c>
      <c r="K82" s="4">
        <f t="shared" si="7"/>
        <v>-0.14942354368932043</v>
      </c>
    </row>
    <row r="83" spans="1:11" customFormat="1" hidden="1">
      <c r="A83" t="s">
        <v>1345</v>
      </c>
      <c r="B83" t="s">
        <v>1004</v>
      </c>
      <c r="C83" t="s">
        <v>449</v>
      </c>
      <c r="D83" s="19">
        <v>1711</v>
      </c>
      <c r="E83" s="19">
        <f t="shared" si="4"/>
        <v>61.107142857142854</v>
      </c>
      <c r="F83">
        <v>2734.81</v>
      </c>
      <c r="I83" s="19">
        <f t="shared" si="5"/>
        <v>3422</v>
      </c>
      <c r="J83" t="b">
        <f t="shared" si="6"/>
        <v>1</v>
      </c>
      <c r="K83" s="4">
        <f t="shared" si="7"/>
        <v>-0.20081531268264174</v>
      </c>
    </row>
    <row r="84" spans="1:11" customFormat="1" hidden="1">
      <c r="A84" t="s">
        <v>1345</v>
      </c>
      <c r="B84" t="s">
        <v>854</v>
      </c>
      <c r="C84" t="s">
        <v>150</v>
      </c>
      <c r="D84" s="19">
        <v>3481</v>
      </c>
      <c r="E84" s="19">
        <f t="shared" si="4"/>
        <v>124.32142857142857</v>
      </c>
      <c r="F84">
        <v>7834.8600000000006</v>
      </c>
      <c r="I84" s="19">
        <f t="shared" si="5"/>
        <v>6962</v>
      </c>
      <c r="J84" t="b">
        <f t="shared" si="6"/>
        <v>1</v>
      </c>
      <c r="K84" s="4">
        <f t="shared" si="7"/>
        <v>0.12537489227233567</v>
      </c>
    </row>
    <row r="85" spans="1:11" customFormat="1" hidden="1">
      <c r="A85" t="s">
        <v>1344</v>
      </c>
      <c r="B85" t="s">
        <v>429</v>
      </c>
      <c r="C85" t="s">
        <v>430</v>
      </c>
      <c r="D85" s="19">
        <v>1068</v>
      </c>
      <c r="E85" s="19">
        <f t="shared" si="4"/>
        <v>38.142857142857146</v>
      </c>
      <c r="F85">
        <v>1453</v>
      </c>
      <c r="I85" s="19">
        <f t="shared" si="5"/>
        <v>2136</v>
      </c>
      <c r="J85" t="b">
        <f t="shared" si="6"/>
        <v>1</v>
      </c>
      <c r="K85" s="4">
        <f t="shared" si="7"/>
        <v>-0.31975655430711614</v>
      </c>
    </row>
    <row r="86" spans="1:11" customFormat="1" hidden="1">
      <c r="A86" t="s">
        <v>1344</v>
      </c>
      <c r="B86" t="s">
        <v>333</v>
      </c>
      <c r="C86" t="s">
        <v>334</v>
      </c>
      <c r="D86" s="19">
        <v>2036</v>
      </c>
      <c r="E86" s="19">
        <f t="shared" si="4"/>
        <v>72.714285714285708</v>
      </c>
      <c r="F86">
        <v>3359.06</v>
      </c>
      <c r="I86" s="19">
        <f t="shared" si="5"/>
        <v>4072</v>
      </c>
      <c r="J86" t="b">
        <f t="shared" si="6"/>
        <v>1</v>
      </c>
      <c r="K86" s="4">
        <f t="shared" si="7"/>
        <v>-0.17508349705304516</v>
      </c>
    </row>
    <row r="87" spans="1:11" customFormat="1" hidden="1">
      <c r="A87" t="s">
        <v>1345</v>
      </c>
      <c r="B87" t="s">
        <v>960</v>
      </c>
      <c r="C87" t="s">
        <v>554</v>
      </c>
      <c r="D87" s="19">
        <v>2619</v>
      </c>
      <c r="E87" s="19">
        <f t="shared" si="4"/>
        <v>93.535714285714292</v>
      </c>
      <c r="F87">
        <v>5604.37</v>
      </c>
      <c r="I87" s="19">
        <f t="shared" si="5"/>
        <v>5238</v>
      </c>
      <c r="J87" t="b">
        <f t="shared" si="6"/>
        <v>1</v>
      </c>
      <c r="K87" s="4">
        <f t="shared" si="7"/>
        <v>6.9944635357006568E-2</v>
      </c>
    </row>
    <row r="88" spans="1:11" customFormat="1" hidden="1">
      <c r="A88" t="s">
        <v>1346</v>
      </c>
      <c r="B88" t="s">
        <v>1100</v>
      </c>
      <c r="C88" t="s">
        <v>403</v>
      </c>
      <c r="D88" s="19">
        <v>1496</v>
      </c>
      <c r="E88" s="19">
        <f t="shared" si="4"/>
        <v>53.428571428571431</v>
      </c>
      <c r="F88">
        <v>2025.8000000000002</v>
      </c>
      <c r="I88" s="19">
        <f t="shared" si="5"/>
        <v>2992</v>
      </c>
      <c r="J88" t="b">
        <f t="shared" si="6"/>
        <v>1</v>
      </c>
      <c r="K88" s="4">
        <f t="shared" si="7"/>
        <v>-0.32292780748663097</v>
      </c>
    </row>
    <row r="89" spans="1:11" customFormat="1" hidden="1">
      <c r="A89" t="s">
        <v>1344</v>
      </c>
      <c r="B89" t="s">
        <v>283</v>
      </c>
      <c r="C89" t="s">
        <v>284</v>
      </c>
      <c r="D89" s="19">
        <v>1300</v>
      </c>
      <c r="E89" s="19">
        <f t="shared" si="4"/>
        <v>46.428571428571431</v>
      </c>
      <c r="F89">
        <v>1842.69</v>
      </c>
      <c r="I89" s="19">
        <f t="shared" si="5"/>
        <v>2600</v>
      </c>
      <c r="J89" t="b">
        <f t="shared" si="6"/>
        <v>1</v>
      </c>
      <c r="K89" s="4">
        <f t="shared" si="7"/>
        <v>-0.29127307692307691</v>
      </c>
    </row>
    <row r="90" spans="1:11" customFormat="1" hidden="1">
      <c r="A90" t="s">
        <v>1344</v>
      </c>
      <c r="B90" t="s">
        <v>156</v>
      </c>
      <c r="C90" t="s">
        <v>45</v>
      </c>
      <c r="D90" s="19">
        <v>3430</v>
      </c>
      <c r="E90" s="19">
        <f t="shared" si="4"/>
        <v>122.5</v>
      </c>
      <c r="F90">
        <v>6829.03</v>
      </c>
      <c r="I90" s="19">
        <f t="shared" si="5"/>
        <v>6860</v>
      </c>
      <c r="J90" t="b">
        <f t="shared" si="6"/>
        <v>1</v>
      </c>
      <c r="K90" s="4">
        <f t="shared" si="7"/>
        <v>-4.5145772594752387E-3</v>
      </c>
    </row>
    <row r="91" spans="1:11" customFormat="1" hidden="1">
      <c r="A91" t="s">
        <v>1344</v>
      </c>
      <c r="B91" t="s">
        <v>514</v>
      </c>
      <c r="C91" t="s">
        <v>515</v>
      </c>
      <c r="D91" s="19">
        <v>1348</v>
      </c>
      <c r="E91" s="19">
        <f t="shared" si="4"/>
        <v>48.142857142857146</v>
      </c>
      <c r="F91">
        <v>1527.7600000000002</v>
      </c>
      <c r="I91" s="19">
        <f t="shared" si="5"/>
        <v>2696</v>
      </c>
      <c r="J91" t="b">
        <f t="shared" si="6"/>
        <v>1</v>
      </c>
      <c r="K91" s="4">
        <f t="shared" si="7"/>
        <v>-0.43332344213649843</v>
      </c>
    </row>
    <row r="92" spans="1:11" customFormat="1" hidden="1">
      <c r="A92" t="s">
        <v>1345</v>
      </c>
      <c r="B92" t="s">
        <v>889</v>
      </c>
      <c r="C92" t="s">
        <v>397</v>
      </c>
      <c r="D92" s="19">
        <v>1604</v>
      </c>
      <c r="E92" s="19">
        <f t="shared" si="4"/>
        <v>57.285714285714285</v>
      </c>
      <c r="F92">
        <v>3446.4700000000003</v>
      </c>
      <c r="I92" s="19">
        <f t="shared" si="5"/>
        <v>3208</v>
      </c>
      <c r="J92" t="b">
        <f t="shared" si="6"/>
        <v>1</v>
      </c>
      <c r="K92" s="4">
        <f t="shared" si="7"/>
        <v>7.433603491271823E-2</v>
      </c>
    </row>
    <row r="93" spans="1:11" customFormat="1" hidden="1">
      <c r="A93" t="s">
        <v>1344</v>
      </c>
      <c r="B93" t="s">
        <v>478</v>
      </c>
      <c r="C93" t="s">
        <v>332</v>
      </c>
      <c r="D93" s="19">
        <v>3622</v>
      </c>
      <c r="E93" s="19">
        <f t="shared" si="4"/>
        <v>129.35714285714286</v>
      </c>
      <c r="F93">
        <v>5548.83</v>
      </c>
      <c r="I93" s="19">
        <f t="shared" si="5"/>
        <v>7244</v>
      </c>
      <c r="J93" t="b">
        <f t="shared" si="6"/>
        <v>1</v>
      </c>
      <c r="K93" s="4">
        <f t="shared" si="7"/>
        <v>-0.23401021535063504</v>
      </c>
    </row>
    <row r="94" spans="1:11" customFormat="1" hidden="1">
      <c r="A94" t="s">
        <v>1346</v>
      </c>
      <c r="B94" t="s">
        <v>1119</v>
      </c>
      <c r="C94" t="s">
        <v>692</v>
      </c>
      <c r="D94" s="19">
        <v>1107</v>
      </c>
      <c r="E94" s="19">
        <f t="shared" si="4"/>
        <v>39.535714285714285</v>
      </c>
      <c r="F94">
        <v>1365.53</v>
      </c>
      <c r="I94" s="19">
        <f t="shared" si="5"/>
        <v>2214</v>
      </c>
      <c r="J94" t="b">
        <f t="shared" si="6"/>
        <v>1</v>
      </c>
      <c r="K94" s="4">
        <f t="shared" si="7"/>
        <v>-0.38322944896115629</v>
      </c>
    </row>
    <row r="95" spans="1:11" customFormat="1" hidden="1">
      <c r="A95" t="s">
        <v>1344</v>
      </c>
      <c r="B95" t="s">
        <v>316</v>
      </c>
      <c r="C95" t="s">
        <v>217</v>
      </c>
      <c r="D95" s="19">
        <v>2008</v>
      </c>
      <c r="E95" s="19">
        <f t="shared" si="4"/>
        <v>71.714285714285708</v>
      </c>
      <c r="F95">
        <v>2697.85</v>
      </c>
      <c r="I95" s="19">
        <f t="shared" si="5"/>
        <v>4016</v>
      </c>
      <c r="J95" t="b">
        <f t="shared" si="6"/>
        <v>1</v>
      </c>
      <c r="K95" s="4">
        <f t="shared" si="7"/>
        <v>-0.32822460159362554</v>
      </c>
    </row>
    <row r="96" spans="1:11" customFormat="1" hidden="1">
      <c r="A96" t="s">
        <v>1346</v>
      </c>
      <c r="B96" t="s">
        <v>1087</v>
      </c>
      <c r="C96" t="s">
        <v>378</v>
      </c>
      <c r="D96" s="19">
        <v>1466</v>
      </c>
      <c r="E96" s="19">
        <f t="shared" si="4"/>
        <v>52.357142857142854</v>
      </c>
      <c r="F96">
        <v>1760.27</v>
      </c>
      <c r="I96" s="19">
        <f t="shared" si="5"/>
        <v>2932</v>
      </c>
      <c r="J96" t="b">
        <f t="shared" si="6"/>
        <v>1</v>
      </c>
      <c r="K96" s="4">
        <f t="shared" si="7"/>
        <v>-0.39963506139154159</v>
      </c>
    </row>
    <row r="97" spans="1:15" hidden="1">
      <c r="A97" t="s">
        <v>1344</v>
      </c>
      <c r="B97" t="s">
        <v>243</v>
      </c>
      <c r="C97" t="s">
        <v>244</v>
      </c>
      <c r="D97" s="19">
        <v>2246</v>
      </c>
      <c r="E97" s="19">
        <f t="shared" si="4"/>
        <v>80.214285714285708</v>
      </c>
      <c r="F97">
        <v>3868.2</v>
      </c>
      <c r="I97" s="19">
        <f t="shared" si="5"/>
        <v>4492</v>
      </c>
      <c r="J97" t="b">
        <f t="shared" si="6"/>
        <v>1</v>
      </c>
      <c r="K97" s="4">
        <f t="shared" si="7"/>
        <v>-0.13886910062333035</v>
      </c>
      <c r="M97"/>
      <c r="O97"/>
    </row>
    <row r="98" spans="1:15" hidden="1">
      <c r="A98" t="s">
        <v>1344</v>
      </c>
      <c r="B98" t="s">
        <v>271</v>
      </c>
      <c r="C98" t="s">
        <v>162</v>
      </c>
      <c r="D98" s="19">
        <v>2572</v>
      </c>
      <c r="E98" s="19">
        <f t="shared" si="4"/>
        <v>91.857142857142861</v>
      </c>
      <c r="F98">
        <v>4463.3500000000004</v>
      </c>
      <c r="I98" s="19">
        <f t="shared" si="5"/>
        <v>5144</v>
      </c>
      <c r="J98" t="b">
        <f t="shared" si="6"/>
        <v>1</v>
      </c>
      <c r="K98" s="4">
        <f t="shared" si="7"/>
        <v>-0.13231920684292375</v>
      </c>
      <c r="M98"/>
      <c r="O98"/>
    </row>
    <row r="99" spans="1:15" hidden="1">
      <c r="A99" t="s">
        <v>1344</v>
      </c>
      <c r="B99" t="s">
        <v>234</v>
      </c>
      <c r="C99" t="s">
        <v>235</v>
      </c>
      <c r="D99" s="19">
        <v>2070</v>
      </c>
      <c r="E99" s="19">
        <f t="shared" si="4"/>
        <v>73.928571428571431</v>
      </c>
      <c r="F99" s="19">
        <v>4770.5599999999995</v>
      </c>
      <c r="I99" s="19">
        <f t="shared" si="5"/>
        <v>4140</v>
      </c>
      <c r="J99" t="b">
        <f t="shared" si="6"/>
        <v>1</v>
      </c>
      <c r="K99" s="4">
        <f t="shared" si="7"/>
        <v>0.15230917874396122</v>
      </c>
      <c r="M99"/>
      <c r="O99"/>
    </row>
    <row r="100" spans="1:15" hidden="1">
      <c r="A100" t="s">
        <v>1345</v>
      </c>
      <c r="B100" t="s">
        <v>982</v>
      </c>
      <c r="C100" t="s">
        <v>461</v>
      </c>
      <c r="D100" s="19">
        <v>1585</v>
      </c>
      <c r="E100" s="19">
        <f t="shared" si="4"/>
        <v>56.607142857142854</v>
      </c>
      <c r="F100">
        <v>290.15999999999997</v>
      </c>
      <c r="I100" s="19">
        <f t="shared" si="5"/>
        <v>3170</v>
      </c>
      <c r="J100" t="b">
        <f t="shared" si="6"/>
        <v>1</v>
      </c>
      <c r="K100" s="4">
        <f t="shared" si="7"/>
        <v>-0.90846687697160888</v>
      </c>
      <c r="M100"/>
      <c r="O100"/>
    </row>
    <row r="101" spans="1:15" hidden="1">
      <c r="A101" t="s">
        <v>1344</v>
      </c>
      <c r="B101" t="s">
        <v>609</v>
      </c>
      <c r="C101" t="s">
        <v>182</v>
      </c>
      <c r="D101" s="19">
        <v>2952</v>
      </c>
      <c r="E101" s="19">
        <f t="shared" si="4"/>
        <v>105.42857142857143</v>
      </c>
      <c r="F101">
        <v>3219.9900000000002</v>
      </c>
      <c r="I101" s="19">
        <f t="shared" si="5"/>
        <v>5904</v>
      </c>
      <c r="J101" t="b">
        <f t="shared" si="6"/>
        <v>1</v>
      </c>
      <c r="K101" s="4">
        <f t="shared" si="7"/>
        <v>-0.45460873983739836</v>
      </c>
      <c r="M101"/>
      <c r="O101"/>
    </row>
    <row r="102" spans="1:15" hidden="1">
      <c r="A102" t="s">
        <v>1346</v>
      </c>
      <c r="B102" t="s">
        <v>1171</v>
      </c>
      <c r="C102" t="s">
        <v>622</v>
      </c>
      <c r="D102" s="19">
        <v>1305</v>
      </c>
      <c r="E102" s="19">
        <f t="shared" si="4"/>
        <v>46.607142857142854</v>
      </c>
      <c r="F102">
        <v>1481.44</v>
      </c>
      <c r="I102" s="19">
        <f t="shared" si="5"/>
        <v>2610</v>
      </c>
      <c r="J102" t="b">
        <f t="shared" si="6"/>
        <v>1</v>
      </c>
      <c r="K102" s="4">
        <f t="shared" si="7"/>
        <v>-0.43239846743295018</v>
      </c>
      <c r="M102"/>
      <c r="O102"/>
    </row>
    <row r="103" spans="1:15" hidden="1">
      <c r="A103" t="s">
        <v>1346</v>
      </c>
      <c r="B103" t="s">
        <v>1188</v>
      </c>
      <c r="C103" t="s">
        <v>245</v>
      </c>
      <c r="D103" s="19">
        <v>4983</v>
      </c>
      <c r="E103" s="19">
        <f t="shared" si="4"/>
        <v>177.96428571428572</v>
      </c>
      <c r="F103">
        <v>3148.06</v>
      </c>
      <c r="I103" s="19">
        <f t="shared" si="5"/>
        <v>9966</v>
      </c>
      <c r="J103" t="b">
        <f t="shared" si="6"/>
        <v>1</v>
      </c>
      <c r="K103" s="4">
        <f t="shared" si="7"/>
        <v>-0.68412000802729278</v>
      </c>
      <c r="M103"/>
      <c r="O103"/>
    </row>
    <row r="104" spans="1:15" hidden="1">
      <c r="A104" t="s">
        <v>1345</v>
      </c>
      <c r="B104" s="21" t="s">
        <v>918</v>
      </c>
      <c r="C104" t="s">
        <v>56</v>
      </c>
      <c r="D104" s="19">
        <v>2258</v>
      </c>
      <c r="E104" s="19">
        <f t="shared" si="4"/>
        <v>80.642857142857139</v>
      </c>
      <c r="F104">
        <v>3838.6499999999996</v>
      </c>
      <c r="I104" s="19">
        <f t="shared" si="5"/>
        <v>4516</v>
      </c>
      <c r="J104" t="b">
        <f t="shared" si="6"/>
        <v>1</v>
      </c>
      <c r="K104" s="4">
        <f t="shared" si="7"/>
        <v>-0.14998892825509313</v>
      </c>
      <c r="M104"/>
      <c r="O104"/>
    </row>
    <row r="105" spans="1:15" hidden="1">
      <c r="A105" t="s">
        <v>1344</v>
      </c>
      <c r="B105" t="s">
        <v>597</v>
      </c>
      <c r="C105" t="s">
        <v>598</v>
      </c>
      <c r="D105" s="19">
        <v>1177</v>
      </c>
      <c r="E105" s="19">
        <f t="shared" si="4"/>
        <v>42.035714285714285</v>
      </c>
      <c r="F105">
        <v>422.85</v>
      </c>
      <c r="I105" s="19">
        <f t="shared" si="5"/>
        <v>2354</v>
      </c>
      <c r="J105" t="b">
        <f t="shared" si="6"/>
        <v>1</v>
      </c>
      <c r="K105" s="4">
        <f t="shared" si="7"/>
        <v>-0.8203695836873407</v>
      </c>
      <c r="M105"/>
      <c r="O105"/>
    </row>
    <row r="106" spans="1:15" hidden="1">
      <c r="A106" t="s">
        <v>1344</v>
      </c>
      <c r="B106" t="s">
        <v>274</v>
      </c>
      <c r="C106" t="s">
        <v>275</v>
      </c>
      <c r="D106" s="19">
        <v>1941</v>
      </c>
      <c r="E106" s="19">
        <f t="shared" si="4"/>
        <v>69.321428571428569</v>
      </c>
      <c r="F106">
        <v>2899.98</v>
      </c>
      <c r="I106" s="19">
        <f t="shared" si="5"/>
        <v>3882</v>
      </c>
      <c r="J106" t="b">
        <f t="shared" si="6"/>
        <v>1</v>
      </c>
      <c r="K106" s="4">
        <f t="shared" si="7"/>
        <v>-0.252967542503864</v>
      </c>
      <c r="M106"/>
      <c r="O106"/>
    </row>
    <row r="107" spans="1:15" hidden="1">
      <c r="A107" t="s">
        <v>1344</v>
      </c>
      <c r="B107" t="s">
        <v>581</v>
      </c>
      <c r="C107" t="s">
        <v>341</v>
      </c>
      <c r="D107" s="19">
        <v>1900</v>
      </c>
      <c r="E107" s="19">
        <f t="shared" si="4"/>
        <v>67.857142857142861</v>
      </c>
      <c r="F107">
        <v>3094.09</v>
      </c>
      <c r="I107" s="19">
        <f t="shared" si="5"/>
        <v>3800</v>
      </c>
      <c r="J107" t="b">
        <f t="shared" si="6"/>
        <v>1</v>
      </c>
      <c r="K107" s="4">
        <f t="shared" si="7"/>
        <v>-0.18576578947368416</v>
      </c>
      <c r="M107"/>
      <c r="O107"/>
    </row>
    <row r="108" spans="1:15" hidden="1">
      <c r="A108" t="s">
        <v>1344</v>
      </c>
      <c r="B108" t="s">
        <v>218</v>
      </c>
      <c r="C108" t="s">
        <v>219</v>
      </c>
      <c r="D108" s="19">
        <v>1873</v>
      </c>
      <c r="E108" s="19">
        <f t="shared" si="4"/>
        <v>66.892857142857139</v>
      </c>
      <c r="F108">
        <v>3705.9300000000003</v>
      </c>
      <c r="I108" s="19">
        <f t="shared" si="5"/>
        <v>3746</v>
      </c>
      <c r="J108" t="b">
        <f t="shared" si="6"/>
        <v>1</v>
      </c>
      <c r="K108" s="4">
        <f t="shared" si="7"/>
        <v>-1.0696743192738833E-2</v>
      </c>
      <c r="M108"/>
      <c r="O108"/>
    </row>
    <row r="109" spans="1:15">
      <c r="A109" t="s">
        <v>1344</v>
      </c>
      <c r="B109" t="s">
        <v>496</v>
      </c>
      <c r="C109" t="s">
        <v>497</v>
      </c>
      <c r="D109" s="19">
        <v>798</v>
      </c>
      <c r="E109" s="19">
        <f t="shared" si="4"/>
        <v>28.5</v>
      </c>
      <c r="F109">
        <v>2039.44</v>
      </c>
      <c r="I109" s="168">
        <f t="shared" si="5"/>
        <v>1596</v>
      </c>
      <c r="J109" t="b">
        <f t="shared" si="6"/>
        <v>0</v>
      </c>
      <c r="K109" s="4">
        <f t="shared" si="7"/>
        <v>0.27784461152882201</v>
      </c>
      <c r="L109" t="s">
        <v>837</v>
      </c>
      <c r="M109" s="171">
        <f>(F109/28)/E109</f>
        <v>2.5556892230576445</v>
      </c>
      <c r="N109" t="s">
        <v>1354</v>
      </c>
      <c r="O109" s="178" t="s">
        <v>1355</v>
      </c>
    </row>
    <row r="110" spans="1:15" hidden="1">
      <c r="A110" t="s">
        <v>1344</v>
      </c>
      <c r="B110" t="s">
        <v>298</v>
      </c>
      <c r="C110" t="s">
        <v>299</v>
      </c>
      <c r="D110" s="19">
        <v>2132</v>
      </c>
      <c r="E110" s="19">
        <f t="shared" si="4"/>
        <v>76.142857142857139</v>
      </c>
      <c r="F110">
        <v>3420.09</v>
      </c>
      <c r="I110" s="19">
        <f t="shared" si="5"/>
        <v>4264</v>
      </c>
      <c r="J110" t="b">
        <f t="shared" si="6"/>
        <v>1</v>
      </c>
      <c r="K110" s="4">
        <f t="shared" si="7"/>
        <v>-0.19791510318949335</v>
      </c>
      <c r="M110"/>
      <c r="O110"/>
    </row>
    <row r="111" spans="1:15" hidden="1">
      <c r="A111" t="s">
        <v>1344</v>
      </c>
      <c r="B111" t="s">
        <v>305</v>
      </c>
      <c r="C111" t="s">
        <v>306</v>
      </c>
      <c r="D111" s="19">
        <v>1725</v>
      </c>
      <c r="E111" s="19">
        <f t="shared" si="4"/>
        <v>61.607142857142854</v>
      </c>
      <c r="F111">
        <v>2721.2300000000005</v>
      </c>
      <c r="I111" s="19">
        <f t="shared" si="5"/>
        <v>3450</v>
      </c>
      <c r="J111" t="b">
        <f t="shared" si="6"/>
        <v>1</v>
      </c>
      <c r="K111" s="4">
        <f t="shared" si="7"/>
        <v>-0.2112376811594201</v>
      </c>
      <c r="M111"/>
      <c r="O111"/>
    </row>
    <row r="112" spans="1:15" hidden="1">
      <c r="A112" t="s">
        <v>1346</v>
      </c>
      <c r="B112" t="s">
        <v>1158</v>
      </c>
      <c r="C112" t="s">
        <v>596</v>
      </c>
      <c r="D112" s="19">
        <v>1318</v>
      </c>
      <c r="E112" s="19">
        <f t="shared" si="4"/>
        <v>47.071428571428569</v>
      </c>
      <c r="F112">
        <v>1783.5100000000002</v>
      </c>
      <c r="I112" s="19">
        <f t="shared" si="5"/>
        <v>2636</v>
      </c>
      <c r="J112" t="b">
        <f t="shared" si="6"/>
        <v>1</v>
      </c>
      <c r="K112" s="4">
        <f t="shared" si="7"/>
        <v>-0.32340288315629728</v>
      </c>
      <c r="M112"/>
      <c r="O112"/>
    </row>
    <row r="113" spans="1:11" customFormat="1" hidden="1">
      <c r="A113" t="s">
        <v>1345</v>
      </c>
      <c r="B113" t="s">
        <v>934</v>
      </c>
      <c r="C113" t="s">
        <v>446</v>
      </c>
      <c r="D113" s="19">
        <v>1821</v>
      </c>
      <c r="E113" s="19">
        <f t="shared" si="4"/>
        <v>65.035714285714292</v>
      </c>
      <c r="F113">
        <v>1609.6000000000001</v>
      </c>
      <c r="I113" s="19">
        <f t="shared" si="5"/>
        <v>3642</v>
      </c>
      <c r="J113" t="b">
        <f t="shared" si="6"/>
        <v>1</v>
      </c>
      <c r="K113" s="4">
        <f t="shared" si="7"/>
        <v>-0.55804503020318497</v>
      </c>
    </row>
    <row r="114" spans="1:11" customFormat="1" hidden="1">
      <c r="A114" t="s">
        <v>1344</v>
      </c>
      <c r="B114" t="s">
        <v>268</v>
      </c>
      <c r="C114" t="s">
        <v>269</v>
      </c>
      <c r="D114" s="19">
        <v>1189</v>
      </c>
      <c r="E114" s="19">
        <f t="shared" si="4"/>
        <v>42.464285714285715</v>
      </c>
      <c r="F114">
        <v>2759.3999999999996</v>
      </c>
      <c r="I114" s="19">
        <f t="shared" si="5"/>
        <v>2378</v>
      </c>
      <c r="J114" t="b">
        <f t="shared" si="6"/>
        <v>1</v>
      </c>
      <c r="K114" s="4">
        <f t="shared" si="7"/>
        <v>0.16038687973086607</v>
      </c>
    </row>
    <row r="115" spans="1:11" customFormat="1" hidden="1">
      <c r="A115" t="s">
        <v>1344</v>
      </c>
      <c r="B115" t="s">
        <v>115</v>
      </c>
      <c r="C115" t="s">
        <v>116</v>
      </c>
      <c r="D115" s="19">
        <v>2424</v>
      </c>
      <c r="E115" s="19">
        <f t="shared" si="4"/>
        <v>86.571428571428569</v>
      </c>
      <c r="F115">
        <v>5246.1900000000005</v>
      </c>
      <c r="I115" s="19">
        <f t="shared" si="5"/>
        <v>4848</v>
      </c>
      <c r="J115" t="b">
        <f t="shared" si="6"/>
        <v>1</v>
      </c>
      <c r="K115" s="4">
        <f t="shared" si="7"/>
        <v>8.2134900990099124E-2</v>
      </c>
    </row>
    <row r="116" spans="1:11" customFormat="1" hidden="1">
      <c r="A116" t="s">
        <v>1345</v>
      </c>
      <c r="B116" t="s">
        <v>902</v>
      </c>
      <c r="C116" t="s">
        <v>57</v>
      </c>
      <c r="D116" s="19">
        <v>2254</v>
      </c>
      <c r="E116" s="19">
        <f t="shared" si="4"/>
        <v>80.5</v>
      </c>
      <c r="F116">
        <v>5031.0599999999995</v>
      </c>
      <c r="I116" s="19">
        <f t="shared" si="5"/>
        <v>4508</v>
      </c>
      <c r="J116" t="b">
        <f t="shared" si="6"/>
        <v>1</v>
      </c>
      <c r="K116" s="4">
        <f t="shared" si="7"/>
        <v>0.11602928127772838</v>
      </c>
    </row>
    <row r="117" spans="1:11" customFormat="1" hidden="1">
      <c r="A117" t="s">
        <v>1346</v>
      </c>
      <c r="B117" t="s">
        <v>1083</v>
      </c>
      <c r="C117" t="s">
        <v>641</v>
      </c>
      <c r="D117" s="19">
        <v>998</v>
      </c>
      <c r="E117" s="19">
        <f t="shared" si="4"/>
        <v>35.642857142857146</v>
      </c>
      <c r="F117">
        <v>1658.82</v>
      </c>
      <c r="I117" s="19">
        <f t="shared" si="5"/>
        <v>1996</v>
      </c>
      <c r="J117" t="b">
        <f t="shared" si="6"/>
        <v>1</v>
      </c>
      <c r="K117" s="4">
        <f t="shared" si="7"/>
        <v>-0.16892785571142288</v>
      </c>
    </row>
    <row r="118" spans="1:11" customFormat="1" hidden="1">
      <c r="A118" t="s">
        <v>1344</v>
      </c>
      <c r="B118" t="s">
        <v>137</v>
      </c>
      <c r="C118" t="s">
        <v>138</v>
      </c>
      <c r="D118" s="19">
        <v>1859</v>
      </c>
      <c r="E118" s="19">
        <f t="shared" si="4"/>
        <v>66.392857142857139</v>
      </c>
      <c r="F118">
        <v>4284.91</v>
      </c>
      <c r="I118" s="19">
        <f t="shared" si="5"/>
        <v>3718</v>
      </c>
      <c r="J118" t="b">
        <f t="shared" si="6"/>
        <v>1</v>
      </c>
      <c r="K118" s="4">
        <f t="shared" si="7"/>
        <v>0.15247713824636899</v>
      </c>
    </row>
    <row r="119" spans="1:11" customFormat="1" hidden="1">
      <c r="A119" t="s">
        <v>1345</v>
      </c>
      <c r="B119" t="s">
        <v>943</v>
      </c>
      <c r="C119" t="s">
        <v>319</v>
      </c>
      <c r="D119" s="19">
        <v>1953</v>
      </c>
      <c r="E119" s="19">
        <f t="shared" si="4"/>
        <v>69.75</v>
      </c>
      <c r="F119">
        <v>3009.95</v>
      </c>
      <c r="I119" s="19">
        <f t="shared" si="5"/>
        <v>3906</v>
      </c>
      <c r="J119" t="b">
        <f t="shared" si="6"/>
        <v>1</v>
      </c>
      <c r="K119" s="4">
        <f t="shared" si="7"/>
        <v>-0.22940348182283676</v>
      </c>
    </row>
    <row r="120" spans="1:11" customFormat="1" hidden="1">
      <c r="A120" t="s">
        <v>1344</v>
      </c>
      <c r="B120" t="s">
        <v>374</v>
      </c>
      <c r="C120" t="s">
        <v>309</v>
      </c>
      <c r="D120" s="19">
        <v>1815</v>
      </c>
      <c r="E120" s="19">
        <f t="shared" si="4"/>
        <v>64.821428571428569</v>
      </c>
      <c r="F120">
        <v>2911.2400000000002</v>
      </c>
      <c r="I120" s="19">
        <f t="shared" si="5"/>
        <v>3630</v>
      </c>
      <c r="J120" t="b">
        <f t="shared" si="6"/>
        <v>1</v>
      </c>
      <c r="K120" s="4">
        <f t="shared" si="7"/>
        <v>-0.19800550964187325</v>
      </c>
    </row>
    <row r="121" spans="1:11" customFormat="1" hidden="1">
      <c r="A121" t="s">
        <v>1346</v>
      </c>
      <c r="B121" t="s">
        <v>1101</v>
      </c>
      <c r="C121" t="s">
        <v>233</v>
      </c>
      <c r="D121" s="19">
        <v>1725</v>
      </c>
      <c r="E121" s="19">
        <f t="shared" si="4"/>
        <v>61.607142857142854</v>
      </c>
      <c r="F121">
        <v>3299.27</v>
      </c>
      <c r="I121" s="19">
        <f t="shared" si="5"/>
        <v>3450</v>
      </c>
      <c r="J121" t="b">
        <f t="shared" si="6"/>
        <v>1</v>
      </c>
      <c r="K121" s="4">
        <f t="shared" si="7"/>
        <v>-4.3689855072463812E-2</v>
      </c>
    </row>
    <row r="122" spans="1:11" customFormat="1" hidden="1">
      <c r="A122" t="s">
        <v>1346</v>
      </c>
      <c r="B122" t="s">
        <v>1118</v>
      </c>
      <c r="C122" t="s">
        <v>386</v>
      </c>
      <c r="D122" s="19">
        <v>1612</v>
      </c>
      <c r="E122" s="19">
        <f t="shared" si="4"/>
        <v>57.571428571428569</v>
      </c>
      <c r="F122">
        <v>1515.79</v>
      </c>
      <c r="I122" s="19">
        <f t="shared" si="5"/>
        <v>3224</v>
      </c>
      <c r="J122" t="b">
        <f t="shared" si="6"/>
        <v>1</v>
      </c>
      <c r="K122" s="4">
        <f t="shared" si="7"/>
        <v>-0.52984181141439213</v>
      </c>
    </row>
    <row r="123" spans="1:11" customFormat="1" hidden="1">
      <c r="A123" t="s">
        <v>1344</v>
      </c>
      <c r="B123" t="s">
        <v>339</v>
      </c>
      <c r="C123" t="s">
        <v>232</v>
      </c>
      <c r="D123" s="19">
        <v>1616</v>
      </c>
      <c r="E123" s="19">
        <f t="shared" si="4"/>
        <v>57.714285714285715</v>
      </c>
      <c r="F123">
        <v>3254.54</v>
      </c>
      <c r="I123" s="19">
        <f t="shared" si="5"/>
        <v>3232</v>
      </c>
      <c r="J123" t="b">
        <f t="shared" si="6"/>
        <v>1</v>
      </c>
      <c r="K123" s="4">
        <f t="shared" si="7"/>
        <v>6.9740099009900636E-3</v>
      </c>
    </row>
    <row r="124" spans="1:11" customFormat="1" hidden="1">
      <c r="A124" t="s">
        <v>1344</v>
      </c>
      <c r="B124" t="s">
        <v>185</v>
      </c>
      <c r="C124" t="s">
        <v>163</v>
      </c>
      <c r="D124" s="19">
        <v>2321</v>
      </c>
      <c r="E124" s="19">
        <f t="shared" si="4"/>
        <v>82.892857142857139</v>
      </c>
      <c r="F124">
        <v>4724.3100000000004</v>
      </c>
      <c r="I124" s="19">
        <f t="shared" si="5"/>
        <v>4642</v>
      </c>
      <c r="J124" t="b">
        <f t="shared" si="6"/>
        <v>1</v>
      </c>
      <c r="K124" s="4">
        <f t="shared" si="7"/>
        <v>1.773158121499363E-2</v>
      </c>
    </row>
    <row r="125" spans="1:11" customFormat="1" hidden="1">
      <c r="A125" t="s">
        <v>1344</v>
      </c>
      <c r="B125" t="s">
        <v>259</v>
      </c>
      <c r="C125" t="s">
        <v>260</v>
      </c>
      <c r="D125" s="19">
        <v>2036</v>
      </c>
      <c r="E125" s="19">
        <f t="shared" si="4"/>
        <v>72.714285714285708</v>
      </c>
      <c r="F125">
        <v>2251.7999999999997</v>
      </c>
      <c r="I125" s="19">
        <f t="shared" si="5"/>
        <v>4072</v>
      </c>
      <c r="J125" t="b">
        <f t="shared" si="6"/>
        <v>1</v>
      </c>
      <c r="K125" s="4">
        <f t="shared" si="7"/>
        <v>-0.44700392927308452</v>
      </c>
    </row>
    <row r="126" spans="1:11" customFormat="1" hidden="1">
      <c r="A126" t="s">
        <v>1344</v>
      </c>
      <c r="B126" t="s">
        <v>127</v>
      </c>
      <c r="C126" t="s">
        <v>128</v>
      </c>
      <c r="D126" s="19">
        <v>5683</v>
      </c>
      <c r="E126" s="19">
        <f t="shared" si="4"/>
        <v>202.96428571428572</v>
      </c>
      <c r="F126">
        <v>4469.12</v>
      </c>
      <c r="I126" s="19">
        <f t="shared" si="5"/>
        <v>11366</v>
      </c>
      <c r="J126" t="b">
        <f t="shared" si="6"/>
        <v>1</v>
      </c>
      <c r="K126" s="4">
        <f t="shared" si="7"/>
        <v>-0.60679922576104173</v>
      </c>
    </row>
    <row r="127" spans="1:11" customFormat="1" hidden="1">
      <c r="A127" t="s">
        <v>1346</v>
      </c>
      <c r="B127" t="s">
        <v>1128</v>
      </c>
      <c r="C127" t="s">
        <v>749</v>
      </c>
      <c r="D127" s="19">
        <v>538</v>
      </c>
      <c r="E127" s="19">
        <f t="shared" si="4"/>
        <v>19.214285714285715</v>
      </c>
      <c r="F127">
        <v>1114.77</v>
      </c>
      <c r="I127" s="19">
        <f t="shared" si="5"/>
        <v>1076</v>
      </c>
      <c r="J127" t="b">
        <f t="shared" si="6"/>
        <v>1</v>
      </c>
      <c r="K127" s="4">
        <f>F127/I127-1</f>
        <v>3.6031598513011076E-2</v>
      </c>
    </row>
    <row r="128" spans="1:11" customFormat="1" hidden="1">
      <c r="A128" t="s">
        <v>1344</v>
      </c>
      <c r="B128" t="s">
        <v>420</v>
      </c>
      <c r="C128" t="s">
        <v>421</v>
      </c>
      <c r="D128" s="19">
        <v>1249</v>
      </c>
      <c r="E128" s="19">
        <f t="shared" si="4"/>
        <v>44.607142857142854</v>
      </c>
      <c r="F128">
        <v>2309.84</v>
      </c>
      <c r="I128" s="19">
        <f t="shared" si="5"/>
        <v>2498</v>
      </c>
      <c r="J128" t="b">
        <f t="shared" si="6"/>
        <v>1</v>
      </c>
      <c r="K128" s="4">
        <f t="shared" si="7"/>
        <v>-7.5324259407525962E-2</v>
      </c>
    </row>
    <row r="129" spans="1:11" customFormat="1" hidden="1">
      <c r="A129" t="s">
        <v>1344</v>
      </c>
      <c r="B129" t="s">
        <v>463</v>
      </c>
      <c r="C129" t="s">
        <v>247</v>
      </c>
      <c r="D129" s="19">
        <v>1737</v>
      </c>
      <c r="E129" s="19">
        <f t="shared" ref="E129:E191" si="8">D129/28</f>
        <v>62.035714285714285</v>
      </c>
      <c r="F129">
        <v>3907.86</v>
      </c>
      <c r="I129" s="19">
        <f t="shared" ref="I129:I191" si="9">IF((D129/28)&gt;100,D129*2,D129*2)</f>
        <v>3474</v>
      </c>
      <c r="J129" t="b">
        <f t="shared" ref="J129:J191" si="10">IF(F129&gt;1.2*I129,FALSE,TRUE)</f>
        <v>1</v>
      </c>
      <c r="K129" s="4">
        <f t="shared" ref="K129:K191" si="11">F129/I129-1</f>
        <v>0.1248877374784112</v>
      </c>
    </row>
    <row r="130" spans="1:11" customFormat="1" hidden="1">
      <c r="A130" t="s">
        <v>1345</v>
      </c>
      <c r="B130" t="s">
        <v>986</v>
      </c>
      <c r="C130" t="s">
        <v>354</v>
      </c>
      <c r="D130" s="19">
        <v>1421</v>
      </c>
      <c r="E130" s="19">
        <f t="shared" si="8"/>
        <v>50.75</v>
      </c>
      <c r="F130">
        <v>356.72</v>
      </c>
      <c r="I130" s="19">
        <f t="shared" si="9"/>
        <v>2842</v>
      </c>
      <c r="J130" t="b">
        <f t="shared" si="10"/>
        <v>1</v>
      </c>
      <c r="K130" s="4">
        <f t="shared" si="11"/>
        <v>-0.87448275862068958</v>
      </c>
    </row>
    <row r="131" spans="1:11" customFormat="1" hidden="1">
      <c r="A131" t="s">
        <v>1345</v>
      </c>
      <c r="B131" t="s">
        <v>885</v>
      </c>
      <c r="C131" t="s">
        <v>99</v>
      </c>
      <c r="D131" s="19">
        <v>3028</v>
      </c>
      <c r="E131" s="19">
        <f t="shared" si="8"/>
        <v>108.14285714285714</v>
      </c>
      <c r="F131">
        <v>6231.07</v>
      </c>
      <c r="I131" s="19">
        <f t="shared" si="9"/>
        <v>6056</v>
      </c>
      <c r="J131" t="b">
        <f t="shared" si="10"/>
        <v>1</v>
      </c>
      <c r="K131" s="4">
        <f t="shared" si="11"/>
        <v>2.8908520475561472E-2</v>
      </c>
    </row>
    <row r="132" spans="1:11" customFormat="1" hidden="1">
      <c r="A132" t="s">
        <v>1344</v>
      </c>
      <c r="B132" t="s">
        <v>401</v>
      </c>
      <c r="C132" t="s">
        <v>402</v>
      </c>
      <c r="D132" s="19">
        <v>1</v>
      </c>
      <c r="E132" s="19">
        <f t="shared" si="8"/>
        <v>3.5714285714285712E-2</v>
      </c>
      <c r="F132">
        <v>0</v>
      </c>
      <c r="I132" s="19">
        <f t="shared" si="9"/>
        <v>2</v>
      </c>
      <c r="J132" t="b">
        <f t="shared" si="10"/>
        <v>1</v>
      </c>
      <c r="K132" s="4">
        <f t="shared" si="11"/>
        <v>-1</v>
      </c>
    </row>
    <row r="133" spans="1:11" customFormat="1" hidden="1">
      <c r="A133" t="s">
        <v>1346</v>
      </c>
      <c r="B133" t="s">
        <v>1186</v>
      </c>
      <c r="C133" t="s">
        <v>169</v>
      </c>
      <c r="D133" s="19">
        <v>3487</v>
      </c>
      <c r="E133" s="19">
        <f t="shared" si="8"/>
        <v>124.53571428571429</v>
      </c>
      <c r="F133">
        <v>2854.99</v>
      </c>
      <c r="I133" s="19">
        <f t="shared" si="9"/>
        <v>6974</v>
      </c>
      <c r="J133" t="b">
        <f t="shared" si="10"/>
        <v>1</v>
      </c>
      <c r="K133" s="4">
        <f t="shared" si="11"/>
        <v>-0.59062374533983375</v>
      </c>
    </row>
    <row r="134" spans="1:11" customFormat="1" hidden="1">
      <c r="A134" t="s">
        <v>1344</v>
      </c>
      <c r="B134" t="s">
        <v>355</v>
      </c>
      <c r="C134" t="s">
        <v>356</v>
      </c>
      <c r="D134" s="19">
        <v>1588</v>
      </c>
      <c r="E134" s="19">
        <f t="shared" si="8"/>
        <v>56.714285714285715</v>
      </c>
      <c r="F134">
        <v>1880.76</v>
      </c>
      <c r="I134" s="19">
        <f t="shared" si="9"/>
        <v>3176</v>
      </c>
      <c r="J134" t="b">
        <f t="shared" si="10"/>
        <v>1</v>
      </c>
      <c r="K134" s="4">
        <f t="shared" si="11"/>
        <v>-0.40782115869017632</v>
      </c>
    </row>
    <row r="135" spans="1:11" customFormat="1" hidden="1">
      <c r="A135" t="s">
        <v>1346</v>
      </c>
      <c r="B135" t="s">
        <v>1148</v>
      </c>
      <c r="C135" t="s">
        <v>699</v>
      </c>
      <c r="D135" s="19">
        <v>1007</v>
      </c>
      <c r="E135" s="19">
        <f t="shared" si="8"/>
        <v>35.964285714285715</v>
      </c>
      <c r="F135">
        <v>1021.48</v>
      </c>
      <c r="I135" s="19">
        <f t="shared" si="9"/>
        <v>2014</v>
      </c>
      <c r="J135" t="b">
        <f t="shared" si="10"/>
        <v>1</v>
      </c>
      <c r="K135" s="4">
        <f t="shared" si="11"/>
        <v>-0.49281032770605759</v>
      </c>
    </row>
    <row r="136" spans="1:11" customFormat="1" hidden="1">
      <c r="A136" t="s">
        <v>1346</v>
      </c>
      <c r="B136" t="s">
        <v>1108</v>
      </c>
      <c r="C136" t="s">
        <v>405</v>
      </c>
      <c r="D136" s="19">
        <v>1486</v>
      </c>
      <c r="E136" s="19">
        <f t="shared" si="8"/>
        <v>53.071428571428569</v>
      </c>
      <c r="F136">
        <v>1299.4100000000001</v>
      </c>
      <c r="I136" s="19">
        <f t="shared" si="9"/>
        <v>2972</v>
      </c>
      <c r="J136" t="b">
        <f t="shared" si="10"/>
        <v>1</v>
      </c>
      <c r="K136" s="4">
        <f t="shared" si="11"/>
        <v>-0.56278263795423955</v>
      </c>
    </row>
    <row r="137" spans="1:11" customFormat="1" hidden="1">
      <c r="A137" t="s">
        <v>1344</v>
      </c>
      <c r="B137" t="s">
        <v>246</v>
      </c>
      <c r="C137" t="s">
        <v>200</v>
      </c>
      <c r="D137" s="19">
        <v>1455</v>
      </c>
      <c r="E137" s="19">
        <f t="shared" si="8"/>
        <v>51.964285714285715</v>
      </c>
      <c r="F137">
        <v>2209.62</v>
      </c>
      <c r="I137" s="19">
        <f t="shared" si="9"/>
        <v>2910</v>
      </c>
      <c r="J137" t="b">
        <f t="shared" si="10"/>
        <v>1</v>
      </c>
      <c r="K137" s="4">
        <f t="shared" si="11"/>
        <v>-0.24068041237113402</v>
      </c>
    </row>
    <row r="138" spans="1:11" customFormat="1" hidden="1">
      <c r="A138" t="s">
        <v>1344</v>
      </c>
      <c r="B138" t="s">
        <v>141</v>
      </c>
      <c r="C138" t="s">
        <v>142</v>
      </c>
      <c r="D138" s="19">
        <v>1844</v>
      </c>
      <c r="E138" s="19">
        <f t="shared" si="8"/>
        <v>65.857142857142861</v>
      </c>
      <c r="F138">
        <v>3843.4900000000002</v>
      </c>
      <c r="I138" s="19">
        <f t="shared" si="9"/>
        <v>3688</v>
      </c>
      <c r="J138" t="b">
        <f t="shared" si="10"/>
        <v>1</v>
      </c>
      <c r="K138" s="4">
        <f t="shared" si="11"/>
        <v>4.2161062906724611E-2</v>
      </c>
    </row>
    <row r="139" spans="1:11" customFormat="1" hidden="1">
      <c r="A139" t="s">
        <v>1346</v>
      </c>
      <c r="B139" t="s">
        <v>1077</v>
      </c>
      <c r="C139" t="s">
        <v>513</v>
      </c>
      <c r="D139" s="19">
        <v>1385</v>
      </c>
      <c r="E139" s="19">
        <f t="shared" si="8"/>
        <v>49.464285714285715</v>
      </c>
      <c r="F139">
        <v>2022.5600000000002</v>
      </c>
      <c r="I139" s="19">
        <f t="shared" si="9"/>
        <v>2770</v>
      </c>
      <c r="J139" t="b">
        <f t="shared" si="10"/>
        <v>1</v>
      </c>
      <c r="K139" s="4">
        <f t="shared" si="11"/>
        <v>-0.26983393501805053</v>
      </c>
    </row>
    <row r="140" spans="1:11" customFormat="1" hidden="1">
      <c r="A140" t="s">
        <v>1344</v>
      </c>
      <c r="B140" t="s">
        <v>262</v>
      </c>
      <c r="C140" t="s">
        <v>263</v>
      </c>
      <c r="D140" s="19">
        <v>1242</v>
      </c>
      <c r="E140" s="19">
        <f t="shared" si="8"/>
        <v>44.357142857142854</v>
      </c>
      <c r="F140">
        <v>1735.1899999999998</v>
      </c>
      <c r="I140" s="19">
        <f t="shared" si="9"/>
        <v>2484</v>
      </c>
      <c r="J140" t="b">
        <f t="shared" si="10"/>
        <v>1</v>
      </c>
      <c r="K140" s="4">
        <f t="shared" si="11"/>
        <v>-0.30145330112721425</v>
      </c>
    </row>
    <row r="141" spans="1:11" customFormat="1" hidden="1">
      <c r="A141" t="s">
        <v>1344</v>
      </c>
      <c r="B141" t="s">
        <v>628</v>
      </c>
      <c r="C141" t="s">
        <v>582</v>
      </c>
      <c r="D141" s="19">
        <v>1974</v>
      </c>
      <c r="E141" s="19">
        <f t="shared" si="8"/>
        <v>70.5</v>
      </c>
      <c r="F141">
        <v>1668.49</v>
      </c>
      <c r="I141" s="19">
        <f t="shared" si="9"/>
        <v>3948</v>
      </c>
      <c r="J141" t="b">
        <f t="shared" si="10"/>
        <v>1</v>
      </c>
      <c r="K141" s="4">
        <f t="shared" si="11"/>
        <v>-0.57738348530901717</v>
      </c>
    </row>
    <row r="142" spans="1:11" customFormat="1" hidden="1">
      <c r="A142" t="s">
        <v>1346</v>
      </c>
      <c r="B142" t="s">
        <v>1107</v>
      </c>
      <c r="C142" t="s">
        <v>452</v>
      </c>
      <c r="D142" s="19">
        <v>1317</v>
      </c>
      <c r="E142" s="19">
        <f t="shared" si="8"/>
        <v>47.035714285714285</v>
      </c>
      <c r="F142">
        <v>1551.3000000000002</v>
      </c>
      <c r="I142" s="19">
        <f t="shared" si="9"/>
        <v>2634</v>
      </c>
      <c r="J142" t="b">
        <f t="shared" si="10"/>
        <v>1</v>
      </c>
      <c r="K142" s="4">
        <f t="shared" si="11"/>
        <v>-0.41104783599088834</v>
      </c>
    </row>
    <row r="143" spans="1:11" customFormat="1" hidden="1">
      <c r="A143" t="s">
        <v>1345</v>
      </c>
      <c r="B143" t="s">
        <v>898</v>
      </c>
      <c r="C143" t="s">
        <v>810</v>
      </c>
      <c r="D143" s="19">
        <v>2221</v>
      </c>
      <c r="E143" s="19">
        <f t="shared" si="8"/>
        <v>79.321428571428569</v>
      </c>
      <c r="F143">
        <v>3069.93</v>
      </c>
      <c r="I143" s="19">
        <f t="shared" si="9"/>
        <v>4442</v>
      </c>
      <c r="J143" t="b">
        <f t="shared" si="10"/>
        <v>1</v>
      </c>
      <c r="K143" s="4">
        <f t="shared" si="11"/>
        <v>-0.30888563710040529</v>
      </c>
    </row>
    <row r="144" spans="1:11" customFormat="1" hidden="1">
      <c r="A144" t="s">
        <v>1345</v>
      </c>
      <c r="B144" t="s">
        <v>980</v>
      </c>
      <c r="C144" t="s">
        <v>210</v>
      </c>
      <c r="D144" s="19">
        <v>2686</v>
      </c>
      <c r="E144" s="19">
        <f t="shared" si="8"/>
        <v>95.928571428571431</v>
      </c>
      <c r="F144">
        <v>2575.0500000000002</v>
      </c>
      <c r="I144" s="19">
        <f t="shared" si="9"/>
        <v>5372</v>
      </c>
      <c r="J144" t="b">
        <f t="shared" si="10"/>
        <v>1</v>
      </c>
      <c r="K144" s="4">
        <f t="shared" si="11"/>
        <v>-0.52065338793745342</v>
      </c>
    </row>
    <row r="145" spans="1:15" hidden="1">
      <c r="A145" t="s">
        <v>1344</v>
      </c>
      <c r="B145" t="s">
        <v>164</v>
      </c>
      <c r="C145" t="s">
        <v>165</v>
      </c>
      <c r="D145" s="19">
        <v>1897</v>
      </c>
      <c r="E145" s="19">
        <f t="shared" si="8"/>
        <v>67.75</v>
      </c>
      <c r="F145">
        <v>3637.3900000000003</v>
      </c>
      <c r="I145" s="19">
        <f t="shared" si="9"/>
        <v>3794</v>
      </c>
      <c r="J145" t="b">
        <f t="shared" si="10"/>
        <v>1</v>
      </c>
      <c r="K145" s="4">
        <f t="shared" si="11"/>
        <v>-4.1278334211913514E-2</v>
      </c>
      <c r="M145"/>
      <c r="O145"/>
    </row>
    <row r="146" spans="1:15" hidden="1">
      <c r="A146" t="s">
        <v>1344</v>
      </c>
      <c r="B146" t="s">
        <v>29</v>
      </c>
      <c r="C146" t="s">
        <v>30</v>
      </c>
      <c r="D146" s="19">
        <v>4828</v>
      </c>
      <c r="E146" s="19">
        <f t="shared" si="8"/>
        <v>172.42857142857142</v>
      </c>
      <c r="F146">
        <v>11487.09</v>
      </c>
      <c r="I146" s="19">
        <f t="shared" si="9"/>
        <v>9656</v>
      </c>
      <c r="J146" t="b">
        <f t="shared" si="10"/>
        <v>1</v>
      </c>
      <c r="K146" s="4">
        <f t="shared" si="11"/>
        <v>0.18963235294117653</v>
      </c>
      <c r="M146"/>
      <c r="O146"/>
    </row>
    <row r="147" spans="1:15" hidden="1">
      <c r="A147" t="s">
        <v>1345</v>
      </c>
      <c r="B147" t="s">
        <v>868</v>
      </c>
      <c r="C147" t="s">
        <v>338</v>
      </c>
      <c r="D147" s="19">
        <v>1815</v>
      </c>
      <c r="E147" s="19">
        <f t="shared" si="8"/>
        <v>64.821428571428569</v>
      </c>
      <c r="F147">
        <v>4021.58</v>
      </c>
      <c r="I147" s="19">
        <f t="shared" si="9"/>
        <v>3630</v>
      </c>
      <c r="J147" t="b">
        <f t="shared" si="10"/>
        <v>1</v>
      </c>
      <c r="K147" s="4">
        <f t="shared" si="11"/>
        <v>0.1078732782369145</v>
      </c>
      <c r="M147"/>
      <c r="O147"/>
    </row>
    <row r="148" spans="1:15" hidden="1">
      <c r="A148" t="s">
        <v>1346</v>
      </c>
      <c r="B148" t="s">
        <v>1106</v>
      </c>
      <c r="C148" t="s">
        <v>829</v>
      </c>
      <c r="D148" s="19">
        <v>1319</v>
      </c>
      <c r="E148" s="19">
        <f t="shared" si="8"/>
        <v>47.107142857142854</v>
      </c>
      <c r="F148">
        <v>900.66</v>
      </c>
      <c r="I148" s="19">
        <f t="shared" si="9"/>
        <v>2638</v>
      </c>
      <c r="J148" t="b">
        <f t="shared" si="10"/>
        <v>1</v>
      </c>
      <c r="K148" s="4">
        <f t="shared" si="11"/>
        <v>-0.65858225928733893</v>
      </c>
      <c r="M148"/>
      <c r="O148"/>
    </row>
    <row r="149" spans="1:15" hidden="1">
      <c r="A149" t="s">
        <v>1344</v>
      </c>
      <c r="B149" t="s">
        <v>320</v>
      </c>
      <c r="C149" t="s">
        <v>321</v>
      </c>
      <c r="D149" s="19">
        <v>1309</v>
      </c>
      <c r="E149" s="19">
        <f t="shared" si="8"/>
        <v>46.75</v>
      </c>
      <c r="F149">
        <v>2578.4500000000003</v>
      </c>
      <c r="I149" s="19">
        <f t="shared" si="9"/>
        <v>2618</v>
      </c>
      <c r="J149" t="b">
        <f t="shared" si="10"/>
        <v>1</v>
      </c>
      <c r="K149" s="4">
        <f t="shared" si="11"/>
        <v>-1.510695187165767E-2</v>
      </c>
      <c r="M149"/>
      <c r="O149"/>
    </row>
    <row r="150" spans="1:15" hidden="1">
      <c r="A150" t="s">
        <v>1344</v>
      </c>
      <c r="B150" t="s">
        <v>160</v>
      </c>
      <c r="C150" t="s">
        <v>161</v>
      </c>
      <c r="D150" s="19">
        <v>1033</v>
      </c>
      <c r="E150" s="19">
        <f t="shared" si="8"/>
        <v>36.892857142857146</v>
      </c>
      <c r="F150">
        <v>1335.32</v>
      </c>
      <c r="I150" s="19">
        <f t="shared" si="9"/>
        <v>2066</v>
      </c>
      <c r="J150" t="b">
        <f t="shared" si="10"/>
        <v>1</v>
      </c>
      <c r="K150" s="4">
        <f t="shared" si="11"/>
        <v>-0.35366892545982576</v>
      </c>
      <c r="M150"/>
      <c r="O150"/>
    </row>
    <row r="151" spans="1:15" hidden="1">
      <c r="A151" t="s">
        <v>1344</v>
      </c>
      <c r="B151" t="s">
        <v>293</v>
      </c>
      <c r="C151" t="s">
        <v>294</v>
      </c>
      <c r="D151" s="19">
        <v>1230</v>
      </c>
      <c r="E151" s="19">
        <f t="shared" si="8"/>
        <v>43.928571428571431</v>
      </c>
      <c r="F151">
        <v>2034.1599999999999</v>
      </c>
      <c r="I151" s="19">
        <f t="shared" si="9"/>
        <v>2460</v>
      </c>
      <c r="J151" t="b">
        <f t="shared" si="10"/>
        <v>1</v>
      </c>
      <c r="K151" s="4">
        <f t="shared" si="11"/>
        <v>-0.17310569105691065</v>
      </c>
      <c r="M151"/>
      <c r="O151"/>
    </row>
    <row r="152" spans="1:15" hidden="1">
      <c r="A152" t="s">
        <v>1344</v>
      </c>
      <c r="B152" t="s">
        <v>614</v>
      </c>
      <c r="C152" t="s">
        <v>615</v>
      </c>
      <c r="D152" s="19">
        <v>1373</v>
      </c>
      <c r="E152" s="19">
        <f t="shared" si="8"/>
        <v>49.035714285714285</v>
      </c>
      <c r="F152">
        <v>1137.18</v>
      </c>
      <c r="I152" s="19">
        <f t="shared" si="9"/>
        <v>2746</v>
      </c>
      <c r="J152" t="b">
        <f t="shared" si="10"/>
        <v>1</v>
      </c>
      <c r="K152" s="4">
        <f t="shared" si="11"/>
        <v>-0.58587764020393296</v>
      </c>
      <c r="M152"/>
      <c r="O152"/>
    </row>
    <row r="153" spans="1:15" hidden="1">
      <c r="A153" t="s">
        <v>1345</v>
      </c>
      <c r="B153" t="s">
        <v>900</v>
      </c>
      <c r="C153" t="s">
        <v>709</v>
      </c>
      <c r="D153" s="19">
        <v>866</v>
      </c>
      <c r="E153" s="19">
        <f t="shared" si="8"/>
        <v>30.928571428571427</v>
      </c>
      <c r="F153">
        <v>1548.21</v>
      </c>
      <c r="I153" s="19">
        <f t="shared" si="9"/>
        <v>1732</v>
      </c>
      <c r="J153" t="b">
        <f t="shared" si="10"/>
        <v>1</v>
      </c>
      <c r="K153" s="4">
        <f t="shared" si="11"/>
        <v>-0.10611431870669741</v>
      </c>
      <c r="M153"/>
      <c r="O153"/>
    </row>
    <row r="154" spans="1:15" hidden="1">
      <c r="A154" t="s">
        <v>1346</v>
      </c>
      <c r="B154" t="s">
        <v>1073</v>
      </c>
      <c r="C154" t="s">
        <v>229</v>
      </c>
      <c r="D154" s="19">
        <v>1661</v>
      </c>
      <c r="E154" s="19">
        <f t="shared" si="8"/>
        <v>59.321428571428569</v>
      </c>
      <c r="F154">
        <v>3716.09</v>
      </c>
      <c r="I154" s="19">
        <f t="shared" si="9"/>
        <v>3322</v>
      </c>
      <c r="J154" t="b">
        <f t="shared" si="10"/>
        <v>1</v>
      </c>
      <c r="K154" s="4">
        <f t="shared" si="11"/>
        <v>0.11863034316676702</v>
      </c>
      <c r="M154"/>
      <c r="O154"/>
    </row>
    <row r="155" spans="1:15" hidden="1">
      <c r="A155" t="s">
        <v>1344</v>
      </c>
      <c r="B155" t="s">
        <v>629</v>
      </c>
      <c r="C155" t="s">
        <v>630</v>
      </c>
      <c r="D155" s="19">
        <v>1314</v>
      </c>
      <c r="E155" s="19">
        <f t="shared" si="8"/>
        <v>46.928571428571431</v>
      </c>
      <c r="F155">
        <v>1810.99</v>
      </c>
      <c r="I155" s="19">
        <f t="shared" si="9"/>
        <v>2628</v>
      </c>
      <c r="J155" t="b">
        <f t="shared" si="10"/>
        <v>1</v>
      </c>
      <c r="K155" s="4">
        <f t="shared" si="11"/>
        <v>-0.31088660578386607</v>
      </c>
      <c r="M155"/>
      <c r="O155"/>
    </row>
    <row r="156" spans="1:15" hidden="1">
      <c r="A156" t="s">
        <v>1346</v>
      </c>
      <c r="B156" t="s">
        <v>1187</v>
      </c>
      <c r="C156" t="s">
        <v>324</v>
      </c>
      <c r="D156" s="19">
        <v>3422</v>
      </c>
      <c r="E156" s="19">
        <f t="shared" si="8"/>
        <v>122.21428571428571</v>
      </c>
      <c r="F156">
        <v>6108.6200000000008</v>
      </c>
      <c r="I156" s="19">
        <f t="shared" si="9"/>
        <v>6844</v>
      </c>
      <c r="J156" t="b">
        <f t="shared" si="10"/>
        <v>1</v>
      </c>
      <c r="K156" s="4">
        <f t="shared" si="11"/>
        <v>-0.10744886031560474</v>
      </c>
      <c r="M156"/>
      <c r="O156"/>
    </row>
    <row r="157" spans="1:15" hidden="1">
      <c r="A157" t="s">
        <v>1344</v>
      </c>
      <c r="B157" t="s">
        <v>553</v>
      </c>
      <c r="C157" t="s">
        <v>203</v>
      </c>
      <c r="D157" s="19">
        <v>2103</v>
      </c>
      <c r="E157" s="19">
        <f t="shared" si="8"/>
        <v>75.107142857142861</v>
      </c>
      <c r="F157">
        <v>2532.59</v>
      </c>
      <c r="I157" s="19">
        <f t="shared" si="9"/>
        <v>4206</v>
      </c>
      <c r="J157" t="b">
        <f t="shared" si="10"/>
        <v>1</v>
      </c>
      <c r="K157" s="4">
        <f t="shared" si="11"/>
        <v>-0.39786257727056584</v>
      </c>
      <c r="M157"/>
      <c r="O157"/>
    </row>
    <row r="158" spans="1:15" hidden="1">
      <c r="A158" t="s">
        <v>1345</v>
      </c>
      <c r="B158" t="s">
        <v>1008</v>
      </c>
      <c r="C158" t="s">
        <v>703</v>
      </c>
      <c r="D158" s="19">
        <v>857</v>
      </c>
      <c r="E158" s="19">
        <f t="shared" si="8"/>
        <v>30.607142857142858</v>
      </c>
      <c r="F158">
        <v>580.86</v>
      </c>
      <c r="I158" s="19">
        <f t="shared" si="9"/>
        <v>1714</v>
      </c>
      <c r="J158" t="b">
        <f t="shared" si="10"/>
        <v>1</v>
      </c>
      <c r="K158" s="4">
        <f t="shared" si="11"/>
        <v>-0.66110851808634774</v>
      </c>
      <c r="M158"/>
      <c r="O158"/>
    </row>
    <row r="159" spans="1:15">
      <c r="A159" t="s">
        <v>1345</v>
      </c>
      <c r="B159" t="s">
        <v>901</v>
      </c>
      <c r="C159" t="s">
        <v>678</v>
      </c>
      <c r="D159" s="19">
        <v>902</v>
      </c>
      <c r="E159" s="19">
        <f t="shared" si="8"/>
        <v>32.214285714285715</v>
      </c>
      <c r="F159">
        <v>2395.2600000000002</v>
      </c>
      <c r="I159" s="168">
        <f t="shared" si="9"/>
        <v>1804</v>
      </c>
      <c r="J159" t="b">
        <f t="shared" si="10"/>
        <v>0</v>
      </c>
      <c r="K159" s="4">
        <f t="shared" si="11"/>
        <v>0.32774944567627506</v>
      </c>
      <c r="L159" t="s">
        <v>837</v>
      </c>
      <c r="M159" s="171">
        <f>(F159/28)/E159</f>
        <v>2.6554988913525497</v>
      </c>
      <c r="N159" t="s">
        <v>1356</v>
      </c>
      <c r="O159" s="172" t="s">
        <v>1357</v>
      </c>
    </row>
    <row r="160" spans="1:15" hidden="1">
      <c r="A160" t="s">
        <v>1346</v>
      </c>
      <c r="B160" t="s">
        <v>1054</v>
      </c>
      <c r="C160" t="s">
        <v>223</v>
      </c>
      <c r="D160" s="19">
        <v>2083</v>
      </c>
      <c r="E160" s="19">
        <f t="shared" si="8"/>
        <v>74.392857142857139</v>
      </c>
      <c r="F160">
        <v>4044.5</v>
      </c>
      <c r="I160" s="19">
        <f t="shared" si="9"/>
        <v>4166</v>
      </c>
      <c r="J160" t="b">
        <f t="shared" si="10"/>
        <v>1</v>
      </c>
      <c r="K160" s="4">
        <f t="shared" si="11"/>
        <v>-2.9164666346615409E-2</v>
      </c>
      <c r="M160"/>
      <c r="O160"/>
    </row>
    <row r="161" spans="1:15" hidden="1">
      <c r="A161" t="s">
        <v>1346</v>
      </c>
      <c r="B161" t="s">
        <v>1146</v>
      </c>
      <c r="C161" t="s">
        <v>693</v>
      </c>
      <c r="D161" s="19">
        <v>1010</v>
      </c>
      <c r="E161" s="19">
        <f t="shared" si="8"/>
        <v>36.071428571428569</v>
      </c>
      <c r="F161">
        <v>463.54</v>
      </c>
      <c r="I161" s="19">
        <f t="shared" si="9"/>
        <v>2020</v>
      </c>
      <c r="J161" t="b">
        <f t="shared" si="10"/>
        <v>1</v>
      </c>
      <c r="K161" s="4">
        <f t="shared" si="11"/>
        <v>-0.77052475247524754</v>
      </c>
      <c r="M161"/>
      <c r="O161"/>
    </row>
    <row r="162" spans="1:15" hidden="1">
      <c r="A162" t="s">
        <v>1344</v>
      </c>
      <c r="B162" t="s">
        <v>404</v>
      </c>
      <c r="C162" t="s">
        <v>390</v>
      </c>
      <c r="D162" s="19">
        <v>1447</v>
      </c>
      <c r="E162" s="19">
        <f t="shared" si="8"/>
        <v>51.678571428571431</v>
      </c>
      <c r="F162">
        <v>2996.96</v>
      </c>
      <c r="I162" s="19">
        <f t="shared" si="9"/>
        <v>2894</v>
      </c>
      <c r="J162" t="b">
        <f t="shared" si="10"/>
        <v>1</v>
      </c>
      <c r="K162" s="4">
        <f t="shared" si="11"/>
        <v>3.5577055977885186E-2</v>
      </c>
      <c r="M162"/>
      <c r="O162"/>
    </row>
    <row r="163" spans="1:15">
      <c r="A163" t="s">
        <v>1345</v>
      </c>
      <c r="B163" s="21" t="s">
        <v>959</v>
      </c>
      <c r="C163" t="s">
        <v>695</v>
      </c>
      <c r="D163" s="19">
        <v>996</v>
      </c>
      <c r="E163" s="19">
        <f t="shared" si="8"/>
        <v>35.571428571428569</v>
      </c>
      <c r="F163">
        <v>2541.3500000000004</v>
      </c>
      <c r="I163" s="168">
        <f t="shared" si="9"/>
        <v>1992</v>
      </c>
      <c r="J163" t="b">
        <f t="shared" si="10"/>
        <v>0</v>
      </c>
      <c r="K163" s="4">
        <f t="shared" si="11"/>
        <v>0.27577811244979933</v>
      </c>
      <c r="L163" t="s">
        <v>837</v>
      </c>
      <c r="M163" s="171">
        <f>(F163/28)/E163</f>
        <v>2.5515562248995991</v>
      </c>
      <c r="N163" t="s">
        <v>1358</v>
      </c>
      <c r="O163" s="172" t="s">
        <v>1359</v>
      </c>
    </row>
    <row r="164" spans="1:15" hidden="1">
      <c r="A164" t="s">
        <v>1345</v>
      </c>
      <c r="B164" t="s">
        <v>924</v>
      </c>
      <c r="C164" t="s">
        <v>532</v>
      </c>
      <c r="D164" s="19">
        <v>1220</v>
      </c>
      <c r="E164" s="19">
        <f t="shared" si="8"/>
        <v>43.571428571428569</v>
      </c>
      <c r="F164">
        <v>1258.31</v>
      </c>
      <c r="I164" s="19">
        <f t="shared" si="9"/>
        <v>2440</v>
      </c>
      <c r="J164" t="b">
        <f t="shared" si="10"/>
        <v>1</v>
      </c>
      <c r="K164" s="4">
        <f t="shared" si="11"/>
        <v>-0.48429918032786889</v>
      </c>
      <c r="M164"/>
      <c r="O164"/>
    </row>
    <row r="165" spans="1:15">
      <c r="A165" t="s">
        <v>1346</v>
      </c>
      <c r="B165" t="s">
        <v>1066</v>
      </c>
      <c r="C165" t="s">
        <v>707</v>
      </c>
      <c r="D165" s="19">
        <v>925</v>
      </c>
      <c r="E165" s="19">
        <f t="shared" si="8"/>
        <v>33.035714285714285</v>
      </c>
      <c r="F165">
        <v>2241.63</v>
      </c>
      <c r="I165" s="168">
        <f t="shared" si="9"/>
        <v>1850</v>
      </c>
      <c r="J165" t="b">
        <f t="shared" si="10"/>
        <v>0</v>
      </c>
      <c r="K165" s="4">
        <f t="shared" si="11"/>
        <v>0.21169189189189197</v>
      </c>
      <c r="L165" t="s">
        <v>837</v>
      </c>
      <c r="M165" s="171">
        <f>(F165/28)/E165</f>
        <v>2.4233837837837839</v>
      </c>
      <c r="N165" t="s">
        <v>1067</v>
      </c>
      <c r="O165" s="172" t="s">
        <v>1360</v>
      </c>
    </row>
    <row r="166" spans="1:15">
      <c r="A166" t="s">
        <v>1344</v>
      </c>
      <c r="B166" t="s">
        <v>370</v>
      </c>
      <c r="C166" t="s">
        <v>371</v>
      </c>
      <c r="D166" s="19">
        <v>2</v>
      </c>
      <c r="E166" s="19">
        <f t="shared" si="8"/>
        <v>7.1428571428571425E-2</v>
      </c>
      <c r="F166">
        <v>20.57</v>
      </c>
      <c r="I166" s="168">
        <f t="shared" si="9"/>
        <v>4</v>
      </c>
      <c r="J166" t="b">
        <f t="shared" si="10"/>
        <v>0</v>
      </c>
      <c r="K166" s="4">
        <f t="shared" si="11"/>
        <v>4.1425000000000001</v>
      </c>
      <c r="L166" t="s">
        <v>837</v>
      </c>
      <c r="M166" s="171">
        <f>(F166/28)/E166</f>
        <v>10.285</v>
      </c>
      <c r="N166" t="s">
        <v>1361</v>
      </c>
    </row>
    <row r="167" spans="1:15" hidden="1">
      <c r="A167" t="s">
        <v>1344</v>
      </c>
      <c r="B167" t="s">
        <v>363</v>
      </c>
      <c r="C167" t="s">
        <v>207</v>
      </c>
      <c r="D167" s="19">
        <v>1790</v>
      </c>
      <c r="E167" s="19">
        <f>D167/28</f>
        <v>63.928571428571431</v>
      </c>
      <c r="F167">
        <v>2140.6999999999998</v>
      </c>
      <c r="I167" s="19">
        <f t="shared" si="9"/>
        <v>3580</v>
      </c>
      <c r="J167" t="b">
        <f t="shared" si="10"/>
        <v>1</v>
      </c>
      <c r="K167" s="4">
        <f t="shared" si="11"/>
        <v>-0.4020391061452514</v>
      </c>
      <c r="M167"/>
      <c r="O167"/>
    </row>
    <row r="168" spans="1:15" hidden="1">
      <c r="A168" t="s">
        <v>1346</v>
      </c>
      <c r="B168" t="s">
        <v>1164</v>
      </c>
      <c r="C168" t="s">
        <v>453</v>
      </c>
      <c r="D168" s="19">
        <v>1569</v>
      </c>
      <c r="E168" s="19">
        <f t="shared" si="8"/>
        <v>56.035714285714285</v>
      </c>
      <c r="F168">
        <v>2888</v>
      </c>
      <c r="I168" s="19">
        <f t="shared" si="9"/>
        <v>3138</v>
      </c>
      <c r="J168" t="b">
        <f t="shared" si="10"/>
        <v>1</v>
      </c>
      <c r="K168" s="4">
        <f t="shared" si="11"/>
        <v>-7.9668578712555727E-2</v>
      </c>
      <c r="M168"/>
      <c r="O168"/>
    </row>
    <row r="169" spans="1:15" hidden="1">
      <c r="A169" t="s">
        <v>1346</v>
      </c>
      <c r="B169" t="s">
        <v>1167</v>
      </c>
      <c r="C169" t="s">
        <v>255</v>
      </c>
      <c r="D169" s="19">
        <v>1614</v>
      </c>
      <c r="E169" s="19">
        <f t="shared" si="8"/>
        <v>57.642857142857146</v>
      </c>
      <c r="F169">
        <v>961.08</v>
      </c>
      <c r="I169" s="19">
        <f t="shared" si="9"/>
        <v>3228</v>
      </c>
      <c r="J169" t="b">
        <f t="shared" si="10"/>
        <v>1</v>
      </c>
      <c r="K169" s="4">
        <f t="shared" si="11"/>
        <v>-0.70226765799256508</v>
      </c>
      <c r="M169"/>
      <c r="O169"/>
    </row>
    <row r="170" spans="1:15">
      <c r="A170" t="s">
        <v>1346</v>
      </c>
      <c r="B170" t="s">
        <v>1086</v>
      </c>
      <c r="C170" t="s">
        <v>281</v>
      </c>
      <c r="D170" s="19">
        <v>976</v>
      </c>
      <c r="E170" s="19">
        <f t="shared" si="8"/>
        <v>34.857142857142854</v>
      </c>
      <c r="F170">
        <v>2943.9700000000003</v>
      </c>
      <c r="I170" s="168">
        <f t="shared" si="9"/>
        <v>1952</v>
      </c>
      <c r="J170" t="b">
        <f t="shared" si="10"/>
        <v>0</v>
      </c>
      <c r="K170" s="4">
        <f t="shared" si="11"/>
        <v>0.50818135245901663</v>
      </c>
      <c r="L170" t="s">
        <v>837</v>
      </c>
      <c r="M170" s="171">
        <f>(F170/28)/E170</f>
        <v>3.0163627049180333</v>
      </c>
      <c r="N170" t="s">
        <v>1362</v>
      </c>
      <c r="O170" s="175" t="s">
        <v>1363</v>
      </c>
    </row>
    <row r="171" spans="1:15" hidden="1">
      <c r="A171" t="s">
        <v>1344</v>
      </c>
      <c r="B171" t="s">
        <v>579</v>
      </c>
      <c r="C171" t="s">
        <v>580</v>
      </c>
      <c r="D171" s="19">
        <v>851</v>
      </c>
      <c r="E171" s="19">
        <f t="shared" si="8"/>
        <v>30.392857142857142</v>
      </c>
      <c r="F171">
        <v>717.28</v>
      </c>
      <c r="I171" s="19">
        <f t="shared" si="9"/>
        <v>1702</v>
      </c>
      <c r="J171" t="b">
        <f t="shared" si="10"/>
        <v>1</v>
      </c>
      <c r="K171" s="4">
        <f t="shared" si="11"/>
        <v>-0.57856639247943598</v>
      </c>
      <c r="M171"/>
      <c r="O171"/>
    </row>
    <row r="172" spans="1:15" hidden="1">
      <c r="A172" t="s">
        <v>1346</v>
      </c>
      <c r="B172" t="s">
        <v>1138</v>
      </c>
      <c r="C172" t="s">
        <v>494</v>
      </c>
      <c r="D172" s="19">
        <v>1110</v>
      </c>
      <c r="E172" s="19">
        <f t="shared" si="8"/>
        <v>39.642857142857146</v>
      </c>
      <c r="F172">
        <v>1471.2399999999998</v>
      </c>
      <c r="I172" s="19">
        <f t="shared" si="9"/>
        <v>2220</v>
      </c>
      <c r="J172" t="b">
        <f t="shared" si="10"/>
        <v>1</v>
      </c>
      <c r="K172" s="4">
        <f t="shared" si="11"/>
        <v>-0.33727927927927936</v>
      </c>
      <c r="M172"/>
      <c r="O172"/>
    </row>
    <row r="173" spans="1:15" hidden="1">
      <c r="A173" t="s">
        <v>1346</v>
      </c>
      <c r="B173" t="s">
        <v>1161</v>
      </c>
      <c r="C173" t="s">
        <v>564</v>
      </c>
      <c r="D173" s="19">
        <v>1427</v>
      </c>
      <c r="E173" s="19">
        <f t="shared" si="8"/>
        <v>50.964285714285715</v>
      </c>
      <c r="F173">
        <v>1975</v>
      </c>
      <c r="I173" s="19">
        <f t="shared" si="9"/>
        <v>2854</v>
      </c>
      <c r="J173" t="b">
        <f t="shared" si="10"/>
        <v>1</v>
      </c>
      <c r="K173" s="4">
        <f t="shared" si="11"/>
        <v>-0.30798878766643312</v>
      </c>
      <c r="M173"/>
      <c r="O173"/>
    </row>
    <row r="174" spans="1:15" hidden="1">
      <c r="A174" t="s">
        <v>1346</v>
      </c>
      <c r="B174" t="s">
        <v>1165</v>
      </c>
      <c r="C174" t="s">
        <v>282</v>
      </c>
      <c r="D174" s="19">
        <v>1495</v>
      </c>
      <c r="E174" s="19">
        <f t="shared" si="8"/>
        <v>53.392857142857146</v>
      </c>
      <c r="F174">
        <v>2254.13</v>
      </c>
      <c r="I174" s="19">
        <f t="shared" si="9"/>
        <v>2990</v>
      </c>
      <c r="J174" t="b">
        <f t="shared" si="10"/>
        <v>1</v>
      </c>
      <c r="K174" s="4">
        <f t="shared" si="11"/>
        <v>-0.24611036789297658</v>
      </c>
      <c r="M174"/>
      <c r="O174"/>
    </row>
    <row r="175" spans="1:15" hidden="1">
      <c r="A175" t="s">
        <v>1344</v>
      </c>
      <c r="B175" t="s">
        <v>325</v>
      </c>
      <c r="C175" t="s">
        <v>326</v>
      </c>
      <c r="D175" s="19">
        <v>1215</v>
      </c>
      <c r="E175" s="19">
        <f t="shared" si="8"/>
        <v>43.392857142857146</v>
      </c>
      <c r="F175">
        <v>1333.24</v>
      </c>
      <c r="I175" s="19">
        <f t="shared" si="9"/>
        <v>2430</v>
      </c>
      <c r="J175" t="b">
        <f t="shared" si="10"/>
        <v>1</v>
      </c>
      <c r="K175" s="4">
        <f t="shared" si="11"/>
        <v>-0.4513415637860082</v>
      </c>
      <c r="M175"/>
      <c r="O175"/>
    </row>
    <row r="176" spans="1:15" hidden="1">
      <c r="A176" t="s">
        <v>1344</v>
      </c>
      <c r="B176" t="s">
        <v>180</v>
      </c>
      <c r="C176" t="s">
        <v>181</v>
      </c>
      <c r="D176" s="19">
        <v>1394</v>
      </c>
      <c r="E176" s="19">
        <f t="shared" si="8"/>
        <v>49.785714285714285</v>
      </c>
      <c r="F176">
        <v>2370.62</v>
      </c>
      <c r="I176" s="19">
        <f t="shared" si="9"/>
        <v>2788</v>
      </c>
      <c r="J176" t="b">
        <f t="shared" si="10"/>
        <v>1</v>
      </c>
      <c r="K176" s="4">
        <f t="shared" si="11"/>
        <v>-0.14970588235294124</v>
      </c>
      <c r="M176"/>
      <c r="O176"/>
    </row>
    <row r="177" spans="1:15" hidden="1">
      <c r="A177" t="s">
        <v>1344</v>
      </c>
      <c r="B177" t="s">
        <v>364</v>
      </c>
      <c r="C177" t="s">
        <v>365</v>
      </c>
      <c r="D177" s="19">
        <v>2</v>
      </c>
      <c r="E177" s="19">
        <f t="shared" si="8"/>
        <v>7.1428571428571425E-2</v>
      </c>
      <c r="F177">
        <v>0</v>
      </c>
      <c r="I177" s="19">
        <f t="shared" si="9"/>
        <v>4</v>
      </c>
      <c r="J177" t="b">
        <f t="shared" si="10"/>
        <v>1</v>
      </c>
      <c r="K177" s="4">
        <f t="shared" si="11"/>
        <v>-1</v>
      </c>
      <c r="M177"/>
      <c r="O177"/>
    </row>
    <row r="178" spans="1:15" hidden="1">
      <c r="A178" t="s">
        <v>1344</v>
      </c>
      <c r="B178" t="s">
        <v>347</v>
      </c>
      <c r="C178" t="s">
        <v>348</v>
      </c>
      <c r="D178" s="19">
        <v>1084</v>
      </c>
      <c r="E178" s="19">
        <f t="shared" si="8"/>
        <v>38.714285714285715</v>
      </c>
      <c r="F178" s="19">
        <v>2187.77</v>
      </c>
      <c r="I178" s="19">
        <f t="shared" si="9"/>
        <v>2168</v>
      </c>
      <c r="J178" t="b">
        <f t="shared" si="10"/>
        <v>1</v>
      </c>
      <c r="K178" s="4">
        <f t="shared" si="11"/>
        <v>9.1190036900368199E-3</v>
      </c>
      <c r="M178"/>
      <c r="O178"/>
    </row>
    <row r="179" spans="1:15" hidden="1">
      <c r="A179" t="s">
        <v>1345</v>
      </c>
      <c r="B179" t="s">
        <v>1009</v>
      </c>
      <c r="C179" t="s">
        <v>495</v>
      </c>
      <c r="D179" s="19">
        <v>1385</v>
      </c>
      <c r="E179" s="19">
        <f t="shared" si="8"/>
        <v>49.464285714285715</v>
      </c>
      <c r="F179">
        <v>552.44000000000005</v>
      </c>
      <c r="I179" s="19">
        <f t="shared" si="9"/>
        <v>2770</v>
      </c>
      <c r="J179" t="b">
        <f t="shared" si="10"/>
        <v>1</v>
      </c>
      <c r="K179" s="4">
        <f t="shared" si="11"/>
        <v>-0.80056317689530687</v>
      </c>
      <c r="M179"/>
      <c r="O179"/>
    </row>
    <row r="180" spans="1:15" hidden="1">
      <c r="A180" t="s">
        <v>1345</v>
      </c>
      <c r="B180" t="s">
        <v>966</v>
      </c>
      <c r="C180" t="s">
        <v>468</v>
      </c>
      <c r="D180" s="19">
        <v>1872</v>
      </c>
      <c r="E180" s="19">
        <f t="shared" si="8"/>
        <v>66.857142857142861</v>
      </c>
      <c r="F180">
        <v>2248.63</v>
      </c>
      <c r="I180" s="19">
        <f t="shared" si="9"/>
        <v>3744</v>
      </c>
      <c r="J180" t="b">
        <f t="shared" si="10"/>
        <v>1</v>
      </c>
      <c r="K180" s="4">
        <f t="shared" si="11"/>
        <v>-0.39940438034188031</v>
      </c>
      <c r="M180"/>
      <c r="O180"/>
    </row>
    <row r="181" spans="1:15" hidden="1">
      <c r="A181" t="s">
        <v>1345</v>
      </c>
      <c r="B181" t="s">
        <v>954</v>
      </c>
      <c r="C181" t="s">
        <v>393</v>
      </c>
      <c r="D181" s="19">
        <v>1639</v>
      </c>
      <c r="E181" s="19">
        <f t="shared" si="8"/>
        <v>58.535714285714285</v>
      </c>
      <c r="F181">
        <v>2101.9300000000003</v>
      </c>
      <c r="I181" s="19">
        <f t="shared" si="9"/>
        <v>3278</v>
      </c>
      <c r="J181" t="b">
        <f t="shared" si="10"/>
        <v>1</v>
      </c>
      <c r="K181" s="4">
        <f t="shared" si="11"/>
        <v>-0.35877669310555205</v>
      </c>
      <c r="M181"/>
      <c r="O181"/>
    </row>
    <row r="182" spans="1:15" hidden="1">
      <c r="A182" t="s">
        <v>1346</v>
      </c>
      <c r="B182" t="s">
        <v>1046</v>
      </c>
      <c r="C182" t="s">
        <v>92</v>
      </c>
      <c r="D182" s="19">
        <v>3420</v>
      </c>
      <c r="E182" s="19">
        <f t="shared" si="8"/>
        <v>122.14285714285714</v>
      </c>
      <c r="F182">
        <v>5546.96</v>
      </c>
      <c r="I182" s="19">
        <f t="shared" si="9"/>
        <v>6840</v>
      </c>
      <c r="J182" t="b">
        <f t="shared" si="10"/>
        <v>1</v>
      </c>
      <c r="K182" s="4">
        <f t="shared" si="11"/>
        <v>-0.18904093567251457</v>
      </c>
      <c r="M182"/>
      <c r="O182"/>
    </row>
    <row r="183" spans="1:15" hidden="1">
      <c r="A183" t="s">
        <v>1344</v>
      </c>
      <c r="B183" t="s">
        <v>476</v>
      </c>
      <c r="C183" t="s">
        <v>477</v>
      </c>
      <c r="D183" s="19">
        <v>846</v>
      </c>
      <c r="E183" s="19">
        <f t="shared" si="8"/>
        <v>30.214285714285715</v>
      </c>
      <c r="F183">
        <v>726.41</v>
      </c>
      <c r="I183" s="19">
        <f t="shared" si="9"/>
        <v>1692</v>
      </c>
      <c r="J183" t="b">
        <f t="shared" si="10"/>
        <v>1</v>
      </c>
      <c r="K183" s="4">
        <f t="shared" si="11"/>
        <v>-0.57067966903073286</v>
      </c>
      <c r="M183"/>
      <c r="O183"/>
    </row>
    <row r="184" spans="1:15" hidden="1">
      <c r="A184" t="s">
        <v>1346</v>
      </c>
      <c r="B184" t="s">
        <v>1152</v>
      </c>
      <c r="C184" t="s">
        <v>830</v>
      </c>
      <c r="D184" s="19">
        <v>472</v>
      </c>
      <c r="E184" s="19">
        <f t="shared" si="8"/>
        <v>16.857142857142858</v>
      </c>
      <c r="F184">
        <v>0</v>
      </c>
      <c r="I184" s="19">
        <f t="shared" si="9"/>
        <v>944</v>
      </c>
      <c r="J184" t="b">
        <f t="shared" si="10"/>
        <v>1</v>
      </c>
      <c r="K184" s="4">
        <f>F184/I184-1</f>
        <v>-1</v>
      </c>
      <c r="M184"/>
      <c r="O184"/>
    </row>
    <row r="185" spans="1:15" hidden="1">
      <c r="A185" t="s">
        <v>1345</v>
      </c>
      <c r="B185" t="s">
        <v>972</v>
      </c>
      <c r="C185" t="s">
        <v>820</v>
      </c>
      <c r="D185" s="19">
        <v>723</v>
      </c>
      <c r="E185" s="19">
        <f t="shared" si="8"/>
        <v>25.821428571428573</v>
      </c>
      <c r="F185">
        <v>612.1</v>
      </c>
      <c r="I185" s="19">
        <f t="shared" si="9"/>
        <v>1446</v>
      </c>
      <c r="J185" t="b">
        <f t="shared" si="10"/>
        <v>1</v>
      </c>
      <c r="K185" s="4">
        <f t="shared" si="11"/>
        <v>-0.57669432918395569</v>
      </c>
      <c r="M185"/>
      <c r="O185"/>
    </row>
    <row r="186" spans="1:15">
      <c r="A186" t="s">
        <v>1345</v>
      </c>
      <c r="B186" t="s">
        <v>879</v>
      </c>
      <c r="C186" t="s">
        <v>704</v>
      </c>
      <c r="D186" s="19">
        <v>791</v>
      </c>
      <c r="E186" s="19">
        <f t="shared" si="8"/>
        <v>28.25</v>
      </c>
      <c r="F186">
        <v>2213.9</v>
      </c>
      <c r="I186" s="168">
        <f t="shared" si="9"/>
        <v>1582</v>
      </c>
      <c r="J186" t="b">
        <f t="shared" si="10"/>
        <v>0</v>
      </c>
      <c r="K186" s="4">
        <f t="shared" si="11"/>
        <v>0.39943109987357772</v>
      </c>
      <c r="L186" t="s">
        <v>837</v>
      </c>
      <c r="M186" s="171">
        <f>(F186/28)/E186</f>
        <v>2.7988621997471559</v>
      </c>
      <c r="N186" t="s">
        <v>1364</v>
      </c>
      <c r="O186" s="172" t="s">
        <v>1365</v>
      </c>
    </row>
    <row r="187" spans="1:15" hidden="1">
      <c r="A187" t="s">
        <v>1345</v>
      </c>
      <c r="B187" t="s">
        <v>895</v>
      </c>
      <c r="C187" t="s">
        <v>685</v>
      </c>
      <c r="D187" s="19">
        <v>977</v>
      </c>
      <c r="E187" s="19">
        <f t="shared" si="8"/>
        <v>34.892857142857146</v>
      </c>
      <c r="F187">
        <v>2317.59</v>
      </c>
      <c r="I187" s="19">
        <f t="shared" si="9"/>
        <v>1954</v>
      </c>
      <c r="J187" t="b">
        <f t="shared" si="10"/>
        <v>1</v>
      </c>
      <c r="K187" s="4">
        <f t="shared" si="11"/>
        <v>0.18607471852610047</v>
      </c>
      <c r="M187"/>
      <c r="O187"/>
    </row>
    <row r="188" spans="1:15" hidden="1">
      <c r="A188" t="s">
        <v>1345</v>
      </c>
      <c r="B188" t="s">
        <v>963</v>
      </c>
      <c r="C188" t="s">
        <v>199</v>
      </c>
      <c r="D188" s="19">
        <v>976</v>
      </c>
      <c r="E188" s="19">
        <f t="shared" si="8"/>
        <v>34.857142857142854</v>
      </c>
      <c r="F188">
        <v>1759.63</v>
      </c>
      <c r="I188" s="19">
        <f t="shared" si="9"/>
        <v>1952</v>
      </c>
      <c r="J188" t="b">
        <f t="shared" si="10"/>
        <v>1</v>
      </c>
      <c r="K188" s="4">
        <f t="shared" si="11"/>
        <v>-9.855020491803268E-2</v>
      </c>
      <c r="M188"/>
      <c r="O188"/>
    </row>
    <row r="189" spans="1:15" hidden="1">
      <c r="A189" t="s">
        <v>1344</v>
      </c>
      <c r="B189" t="s">
        <v>226</v>
      </c>
      <c r="C189" t="s">
        <v>176</v>
      </c>
      <c r="D189" s="19">
        <v>1079</v>
      </c>
      <c r="E189" s="19">
        <f t="shared" si="8"/>
        <v>38.535714285714285</v>
      </c>
      <c r="F189">
        <v>2131.69</v>
      </c>
      <c r="I189" s="19">
        <f t="shared" si="9"/>
        <v>2158</v>
      </c>
      <c r="J189" t="b">
        <f t="shared" si="10"/>
        <v>1</v>
      </c>
      <c r="K189" s="4">
        <f t="shared" si="11"/>
        <v>-1.2191844300277976E-2</v>
      </c>
      <c r="M189"/>
      <c r="O189"/>
    </row>
    <row r="190" spans="1:15" hidden="1">
      <c r="A190" t="s">
        <v>1344</v>
      </c>
      <c r="B190" t="s">
        <v>584</v>
      </c>
      <c r="C190" t="s">
        <v>377</v>
      </c>
      <c r="D190" s="19">
        <v>1662</v>
      </c>
      <c r="E190" s="19">
        <f t="shared" si="8"/>
        <v>59.357142857142854</v>
      </c>
      <c r="F190">
        <v>1027.73</v>
      </c>
      <c r="I190" s="19">
        <f t="shared" si="9"/>
        <v>3324</v>
      </c>
      <c r="J190" t="b">
        <f t="shared" si="10"/>
        <v>1</v>
      </c>
      <c r="K190" s="4">
        <f t="shared" si="11"/>
        <v>-0.69081528279181703</v>
      </c>
      <c r="M190"/>
      <c r="O190"/>
    </row>
    <row r="191" spans="1:15" hidden="1">
      <c r="A191" t="s">
        <v>1346</v>
      </c>
      <c r="B191" t="s">
        <v>1178</v>
      </c>
      <c r="C191" t="s">
        <v>62</v>
      </c>
      <c r="D191" s="19">
        <v>2865</v>
      </c>
      <c r="E191" s="19">
        <f t="shared" si="8"/>
        <v>102.32142857142857</v>
      </c>
      <c r="F191">
        <v>5880.42</v>
      </c>
      <c r="I191" s="19">
        <f t="shared" si="9"/>
        <v>5730</v>
      </c>
      <c r="J191" t="b">
        <f t="shared" si="10"/>
        <v>1</v>
      </c>
      <c r="K191" s="4">
        <f t="shared" si="11"/>
        <v>2.6251308900523629E-2</v>
      </c>
      <c r="M191"/>
      <c r="O191"/>
    </row>
    <row r="192" spans="1:15" hidden="1">
      <c r="A192" t="s">
        <v>1345</v>
      </c>
      <c r="B192" t="s">
        <v>1020</v>
      </c>
      <c r="C192" t="s">
        <v>518</v>
      </c>
      <c r="D192" s="19">
        <v>1111</v>
      </c>
      <c r="E192" s="19">
        <f t="shared" ref="E192:E251" si="12">D192/28</f>
        <v>39.678571428571431</v>
      </c>
      <c r="F192">
        <v>48.63</v>
      </c>
      <c r="I192" s="19">
        <f t="shared" ref="I192:I251" si="13">IF((D192/28)&gt;100,D192*2,D192*2)</f>
        <v>2222</v>
      </c>
      <c r="J192" t="b">
        <f t="shared" ref="J192:J251" si="14">IF(F192&gt;1.2*I192,FALSE,TRUE)</f>
        <v>1</v>
      </c>
      <c r="K192" s="4">
        <f t="shared" ref="K192:K251" si="15">F192/I192-1</f>
        <v>-0.97811431143114314</v>
      </c>
      <c r="M192"/>
      <c r="O192"/>
    </row>
    <row r="193" spans="1:15" hidden="1">
      <c r="A193" t="s">
        <v>1344</v>
      </c>
      <c r="B193" t="s">
        <v>625</v>
      </c>
      <c r="C193" t="s">
        <v>626</v>
      </c>
      <c r="D193" s="19">
        <v>1421</v>
      </c>
      <c r="E193" s="19">
        <f t="shared" si="12"/>
        <v>50.75</v>
      </c>
      <c r="F193">
        <v>799.74</v>
      </c>
      <c r="I193" s="19">
        <f t="shared" si="13"/>
        <v>2842</v>
      </c>
      <c r="J193" t="b">
        <f t="shared" si="14"/>
        <v>1</v>
      </c>
      <c r="K193" s="4">
        <f t="shared" si="15"/>
        <v>-0.71859957776213934</v>
      </c>
      <c r="M193"/>
      <c r="O193"/>
    </row>
    <row r="194" spans="1:15" hidden="1">
      <c r="A194" t="s">
        <v>1344</v>
      </c>
      <c r="B194" t="s">
        <v>295</v>
      </c>
      <c r="C194" t="s">
        <v>216</v>
      </c>
      <c r="D194" s="19">
        <v>2352</v>
      </c>
      <c r="E194" s="19">
        <f t="shared" si="12"/>
        <v>84</v>
      </c>
      <c r="F194">
        <v>4923.53</v>
      </c>
      <c r="I194" s="19">
        <f t="shared" si="13"/>
        <v>4704</v>
      </c>
      <c r="J194" t="b">
        <f t="shared" si="14"/>
        <v>1</v>
      </c>
      <c r="K194" s="4">
        <f t="shared" si="15"/>
        <v>4.6668792517006841E-2</v>
      </c>
      <c r="M194"/>
      <c r="O194"/>
    </row>
    <row r="195" spans="1:15" hidden="1">
      <c r="A195" t="s">
        <v>1344</v>
      </c>
      <c r="B195" t="s">
        <v>572</v>
      </c>
      <c r="C195" t="s">
        <v>573</v>
      </c>
      <c r="D195" s="19">
        <v>952</v>
      </c>
      <c r="E195" s="19">
        <f t="shared" si="12"/>
        <v>34</v>
      </c>
      <c r="F195">
        <v>743.96</v>
      </c>
      <c r="I195" s="19">
        <f t="shared" si="13"/>
        <v>1904</v>
      </c>
      <c r="J195" t="b">
        <f t="shared" si="14"/>
        <v>1</v>
      </c>
      <c r="K195" s="4">
        <f t="shared" si="15"/>
        <v>-0.60926470588235293</v>
      </c>
      <c r="M195"/>
      <c r="O195"/>
    </row>
    <row r="196" spans="1:15" hidden="1">
      <c r="A196" t="s">
        <v>1346</v>
      </c>
      <c r="B196" t="s">
        <v>1111</v>
      </c>
      <c r="C196" t="s">
        <v>373</v>
      </c>
      <c r="D196" s="19">
        <v>1470</v>
      </c>
      <c r="E196" s="19">
        <f t="shared" si="12"/>
        <v>52.5</v>
      </c>
      <c r="F196">
        <v>2690.62</v>
      </c>
      <c r="I196" s="19">
        <f t="shared" si="13"/>
        <v>2940</v>
      </c>
      <c r="J196" t="b">
        <f t="shared" si="14"/>
        <v>1</v>
      </c>
      <c r="K196" s="4">
        <f t="shared" si="15"/>
        <v>-8.4823129251700768E-2</v>
      </c>
      <c r="M196"/>
      <c r="O196"/>
    </row>
    <row r="197" spans="1:15" hidden="1">
      <c r="A197" t="s">
        <v>1344</v>
      </c>
      <c r="B197" t="s">
        <v>646</v>
      </c>
      <c r="C197" t="s">
        <v>439</v>
      </c>
      <c r="D197" s="19">
        <v>995</v>
      </c>
      <c r="E197" s="19">
        <f>D197/28</f>
        <v>35.535714285714285</v>
      </c>
      <c r="F197">
        <v>1170.19</v>
      </c>
      <c r="I197" s="19">
        <f t="shared" si="13"/>
        <v>1990</v>
      </c>
      <c r="J197" t="b">
        <f t="shared" si="14"/>
        <v>1</v>
      </c>
      <c r="K197" s="4">
        <f t="shared" si="15"/>
        <v>-0.41196482412060298</v>
      </c>
      <c r="M197"/>
      <c r="O197"/>
    </row>
    <row r="198" spans="1:15" hidden="1">
      <c r="A198" t="s">
        <v>1344</v>
      </c>
      <c r="B198" t="s">
        <v>238</v>
      </c>
      <c r="C198" t="s">
        <v>239</v>
      </c>
      <c r="D198" s="19">
        <v>1476</v>
      </c>
      <c r="E198" s="19">
        <f t="shared" si="12"/>
        <v>52.714285714285715</v>
      </c>
      <c r="F198">
        <v>1989.29</v>
      </c>
      <c r="I198" s="19">
        <f t="shared" si="13"/>
        <v>2952</v>
      </c>
      <c r="J198" t="b">
        <f t="shared" si="14"/>
        <v>1</v>
      </c>
      <c r="K198" s="4">
        <f t="shared" si="15"/>
        <v>-0.32612127371273714</v>
      </c>
      <c r="M198"/>
      <c r="O198"/>
    </row>
    <row r="199" spans="1:15" hidden="1">
      <c r="A199" t="s">
        <v>1344</v>
      </c>
      <c r="B199" t="s">
        <v>211</v>
      </c>
      <c r="C199" t="s">
        <v>212</v>
      </c>
      <c r="D199" s="19">
        <v>1460</v>
      </c>
      <c r="E199" s="19">
        <f t="shared" si="12"/>
        <v>52.142857142857146</v>
      </c>
      <c r="F199">
        <v>3151.9</v>
      </c>
      <c r="I199" s="19">
        <f t="shared" si="13"/>
        <v>2920</v>
      </c>
      <c r="J199" t="b">
        <f t="shared" si="14"/>
        <v>1</v>
      </c>
      <c r="K199" s="4">
        <f t="shared" si="15"/>
        <v>7.9417808219178099E-2</v>
      </c>
      <c r="M199"/>
      <c r="O199"/>
    </row>
    <row r="200" spans="1:15">
      <c r="A200" t="s">
        <v>1346</v>
      </c>
      <c r="B200" t="s">
        <v>1095</v>
      </c>
      <c r="C200" t="s">
        <v>686</v>
      </c>
      <c r="D200" s="19">
        <v>1056</v>
      </c>
      <c r="E200" s="19">
        <f t="shared" si="12"/>
        <v>37.714285714285715</v>
      </c>
      <c r="F200" s="19">
        <v>2686.1099999999997</v>
      </c>
      <c r="I200" s="168">
        <f t="shared" si="13"/>
        <v>2112</v>
      </c>
      <c r="J200" t="b">
        <f t="shared" si="14"/>
        <v>0</v>
      </c>
      <c r="K200" s="4">
        <f t="shared" si="15"/>
        <v>0.27183238636363627</v>
      </c>
      <c r="L200" t="s">
        <v>837</v>
      </c>
      <c r="M200" s="171">
        <f>(F200/28)/E200</f>
        <v>2.5436647727272725</v>
      </c>
      <c r="N200" t="s">
        <v>1366</v>
      </c>
      <c r="O200" s="172" t="s">
        <v>1367</v>
      </c>
    </row>
    <row r="201" spans="1:15" hidden="1">
      <c r="A201" t="s">
        <v>1345</v>
      </c>
      <c r="B201" t="s">
        <v>907</v>
      </c>
      <c r="C201" t="s">
        <v>710</v>
      </c>
      <c r="D201" s="19">
        <v>891</v>
      </c>
      <c r="E201" s="19">
        <f t="shared" si="12"/>
        <v>31.821428571428573</v>
      </c>
      <c r="F201">
        <v>1899.8400000000001</v>
      </c>
      <c r="I201" s="19">
        <f t="shared" si="13"/>
        <v>1782</v>
      </c>
      <c r="J201" t="b">
        <f t="shared" si="14"/>
        <v>1</v>
      </c>
      <c r="K201" s="4">
        <f t="shared" si="15"/>
        <v>6.6127946127946258E-2</v>
      </c>
      <c r="M201"/>
      <c r="O201"/>
    </row>
    <row r="202" spans="1:15" hidden="1">
      <c r="A202" t="s">
        <v>1345</v>
      </c>
      <c r="B202" t="s">
        <v>988</v>
      </c>
      <c r="C202" t="s">
        <v>816</v>
      </c>
      <c r="D202" s="19">
        <v>1088</v>
      </c>
      <c r="E202" s="19">
        <f t="shared" si="12"/>
        <v>38.857142857142854</v>
      </c>
      <c r="F202">
        <v>1056.3800000000001</v>
      </c>
      <c r="I202" s="19">
        <f t="shared" si="13"/>
        <v>2176</v>
      </c>
      <c r="J202" t="b">
        <f t="shared" si="14"/>
        <v>1</v>
      </c>
      <c r="K202" s="4">
        <f t="shared" si="15"/>
        <v>-0.51453124999999988</v>
      </c>
      <c r="M202"/>
      <c r="O202"/>
    </row>
    <row r="203" spans="1:15" hidden="1">
      <c r="A203" t="s">
        <v>1344</v>
      </c>
      <c r="B203" t="s">
        <v>610</v>
      </c>
      <c r="C203" t="s">
        <v>611</v>
      </c>
      <c r="D203" s="19">
        <v>961</v>
      </c>
      <c r="E203" s="19">
        <f t="shared" si="12"/>
        <v>34.321428571428569</v>
      </c>
      <c r="F203">
        <v>1026.83</v>
      </c>
      <c r="I203" s="19">
        <f t="shared" si="13"/>
        <v>1922</v>
      </c>
      <c r="J203" t="b">
        <f t="shared" si="14"/>
        <v>1</v>
      </c>
      <c r="K203" s="4">
        <f t="shared" si="15"/>
        <v>-0.46574921956295534</v>
      </c>
      <c r="M203"/>
      <c r="O203"/>
    </row>
    <row r="204" spans="1:15" hidden="1">
      <c r="A204" t="s">
        <v>1346</v>
      </c>
      <c r="B204" t="s">
        <v>1123</v>
      </c>
      <c r="C204" t="s">
        <v>705</v>
      </c>
      <c r="D204" s="19">
        <v>740</v>
      </c>
      <c r="E204" s="19">
        <f t="shared" si="12"/>
        <v>26.428571428571427</v>
      </c>
      <c r="F204">
        <v>100.91</v>
      </c>
      <c r="I204" s="19">
        <f t="shared" si="13"/>
        <v>1480</v>
      </c>
      <c r="J204" t="b">
        <f t="shared" si="14"/>
        <v>1</v>
      </c>
      <c r="K204" s="4">
        <f t="shared" si="15"/>
        <v>-0.93181756756756762</v>
      </c>
      <c r="M204"/>
      <c r="O204"/>
    </row>
    <row r="205" spans="1:15" ht="14.25" hidden="1" customHeight="1">
      <c r="A205" t="s">
        <v>1344</v>
      </c>
      <c r="B205" t="s">
        <v>491</v>
      </c>
      <c r="C205" t="s">
        <v>481</v>
      </c>
      <c r="D205" s="19">
        <v>1632</v>
      </c>
      <c r="E205" s="19">
        <f t="shared" si="12"/>
        <v>58.285714285714285</v>
      </c>
      <c r="F205">
        <v>1587.38</v>
      </c>
      <c r="I205" s="19">
        <f t="shared" si="13"/>
        <v>3264</v>
      </c>
      <c r="J205" t="b">
        <f t="shared" si="14"/>
        <v>1</v>
      </c>
      <c r="K205" s="4">
        <f t="shared" si="15"/>
        <v>-0.5136703431372549</v>
      </c>
      <c r="M205"/>
      <c r="O205"/>
    </row>
    <row r="206" spans="1:15" hidden="1">
      <c r="A206" t="s">
        <v>1344</v>
      </c>
      <c r="B206" t="s">
        <v>221</v>
      </c>
      <c r="C206" t="s">
        <v>222</v>
      </c>
      <c r="D206" s="19">
        <v>915</v>
      </c>
      <c r="E206" s="19">
        <f t="shared" si="12"/>
        <v>32.678571428571431</v>
      </c>
      <c r="F206">
        <v>2146.02</v>
      </c>
      <c r="I206" s="19">
        <f t="shared" si="13"/>
        <v>1830</v>
      </c>
      <c r="J206" t="b">
        <f t="shared" si="14"/>
        <v>1</v>
      </c>
      <c r="K206" s="4">
        <f t="shared" si="15"/>
        <v>0.17268852459016393</v>
      </c>
      <c r="M206"/>
      <c r="O206"/>
    </row>
    <row r="207" spans="1:15" hidden="1">
      <c r="A207" t="s">
        <v>1344</v>
      </c>
      <c r="B207" t="s">
        <v>488</v>
      </c>
      <c r="C207" t="s">
        <v>82</v>
      </c>
      <c r="D207" s="19">
        <v>1091</v>
      </c>
      <c r="E207" s="19">
        <f t="shared" si="12"/>
        <v>38.964285714285715</v>
      </c>
      <c r="F207">
        <v>649.21</v>
      </c>
      <c r="I207" s="19">
        <f t="shared" si="13"/>
        <v>2182</v>
      </c>
      <c r="J207" t="b">
        <f t="shared" si="14"/>
        <v>1</v>
      </c>
      <c r="K207" s="4">
        <f t="shared" si="15"/>
        <v>-0.70247021081576533</v>
      </c>
      <c r="M207"/>
      <c r="O207"/>
    </row>
    <row r="208" spans="1:15" hidden="1">
      <c r="A208" t="s">
        <v>1346</v>
      </c>
      <c r="B208" t="s">
        <v>1096</v>
      </c>
      <c r="C208" t="s">
        <v>696</v>
      </c>
      <c r="D208" s="19">
        <v>1010</v>
      </c>
      <c r="E208" s="19">
        <f t="shared" si="12"/>
        <v>36.071428571428569</v>
      </c>
      <c r="F208">
        <v>1136.25</v>
      </c>
      <c r="I208" s="19">
        <f t="shared" si="13"/>
        <v>2020</v>
      </c>
      <c r="J208" t="b">
        <f t="shared" si="14"/>
        <v>1</v>
      </c>
      <c r="K208" s="4">
        <f t="shared" si="15"/>
        <v>-0.4375</v>
      </c>
      <c r="M208"/>
      <c r="O208"/>
    </row>
    <row r="209" spans="1:15" hidden="1">
      <c r="A209" t="s">
        <v>1345</v>
      </c>
      <c r="B209" t="s">
        <v>938</v>
      </c>
      <c r="C209" t="s">
        <v>714</v>
      </c>
      <c r="D209" s="19">
        <v>648</v>
      </c>
      <c r="E209" s="19">
        <f t="shared" si="12"/>
        <v>23.142857142857142</v>
      </c>
      <c r="F209">
        <v>348.31999999999994</v>
      </c>
      <c r="I209" s="19">
        <f t="shared" si="13"/>
        <v>1296</v>
      </c>
      <c r="J209" t="b">
        <f t="shared" si="14"/>
        <v>1</v>
      </c>
      <c r="K209" s="4">
        <f t="shared" si="15"/>
        <v>-0.73123456790123464</v>
      </c>
      <c r="M209"/>
      <c r="O209"/>
    </row>
    <row r="210" spans="1:15" hidden="1">
      <c r="A210" t="s">
        <v>1344</v>
      </c>
      <c r="B210" t="s">
        <v>555</v>
      </c>
      <c r="C210" t="s">
        <v>556</v>
      </c>
      <c r="D210" s="19">
        <v>813</v>
      </c>
      <c r="E210" s="19">
        <f t="shared" si="12"/>
        <v>29.035714285714285</v>
      </c>
      <c r="F210">
        <v>497.42</v>
      </c>
      <c r="I210" s="19">
        <f t="shared" si="13"/>
        <v>1626</v>
      </c>
      <c r="J210" t="b">
        <f t="shared" si="14"/>
        <v>1</v>
      </c>
      <c r="K210" s="4">
        <f t="shared" si="15"/>
        <v>-0.69408364083640839</v>
      </c>
      <c r="M210"/>
      <c r="O210"/>
    </row>
    <row r="211" spans="1:15" hidden="1">
      <c r="A211" t="s">
        <v>1345</v>
      </c>
      <c r="B211" t="s">
        <v>991</v>
      </c>
      <c r="C211" t="s">
        <v>627</v>
      </c>
      <c r="D211" s="19">
        <v>1029</v>
      </c>
      <c r="E211" s="19">
        <f t="shared" si="12"/>
        <v>36.75</v>
      </c>
      <c r="F211">
        <v>1646.73</v>
      </c>
      <c r="I211" s="19">
        <f t="shared" si="13"/>
        <v>2058</v>
      </c>
      <c r="J211" t="b">
        <f t="shared" si="14"/>
        <v>1</v>
      </c>
      <c r="K211" s="4">
        <f t="shared" si="15"/>
        <v>-0.19983965014577254</v>
      </c>
      <c r="M211"/>
      <c r="O211"/>
    </row>
    <row r="212" spans="1:15" hidden="1">
      <c r="A212" t="s">
        <v>1346</v>
      </c>
      <c r="B212" t="s">
        <v>1104</v>
      </c>
      <c r="C212" t="s">
        <v>254</v>
      </c>
      <c r="D212" s="19">
        <v>1281</v>
      </c>
      <c r="E212" s="19">
        <f t="shared" si="12"/>
        <v>45.75</v>
      </c>
      <c r="F212">
        <v>2861.1</v>
      </c>
      <c r="I212" s="19">
        <f t="shared" si="13"/>
        <v>2562</v>
      </c>
      <c r="J212" t="b">
        <f t="shared" si="14"/>
        <v>1</v>
      </c>
      <c r="K212" s="4">
        <f t="shared" si="15"/>
        <v>0.11674473067915692</v>
      </c>
      <c r="M212"/>
      <c r="O212"/>
    </row>
    <row r="213" spans="1:15" hidden="1">
      <c r="A213" t="s">
        <v>1344</v>
      </c>
      <c r="B213" t="s">
        <v>474</v>
      </c>
      <c r="C213" t="s">
        <v>475</v>
      </c>
      <c r="D213" s="19">
        <v>1029</v>
      </c>
      <c r="E213" s="19">
        <f t="shared" si="12"/>
        <v>36.75</v>
      </c>
      <c r="F213">
        <v>724.17</v>
      </c>
      <c r="I213" s="19">
        <f t="shared" si="13"/>
        <v>2058</v>
      </c>
      <c r="J213" t="b">
        <f t="shared" si="14"/>
        <v>1</v>
      </c>
      <c r="K213" s="4">
        <f t="shared" si="15"/>
        <v>-0.6481195335276968</v>
      </c>
      <c r="M213"/>
      <c r="O213"/>
    </row>
    <row r="214" spans="1:15" hidden="1">
      <c r="A214" t="s">
        <v>1344</v>
      </c>
      <c r="B214" t="s">
        <v>432</v>
      </c>
      <c r="C214" t="s">
        <v>433</v>
      </c>
      <c r="D214" s="19">
        <v>838</v>
      </c>
      <c r="E214" s="19">
        <f t="shared" si="12"/>
        <v>29.928571428571427</v>
      </c>
      <c r="F214">
        <v>1125.05</v>
      </c>
      <c r="I214" s="19">
        <f t="shared" si="13"/>
        <v>1676</v>
      </c>
      <c r="J214" t="b">
        <f t="shared" si="14"/>
        <v>1</v>
      </c>
      <c r="K214" s="4">
        <f t="shared" si="15"/>
        <v>-0.32872911694510742</v>
      </c>
      <c r="M214"/>
      <c r="O214"/>
    </row>
    <row r="215" spans="1:15" hidden="1">
      <c r="A215" t="s">
        <v>1345</v>
      </c>
      <c r="B215" t="s">
        <v>1006</v>
      </c>
      <c r="C215" t="s">
        <v>734</v>
      </c>
      <c r="D215" s="19">
        <v>639</v>
      </c>
      <c r="E215" s="19">
        <f t="shared" si="12"/>
        <v>22.821428571428573</v>
      </c>
      <c r="F215">
        <v>0</v>
      </c>
      <c r="I215" s="19">
        <f t="shared" si="13"/>
        <v>1278</v>
      </c>
      <c r="J215" t="b">
        <f t="shared" si="14"/>
        <v>1</v>
      </c>
      <c r="K215" s="4">
        <f t="shared" si="15"/>
        <v>-1</v>
      </c>
      <c r="M215"/>
      <c r="O215"/>
    </row>
    <row r="216" spans="1:15" hidden="1">
      <c r="A216" t="s">
        <v>1345</v>
      </c>
      <c r="B216" t="s">
        <v>1010</v>
      </c>
      <c r="C216" t="s">
        <v>83</v>
      </c>
      <c r="D216" s="19">
        <v>1066</v>
      </c>
      <c r="E216" s="19">
        <f t="shared" si="12"/>
        <v>38.071428571428569</v>
      </c>
      <c r="F216">
        <v>2155.92</v>
      </c>
      <c r="I216" s="19">
        <f t="shared" si="13"/>
        <v>2132</v>
      </c>
      <c r="J216" t="b">
        <f t="shared" si="14"/>
        <v>1</v>
      </c>
      <c r="K216" s="4">
        <f t="shared" si="15"/>
        <v>1.1219512195121961E-2</v>
      </c>
      <c r="M216"/>
      <c r="O216"/>
    </row>
    <row r="217" spans="1:15" hidden="1">
      <c r="A217" t="s">
        <v>1344</v>
      </c>
      <c r="B217" t="s">
        <v>577</v>
      </c>
      <c r="C217" t="s">
        <v>578</v>
      </c>
      <c r="D217" s="19">
        <v>1071</v>
      </c>
      <c r="E217" s="19">
        <f t="shared" si="12"/>
        <v>38.25</v>
      </c>
      <c r="F217">
        <v>1310.28</v>
      </c>
      <c r="I217" s="19">
        <f t="shared" si="13"/>
        <v>2142</v>
      </c>
      <c r="J217" t="b">
        <f t="shared" si="14"/>
        <v>1</v>
      </c>
      <c r="K217" s="4">
        <f t="shared" si="15"/>
        <v>-0.38829131652661064</v>
      </c>
      <c r="M217"/>
      <c r="O217"/>
    </row>
    <row r="218" spans="1:15" hidden="1">
      <c r="A218" t="s">
        <v>1345</v>
      </c>
      <c r="B218" t="s">
        <v>942</v>
      </c>
      <c r="C218" t="s">
        <v>812</v>
      </c>
      <c r="D218" s="19">
        <v>1762</v>
      </c>
      <c r="E218" s="19">
        <f t="shared" si="12"/>
        <v>62.928571428571431</v>
      </c>
      <c r="F218">
        <v>3333.63</v>
      </c>
      <c r="I218" s="19">
        <f t="shared" si="13"/>
        <v>3524</v>
      </c>
      <c r="J218" t="b">
        <f t="shared" si="14"/>
        <v>1</v>
      </c>
      <c r="K218" s="4">
        <f t="shared" si="15"/>
        <v>-5.4020998864926173E-2</v>
      </c>
      <c r="M218"/>
      <c r="O218"/>
    </row>
    <row r="219" spans="1:15" hidden="1">
      <c r="A219" t="s">
        <v>1344</v>
      </c>
      <c r="B219" t="s">
        <v>424</v>
      </c>
      <c r="C219" t="s">
        <v>291</v>
      </c>
      <c r="D219" s="19">
        <v>1085</v>
      </c>
      <c r="E219" s="19">
        <f t="shared" si="12"/>
        <v>38.75</v>
      </c>
      <c r="F219">
        <v>1347</v>
      </c>
      <c r="I219" s="19">
        <f t="shared" si="13"/>
        <v>2170</v>
      </c>
      <c r="J219" t="b">
        <f t="shared" si="14"/>
        <v>1</v>
      </c>
      <c r="K219" s="4">
        <f t="shared" si="15"/>
        <v>-0.37926267281105985</v>
      </c>
      <c r="M219"/>
      <c r="O219"/>
    </row>
    <row r="220" spans="1:15" hidden="1">
      <c r="A220" t="s">
        <v>1345</v>
      </c>
      <c r="B220" t="s">
        <v>989</v>
      </c>
      <c r="C220" t="s">
        <v>773</v>
      </c>
      <c r="D220" s="19">
        <v>1275</v>
      </c>
      <c r="E220" s="19">
        <f t="shared" si="12"/>
        <v>45.535714285714285</v>
      </c>
      <c r="F220">
        <v>745.68</v>
      </c>
      <c r="I220" s="19">
        <f t="shared" si="13"/>
        <v>2550</v>
      </c>
      <c r="J220" t="b">
        <f t="shared" si="14"/>
        <v>1</v>
      </c>
      <c r="K220" s="4">
        <f t="shared" si="15"/>
        <v>-0.70757647058823525</v>
      </c>
      <c r="M220"/>
      <c r="O220"/>
    </row>
    <row r="221" spans="1:15">
      <c r="A221" t="s">
        <v>1346</v>
      </c>
      <c r="B221" t="s">
        <v>1074</v>
      </c>
      <c r="C221" t="s">
        <v>724</v>
      </c>
      <c r="D221" s="19">
        <v>1196</v>
      </c>
      <c r="E221" s="19">
        <f t="shared" si="12"/>
        <v>42.714285714285715</v>
      </c>
      <c r="F221">
        <v>3228.6899999999996</v>
      </c>
      <c r="I221" s="168">
        <f t="shared" si="13"/>
        <v>2392</v>
      </c>
      <c r="J221" t="b">
        <f t="shared" si="14"/>
        <v>0</v>
      </c>
      <c r="K221" s="4">
        <f t="shared" si="15"/>
        <v>0.34978678929765872</v>
      </c>
      <c r="L221" t="s">
        <v>837</v>
      </c>
      <c r="M221" s="171">
        <f>(F221/28)/E221</f>
        <v>2.6995735785953174</v>
      </c>
      <c r="N221" t="s">
        <v>1368</v>
      </c>
      <c r="O221" s="172" t="s">
        <v>1369</v>
      </c>
    </row>
    <row r="222" spans="1:15" hidden="1">
      <c r="A222" t="s">
        <v>1344</v>
      </c>
      <c r="B222" t="s">
        <v>659</v>
      </c>
      <c r="C222" t="s">
        <v>660</v>
      </c>
      <c r="D222" s="19">
        <v>1697</v>
      </c>
      <c r="E222" s="19">
        <f t="shared" si="12"/>
        <v>60.607142857142854</v>
      </c>
      <c r="F222">
        <v>1053.8499999999999</v>
      </c>
      <c r="I222" s="19">
        <f t="shared" si="13"/>
        <v>3394</v>
      </c>
      <c r="J222" t="b">
        <f t="shared" si="14"/>
        <v>1</v>
      </c>
      <c r="K222" s="4">
        <f t="shared" si="15"/>
        <v>-0.68949616971125516</v>
      </c>
      <c r="M222"/>
      <c r="O222"/>
    </row>
    <row r="223" spans="1:15" hidden="1">
      <c r="A223" t="s">
        <v>1346</v>
      </c>
      <c r="B223" t="s">
        <v>1126</v>
      </c>
      <c r="C223" t="s">
        <v>502</v>
      </c>
      <c r="D223" s="19">
        <v>1240</v>
      </c>
      <c r="E223" s="19">
        <f t="shared" si="12"/>
        <v>44.285714285714285</v>
      </c>
      <c r="F223">
        <v>2118.52</v>
      </c>
      <c r="I223" s="19">
        <f t="shared" si="13"/>
        <v>2480</v>
      </c>
      <c r="J223" t="b">
        <f t="shared" si="14"/>
        <v>1</v>
      </c>
      <c r="K223" s="4">
        <f t="shared" si="15"/>
        <v>-0.14575806451612905</v>
      </c>
      <c r="M223"/>
      <c r="O223"/>
    </row>
    <row r="224" spans="1:15" hidden="1">
      <c r="A224" t="s">
        <v>1344</v>
      </c>
      <c r="B224" t="s">
        <v>642</v>
      </c>
      <c r="C224" t="s">
        <v>643</v>
      </c>
      <c r="D224" s="19">
        <v>1523</v>
      </c>
      <c r="E224" s="19">
        <f t="shared" si="12"/>
        <v>54.392857142857146</v>
      </c>
      <c r="F224">
        <v>1064.73</v>
      </c>
      <c r="I224" s="19">
        <f t="shared" si="13"/>
        <v>3046</v>
      </c>
      <c r="J224" t="b">
        <f t="shared" si="14"/>
        <v>1</v>
      </c>
      <c r="K224" s="4">
        <f t="shared" si="15"/>
        <v>-0.65044977019041372</v>
      </c>
      <c r="M224"/>
      <c r="O224"/>
    </row>
    <row r="225" spans="1:15" hidden="1">
      <c r="A225" t="s">
        <v>1345</v>
      </c>
      <c r="B225" t="s">
        <v>971</v>
      </c>
      <c r="C225" t="s">
        <v>677</v>
      </c>
      <c r="D225" s="19">
        <v>995</v>
      </c>
      <c r="E225" s="19">
        <f t="shared" si="12"/>
        <v>35.535714285714285</v>
      </c>
      <c r="F225">
        <v>0</v>
      </c>
      <c r="I225" s="19">
        <f t="shared" si="13"/>
        <v>1990</v>
      </c>
      <c r="J225" t="b">
        <f t="shared" si="14"/>
        <v>1</v>
      </c>
      <c r="K225" s="4">
        <f t="shared" si="15"/>
        <v>-1</v>
      </c>
      <c r="M225"/>
      <c r="O225"/>
    </row>
    <row r="226" spans="1:15">
      <c r="A226" t="s">
        <v>1346</v>
      </c>
      <c r="B226" t="s">
        <v>1082</v>
      </c>
      <c r="C226" t="s">
        <v>485</v>
      </c>
      <c r="D226" s="19">
        <v>1367</v>
      </c>
      <c r="E226" s="19">
        <f t="shared" si="12"/>
        <v>48.821428571428569</v>
      </c>
      <c r="F226">
        <v>3474.0299999999997</v>
      </c>
      <c r="I226" s="168">
        <f t="shared" si="13"/>
        <v>2734</v>
      </c>
      <c r="J226" t="b">
        <f t="shared" si="14"/>
        <v>0</v>
      </c>
      <c r="K226" s="4">
        <f t="shared" si="15"/>
        <v>0.270676664228237</v>
      </c>
      <c r="L226" t="s">
        <v>837</v>
      </c>
      <c r="M226" s="171">
        <f>(F226/28)/E226</f>
        <v>2.541353328456474</v>
      </c>
      <c r="N226" t="s">
        <v>1370</v>
      </c>
      <c r="O226" s="172" t="s">
        <v>1371</v>
      </c>
    </row>
    <row r="227" spans="1:15" hidden="1">
      <c r="A227" t="s">
        <v>1344</v>
      </c>
      <c r="B227" t="s">
        <v>479</v>
      </c>
      <c r="C227" t="s">
        <v>480</v>
      </c>
      <c r="D227" s="19">
        <v>818</v>
      </c>
      <c r="E227" s="19">
        <f t="shared" si="12"/>
        <v>29.214285714285715</v>
      </c>
      <c r="F227">
        <v>361.04</v>
      </c>
      <c r="I227" s="19">
        <f t="shared" si="13"/>
        <v>1636</v>
      </c>
      <c r="J227" t="b">
        <f t="shared" si="14"/>
        <v>1</v>
      </c>
      <c r="K227" s="4">
        <f t="shared" si="15"/>
        <v>-0.77931540342298289</v>
      </c>
      <c r="M227"/>
      <c r="O227"/>
    </row>
    <row r="228" spans="1:15" hidden="1">
      <c r="A228" t="s">
        <v>1344</v>
      </c>
      <c r="B228" t="s">
        <v>599</v>
      </c>
      <c r="C228" t="s">
        <v>600</v>
      </c>
      <c r="D228" s="19">
        <v>913</v>
      </c>
      <c r="E228" s="19">
        <f t="shared" si="12"/>
        <v>32.607142857142854</v>
      </c>
      <c r="F228">
        <v>505.29</v>
      </c>
      <c r="I228" s="19">
        <f t="shared" si="13"/>
        <v>1826</v>
      </c>
      <c r="J228" t="b">
        <f t="shared" si="14"/>
        <v>1</v>
      </c>
      <c r="K228" s="4">
        <f t="shared" si="15"/>
        <v>-0.72328039430449076</v>
      </c>
      <c r="M228"/>
      <c r="O228"/>
    </row>
    <row r="229" spans="1:15" hidden="1">
      <c r="A229" t="s">
        <v>1346</v>
      </c>
      <c r="B229" t="s">
        <v>1159</v>
      </c>
      <c r="C229" t="s">
        <v>240</v>
      </c>
      <c r="D229" s="19">
        <v>1756</v>
      </c>
      <c r="E229" s="19">
        <f t="shared" si="12"/>
        <v>62.714285714285715</v>
      </c>
      <c r="F229">
        <v>2253.41</v>
      </c>
      <c r="I229" s="19">
        <f t="shared" si="13"/>
        <v>3512</v>
      </c>
      <c r="J229" t="b">
        <f t="shared" si="14"/>
        <v>1</v>
      </c>
      <c r="K229" s="4">
        <f t="shared" si="15"/>
        <v>-0.35836845102505699</v>
      </c>
      <c r="M229"/>
      <c r="O229"/>
    </row>
    <row r="230" spans="1:15" hidden="1">
      <c r="A230" t="s">
        <v>1344</v>
      </c>
      <c r="B230" t="s">
        <v>464</v>
      </c>
      <c r="C230" t="s">
        <v>465</v>
      </c>
      <c r="D230" s="19">
        <v>491</v>
      </c>
      <c r="E230" s="19">
        <f t="shared" si="12"/>
        <v>17.535714285714285</v>
      </c>
      <c r="F230" s="19">
        <v>969.17000000000007</v>
      </c>
      <c r="I230" s="19">
        <f t="shared" si="13"/>
        <v>982</v>
      </c>
      <c r="J230" t="b">
        <f t="shared" si="14"/>
        <v>1</v>
      </c>
      <c r="K230" s="4">
        <f t="shared" si="15"/>
        <v>-1.3065173116089568E-2</v>
      </c>
      <c r="M230"/>
      <c r="O230"/>
    </row>
    <row r="231" spans="1:15" hidden="1">
      <c r="A231" t="s">
        <v>1344</v>
      </c>
      <c r="B231" t="s">
        <v>441</v>
      </c>
      <c r="C231" t="s">
        <v>442</v>
      </c>
      <c r="D231" s="19">
        <v>1114</v>
      </c>
      <c r="E231" s="19">
        <f t="shared" si="12"/>
        <v>39.785714285714285</v>
      </c>
      <c r="F231">
        <v>2048.75</v>
      </c>
      <c r="I231" s="19">
        <f t="shared" si="13"/>
        <v>2228</v>
      </c>
      <c r="J231" t="b">
        <f t="shared" si="14"/>
        <v>1</v>
      </c>
      <c r="K231" s="4">
        <f t="shared" si="15"/>
        <v>-8.0453321364452379E-2</v>
      </c>
      <c r="M231"/>
      <c r="O231"/>
    </row>
    <row r="232" spans="1:15" hidden="1">
      <c r="A232" t="s">
        <v>1345</v>
      </c>
      <c r="B232" t="s">
        <v>958</v>
      </c>
      <c r="C232" t="s">
        <v>702</v>
      </c>
      <c r="D232" s="19">
        <v>939</v>
      </c>
      <c r="E232" s="19">
        <f t="shared" si="12"/>
        <v>33.535714285714285</v>
      </c>
      <c r="F232">
        <v>1224.8000000000002</v>
      </c>
      <c r="I232" s="19">
        <f t="shared" si="13"/>
        <v>1878</v>
      </c>
      <c r="J232" t="b">
        <f t="shared" si="14"/>
        <v>1</v>
      </c>
      <c r="K232" s="4">
        <f t="shared" si="15"/>
        <v>-0.34781682641107547</v>
      </c>
      <c r="M232"/>
      <c r="O232"/>
    </row>
    <row r="233" spans="1:15" hidden="1">
      <c r="A233" t="s">
        <v>1344</v>
      </c>
      <c r="B233" t="s">
        <v>588</v>
      </c>
      <c r="C233" t="s">
        <v>589</v>
      </c>
      <c r="D233" s="19">
        <v>998</v>
      </c>
      <c r="E233" s="19">
        <f t="shared" si="12"/>
        <v>35.642857142857146</v>
      </c>
      <c r="F233">
        <v>451.31</v>
      </c>
      <c r="I233" s="19">
        <f t="shared" si="13"/>
        <v>1996</v>
      </c>
      <c r="J233" t="b">
        <f t="shared" si="14"/>
        <v>1</v>
      </c>
      <c r="K233" s="4">
        <f t="shared" si="15"/>
        <v>-0.77389278557114227</v>
      </c>
      <c r="M233"/>
      <c r="O233"/>
    </row>
    <row r="234" spans="1:15" hidden="1">
      <c r="A234" t="s">
        <v>1346</v>
      </c>
      <c r="B234" t="s">
        <v>1097</v>
      </c>
      <c r="C234" t="s">
        <v>781</v>
      </c>
      <c r="D234" s="19" t="e">
        <v>#N/A</v>
      </c>
      <c r="E234" s="19" t="e">
        <f t="shared" si="12"/>
        <v>#N/A</v>
      </c>
      <c r="F234" t="e">
        <v>#N/A</v>
      </c>
      <c r="I234" s="19" t="e">
        <f t="shared" si="13"/>
        <v>#N/A</v>
      </c>
      <c r="J234" t="e">
        <f t="shared" si="14"/>
        <v>#N/A</v>
      </c>
      <c r="K234" s="4" t="e">
        <f t="shared" si="15"/>
        <v>#N/A</v>
      </c>
      <c r="M234"/>
      <c r="O234"/>
    </row>
    <row r="235" spans="1:15" hidden="1">
      <c r="A235" t="s">
        <v>1346</v>
      </c>
      <c r="B235" t="s">
        <v>1174</v>
      </c>
      <c r="C235" t="s">
        <v>545</v>
      </c>
      <c r="D235" s="19">
        <v>1317</v>
      </c>
      <c r="E235" s="19">
        <f t="shared" si="12"/>
        <v>47.035714285714285</v>
      </c>
      <c r="F235">
        <v>1115.17</v>
      </c>
      <c r="I235" s="19">
        <f t="shared" si="13"/>
        <v>2634</v>
      </c>
      <c r="J235" t="b">
        <f t="shared" si="14"/>
        <v>1</v>
      </c>
      <c r="K235" s="4">
        <f t="shared" si="15"/>
        <v>-0.57662490508731956</v>
      </c>
      <c r="M235"/>
      <c r="O235"/>
    </row>
    <row r="236" spans="1:15" hidden="1">
      <c r="A236" t="s">
        <v>1344</v>
      </c>
      <c r="B236" t="s">
        <v>256</v>
      </c>
      <c r="C236" t="s">
        <v>257</v>
      </c>
      <c r="D236" s="19">
        <v>2180</v>
      </c>
      <c r="E236" s="19">
        <f t="shared" si="12"/>
        <v>77.857142857142861</v>
      </c>
      <c r="F236">
        <v>2924.87</v>
      </c>
      <c r="I236" s="19">
        <f t="shared" si="13"/>
        <v>4360</v>
      </c>
      <c r="J236" t="b">
        <f t="shared" si="14"/>
        <v>1</v>
      </c>
      <c r="K236" s="4">
        <f t="shared" si="15"/>
        <v>-0.32915825688073397</v>
      </c>
      <c r="M236"/>
      <c r="O236"/>
    </row>
    <row r="237" spans="1:15" hidden="1">
      <c r="A237" t="s">
        <v>1345</v>
      </c>
      <c r="B237" t="s">
        <v>987</v>
      </c>
      <c r="C237" t="s">
        <v>595</v>
      </c>
      <c r="D237" s="19">
        <v>1013</v>
      </c>
      <c r="E237" s="19">
        <f t="shared" si="12"/>
        <v>36.178571428571431</v>
      </c>
      <c r="F237">
        <v>1941.5100000000002</v>
      </c>
      <c r="I237" s="19">
        <f t="shared" si="13"/>
        <v>2026</v>
      </c>
      <c r="J237" t="b">
        <f t="shared" si="14"/>
        <v>1</v>
      </c>
      <c r="K237" s="4">
        <f t="shared" si="15"/>
        <v>-4.1702862783810302E-2</v>
      </c>
      <c r="M237"/>
      <c r="O237"/>
    </row>
    <row r="238" spans="1:15" hidden="1">
      <c r="A238" t="s">
        <v>1344</v>
      </c>
      <c r="B238" t="s">
        <v>146</v>
      </c>
      <c r="C238" t="s">
        <v>147</v>
      </c>
      <c r="D238" s="19">
        <v>1170</v>
      </c>
      <c r="E238" s="19">
        <f t="shared" si="12"/>
        <v>41.785714285714285</v>
      </c>
      <c r="F238">
        <v>2193.5500000000002</v>
      </c>
      <c r="I238" s="19">
        <f t="shared" si="13"/>
        <v>2340</v>
      </c>
      <c r="J238" t="b">
        <f t="shared" si="14"/>
        <v>1</v>
      </c>
      <c r="K238" s="4">
        <f t="shared" si="15"/>
        <v>-6.2585470085469996E-2</v>
      </c>
      <c r="M238"/>
      <c r="O238"/>
    </row>
    <row r="239" spans="1:15" hidden="1">
      <c r="A239" t="s">
        <v>1346</v>
      </c>
      <c r="B239" t="s">
        <v>1099</v>
      </c>
      <c r="C239" t="s">
        <v>587</v>
      </c>
      <c r="D239" s="19">
        <v>1221</v>
      </c>
      <c r="E239" s="19">
        <f t="shared" si="12"/>
        <v>43.607142857142854</v>
      </c>
      <c r="F239">
        <v>2063.7799999999997</v>
      </c>
      <c r="I239" s="19">
        <f t="shared" si="13"/>
        <v>2442</v>
      </c>
      <c r="J239" t="b">
        <f t="shared" si="14"/>
        <v>1</v>
      </c>
      <c r="K239" s="4">
        <f t="shared" si="15"/>
        <v>-0.15488124488124499</v>
      </c>
      <c r="M239"/>
      <c r="O239"/>
    </row>
    <row r="240" spans="1:15" hidden="1">
      <c r="A240" t="s">
        <v>1344</v>
      </c>
      <c r="B240" t="s">
        <v>637</v>
      </c>
      <c r="C240" t="s">
        <v>638</v>
      </c>
      <c r="D240" s="19">
        <v>1115</v>
      </c>
      <c r="E240" s="19">
        <f t="shared" si="12"/>
        <v>39.821428571428569</v>
      </c>
      <c r="F240">
        <v>1442.3</v>
      </c>
      <c r="I240" s="19">
        <f t="shared" si="13"/>
        <v>2230</v>
      </c>
      <c r="J240" t="b">
        <f t="shared" si="14"/>
        <v>1</v>
      </c>
      <c r="K240" s="4">
        <f t="shared" si="15"/>
        <v>-0.35322869955156955</v>
      </c>
      <c r="M240"/>
      <c r="O240"/>
    </row>
    <row r="241" spans="1:11" customFormat="1" hidden="1">
      <c r="A241" t="s">
        <v>1345</v>
      </c>
      <c r="B241" t="s">
        <v>1034</v>
      </c>
      <c r="C241" t="s">
        <v>1035</v>
      </c>
      <c r="D241" s="19" t="e">
        <v>#N/A</v>
      </c>
      <c r="E241" s="19" t="e">
        <f t="shared" si="12"/>
        <v>#N/A</v>
      </c>
      <c r="F241" t="e">
        <v>#N/A</v>
      </c>
      <c r="I241" s="19" t="e">
        <f t="shared" si="13"/>
        <v>#N/A</v>
      </c>
      <c r="J241" t="e">
        <f t="shared" si="14"/>
        <v>#N/A</v>
      </c>
      <c r="K241" s="4" t="e">
        <f t="shared" si="15"/>
        <v>#N/A</v>
      </c>
    </row>
    <row r="242" spans="1:11" customFormat="1" hidden="1">
      <c r="A242" t="s">
        <v>1346</v>
      </c>
      <c r="B242" t="s">
        <v>1153</v>
      </c>
      <c r="C242" t="s">
        <v>728</v>
      </c>
      <c r="D242" s="19">
        <v>699</v>
      </c>
      <c r="E242" s="19">
        <f t="shared" si="12"/>
        <v>24.964285714285715</v>
      </c>
      <c r="F242">
        <v>606.70000000000005</v>
      </c>
      <c r="I242" s="19">
        <f t="shared" si="13"/>
        <v>1398</v>
      </c>
      <c r="J242" t="b">
        <f t="shared" si="14"/>
        <v>1</v>
      </c>
      <c r="K242" s="4">
        <f t="shared" si="15"/>
        <v>-0.56602288984263227</v>
      </c>
    </row>
    <row r="243" spans="1:11" customFormat="1" hidden="1">
      <c r="A243" t="s">
        <v>1344</v>
      </c>
      <c r="B243" t="s">
        <v>568</v>
      </c>
      <c r="C243" t="s">
        <v>569</v>
      </c>
      <c r="D243" s="19">
        <v>974</v>
      </c>
      <c r="E243" s="19">
        <f t="shared" si="12"/>
        <v>34.785714285714285</v>
      </c>
      <c r="F243">
        <v>541.53</v>
      </c>
      <c r="I243" s="19">
        <f t="shared" si="13"/>
        <v>1948</v>
      </c>
      <c r="J243" t="b">
        <f t="shared" si="14"/>
        <v>1</v>
      </c>
      <c r="K243" s="4">
        <f t="shared" si="15"/>
        <v>-0.72200718685831622</v>
      </c>
    </row>
    <row r="244" spans="1:11" customFormat="1" hidden="1">
      <c r="A244" t="s">
        <v>1345</v>
      </c>
      <c r="B244" t="s">
        <v>961</v>
      </c>
      <c r="C244" t="s">
        <v>443</v>
      </c>
      <c r="D244" s="19">
        <v>1031</v>
      </c>
      <c r="E244" s="19">
        <f t="shared" si="12"/>
        <v>36.821428571428569</v>
      </c>
      <c r="F244">
        <v>1209.78</v>
      </c>
      <c r="I244" s="19">
        <f t="shared" si="13"/>
        <v>2062</v>
      </c>
      <c r="J244" t="b">
        <f t="shared" si="14"/>
        <v>1</v>
      </c>
      <c r="K244" s="4">
        <f t="shared" si="15"/>
        <v>-0.41329776915615912</v>
      </c>
    </row>
    <row r="245" spans="1:11" customFormat="1" hidden="1">
      <c r="A245" t="s">
        <v>1344</v>
      </c>
      <c r="B245" t="s">
        <v>459</v>
      </c>
      <c r="C245" t="s">
        <v>460</v>
      </c>
      <c r="D245" s="19">
        <v>837</v>
      </c>
      <c r="E245" s="19">
        <f t="shared" si="12"/>
        <v>29.892857142857142</v>
      </c>
      <c r="F245">
        <v>1769.56</v>
      </c>
      <c r="I245" s="19">
        <f t="shared" si="13"/>
        <v>1674</v>
      </c>
      <c r="J245" t="b">
        <f t="shared" si="14"/>
        <v>1</v>
      </c>
      <c r="K245" s="4">
        <f t="shared" si="15"/>
        <v>5.7084826762246133E-2</v>
      </c>
    </row>
    <row r="246" spans="1:11" customFormat="1" hidden="1">
      <c r="A246" t="s">
        <v>1345</v>
      </c>
      <c r="B246" t="s">
        <v>919</v>
      </c>
      <c r="C246" t="s">
        <v>815</v>
      </c>
      <c r="D246" s="19">
        <v>779</v>
      </c>
      <c r="E246" s="19">
        <f t="shared" si="12"/>
        <v>27.821428571428573</v>
      </c>
      <c r="F246">
        <v>1282.3</v>
      </c>
      <c r="I246" s="19">
        <f t="shared" si="13"/>
        <v>1558</v>
      </c>
      <c r="J246" t="b">
        <f t="shared" si="14"/>
        <v>1</v>
      </c>
      <c r="K246" s="4">
        <f t="shared" si="15"/>
        <v>-0.17695763799743258</v>
      </c>
    </row>
    <row r="247" spans="1:11" customFormat="1" hidden="1">
      <c r="A247" t="s">
        <v>1346</v>
      </c>
      <c r="B247" t="s">
        <v>1125</v>
      </c>
      <c r="C247" t="s">
        <v>694</v>
      </c>
      <c r="D247" s="19">
        <v>998</v>
      </c>
      <c r="E247" s="19">
        <f t="shared" si="12"/>
        <v>35.642857142857146</v>
      </c>
      <c r="F247" s="19">
        <v>2085.38</v>
      </c>
      <c r="I247" s="19">
        <f t="shared" si="13"/>
        <v>1996</v>
      </c>
      <c r="J247" t="b">
        <f t="shared" si="14"/>
        <v>1</v>
      </c>
      <c r="K247" s="4">
        <f t="shared" si="15"/>
        <v>4.47795591182365E-2</v>
      </c>
    </row>
    <row r="248" spans="1:11" customFormat="1" hidden="1">
      <c r="A248" t="s">
        <v>1344</v>
      </c>
      <c r="B248" t="s">
        <v>310</v>
      </c>
      <c r="C248" t="s">
        <v>311</v>
      </c>
      <c r="D248" s="19">
        <v>1031</v>
      </c>
      <c r="E248" s="19">
        <f t="shared" si="12"/>
        <v>36.821428571428569</v>
      </c>
      <c r="F248">
        <v>2046.81</v>
      </c>
      <c r="I248" s="19">
        <f t="shared" si="13"/>
        <v>2062</v>
      </c>
      <c r="J248" t="b">
        <f t="shared" si="14"/>
        <v>1</v>
      </c>
      <c r="K248" s="4">
        <f t="shared" si="15"/>
        <v>-7.3666343355965891E-3</v>
      </c>
    </row>
    <row r="249" spans="1:11" customFormat="1" hidden="1">
      <c r="A249" t="s">
        <v>1345</v>
      </c>
      <c r="B249" t="s">
        <v>967</v>
      </c>
      <c r="C249" t="s">
        <v>821</v>
      </c>
      <c r="D249" s="19">
        <v>700</v>
      </c>
      <c r="E249" s="19">
        <f t="shared" si="12"/>
        <v>25</v>
      </c>
      <c r="F249">
        <v>612.22</v>
      </c>
      <c r="I249" s="19">
        <f t="shared" si="13"/>
        <v>1400</v>
      </c>
      <c r="J249" t="b">
        <f t="shared" si="14"/>
        <v>1</v>
      </c>
      <c r="K249" s="4">
        <f t="shared" si="15"/>
        <v>-0.56269999999999998</v>
      </c>
    </row>
    <row r="250" spans="1:11" customFormat="1" hidden="1">
      <c r="A250" t="s">
        <v>1345</v>
      </c>
      <c r="B250" t="s">
        <v>968</v>
      </c>
      <c r="C250" t="s">
        <v>688</v>
      </c>
      <c r="D250" s="19">
        <v>1034</v>
      </c>
      <c r="E250" s="19">
        <f t="shared" si="12"/>
        <v>36.928571428571431</v>
      </c>
      <c r="F250">
        <v>1024.58</v>
      </c>
      <c r="I250" s="19">
        <f t="shared" si="13"/>
        <v>2068</v>
      </c>
      <c r="J250" t="b">
        <f t="shared" si="14"/>
        <v>1</v>
      </c>
      <c r="K250" s="4">
        <f t="shared" si="15"/>
        <v>-0.50455512572533845</v>
      </c>
    </row>
    <row r="251" spans="1:11" customFormat="1" hidden="1">
      <c r="A251" t="s">
        <v>1344</v>
      </c>
      <c r="B251" t="s">
        <v>585</v>
      </c>
      <c r="C251" t="s">
        <v>586</v>
      </c>
      <c r="D251" s="19">
        <v>812</v>
      </c>
      <c r="E251" s="19">
        <f t="shared" si="12"/>
        <v>29</v>
      </c>
      <c r="F251">
        <v>831.11</v>
      </c>
      <c r="I251" s="19">
        <f t="shared" si="13"/>
        <v>1624</v>
      </c>
      <c r="J251" t="b">
        <f t="shared" si="14"/>
        <v>1</v>
      </c>
      <c r="K251" s="4">
        <f t="shared" si="15"/>
        <v>-0.4882327586206896</v>
      </c>
    </row>
    <row r="252" spans="1:11" customFormat="1" hidden="1">
      <c r="A252" t="s">
        <v>1346</v>
      </c>
      <c r="B252" t="s">
        <v>1162</v>
      </c>
      <c r="C252" t="s">
        <v>722</v>
      </c>
      <c r="D252" s="19">
        <v>805</v>
      </c>
      <c r="E252" s="19">
        <f t="shared" ref="E252:E305" si="16">D252/28</f>
        <v>28.75</v>
      </c>
      <c r="F252">
        <v>1297.8400000000001</v>
      </c>
      <c r="I252" s="19">
        <f t="shared" ref="I252:I305" si="17">IF((D252/28)&gt;100,D252*2,D252*2)</f>
        <v>1610</v>
      </c>
      <c r="J252" t="b">
        <f t="shared" ref="J252:J305" si="18">IF(F252&gt;1.2*I252,FALSE,TRUE)</f>
        <v>1</v>
      </c>
      <c r="K252" s="4">
        <f t="shared" ref="K252:K305" si="19">F252/I252-1</f>
        <v>-0.19388819875776386</v>
      </c>
    </row>
    <row r="253" spans="1:11" customFormat="1" hidden="1">
      <c r="A253" t="s">
        <v>1344</v>
      </c>
      <c r="B253" t="s">
        <v>469</v>
      </c>
      <c r="C253" t="s">
        <v>394</v>
      </c>
      <c r="D253" s="19">
        <v>1527</v>
      </c>
      <c r="E253" s="19">
        <f t="shared" si="16"/>
        <v>54.535714285714285</v>
      </c>
      <c r="F253">
        <v>659.85</v>
      </c>
      <c r="I253" s="19">
        <f t="shared" si="17"/>
        <v>3054</v>
      </c>
      <c r="J253" t="b">
        <f t="shared" si="18"/>
        <v>1</v>
      </c>
      <c r="K253" s="4">
        <f t="shared" si="19"/>
        <v>-0.7839390962671906</v>
      </c>
    </row>
    <row r="254" spans="1:11" customFormat="1" hidden="1">
      <c r="A254" t="s">
        <v>1346</v>
      </c>
      <c r="B254" t="s">
        <v>1183</v>
      </c>
      <c r="C254" t="s">
        <v>747</v>
      </c>
      <c r="D254" s="19">
        <v>806</v>
      </c>
      <c r="E254" s="19">
        <f t="shared" si="16"/>
        <v>28.785714285714285</v>
      </c>
      <c r="F254">
        <v>0</v>
      </c>
      <c r="I254" s="19">
        <f t="shared" si="17"/>
        <v>1612</v>
      </c>
      <c r="J254" t="b">
        <f t="shared" si="18"/>
        <v>1</v>
      </c>
      <c r="K254" s="4">
        <f t="shared" si="19"/>
        <v>-1</v>
      </c>
    </row>
    <row r="255" spans="1:11" customFormat="1" hidden="1">
      <c r="A255" t="s">
        <v>1345</v>
      </c>
      <c r="B255" t="s">
        <v>1027</v>
      </c>
      <c r="C255" t="s">
        <v>501</v>
      </c>
      <c r="D255" s="19">
        <v>1356</v>
      </c>
      <c r="E255" s="19">
        <f t="shared" si="16"/>
        <v>48.428571428571431</v>
      </c>
      <c r="F255">
        <v>174.59</v>
      </c>
      <c r="I255" s="19">
        <f t="shared" si="17"/>
        <v>2712</v>
      </c>
      <c r="J255" t="b">
        <f t="shared" si="18"/>
        <v>1</v>
      </c>
      <c r="K255" s="4">
        <f t="shared" si="19"/>
        <v>-0.93562315634218285</v>
      </c>
    </row>
    <row r="256" spans="1:11" customFormat="1" hidden="1">
      <c r="A256" t="s">
        <v>1344</v>
      </c>
      <c r="B256" t="s">
        <v>375</v>
      </c>
      <c r="C256" t="s">
        <v>376</v>
      </c>
      <c r="D256" s="19">
        <v>705</v>
      </c>
      <c r="E256" s="19">
        <f t="shared" si="16"/>
        <v>25.178571428571427</v>
      </c>
      <c r="F256">
        <v>949.65</v>
      </c>
      <c r="I256" s="19">
        <f t="shared" si="17"/>
        <v>1410</v>
      </c>
      <c r="J256" t="b">
        <f t="shared" si="18"/>
        <v>1</v>
      </c>
      <c r="K256" s="4">
        <f t="shared" si="19"/>
        <v>-0.32648936170212772</v>
      </c>
    </row>
    <row r="257" spans="1:15" hidden="1">
      <c r="A257" t="s">
        <v>1345</v>
      </c>
      <c r="B257" t="s">
        <v>951</v>
      </c>
      <c r="C257" t="s">
        <v>716</v>
      </c>
      <c r="D257" s="19">
        <v>926</v>
      </c>
      <c r="E257" s="19">
        <f t="shared" si="16"/>
        <v>33.071428571428569</v>
      </c>
      <c r="F257">
        <v>1275.5900000000001</v>
      </c>
      <c r="I257" s="19">
        <f t="shared" si="17"/>
        <v>1852</v>
      </c>
      <c r="J257" t="b">
        <f t="shared" si="18"/>
        <v>1</v>
      </c>
      <c r="K257" s="4">
        <f t="shared" si="19"/>
        <v>-0.31123650107991352</v>
      </c>
      <c r="M257"/>
      <c r="O257"/>
    </row>
    <row r="258" spans="1:15" hidden="1">
      <c r="A258" t="s">
        <v>1345</v>
      </c>
      <c r="B258" t="s">
        <v>1030</v>
      </c>
      <c r="C258" t="s">
        <v>797</v>
      </c>
      <c r="D258" s="19" t="e">
        <v>#N/A</v>
      </c>
      <c r="E258" s="19" t="e">
        <f t="shared" si="16"/>
        <v>#N/A</v>
      </c>
      <c r="F258" t="e">
        <v>#N/A</v>
      </c>
      <c r="I258" s="19" t="e">
        <f t="shared" si="17"/>
        <v>#N/A</v>
      </c>
      <c r="J258" t="e">
        <f t="shared" si="18"/>
        <v>#N/A</v>
      </c>
      <c r="K258" s="4" t="e">
        <f t="shared" si="19"/>
        <v>#N/A</v>
      </c>
      <c r="M258"/>
      <c r="O258"/>
    </row>
    <row r="259" spans="1:15" hidden="1">
      <c r="A259" t="s">
        <v>1345</v>
      </c>
      <c r="B259" t="s">
        <v>935</v>
      </c>
      <c r="C259" t="s">
        <v>717</v>
      </c>
      <c r="D259" s="19">
        <v>994</v>
      </c>
      <c r="E259" s="19">
        <f t="shared" si="16"/>
        <v>35.5</v>
      </c>
      <c r="F259">
        <v>1188.49</v>
      </c>
      <c r="I259" s="19">
        <f t="shared" si="17"/>
        <v>1988</v>
      </c>
      <c r="J259" t="b">
        <f t="shared" si="18"/>
        <v>1</v>
      </c>
      <c r="K259" s="4">
        <f t="shared" si="19"/>
        <v>-0.40216800804828978</v>
      </c>
      <c r="M259"/>
      <c r="O259"/>
    </row>
    <row r="260" spans="1:15" hidden="1">
      <c r="A260" t="s">
        <v>1344</v>
      </c>
      <c r="B260" t="s">
        <v>279</v>
      </c>
      <c r="C260" t="s">
        <v>280</v>
      </c>
      <c r="D260" s="19">
        <v>918</v>
      </c>
      <c r="E260" s="19">
        <f t="shared" si="16"/>
        <v>32.785714285714285</v>
      </c>
      <c r="F260">
        <v>1590.62</v>
      </c>
      <c r="I260" s="19">
        <f t="shared" si="17"/>
        <v>1836</v>
      </c>
      <c r="J260" t="b">
        <f t="shared" si="18"/>
        <v>1</v>
      </c>
      <c r="K260" s="4">
        <f t="shared" si="19"/>
        <v>-0.13364923747276691</v>
      </c>
      <c r="M260"/>
      <c r="O260"/>
    </row>
    <row r="261" spans="1:15" hidden="1">
      <c r="A261" t="s">
        <v>1346</v>
      </c>
      <c r="B261" t="s">
        <v>1185</v>
      </c>
      <c r="C261" t="s">
        <v>590</v>
      </c>
      <c r="D261" s="19">
        <v>1373</v>
      </c>
      <c r="E261" s="19">
        <f t="shared" si="16"/>
        <v>49.035714285714285</v>
      </c>
      <c r="F261">
        <v>2126.7600000000002</v>
      </c>
      <c r="I261" s="19">
        <f t="shared" si="17"/>
        <v>2746</v>
      </c>
      <c r="J261" t="b">
        <f t="shared" si="18"/>
        <v>1</v>
      </c>
      <c r="K261" s="4">
        <f t="shared" si="19"/>
        <v>-0.22550619082301526</v>
      </c>
      <c r="M261"/>
      <c r="O261"/>
    </row>
    <row r="262" spans="1:15">
      <c r="A262" t="s">
        <v>1346</v>
      </c>
      <c r="B262" t="s">
        <v>1090</v>
      </c>
      <c r="C262" t="s">
        <v>567</v>
      </c>
      <c r="D262" s="19">
        <v>1196</v>
      </c>
      <c r="E262" s="19">
        <f t="shared" si="16"/>
        <v>42.714285714285715</v>
      </c>
      <c r="F262" s="19">
        <v>2981.88</v>
      </c>
      <c r="I262" s="168">
        <f t="shared" si="17"/>
        <v>2392</v>
      </c>
      <c r="J262" t="b">
        <f t="shared" si="18"/>
        <v>0</v>
      </c>
      <c r="K262" s="4">
        <f t="shared" si="19"/>
        <v>0.24660535117056859</v>
      </c>
      <c r="L262" t="s">
        <v>837</v>
      </c>
      <c r="M262" s="171">
        <f>(F262/28)/E262</f>
        <v>2.4932107023411372</v>
      </c>
      <c r="N262" t="s">
        <v>1372</v>
      </c>
      <c r="O262" s="172" t="s">
        <v>1373</v>
      </c>
    </row>
    <row r="263" spans="1:15" hidden="1">
      <c r="A263" t="s">
        <v>1345</v>
      </c>
      <c r="B263" t="s">
        <v>1019</v>
      </c>
      <c r="C263" t="s">
        <v>288</v>
      </c>
      <c r="D263" s="19">
        <v>1653</v>
      </c>
      <c r="E263" s="19">
        <f t="shared" si="16"/>
        <v>59.035714285714285</v>
      </c>
      <c r="F263">
        <v>0</v>
      </c>
      <c r="I263" s="19">
        <f t="shared" si="17"/>
        <v>3306</v>
      </c>
      <c r="J263" t="b">
        <f t="shared" si="18"/>
        <v>1</v>
      </c>
      <c r="K263" s="4">
        <f t="shared" si="19"/>
        <v>-1</v>
      </c>
      <c r="M263"/>
      <c r="O263"/>
    </row>
    <row r="264" spans="1:15" hidden="1">
      <c r="A264" t="s">
        <v>1346</v>
      </c>
      <c r="B264" t="s">
        <v>1122</v>
      </c>
      <c r="C264" t="s">
        <v>456</v>
      </c>
      <c r="D264" s="19">
        <v>1350</v>
      </c>
      <c r="E264" s="19">
        <f t="shared" si="16"/>
        <v>48.214285714285715</v>
      </c>
      <c r="F264">
        <v>2713.03</v>
      </c>
      <c r="I264" s="19">
        <f t="shared" si="17"/>
        <v>2700</v>
      </c>
      <c r="J264" t="b">
        <f t="shared" si="18"/>
        <v>1</v>
      </c>
      <c r="K264" s="4">
        <f t="shared" si="19"/>
        <v>4.8259259259260112E-3</v>
      </c>
      <c r="M264"/>
      <c r="O264"/>
    </row>
    <row r="265" spans="1:15" hidden="1">
      <c r="A265" t="s">
        <v>1346</v>
      </c>
      <c r="B265" t="s">
        <v>1116</v>
      </c>
      <c r="C265" t="s">
        <v>697</v>
      </c>
      <c r="D265" s="19">
        <v>1023</v>
      </c>
      <c r="E265" s="19">
        <f t="shared" si="16"/>
        <v>36.535714285714285</v>
      </c>
      <c r="F265">
        <v>1778.4099999999999</v>
      </c>
      <c r="I265" s="19">
        <f t="shared" si="17"/>
        <v>2046</v>
      </c>
      <c r="J265" t="b">
        <f t="shared" si="18"/>
        <v>1</v>
      </c>
      <c r="K265" s="4">
        <f t="shared" si="19"/>
        <v>-0.1307869012707723</v>
      </c>
      <c r="M265"/>
      <c r="O265"/>
    </row>
    <row r="266" spans="1:15" hidden="1">
      <c r="A266" t="s">
        <v>1345</v>
      </c>
      <c r="B266" t="s">
        <v>1039</v>
      </c>
      <c r="C266" t="s">
        <v>807</v>
      </c>
      <c r="D266" s="19">
        <v>1</v>
      </c>
      <c r="E266" s="19">
        <f t="shared" si="16"/>
        <v>3.5714285714285712E-2</v>
      </c>
      <c r="F266">
        <v>0</v>
      </c>
      <c r="I266" s="19">
        <f t="shared" si="17"/>
        <v>2</v>
      </c>
      <c r="J266" t="b">
        <f t="shared" si="18"/>
        <v>1</v>
      </c>
      <c r="K266" s="4">
        <f t="shared" si="19"/>
        <v>-1</v>
      </c>
      <c r="M266"/>
      <c r="O266"/>
    </row>
    <row r="267" spans="1:15">
      <c r="A267" t="s">
        <v>1344</v>
      </c>
      <c r="B267" t="s">
        <v>265</v>
      </c>
      <c r="C267" t="s">
        <v>266</v>
      </c>
      <c r="D267" s="19">
        <v>664</v>
      </c>
      <c r="E267" s="19">
        <f t="shared" si="16"/>
        <v>23.714285714285715</v>
      </c>
      <c r="F267" s="19">
        <v>1743.67</v>
      </c>
      <c r="I267" s="168">
        <f t="shared" si="17"/>
        <v>1328</v>
      </c>
      <c r="J267" t="b">
        <f t="shared" si="18"/>
        <v>0</v>
      </c>
      <c r="K267" s="4">
        <f t="shared" si="19"/>
        <v>0.31300451807228913</v>
      </c>
      <c r="L267" t="s">
        <v>837</v>
      </c>
      <c r="M267" s="171">
        <f>(F267/28)/E267</f>
        <v>2.6260090361445783</v>
      </c>
      <c r="N267" t="s">
        <v>1374</v>
      </c>
      <c r="O267" s="178" t="s">
        <v>1375</v>
      </c>
    </row>
    <row r="268" spans="1:15" hidden="1">
      <c r="A268" t="s">
        <v>1345</v>
      </c>
      <c r="B268" t="s">
        <v>920</v>
      </c>
      <c r="C268" t="s">
        <v>741</v>
      </c>
      <c r="D268" s="19">
        <v>827</v>
      </c>
      <c r="E268" s="19">
        <f t="shared" si="16"/>
        <v>29.535714285714285</v>
      </c>
      <c r="F268">
        <v>1444.37</v>
      </c>
      <c r="I268" s="19">
        <f t="shared" si="17"/>
        <v>1654</v>
      </c>
      <c r="J268" t="b">
        <f t="shared" si="18"/>
        <v>1</v>
      </c>
      <c r="K268" s="4">
        <f t="shared" si="19"/>
        <v>-0.12674123337363974</v>
      </c>
      <c r="M268"/>
      <c r="O268"/>
    </row>
    <row r="269" spans="1:15" hidden="1">
      <c r="A269" t="s">
        <v>1344</v>
      </c>
      <c r="B269" t="s">
        <v>489</v>
      </c>
      <c r="C269" t="s">
        <v>490</v>
      </c>
      <c r="D269" s="19">
        <v>1322</v>
      </c>
      <c r="E269" s="19">
        <f t="shared" si="16"/>
        <v>47.214285714285715</v>
      </c>
      <c r="F269">
        <v>2329.3100000000004</v>
      </c>
      <c r="I269" s="19">
        <f t="shared" si="17"/>
        <v>2644</v>
      </c>
      <c r="J269" t="b">
        <f t="shared" si="18"/>
        <v>1</v>
      </c>
      <c r="K269" s="4">
        <f t="shared" si="19"/>
        <v>-0.11902042360060494</v>
      </c>
      <c r="M269"/>
      <c r="O269"/>
    </row>
    <row r="270" spans="1:15" hidden="1">
      <c r="A270" t="s">
        <v>1344</v>
      </c>
      <c r="B270" t="s">
        <v>395</v>
      </c>
      <c r="C270" t="s">
        <v>396</v>
      </c>
      <c r="D270" s="19">
        <v>0</v>
      </c>
      <c r="E270" s="19">
        <f t="shared" si="16"/>
        <v>0</v>
      </c>
      <c r="F270">
        <v>0</v>
      </c>
      <c r="I270" s="19">
        <f t="shared" si="17"/>
        <v>0</v>
      </c>
      <c r="J270" t="b">
        <f t="shared" si="18"/>
        <v>1</v>
      </c>
      <c r="K270" s="4" t="e">
        <f t="shared" si="19"/>
        <v>#DIV/0!</v>
      </c>
      <c r="M270"/>
      <c r="O270"/>
    </row>
    <row r="271" spans="1:15" hidden="1">
      <c r="A271" t="s">
        <v>1345</v>
      </c>
      <c r="B271" t="s">
        <v>913</v>
      </c>
      <c r="C271" t="s">
        <v>737</v>
      </c>
      <c r="D271" s="19">
        <v>720</v>
      </c>
      <c r="E271" s="19">
        <f t="shared" si="16"/>
        <v>25.714285714285715</v>
      </c>
      <c r="F271">
        <v>1154.8499999999999</v>
      </c>
      <c r="I271" s="19">
        <f t="shared" si="17"/>
        <v>1440</v>
      </c>
      <c r="J271" t="b">
        <f t="shared" si="18"/>
        <v>1</v>
      </c>
      <c r="K271" s="4">
        <f t="shared" si="19"/>
        <v>-0.19802083333333342</v>
      </c>
      <c r="M271"/>
      <c r="O271"/>
    </row>
    <row r="272" spans="1:15" hidden="1">
      <c r="A272" t="s">
        <v>1344</v>
      </c>
      <c r="B272" t="s">
        <v>508</v>
      </c>
      <c r="C272" t="s">
        <v>509</v>
      </c>
      <c r="D272" s="19">
        <v>589</v>
      </c>
      <c r="E272" s="19">
        <f t="shared" si="16"/>
        <v>21.035714285714285</v>
      </c>
      <c r="F272">
        <v>434.21</v>
      </c>
      <c r="I272" s="19">
        <f t="shared" si="17"/>
        <v>1178</v>
      </c>
      <c r="J272" t="b">
        <f t="shared" si="18"/>
        <v>1</v>
      </c>
      <c r="K272" s="4">
        <f t="shared" si="19"/>
        <v>-0.6314006791171477</v>
      </c>
      <c r="M272"/>
      <c r="O272"/>
    </row>
    <row r="273" spans="1:11" customFormat="1" hidden="1">
      <c r="A273" t="s">
        <v>1344</v>
      </c>
      <c r="B273" t="s">
        <v>415</v>
      </c>
      <c r="C273" t="s">
        <v>416</v>
      </c>
      <c r="D273" s="19">
        <v>942</v>
      </c>
      <c r="E273" s="19">
        <f t="shared" si="16"/>
        <v>33.642857142857146</v>
      </c>
      <c r="F273">
        <v>1357.6799999999998</v>
      </c>
      <c r="I273" s="19">
        <f t="shared" si="17"/>
        <v>1884</v>
      </c>
      <c r="J273" t="b">
        <f t="shared" si="18"/>
        <v>1</v>
      </c>
      <c r="K273" s="4">
        <f t="shared" si="19"/>
        <v>-0.2793630573248409</v>
      </c>
    </row>
    <row r="274" spans="1:11" customFormat="1" hidden="1">
      <c r="A274" t="s">
        <v>1344</v>
      </c>
      <c r="B274" t="s">
        <v>519</v>
      </c>
      <c r="C274" t="s">
        <v>520</v>
      </c>
      <c r="D274" s="19">
        <v>575</v>
      </c>
      <c r="E274" s="19">
        <f t="shared" si="16"/>
        <v>20.535714285714285</v>
      </c>
      <c r="F274">
        <v>465.07</v>
      </c>
      <c r="I274" s="19">
        <f t="shared" si="17"/>
        <v>1150</v>
      </c>
      <c r="J274" t="b">
        <f t="shared" si="18"/>
        <v>1</v>
      </c>
      <c r="K274" s="4">
        <f t="shared" si="19"/>
        <v>-0.59559130434782603</v>
      </c>
    </row>
    <row r="275" spans="1:11" customFormat="1" hidden="1">
      <c r="A275" t="s">
        <v>1344</v>
      </c>
      <c r="B275" t="s">
        <v>349</v>
      </c>
      <c r="C275" t="s">
        <v>350</v>
      </c>
      <c r="D275" s="19">
        <v>865</v>
      </c>
      <c r="E275" s="19">
        <f t="shared" si="16"/>
        <v>30.892857142857142</v>
      </c>
      <c r="F275">
        <v>1359.77</v>
      </c>
      <c r="I275" s="19">
        <f t="shared" si="17"/>
        <v>1730</v>
      </c>
      <c r="J275" t="b">
        <f t="shared" si="18"/>
        <v>1</v>
      </c>
      <c r="K275" s="4">
        <f t="shared" si="19"/>
        <v>-0.21400578034682083</v>
      </c>
    </row>
    <row r="276" spans="1:11" customFormat="1" hidden="1">
      <c r="A276" t="s">
        <v>1346</v>
      </c>
      <c r="B276" t="s">
        <v>1120</v>
      </c>
      <c r="C276" t="s">
        <v>739</v>
      </c>
      <c r="D276" s="19">
        <v>639</v>
      </c>
      <c r="E276" s="19">
        <f t="shared" si="16"/>
        <v>22.821428571428573</v>
      </c>
      <c r="F276">
        <v>759.90000000000009</v>
      </c>
      <c r="I276" s="19">
        <f t="shared" si="17"/>
        <v>1278</v>
      </c>
      <c r="J276" t="b">
        <f t="shared" si="18"/>
        <v>1</v>
      </c>
      <c r="K276" s="4">
        <f t="shared" si="19"/>
        <v>-0.40539906103286383</v>
      </c>
    </row>
    <row r="277" spans="1:11" customFormat="1" hidden="1">
      <c r="A277" t="s">
        <v>1344</v>
      </c>
      <c r="B277" t="s">
        <v>652</v>
      </c>
      <c r="C277" t="s">
        <v>653</v>
      </c>
      <c r="D277" s="19">
        <v>724</v>
      </c>
      <c r="E277" s="19">
        <f t="shared" si="16"/>
        <v>25.857142857142858</v>
      </c>
      <c r="F277">
        <v>0</v>
      </c>
      <c r="I277" s="19">
        <f t="shared" si="17"/>
        <v>1448</v>
      </c>
      <c r="J277" t="b">
        <f t="shared" si="18"/>
        <v>1</v>
      </c>
      <c r="K277" s="4">
        <f t="shared" si="19"/>
        <v>-1</v>
      </c>
    </row>
    <row r="278" spans="1:11" customFormat="1" hidden="1">
      <c r="A278" t="s">
        <v>1345</v>
      </c>
      <c r="B278" t="s">
        <v>1024</v>
      </c>
      <c r="C278" t="s">
        <v>422</v>
      </c>
      <c r="D278" s="19">
        <v>2463</v>
      </c>
      <c r="E278" s="19">
        <f t="shared" si="16"/>
        <v>87.964285714285708</v>
      </c>
      <c r="F278">
        <v>3965.7599999999998</v>
      </c>
      <c r="I278" s="19">
        <f t="shared" si="17"/>
        <v>4926</v>
      </c>
      <c r="J278" t="b">
        <f t="shared" si="18"/>
        <v>1</v>
      </c>
      <c r="K278" s="4">
        <f t="shared" si="19"/>
        <v>-0.19493300852618767</v>
      </c>
    </row>
    <row r="279" spans="1:11" customFormat="1" hidden="1">
      <c r="A279" t="s">
        <v>1346</v>
      </c>
      <c r="B279" t="s">
        <v>1172</v>
      </c>
      <c r="C279" t="s">
        <v>706</v>
      </c>
      <c r="D279" s="19">
        <v>650</v>
      </c>
      <c r="E279" s="19">
        <f t="shared" si="16"/>
        <v>23.214285714285715</v>
      </c>
      <c r="F279">
        <v>1314.01</v>
      </c>
      <c r="I279" s="19">
        <f t="shared" si="17"/>
        <v>1300</v>
      </c>
      <c r="J279" t="b">
        <f t="shared" si="18"/>
        <v>1</v>
      </c>
      <c r="K279" s="4">
        <f t="shared" si="19"/>
        <v>1.0776923076923017E-2</v>
      </c>
    </row>
    <row r="280" spans="1:11" customFormat="1" hidden="1">
      <c r="A280" t="s">
        <v>1344</v>
      </c>
      <c r="B280" t="s">
        <v>639</v>
      </c>
      <c r="C280" t="s">
        <v>640</v>
      </c>
      <c r="D280" s="19">
        <v>1200</v>
      </c>
      <c r="E280" s="19">
        <f t="shared" si="16"/>
        <v>42.857142857142854</v>
      </c>
      <c r="F280">
        <v>518.23</v>
      </c>
      <c r="I280" s="19">
        <f t="shared" si="17"/>
        <v>2400</v>
      </c>
      <c r="J280" t="b">
        <f t="shared" si="18"/>
        <v>1</v>
      </c>
      <c r="K280" s="4">
        <f t="shared" si="19"/>
        <v>-0.78407083333333327</v>
      </c>
    </row>
    <row r="281" spans="1:11" customFormat="1" hidden="1">
      <c r="A281" t="s">
        <v>1345</v>
      </c>
      <c r="B281" t="s">
        <v>914</v>
      </c>
      <c r="C281" t="s">
        <v>730</v>
      </c>
      <c r="D281" s="19">
        <v>815</v>
      </c>
      <c r="E281" s="19">
        <f t="shared" si="16"/>
        <v>29.107142857142858</v>
      </c>
      <c r="F281">
        <v>1083.0899999999999</v>
      </c>
      <c r="I281" s="19">
        <f t="shared" si="17"/>
        <v>1630</v>
      </c>
      <c r="J281" t="b">
        <f t="shared" si="18"/>
        <v>1</v>
      </c>
      <c r="K281" s="4">
        <f t="shared" si="19"/>
        <v>-0.33552760736196319</v>
      </c>
    </row>
    <row r="282" spans="1:11" customFormat="1" hidden="1">
      <c r="A282" t="s">
        <v>1344</v>
      </c>
      <c r="B282" t="s">
        <v>447</v>
      </c>
      <c r="C282" t="s">
        <v>448</v>
      </c>
      <c r="D282" s="19">
        <v>870</v>
      </c>
      <c r="E282" s="19">
        <f t="shared" si="16"/>
        <v>31.071428571428573</v>
      </c>
      <c r="F282">
        <v>1245.56</v>
      </c>
      <c r="I282" s="19">
        <f t="shared" si="17"/>
        <v>1740</v>
      </c>
      <c r="J282" t="b">
        <f t="shared" si="18"/>
        <v>1</v>
      </c>
      <c r="K282" s="4">
        <f t="shared" si="19"/>
        <v>-0.28416091954022993</v>
      </c>
    </row>
    <row r="283" spans="1:11" customFormat="1" hidden="1">
      <c r="A283" t="s">
        <v>1345</v>
      </c>
      <c r="B283" t="s">
        <v>923</v>
      </c>
      <c r="C283" t="s">
        <v>750</v>
      </c>
      <c r="D283" s="19">
        <v>448</v>
      </c>
      <c r="E283" s="19">
        <f t="shared" si="16"/>
        <v>16</v>
      </c>
      <c r="F283">
        <v>480.07</v>
      </c>
      <c r="I283" s="19">
        <f t="shared" si="17"/>
        <v>896</v>
      </c>
      <c r="J283" t="b">
        <f t="shared" si="18"/>
        <v>1</v>
      </c>
      <c r="K283" s="4">
        <f t="shared" si="19"/>
        <v>-0.46420758928571426</v>
      </c>
    </row>
    <row r="284" spans="1:11" customFormat="1" hidden="1">
      <c r="A284" t="s">
        <v>1345</v>
      </c>
      <c r="B284" t="s">
        <v>976</v>
      </c>
      <c r="C284" t="s">
        <v>813</v>
      </c>
      <c r="D284" s="19">
        <v>1298</v>
      </c>
      <c r="E284" s="19">
        <f t="shared" si="16"/>
        <v>46.357142857142854</v>
      </c>
      <c r="F284">
        <v>1094.02</v>
      </c>
      <c r="I284" s="19">
        <f t="shared" si="17"/>
        <v>2596</v>
      </c>
      <c r="J284" t="b">
        <f t="shared" si="18"/>
        <v>1</v>
      </c>
      <c r="K284" s="4">
        <f t="shared" si="19"/>
        <v>-0.57857473035439133</v>
      </c>
    </row>
    <row r="285" spans="1:11" customFormat="1" hidden="1">
      <c r="A285" t="s">
        <v>1345</v>
      </c>
      <c r="B285" t="s">
        <v>899</v>
      </c>
      <c r="C285" t="s">
        <v>571</v>
      </c>
      <c r="D285" s="19">
        <v>1390</v>
      </c>
      <c r="E285" s="19">
        <f t="shared" si="16"/>
        <v>49.642857142857146</v>
      </c>
      <c r="F285">
        <v>3330.54</v>
      </c>
      <c r="I285" s="19">
        <f t="shared" si="17"/>
        <v>2780</v>
      </c>
      <c r="J285" t="b">
        <f t="shared" si="18"/>
        <v>1</v>
      </c>
      <c r="K285" s="4">
        <f t="shared" si="19"/>
        <v>0.19803597122302152</v>
      </c>
    </row>
    <row r="286" spans="1:11" customFormat="1" hidden="1">
      <c r="A286" t="s">
        <v>1344</v>
      </c>
      <c r="B286" t="s">
        <v>593</v>
      </c>
      <c r="C286" t="s">
        <v>594</v>
      </c>
      <c r="D286" s="19">
        <v>784</v>
      </c>
      <c r="E286" s="19">
        <f t="shared" si="16"/>
        <v>28</v>
      </c>
      <c r="F286">
        <v>797.86</v>
      </c>
      <c r="I286" s="19">
        <f t="shared" si="17"/>
        <v>1568</v>
      </c>
      <c r="J286" t="b">
        <f t="shared" si="18"/>
        <v>1</v>
      </c>
      <c r="K286" s="4">
        <f t="shared" si="19"/>
        <v>-0.49116071428571428</v>
      </c>
    </row>
    <row r="287" spans="1:11" customFormat="1" hidden="1">
      <c r="A287" t="s">
        <v>1344</v>
      </c>
      <c r="B287" t="s">
        <v>173</v>
      </c>
      <c r="C287" t="s">
        <v>174</v>
      </c>
      <c r="D287" s="19">
        <v>1568</v>
      </c>
      <c r="E287" s="19">
        <f t="shared" si="16"/>
        <v>56</v>
      </c>
      <c r="F287">
        <v>3647.54</v>
      </c>
      <c r="I287" s="19">
        <f t="shared" si="17"/>
        <v>3136</v>
      </c>
      <c r="J287" t="b">
        <f t="shared" si="18"/>
        <v>1</v>
      </c>
      <c r="K287" s="4">
        <f t="shared" si="19"/>
        <v>0.16311862244897957</v>
      </c>
    </row>
    <row r="288" spans="1:11" customFormat="1" hidden="1">
      <c r="A288" t="s">
        <v>1346</v>
      </c>
      <c r="B288" t="s">
        <v>1184</v>
      </c>
      <c r="C288" t="s">
        <v>738</v>
      </c>
      <c r="D288" s="19">
        <v>667</v>
      </c>
      <c r="E288" s="19">
        <f t="shared" si="16"/>
        <v>23.821428571428573</v>
      </c>
      <c r="F288">
        <v>0</v>
      </c>
      <c r="I288" s="19">
        <f t="shared" si="17"/>
        <v>1334</v>
      </c>
      <c r="J288" t="b">
        <f t="shared" si="18"/>
        <v>1</v>
      </c>
      <c r="K288" s="4">
        <f t="shared" si="19"/>
        <v>-1</v>
      </c>
    </row>
    <row r="289" spans="1:15" hidden="1">
      <c r="A289" t="s">
        <v>1344</v>
      </c>
      <c r="B289" t="s">
        <v>367</v>
      </c>
      <c r="C289" t="s">
        <v>368</v>
      </c>
      <c r="D289" s="19">
        <v>956</v>
      </c>
      <c r="E289" s="19">
        <f t="shared" si="16"/>
        <v>34.142857142857146</v>
      </c>
      <c r="F289">
        <v>2073.1999999999998</v>
      </c>
      <c r="I289" s="19">
        <f t="shared" si="17"/>
        <v>1912</v>
      </c>
      <c r="J289" t="b">
        <f t="shared" si="18"/>
        <v>1</v>
      </c>
      <c r="K289" s="4">
        <f t="shared" si="19"/>
        <v>8.4309623430962155E-2</v>
      </c>
      <c r="M289"/>
      <c r="O289"/>
    </row>
    <row r="290" spans="1:15" hidden="1">
      <c r="A290" t="s">
        <v>1345</v>
      </c>
      <c r="B290" t="s">
        <v>981</v>
      </c>
      <c r="C290" t="s">
        <v>751</v>
      </c>
      <c r="D290" s="19">
        <v>517</v>
      </c>
      <c r="E290" s="19">
        <f t="shared" si="16"/>
        <v>18.464285714285715</v>
      </c>
      <c r="F290">
        <v>339.72</v>
      </c>
      <c r="I290" s="19">
        <f t="shared" si="17"/>
        <v>1034</v>
      </c>
      <c r="J290" t="b">
        <f t="shared" si="18"/>
        <v>1</v>
      </c>
      <c r="K290" s="4">
        <f t="shared" si="19"/>
        <v>-0.67145067698259187</v>
      </c>
      <c r="M290"/>
      <c r="O290"/>
    </row>
    <row r="291" spans="1:15" hidden="1">
      <c r="A291" t="s">
        <v>1346</v>
      </c>
      <c r="B291" t="s">
        <v>1079</v>
      </c>
      <c r="C291" t="s">
        <v>723</v>
      </c>
      <c r="D291" s="19">
        <v>829</v>
      </c>
      <c r="E291" s="19">
        <f t="shared" si="16"/>
        <v>29.607142857142858</v>
      </c>
      <c r="F291">
        <v>1811.58</v>
      </c>
      <c r="I291" s="19">
        <f t="shared" si="17"/>
        <v>1658</v>
      </c>
      <c r="J291" t="b">
        <f t="shared" si="18"/>
        <v>1</v>
      </c>
      <c r="K291" s="4">
        <f t="shared" si="19"/>
        <v>9.2629674306393239E-2</v>
      </c>
      <c r="M291"/>
      <c r="O291"/>
    </row>
    <row r="292" spans="1:15" hidden="1">
      <c r="A292" t="s">
        <v>1344</v>
      </c>
      <c r="B292" t="s">
        <v>551</v>
      </c>
      <c r="C292" t="s">
        <v>552</v>
      </c>
      <c r="D292" s="19">
        <v>549</v>
      </c>
      <c r="E292" s="19">
        <f t="shared" si="16"/>
        <v>19.607142857142858</v>
      </c>
      <c r="F292">
        <v>469.21</v>
      </c>
      <c r="I292" s="19">
        <f t="shared" si="17"/>
        <v>1098</v>
      </c>
      <c r="J292" t="b">
        <f t="shared" si="18"/>
        <v>1</v>
      </c>
      <c r="K292" s="4">
        <f t="shared" si="19"/>
        <v>-0.57266848816029148</v>
      </c>
      <c r="M292"/>
      <c r="O292"/>
    </row>
    <row r="293" spans="1:15" hidden="1">
      <c r="A293" t="s">
        <v>1344</v>
      </c>
      <c r="B293" t="s">
        <v>417</v>
      </c>
      <c r="C293" t="s">
        <v>418</v>
      </c>
      <c r="D293" s="19">
        <v>501</v>
      </c>
      <c r="E293" s="19">
        <f t="shared" si="16"/>
        <v>17.892857142857142</v>
      </c>
      <c r="F293">
        <v>143.77000000000001</v>
      </c>
      <c r="I293" s="19">
        <f t="shared" si="17"/>
        <v>1002</v>
      </c>
      <c r="J293" t="b">
        <f t="shared" si="18"/>
        <v>1</v>
      </c>
      <c r="K293" s="4">
        <f t="shared" si="19"/>
        <v>-0.8565169660678642</v>
      </c>
      <c r="M293"/>
      <c r="O293"/>
    </row>
    <row r="294" spans="1:15" hidden="1">
      <c r="A294" t="s">
        <v>1345</v>
      </c>
      <c r="B294" t="s">
        <v>911</v>
      </c>
      <c r="C294" t="s">
        <v>700</v>
      </c>
      <c r="D294" s="19">
        <v>938</v>
      </c>
      <c r="E294" s="19">
        <f t="shared" si="16"/>
        <v>33.5</v>
      </c>
      <c r="F294">
        <v>1921.43</v>
      </c>
      <c r="I294" s="19">
        <f t="shared" si="17"/>
        <v>1876</v>
      </c>
      <c r="J294" t="b">
        <f t="shared" si="18"/>
        <v>1</v>
      </c>
      <c r="K294" s="4">
        <f t="shared" si="19"/>
        <v>2.4216417910447818E-2</v>
      </c>
      <c r="M294"/>
      <c r="O294"/>
    </row>
    <row r="295" spans="1:15" hidden="1">
      <c r="A295" t="s">
        <v>1344</v>
      </c>
      <c r="B295" t="s">
        <v>506</v>
      </c>
      <c r="C295" t="s">
        <v>507</v>
      </c>
      <c r="D295" s="19">
        <v>634</v>
      </c>
      <c r="E295" s="19">
        <f t="shared" si="16"/>
        <v>22.642857142857142</v>
      </c>
      <c r="F295">
        <v>390.32</v>
      </c>
      <c r="I295" s="19">
        <f t="shared" si="17"/>
        <v>1268</v>
      </c>
      <c r="J295" t="b">
        <f t="shared" si="18"/>
        <v>1</v>
      </c>
      <c r="K295" s="4">
        <f t="shared" si="19"/>
        <v>-0.69217665615141954</v>
      </c>
      <c r="M295"/>
      <c r="O295"/>
    </row>
    <row r="296" spans="1:15" hidden="1">
      <c r="A296" t="s">
        <v>1345</v>
      </c>
      <c r="B296" t="s">
        <v>1040</v>
      </c>
      <c r="C296" t="s">
        <v>805</v>
      </c>
      <c r="D296" s="19">
        <v>1</v>
      </c>
      <c r="E296" s="19">
        <f t="shared" si="16"/>
        <v>3.5714285714285712E-2</v>
      </c>
      <c r="F296">
        <v>0</v>
      </c>
      <c r="I296" s="19">
        <f t="shared" si="17"/>
        <v>2</v>
      </c>
      <c r="J296" t="b">
        <f t="shared" si="18"/>
        <v>1</v>
      </c>
      <c r="K296" s="4">
        <f t="shared" si="19"/>
        <v>-1</v>
      </c>
      <c r="M296"/>
      <c r="O296"/>
    </row>
    <row r="297" spans="1:15" hidden="1">
      <c r="A297" t="s">
        <v>1346</v>
      </c>
      <c r="B297" t="s">
        <v>1061</v>
      </c>
      <c r="C297" t="s">
        <v>732</v>
      </c>
      <c r="D297" s="19">
        <v>704</v>
      </c>
      <c r="E297" s="19">
        <f t="shared" si="16"/>
        <v>25.142857142857142</v>
      </c>
      <c r="F297">
        <v>1403.88</v>
      </c>
      <c r="I297" s="19">
        <f t="shared" si="17"/>
        <v>1408</v>
      </c>
      <c r="J297" t="b">
        <f t="shared" si="18"/>
        <v>1</v>
      </c>
      <c r="K297" s="4">
        <f t="shared" si="19"/>
        <v>-2.9261363636362558E-3</v>
      </c>
      <c r="M297"/>
      <c r="O297"/>
    </row>
    <row r="298" spans="1:15">
      <c r="A298" t="s">
        <v>1346</v>
      </c>
      <c r="B298" t="s">
        <v>1141</v>
      </c>
      <c r="C298" t="s">
        <v>754</v>
      </c>
      <c r="D298" s="19">
        <v>512</v>
      </c>
      <c r="E298" s="19">
        <f t="shared" si="16"/>
        <v>18.285714285714285</v>
      </c>
      <c r="F298" s="19">
        <v>1460.4899999999998</v>
      </c>
      <c r="I298" s="168">
        <f t="shared" si="17"/>
        <v>1024</v>
      </c>
      <c r="J298" t="b">
        <f t="shared" si="18"/>
        <v>0</v>
      </c>
      <c r="K298" s="4">
        <f t="shared" si="19"/>
        <v>0.42625976562499979</v>
      </c>
      <c r="L298" t="s">
        <v>837</v>
      </c>
      <c r="M298" s="171">
        <f>(F298/28)/E298</f>
        <v>2.85251953125</v>
      </c>
      <c r="N298" t="s">
        <v>1376</v>
      </c>
      <c r="O298" s="178" t="s">
        <v>1377</v>
      </c>
    </row>
    <row r="299" spans="1:15" hidden="1">
      <c r="A299" t="s">
        <v>1344</v>
      </c>
      <c r="B299" t="s">
        <v>511</v>
      </c>
      <c r="C299" t="s">
        <v>512</v>
      </c>
      <c r="D299" s="19">
        <v>695</v>
      </c>
      <c r="E299" s="19">
        <f t="shared" si="16"/>
        <v>24.821428571428573</v>
      </c>
      <c r="F299">
        <v>737.28</v>
      </c>
      <c r="I299" s="19">
        <f t="shared" si="17"/>
        <v>1390</v>
      </c>
      <c r="J299" t="b">
        <f t="shared" si="18"/>
        <v>1</v>
      </c>
      <c r="K299" s="4">
        <f t="shared" si="19"/>
        <v>-0.46958273381294968</v>
      </c>
      <c r="M299"/>
      <c r="O299"/>
    </row>
    <row r="300" spans="1:15" hidden="1">
      <c r="A300" t="s">
        <v>1344</v>
      </c>
      <c r="B300" t="s">
        <v>668</v>
      </c>
      <c r="C300" t="s">
        <v>669</v>
      </c>
      <c r="D300" s="19">
        <v>3184</v>
      </c>
      <c r="E300" s="19">
        <f t="shared" si="16"/>
        <v>113.71428571428571</v>
      </c>
      <c r="F300">
        <v>1058.07</v>
      </c>
      <c r="I300" s="19">
        <f t="shared" si="17"/>
        <v>6368</v>
      </c>
      <c r="J300" t="b">
        <f t="shared" si="18"/>
        <v>1</v>
      </c>
      <c r="K300" s="4">
        <f t="shared" si="19"/>
        <v>-0.83384579145728643</v>
      </c>
      <c r="M300"/>
      <c r="O300"/>
    </row>
    <row r="301" spans="1:15" hidden="1">
      <c r="A301" t="s">
        <v>1345</v>
      </c>
      <c r="B301" t="s">
        <v>916</v>
      </c>
      <c r="C301" t="s">
        <v>744</v>
      </c>
      <c r="D301" s="19">
        <v>576</v>
      </c>
      <c r="E301" s="19">
        <f t="shared" si="16"/>
        <v>20.571428571428573</v>
      </c>
      <c r="F301">
        <v>778.44</v>
      </c>
      <c r="I301" s="19">
        <f t="shared" si="17"/>
        <v>1152</v>
      </c>
      <c r="J301" t="b">
        <f t="shared" si="18"/>
        <v>1</v>
      </c>
      <c r="K301" s="4">
        <f t="shared" si="19"/>
        <v>-0.32427083333333329</v>
      </c>
      <c r="M301"/>
      <c r="O301"/>
    </row>
    <row r="302" spans="1:15" hidden="1">
      <c r="A302" t="s">
        <v>1344</v>
      </c>
      <c r="B302" t="s">
        <v>208</v>
      </c>
      <c r="C302" t="s">
        <v>209</v>
      </c>
      <c r="D302" s="19">
        <v>424</v>
      </c>
      <c r="E302" s="19">
        <f t="shared" si="16"/>
        <v>15.142857142857142</v>
      </c>
      <c r="F302">
        <v>811.8</v>
      </c>
      <c r="I302" s="19">
        <f t="shared" si="17"/>
        <v>848</v>
      </c>
      <c r="J302" t="b">
        <f t="shared" si="18"/>
        <v>1</v>
      </c>
      <c r="K302" s="4">
        <f t="shared" si="19"/>
        <v>-4.2688679245283079E-2</v>
      </c>
      <c r="M302"/>
      <c r="O302"/>
    </row>
    <row r="303" spans="1:15" hidden="1">
      <c r="A303" t="s">
        <v>1345</v>
      </c>
      <c r="B303" t="s">
        <v>950</v>
      </c>
      <c r="C303" t="s">
        <v>748</v>
      </c>
      <c r="D303" s="19">
        <v>659</v>
      </c>
      <c r="E303" s="19">
        <f t="shared" si="16"/>
        <v>23.535714285714285</v>
      </c>
      <c r="F303">
        <v>589.6</v>
      </c>
      <c r="I303" s="19">
        <f t="shared" si="17"/>
        <v>1318</v>
      </c>
      <c r="J303" t="b">
        <f t="shared" si="18"/>
        <v>1</v>
      </c>
      <c r="K303" s="4">
        <f t="shared" si="19"/>
        <v>-0.5526555386949924</v>
      </c>
      <c r="M303"/>
      <c r="O303"/>
    </row>
    <row r="304" spans="1:15" hidden="1">
      <c r="A304" t="s">
        <v>1344</v>
      </c>
      <c r="B304" t="s">
        <v>537</v>
      </c>
      <c r="C304" t="s">
        <v>538</v>
      </c>
      <c r="D304" s="19">
        <v>949</v>
      </c>
      <c r="E304" s="19">
        <f t="shared" si="16"/>
        <v>33.892857142857146</v>
      </c>
      <c r="F304">
        <v>878.43999999999994</v>
      </c>
      <c r="I304" s="19">
        <f t="shared" si="17"/>
        <v>1898</v>
      </c>
      <c r="J304" t="b">
        <f t="shared" si="18"/>
        <v>1</v>
      </c>
      <c r="K304" s="4">
        <f t="shared" si="19"/>
        <v>-0.53717597471022138</v>
      </c>
      <c r="M304"/>
      <c r="O304"/>
    </row>
    <row r="305" spans="1:15" hidden="1">
      <c r="A305" t="s">
        <v>1344</v>
      </c>
      <c r="B305" t="s">
        <v>603</v>
      </c>
      <c r="C305" t="s">
        <v>505</v>
      </c>
      <c r="D305" s="19">
        <v>1190</v>
      </c>
      <c r="E305" s="19">
        <f t="shared" si="16"/>
        <v>42.5</v>
      </c>
      <c r="F305">
        <v>1940.49</v>
      </c>
      <c r="I305" s="19">
        <f t="shared" si="17"/>
        <v>2380</v>
      </c>
      <c r="J305" t="b">
        <f t="shared" si="18"/>
        <v>1</v>
      </c>
      <c r="K305" s="4">
        <f t="shared" si="19"/>
        <v>-0.18466806722689078</v>
      </c>
      <c r="M305"/>
      <c r="O305"/>
    </row>
    <row r="306" spans="1:15" hidden="1">
      <c r="A306" t="s">
        <v>1345</v>
      </c>
      <c r="B306" t="s">
        <v>969</v>
      </c>
      <c r="C306" t="s">
        <v>818</v>
      </c>
      <c r="D306" s="19">
        <v>801</v>
      </c>
      <c r="E306" s="19">
        <f t="shared" ref="E306:E355" si="20">D306/28</f>
        <v>28.607142857142858</v>
      </c>
      <c r="F306">
        <v>895.73</v>
      </c>
      <c r="I306" s="19">
        <f t="shared" ref="I306:I355" si="21">IF((D306/28)&gt;100,D306*2,D306*2)</f>
        <v>1602</v>
      </c>
      <c r="J306" t="b">
        <f t="shared" ref="J306:J355" si="22">IF(F306&gt;1.2*I306,FALSE,TRUE)</f>
        <v>1</v>
      </c>
      <c r="K306" s="4">
        <f t="shared" ref="K306:K355" si="23">F306/I306-1</f>
        <v>-0.44086766541822719</v>
      </c>
      <c r="M306"/>
      <c r="O306"/>
    </row>
    <row r="307" spans="1:15">
      <c r="A307" t="s">
        <v>1345</v>
      </c>
      <c r="B307" t="s">
        <v>952</v>
      </c>
      <c r="C307" t="s">
        <v>444</v>
      </c>
      <c r="D307" s="19">
        <v>1129</v>
      </c>
      <c r="E307" s="19">
        <f t="shared" si="20"/>
        <v>40.321428571428569</v>
      </c>
      <c r="F307" s="19">
        <v>3108.3099999999995</v>
      </c>
      <c r="I307" s="168">
        <f t="shared" si="21"/>
        <v>2258</v>
      </c>
      <c r="J307" t="b">
        <f t="shared" si="22"/>
        <v>0</v>
      </c>
      <c r="K307" s="4">
        <f t="shared" si="23"/>
        <v>0.37657661647475615</v>
      </c>
      <c r="L307" t="s">
        <v>837</v>
      </c>
      <c r="M307" s="171">
        <f>(F307/28)/E307</f>
        <v>2.7531532329495128</v>
      </c>
      <c r="N307" t="s">
        <v>1378</v>
      </c>
      <c r="O307" s="172" t="s">
        <v>1379</v>
      </c>
    </row>
    <row r="308" spans="1:15" hidden="1">
      <c r="A308" t="s">
        <v>1344</v>
      </c>
      <c r="B308" t="s">
        <v>483</v>
      </c>
      <c r="C308" t="s">
        <v>484</v>
      </c>
      <c r="D308" s="19">
        <v>516</v>
      </c>
      <c r="E308" s="19">
        <f t="shared" si="20"/>
        <v>18.428571428571427</v>
      </c>
      <c r="F308">
        <v>460.42</v>
      </c>
      <c r="I308" s="19">
        <f t="shared" si="21"/>
        <v>1032</v>
      </c>
      <c r="J308" t="b">
        <f t="shared" si="22"/>
        <v>1</v>
      </c>
      <c r="K308" s="4">
        <f t="shared" si="23"/>
        <v>-0.55385658914728686</v>
      </c>
      <c r="M308"/>
      <c r="O308"/>
    </row>
    <row r="309" spans="1:15" hidden="1">
      <c r="A309" t="s">
        <v>1346</v>
      </c>
      <c r="B309" t="s">
        <v>1149</v>
      </c>
      <c r="C309" t="s">
        <v>743</v>
      </c>
      <c r="D309" s="19">
        <v>778</v>
      </c>
      <c r="E309" s="19">
        <f t="shared" si="20"/>
        <v>27.785714285714285</v>
      </c>
      <c r="F309">
        <v>624.26</v>
      </c>
      <c r="I309" s="19">
        <f t="shared" si="21"/>
        <v>1556</v>
      </c>
      <c r="J309" t="b">
        <f t="shared" si="22"/>
        <v>1</v>
      </c>
      <c r="K309" s="4">
        <f t="shared" si="23"/>
        <v>-0.59880462724935735</v>
      </c>
      <c r="M309"/>
      <c r="O309"/>
    </row>
    <row r="310" spans="1:15" hidden="1">
      <c r="A310" t="s">
        <v>1344</v>
      </c>
      <c r="B310" t="s">
        <v>539</v>
      </c>
      <c r="C310" t="s">
        <v>540</v>
      </c>
      <c r="D310" s="19">
        <v>818</v>
      </c>
      <c r="E310" s="19">
        <f t="shared" si="20"/>
        <v>29.214285714285715</v>
      </c>
      <c r="F310">
        <v>31.72</v>
      </c>
      <c r="I310" s="19">
        <f t="shared" si="21"/>
        <v>1636</v>
      </c>
      <c r="J310" t="b">
        <f t="shared" si="22"/>
        <v>1</v>
      </c>
      <c r="K310" s="4">
        <f t="shared" si="23"/>
        <v>-0.98061124694376534</v>
      </c>
      <c r="M310"/>
      <c r="O310"/>
    </row>
    <row r="311" spans="1:15" hidden="1">
      <c r="A311" t="s">
        <v>1344</v>
      </c>
      <c r="B311" t="s">
        <v>301</v>
      </c>
      <c r="C311" t="s">
        <v>195</v>
      </c>
      <c r="D311" s="19">
        <v>1187</v>
      </c>
      <c r="E311" s="19">
        <f t="shared" si="20"/>
        <v>42.392857142857146</v>
      </c>
      <c r="F311">
        <v>1265.76</v>
      </c>
      <c r="I311" s="19">
        <f t="shared" si="21"/>
        <v>2374</v>
      </c>
      <c r="J311" t="b">
        <f t="shared" si="22"/>
        <v>1</v>
      </c>
      <c r="K311" s="4">
        <f t="shared" si="23"/>
        <v>-0.4668239258635215</v>
      </c>
      <c r="M311"/>
      <c r="O311"/>
    </row>
    <row r="312" spans="1:15" hidden="1">
      <c r="A312" t="s">
        <v>1345</v>
      </c>
      <c r="B312" t="s">
        <v>970</v>
      </c>
      <c r="C312" t="s">
        <v>746</v>
      </c>
      <c r="D312" s="19">
        <v>542</v>
      </c>
      <c r="E312" s="19">
        <f t="shared" si="20"/>
        <v>19.357142857142858</v>
      </c>
      <c r="F312">
        <v>482.78000000000003</v>
      </c>
      <c r="I312" s="19">
        <f t="shared" si="21"/>
        <v>1084</v>
      </c>
      <c r="J312" t="b">
        <f t="shared" si="22"/>
        <v>1</v>
      </c>
      <c r="K312" s="4">
        <f t="shared" si="23"/>
        <v>-0.55463099630996315</v>
      </c>
      <c r="M312"/>
      <c r="O312"/>
    </row>
    <row r="313" spans="1:15" hidden="1">
      <c r="A313" t="s">
        <v>1346</v>
      </c>
      <c r="B313" t="s">
        <v>1173</v>
      </c>
      <c r="C313" t="s">
        <v>715</v>
      </c>
      <c r="D313" s="19">
        <v>892</v>
      </c>
      <c r="E313" s="19">
        <f t="shared" si="20"/>
        <v>31.857142857142858</v>
      </c>
      <c r="F313">
        <v>663.4899999999999</v>
      </c>
      <c r="I313" s="19">
        <f t="shared" si="21"/>
        <v>1784</v>
      </c>
      <c r="J313" t="b">
        <f t="shared" si="22"/>
        <v>1</v>
      </c>
      <c r="K313" s="4">
        <f t="shared" si="23"/>
        <v>-0.62808856502242161</v>
      </c>
      <c r="M313"/>
      <c r="O313"/>
    </row>
    <row r="314" spans="1:15" hidden="1">
      <c r="A314" t="s">
        <v>1344</v>
      </c>
      <c r="B314" t="s">
        <v>454</v>
      </c>
      <c r="C314" t="s">
        <v>455</v>
      </c>
      <c r="D314" s="19">
        <v>443</v>
      </c>
      <c r="E314" s="19">
        <f t="shared" si="20"/>
        <v>15.821428571428571</v>
      </c>
      <c r="F314">
        <v>639.58000000000004</v>
      </c>
      <c r="I314" s="19">
        <f t="shared" si="21"/>
        <v>886</v>
      </c>
      <c r="J314" t="b">
        <f t="shared" si="22"/>
        <v>1</v>
      </c>
      <c r="K314" s="4">
        <f t="shared" si="23"/>
        <v>-0.27812641083521439</v>
      </c>
      <c r="M314"/>
      <c r="O314"/>
    </row>
    <row r="315" spans="1:15" hidden="1">
      <c r="A315" t="s">
        <v>1346</v>
      </c>
      <c r="B315" t="s">
        <v>1139</v>
      </c>
      <c r="C315" t="s">
        <v>804</v>
      </c>
      <c r="D315" s="19" t="e">
        <v>#N/A</v>
      </c>
      <c r="E315" s="19" t="e">
        <f t="shared" si="20"/>
        <v>#N/A</v>
      </c>
      <c r="F315" t="e">
        <v>#N/A</v>
      </c>
      <c r="I315" s="19" t="e">
        <f t="shared" si="21"/>
        <v>#N/A</v>
      </c>
      <c r="J315" t="e">
        <f t="shared" si="22"/>
        <v>#N/A</v>
      </c>
      <c r="K315" s="4" t="e">
        <f t="shared" si="23"/>
        <v>#N/A</v>
      </c>
      <c r="M315"/>
      <c r="O315"/>
    </row>
    <row r="316" spans="1:15" hidden="1">
      <c r="A316" t="s">
        <v>1344</v>
      </c>
      <c r="B316" t="s">
        <v>450</v>
      </c>
      <c r="C316" t="s">
        <v>451</v>
      </c>
      <c r="D316" s="19">
        <v>640</v>
      </c>
      <c r="E316" s="19">
        <f t="shared" si="20"/>
        <v>22.857142857142858</v>
      </c>
      <c r="F316">
        <v>365.66</v>
      </c>
      <c r="I316" s="19">
        <f t="shared" si="21"/>
        <v>1280</v>
      </c>
      <c r="J316" t="b">
        <f t="shared" si="22"/>
        <v>1</v>
      </c>
      <c r="K316" s="4">
        <f t="shared" si="23"/>
        <v>-0.71432812499999998</v>
      </c>
      <c r="M316"/>
      <c r="O316"/>
    </row>
    <row r="317" spans="1:15" hidden="1">
      <c r="A317" t="s">
        <v>1345</v>
      </c>
      <c r="B317" t="s">
        <v>909</v>
      </c>
      <c r="C317" t="s">
        <v>819</v>
      </c>
      <c r="D317" s="19">
        <v>712</v>
      </c>
      <c r="E317" s="19">
        <f t="shared" si="20"/>
        <v>25.428571428571427</v>
      </c>
      <c r="F317">
        <v>1636.48</v>
      </c>
      <c r="I317" s="19">
        <f t="shared" si="21"/>
        <v>1424</v>
      </c>
      <c r="J317" t="b">
        <f t="shared" si="22"/>
        <v>1</v>
      </c>
      <c r="K317" s="4">
        <f t="shared" si="23"/>
        <v>0.14921348314606742</v>
      </c>
      <c r="M317"/>
      <c r="O317"/>
    </row>
    <row r="318" spans="1:15" hidden="1">
      <c r="A318" t="s">
        <v>1346</v>
      </c>
      <c r="B318" t="s">
        <v>1112</v>
      </c>
      <c r="C318" t="s">
        <v>372</v>
      </c>
      <c r="D318" s="19">
        <v>1359</v>
      </c>
      <c r="E318" s="19">
        <f t="shared" si="20"/>
        <v>48.535714285714285</v>
      </c>
      <c r="F318">
        <v>2177.64</v>
      </c>
      <c r="I318" s="19">
        <f t="shared" si="21"/>
        <v>2718</v>
      </c>
      <c r="J318" t="b">
        <f t="shared" si="22"/>
        <v>1</v>
      </c>
      <c r="K318" s="4">
        <f t="shared" si="23"/>
        <v>-0.19880794701986759</v>
      </c>
      <c r="M318"/>
      <c r="O318"/>
    </row>
    <row r="319" spans="1:15">
      <c r="A319" t="s">
        <v>1344</v>
      </c>
      <c r="B319" t="s">
        <v>197</v>
      </c>
      <c r="C319" t="s">
        <v>198</v>
      </c>
      <c r="D319" s="19">
        <v>516</v>
      </c>
      <c r="E319" s="19">
        <f t="shared" si="20"/>
        <v>18.428571428571427</v>
      </c>
      <c r="F319">
        <v>2171.4699999999998</v>
      </c>
      <c r="I319" s="168">
        <f t="shared" si="21"/>
        <v>1032</v>
      </c>
      <c r="J319" t="b">
        <f t="shared" si="22"/>
        <v>0</v>
      </c>
      <c r="K319" s="4">
        <f t="shared" si="23"/>
        <v>1.1041375968992244</v>
      </c>
      <c r="L319" t="s">
        <v>837</v>
      </c>
      <c r="M319" s="171">
        <f>(F319/28)/E319</f>
        <v>4.2082751937984497</v>
      </c>
      <c r="N319" t="s">
        <v>1380</v>
      </c>
    </row>
    <row r="320" spans="1:15" hidden="1">
      <c r="A320" t="s">
        <v>1345</v>
      </c>
      <c r="B320" t="s">
        <v>928</v>
      </c>
      <c r="C320" t="s">
        <v>822</v>
      </c>
      <c r="D320" s="19">
        <v>475</v>
      </c>
      <c r="E320" s="19">
        <f t="shared" si="20"/>
        <v>16.964285714285715</v>
      </c>
      <c r="F320">
        <v>681.82</v>
      </c>
      <c r="I320" s="19">
        <f t="shared" si="21"/>
        <v>950</v>
      </c>
      <c r="J320" t="b">
        <f t="shared" si="22"/>
        <v>1</v>
      </c>
      <c r="K320" s="4">
        <f t="shared" si="23"/>
        <v>-0.28229473684210526</v>
      </c>
      <c r="M320"/>
      <c r="O320"/>
    </row>
    <row r="321" spans="1:11" customFormat="1" hidden="1">
      <c r="A321" t="s">
        <v>1345</v>
      </c>
      <c r="B321" t="s">
        <v>1032</v>
      </c>
      <c r="C321" t="s">
        <v>1033</v>
      </c>
      <c r="D321" s="19" t="e">
        <v>#N/A</v>
      </c>
      <c r="E321" s="19" t="e">
        <f t="shared" si="20"/>
        <v>#N/A</v>
      </c>
      <c r="F321" t="e">
        <v>#N/A</v>
      </c>
      <c r="I321" s="19" t="e">
        <f t="shared" si="21"/>
        <v>#N/A</v>
      </c>
      <c r="J321" t="e">
        <f t="shared" si="22"/>
        <v>#N/A</v>
      </c>
      <c r="K321" s="4" t="e">
        <f t="shared" si="23"/>
        <v>#N/A</v>
      </c>
    </row>
    <row r="322" spans="1:11" customFormat="1" hidden="1">
      <c r="A322" t="s">
        <v>1346</v>
      </c>
      <c r="B322" t="s">
        <v>1114</v>
      </c>
      <c r="C322" t="s">
        <v>708</v>
      </c>
      <c r="D322" s="19">
        <v>926</v>
      </c>
      <c r="E322" s="19">
        <f t="shared" si="20"/>
        <v>33.071428571428569</v>
      </c>
      <c r="F322" s="19">
        <v>1592.1799999999998</v>
      </c>
      <c r="I322" s="19">
        <f t="shared" si="21"/>
        <v>1852</v>
      </c>
      <c r="J322" t="b">
        <f t="shared" si="22"/>
        <v>1</v>
      </c>
      <c r="K322" s="4">
        <f t="shared" si="23"/>
        <v>-0.14029157667386616</v>
      </c>
    </row>
    <row r="323" spans="1:11" customFormat="1" hidden="1">
      <c r="A323" t="s">
        <v>1345</v>
      </c>
      <c r="B323" t="s">
        <v>872</v>
      </c>
      <c r="C323" t="s">
        <v>742</v>
      </c>
      <c r="D323" s="19">
        <v>3</v>
      </c>
      <c r="E323" s="19">
        <f t="shared" si="20"/>
        <v>0.10714285714285714</v>
      </c>
      <c r="F323">
        <v>0</v>
      </c>
      <c r="I323" s="19">
        <f t="shared" si="21"/>
        <v>6</v>
      </c>
      <c r="J323" t="b">
        <f t="shared" si="22"/>
        <v>1</v>
      </c>
      <c r="K323" s="4">
        <f t="shared" si="23"/>
        <v>-1</v>
      </c>
    </row>
    <row r="324" spans="1:11" customFormat="1" hidden="1">
      <c r="A324" t="s">
        <v>1346</v>
      </c>
      <c r="B324" t="s">
        <v>1182</v>
      </c>
      <c r="C324" t="s">
        <v>125</v>
      </c>
      <c r="D324" s="19">
        <v>3985</v>
      </c>
      <c r="E324" s="19">
        <f t="shared" si="20"/>
        <v>142.32142857142858</v>
      </c>
      <c r="F324">
        <v>4436.3500000000004</v>
      </c>
      <c r="I324" s="19">
        <f t="shared" si="21"/>
        <v>7970</v>
      </c>
      <c r="J324" t="b">
        <f t="shared" si="22"/>
        <v>1</v>
      </c>
      <c r="K324" s="4">
        <f t="shared" si="23"/>
        <v>-0.44336888331242152</v>
      </c>
    </row>
    <row r="325" spans="1:11" customFormat="1" hidden="1">
      <c r="A325" t="s">
        <v>1344</v>
      </c>
      <c r="B325" t="s">
        <v>516</v>
      </c>
      <c r="C325" t="s">
        <v>517</v>
      </c>
      <c r="D325" s="19">
        <v>556</v>
      </c>
      <c r="E325" s="19">
        <f t="shared" si="20"/>
        <v>19.857142857142858</v>
      </c>
      <c r="F325">
        <v>323.60000000000002</v>
      </c>
      <c r="I325" s="19">
        <f t="shared" si="21"/>
        <v>1112</v>
      </c>
      <c r="J325" t="b">
        <f t="shared" si="22"/>
        <v>1</v>
      </c>
      <c r="K325" s="4">
        <f t="shared" si="23"/>
        <v>-0.70899280575539558</v>
      </c>
    </row>
    <row r="326" spans="1:11" customFormat="1" hidden="1">
      <c r="A326" t="s">
        <v>1346</v>
      </c>
      <c r="B326" t="s">
        <v>1169</v>
      </c>
      <c r="C326" t="s">
        <v>726</v>
      </c>
      <c r="D326" s="19">
        <v>747</v>
      </c>
      <c r="E326" s="19">
        <f t="shared" si="20"/>
        <v>26.678571428571427</v>
      </c>
      <c r="F326">
        <v>523.64</v>
      </c>
      <c r="I326" s="19">
        <f t="shared" si="21"/>
        <v>1494</v>
      </c>
      <c r="J326" t="b">
        <f t="shared" si="22"/>
        <v>1</v>
      </c>
      <c r="K326" s="4">
        <f t="shared" si="23"/>
        <v>-0.64950468540829986</v>
      </c>
    </row>
    <row r="327" spans="1:11" customFormat="1" hidden="1">
      <c r="A327" t="s">
        <v>1344</v>
      </c>
      <c r="B327" t="s">
        <v>530</v>
      </c>
      <c r="C327" t="s">
        <v>531</v>
      </c>
      <c r="D327" s="19">
        <v>497</v>
      </c>
      <c r="E327" s="19">
        <f t="shared" si="20"/>
        <v>17.75</v>
      </c>
      <c r="F327">
        <v>348.89</v>
      </c>
      <c r="I327" s="19">
        <f t="shared" si="21"/>
        <v>994</v>
      </c>
      <c r="J327" t="b">
        <f t="shared" si="22"/>
        <v>1</v>
      </c>
      <c r="K327" s="4">
        <f t="shared" si="23"/>
        <v>-0.64900402414486924</v>
      </c>
    </row>
    <row r="328" spans="1:11" customFormat="1" hidden="1">
      <c r="A328" t="s">
        <v>1344</v>
      </c>
      <c r="B328" t="s">
        <v>543</v>
      </c>
      <c r="C328" t="s">
        <v>544</v>
      </c>
      <c r="D328" s="19">
        <v>454</v>
      </c>
      <c r="E328" s="19">
        <f t="shared" si="20"/>
        <v>16.214285714285715</v>
      </c>
      <c r="F328">
        <v>211.05</v>
      </c>
      <c r="I328" s="19">
        <f t="shared" si="21"/>
        <v>908</v>
      </c>
      <c r="J328" t="b">
        <f t="shared" si="22"/>
        <v>1</v>
      </c>
      <c r="K328" s="4">
        <f t="shared" si="23"/>
        <v>-0.76756607929515419</v>
      </c>
    </row>
    <row r="329" spans="1:11" customFormat="1" hidden="1">
      <c r="A329" t="s">
        <v>1344</v>
      </c>
      <c r="B329" t="s">
        <v>492</v>
      </c>
      <c r="C329" t="s">
        <v>493</v>
      </c>
      <c r="D329" s="19">
        <v>403</v>
      </c>
      <c r="E329" s="19">
        <f t="shared" si="20"/>
        <v>14.392857142857142</v>
      </c>
      <c r="F329">
        <v>436.12</v>
      </c>
      <c r="I329" s="19">
        <f t="shared" si="21"/>
        <v>806</v>
      </c>
      <c r="J329" t="b">
        <f t="shared" si="22"/>
        <v>1</v>
      </c>
      <c r="K329" s="4">
        <f t="shared" si="23"/>
        <v>-0.45890818858560789</v>
      </c>
    </row>
    <row r="330" spans="1:11" customFormat="1" hidden="1">
      <c r="A330" t="s">
        <v>1344</v>
      </c>
      <c r="B330" t="s">
        <v>616</v>
      </c>
      <c r="C330" t="s">
        <v>617</v>
      </c>
      <c r="D330" s="19">
        <v>1031</v>
      </c>
      <c r="E330" s="19">
        <f t="shared" si="20"/>
        <v>36.821428571428569</v>
      </c>
      <c r="F330">
        <v>930.73</v>
      </c>
      <c r="I330" s="19">
        <f t="shared" si="21"/>
        <v>2062</v>
      </c>
      <c r="J330" t="b">
        <f t="shared" si="22"/>
        <v>1</v>
      </c>
      <c r="K330" s="4">
        <f t="shared" si="23"/>
        <v>-0.54862754607177489</v>
      </c>
    </row>
    <row r="331" spans="1:11" customFormat="1" hidden="1">
      <c r="A331" t="s">
        <v>1345</v>
      </c>
      <c r="B331" t="s">
        <v>949</v>
      </c>
      <c r="C331" t="s">
        <v>817</v>
      </c>
      <c r="D331" s="19">
        <v>817</v>
      </c>
      <c r="E331" s="19">
        <f t="shared" si="20"/>
        <v>29.178571428571427</v>
      </c>
      <c r="F331">
        <v>951.69</v>
      </c>
      <c r="I331" s="19">
        <f t="shared" si="21"/>
        <v>1634</v>
      </c>
      <c r="J331" t="b">
        <f t="shared" si="22"/>
        <v>1</v>
      </c>
      <c r="K331" s="4">
        <f t="shared" si="23"/>
        <v>-0.41757037943696451</v>
      </c>
    </row>
    <row r="332" spans="1:11" customFormat="1" hidden="1">
      <c r="A332" t="s">
        <v>1346</v>
      </c>
      <c r="B332" t="s">
        <v>1155</v>
      </c>
      <c r="C332" t="s">
        <v>775</v>
      </c>
      <c r="D332" s="19">
        <v>235</v>
      </c>
      <c r="E332" s="19">
        <f t="shared" si="20"/>
        <v>8.3928571428571423</v>
      </c>
      <c r="F332">
        <v>0.78</v>
      </c>
      <c r="I332" s="19">
        <f t="shared" si="21"/>
        <v>470</v>
      </c>
      <c r="J332" t="b">
        <f t="shared" si="22"/>
        <v>1</v>
      </c>
      <c r="K332" s="4">
        <f t="shared" si="23"/>
        <v>-0.99834042553191493</v>
      </c>
    </row>
    <row r="333" spans="1:11" customFormat="1" hidden="1">
      <c r="A333" t="s">
        <v>1344</v>
      </c>
      <c r="B333" t="s">
        <v>466</v>
      </c>
      <c r="C333" t="s">
        <v>467</v>
      </c>
      <c r="D333" s="19">
        <v>569</v>
      </c>
      <c r="E333" s="19">
        <f t="shared" si="20"/>
        <v>20.321428571428573</v>
      </c>
      <c r="F333">
        <v>499.26</v>
      </c>
      <c r="I333" s="19">
        <f t="shared" si="21"/>
        <v>1138</v>
      </c>
      <c r="J333" t="b">
        <f t="shared" si="22"/>
        <v>1</v>
      </c>
      <c r="K333" s="4">
        <f t="shared" si="23"/>
        <v>-0.56128295254833049</v>
      </c>
    </row>
    <row r="334" spans="1:11" customFormat="1" hidden="1">
      <c r="A334" t="s">
        <v>1346</v>
      </c>
      <c r="B334" t="s">
        <v>1156</v>
      </c>
      <c r="C334" t="s">
        <v>763</v>
      </c>
      <c r="D334" s="19">
        <v>298</v>
      </c>
      <c r="E334" s="19">
        <f t="shared" si="20"/>
        <v>10.642857142857142</v>
      </c>
      <c r="F334">
        <v>0</v>
      </c>
      <c r="I334" s="19">
        <f t="shared" si="21"/>
        <v>596</v>
      </c>
      <c r="J334" t="b">
        <f t="shared" si="22"/>
        <v>1</v>
      </c>
      <c r="K334" s="4">
        <f t="shared" si="23"/>
        <v>-1</v>
      </c>
    </row>
    <row r="335" spans="1:11" customFormat="1" hidden="1">
      <c r="A335" t="s">
        <v>1345</v>
      </c>
      <c r="B335" t="s">
        <v>912</v>
      </c>
      <c r="C335" t="s">
        <v>814</v>
      </c>
      <c r="D335" s="19">
        <v>1169</v>
      </c>
      <c r="E335" s="19">
        <f t="shared" si="20"/>
        <v>41.75</v>
      </c>
      <c r="F335">
        <v>1354.58</v>
      </c>
      <c r="I335" s="19">
        <f t="shared" si="21"/>
        <v>2338</v>
      </c>
      <c r="J335" t="b">
        <f t="shared" si="22"/>
        <v>1</v>
      </c>
      <c r="K335" s="4">
        <f t="shared" si="23"/>
        <v>-0.42062446535500431</v>
      </c>
    </row>
    <row r="336" spans="1:11" customFormat="1" hidden="1">
      <c r="A336" t="s">
        <v>1344</v>
      </c>
      <c r="B336" t="s">
        <v>406</v>
      </c>
      <c r="C336" t="s">
        <v>407</v>
      </c>
      <c r="D336" s="19">
        <v>408</v>
      </c>
      <c r="E336" s="19">
        <f t="shared" si="20"/>
        <v>14.571428571428571</v>
      </c>
      <c r="F336">
        <v>392.07</v>
      </c>
      <c r="I336" s="19">
        <f t="shared" si="21"/>
        <v>816</v>
      </c>
      <c r="J336" t="b">
        <f t="shared" si="22"/>
        <v>1</v>
      </c>
      <c r="K336" s="4">
        <f t="shared" si="23"/>
        <v>-0.51952205882352942</v>
      </c>
    </row>
    <row r="337" spans="1:15" hidden="1">
      <c r="A337" t="s">
        <v>1344</v>
      </c>
      <c r="B337" t="s">
        <v>524</v>
      </c>
      <c r="C337" t="s">
        <v>525</v>
      </c>
      <c r="D337" s="19">
        <v>723</v>
      </c>
      <c r="E337" s="19">
        <f t="shared" si="20"/>
        <v>25.821428571428573</v>
      </c>
      <c r="F337" s="19">
        <v>943.81</v>
      </c>
      <c r="I337" s="19">
        <f t="shared" si="21"/>
        <v>1446</v>
      </c>
      <c r="J337" t="b">
        <f t="shared" si="22"/>
        <v>1</v>
      </c>
      <c r="K337" s="4">
        <f>F337/I337-1</f>
        <v>-0.34729598893499314</v>
      </c>
      <c r="M337"/>
      <c r="O337"/>
    </row>
    <row r="338" spans="1:15" hidden="1">
      <c r="A338" t="s">
        <v>1344</v>
      </c>
      <c r="B338" t="s">
        <v>391</v>
      </c>
      <c r="C338" t="s">
        <v>392</v>
      </c>
      <c r="D338" s="19">
        <v>0</v>
      </c>
      <c r="E338" s="19">
        <f t="shared" si="20"/>
        <v>0</v>
      </c>
      <c r="F338">
        <v>0</v>
      </c>
      <c r="I338" s="19">
        <f t="shared" si="21"/>
        <v>0</v>
      </c>
      <c r="J338" t="b">
        <f t="shared" si="22"/>
        <v>1</v>
      </c>
      <c r="K338" s="4" t="e">
        <f t="shared" si="23"/>
        <v>#DIV/0!</v>
      </c>
      <c r="M338"/>
      <c r="O338"/>
    </row>
    <row r="339" spans="1:15" hidden="1">
      <c r="A339" t="s">
        <v>1344</v>
      </c>
      <c r="B339" t="s">
        <v>620</v>
      </c>
      <c r="C339" t="s">
        <v>621</v>
      </c>
      <c r="D339" s="19">
        <v>763</v>
      </c>
      <c r="E339" s="19">
        <f t="shared" si="20"/>
        <v>27.25</v>
      </c>
      <c r="F339">
        <v>448.2</v>
      </c>
      <c r="I339" s="19">
        <f t="shared" si="21"/>
        <v>1526</v>
      </c>
      <c r="J339" t="b">
        <f t="shared" si="22"/>
        <v>1</v>
      </c>
      <c r="K339" s="4">
        <f t="shared" si="23"/>
        <v>-0.70629095674967235</v>
      </c>
      <c r="M339"/>
      <c r="O339"/>
    </row>
    <row r="340" spans="1:15" hidden="1">
      <c r="A340" t="s">
        <v>1344</v>
      </c>
      <c r="B340" t="s">
        <v>437</v>
      </c>
      <c r="C340" t="s">
        <v>438</v>
      </c>
      <c r="D340" s="19">
        <v>412</v>
      </c>
      <c r="E340" s="19">
        <f t="shared" si="20"/>
        <v>14.714285714285714</v>
      </c>
      <c r="F340">
        <v>271.04000000000002</v>
      </c>
      <c r="I340" s="19">
        <f t="shared" si="21"/>
        <v>824</v>
      </c>
      <c r="J340" t="b">
        <f t="shared" si="22"/>
        <v>1</v>
      </c>
      <c r="K340" s="4">
        <f t="shared" si="23"/>
        <v>-0.67106796116504852</v>
      </c>
      <c r="M340"/>
      <c r="O340"/>
    </row>
    <row r="341" spans="1:15" hidden="1">
      <c r="A341" t="s">
        <v>1344</v>
      </c>
      <c r="B341" t="s">
        <v>252</v>
      </c>
      <c r="C341" t="s">
        <v>253</v>
      </c>
      <c r="D341" s="19">
        <v>217</v>
      </c>
      <c r="E341" s="19">
        <f t="shared" si="20"/>
        <v>7.75</v>
      </c>
      <c r="F341">
        <v>168.09</v>
      </c>
      <c r="I341" s="19">
        <f t="shared" si="21"/>
        <v>434</v>
      </c>
      <c r="J341" t="b">
        <f t="shared" si="22"/>
        <v>1</v>
      </c>
      <c r="K341" s="4">
        <f t="shared" si="23"/>
        <v>-0.61269585253456227</v>
      </c>
      <c r="M341"/>
      <c r="O341"/>
    </row>
    <row r="342" spans="1:15" hidden="1">
      <c r="A342" t="s">
        <v>1344</v>
      </c>
      <c r="B342" t="s">
        <v>528</v>
      </c>
      <c r="C342" t="s">
        <v>529</v>
      </c>
      <c r="D342" s="19">
        <v>867</v>
      </c>
      <c r="E342" s="19">
        <f t="shared" si="20"/>
        <v>30.964285714285715</v>
      </c>
      <c r="F342">
        <v>1505.91</v>
      </c>
      <c r="I342" s="19">
        <f t="shared" si="21"/>
        <v>1734</v>
      </c>
      <c r="J342" t="b">
        <f t="shared" si="22"/>
        <v>1</v>
      </c>
      <c r="K342" s="4">
        <f t="shared" si="23"/>
        <v>-0.13153979238754321</v>
      </c>
      <c r="M342"/>
      <c r="O342"/>
    </row>
    <row r="343" spans="1:15" hidden="1">
      <c r="A343" t="s">
        <v>1344</v>
      </c>
      <c r="B343" t="s">
        <v>411</v>
      </c>
      <c r="C343" t="s">
        <v>412</v>
      </c>
      <c r="D343" s="19">
        <v>344</v>
      </c>
      <c r="E343" s="19">
        <f t="shared" si="20"/>
        <v>12.285714285714286</v>
      </c>
      <c r="F343">
        <v>178.27</v>
      </c>
      <c r="I343" s="19">
        <f t="shared" si="21"/>
        <v>688</v>
      </c>
      <c r="J343" t="b">
        <f t="shared" si="22"/>
        <v>1</v>
      </c>
      <c r="K343" s="4">
        <f t="shared" si="23"/>
        <v>-0.74088662790697679</v>
      </c>
      <c r="M343"/>
      <c r="O343"/>
    </row>
    <row r="344" spans="1:15">
      <c r="A344" t="s">
        <v>1344</v>
      </c>
      <c r="B344" t="s">
        <v>227</v>
      </c>
      <c r="C344" t="s">
        <v>228</v>
      </c>
      <c r="D344" s="19">
        <v>6</v>
      </c>
      <c r="E344" s="19">
        <f t="shared" si="20"/>
        <v>0.21428571428571427</v>
      </c>
      <c r="F344">
        <v>544.35</v>
      </c>
      <c r="I344" s="168">
        <f t="shared" si="21"/>
        <v>12</v>
      </c>
      <c r="J344" t="b">
        <f t="shared" si="22"/>
        <v>0</v>
      </c>
      <c r="K344" s="4">
        <f t="shared" si="23"/>
        <v>44.362500000000004</v>
      </c>
      <c r="L344" t="s">
        <v>837</v>
      </c>
      <c r="M344" s="171">
        <f>(F344/28)/E344</f>
        <v>90.725000000000009</v>
      </c>
      <c r="N344" t="s">
        <v>1361</v>
      </c>
    </row>
    <row r="345" spans="1:15" hidden="1">
      <c r="A345" t="s">
        <v>1344</v>
      </c>
      <c r="B345" t="s">
        <v>541</v>
      </c>
      <c r="C345" t="s">
        <v>542</v>
      </c>
      <c r="D345" s="19">
        <v>413</v>
      </c>
      <c r="E345" s="19">
        <f t="shared" si="20"/>
        <v>14.75</v>
      </c>
      <c r="F345">
        <v>311.55</v>
      </c>
      <c r="I345" s="19">
        <f t="shared" si="21"/>
        <v>826</v>
      </c>
      <c r="J345" t="b">
        <f t="shared" si="22"/>
        <v>1</v>
      </c>
      <c r="K345" s="4">
        <f t="shared" si="23"/>
        <v>-0.62282082324455201</v>
      </c>
      <c r="M345"/>
      <c r="O345"/>
    </row>
    <row r="346" spans="1:15" hidden="1">
      <c r="A346" t="s">
        <v>1346</v>
      </c>
      <c r="B346" t="s">
        <v>1150</v>
      </c>
      <c r="C346" t="s">
        <v>780</v>
      </c>
      <c r="D346" s="19">
        <v>168</v>
      </c>
      <c r="E346" s="19">
        <f t="shared" si="20"/>
        <v>6</v>
      </c>
      <c r="F346">
        <v>0</v>
      </c>
      <c r="I346" s="19">
        <f t="shared" si="21"/>
        <v>336</v>
      </c>
      <c r="J346" t="b">
        <f t="shared" si="22"/>
        <v>1</v>
      </c>
      <c r="K346" s="4">
        <f t="shared" si="23"/>
        <v>-1</v>
      </c>
      <c r="M346"/>
      <c r="O346"/>
    </row>
    <row r="347" spans="1:15" hidden="1">
      <c r="A347" t="s">
        <v>1344</v>
      </c>
      <c r="B347" t="s">
        <v>526</v>
      </c>
      <c r="C347" t="s">
        <v>527</v>
      </c>
      <c r="D347" s="19">
        <v>478</v>
      </c>
      <c r="E347" s="19">
        <f t="shared" si="20"/>
        <v>17.071428571428573</v>
      </c>
      <c r="F347">
        <v>862.88</v>
      </c>
      <c r="I347" s="19">
        <f t="shared" si="21"/>
        <v>956</v>
      </c>
      <c r="J347" t="b">
        <f t="shared" si="22"/>
        <v>1</v>
      </c>
      <c r="K347" s="4">
        <f t="shared" si="23"/>
        <v>-9.7405857740585744E-2</v>
      </c>
      <c r="M347"/>
      <c r="O347"/>
    </row>
    <row r="348" spans="1:15" hidden="1">
      <c r="A348" t="s">
        <v>1344</v>
      </c>
      <c r="B348" t="s">
        <v>486</v>
      </c>
      <c r="C348" t="s">
        <v>487</v>
      </c>
      <c r="D348" s="19">
        <v>267</v>
      </c>
      <c r="E348" s="19">
        <f t="shared" si="20"/>
        <v>9.5357142857142865</v>
      </c>
      <c r="F348">
        <v>150.11000000000001</v>
      </c>
      <c r="I348" s="19">
        <f t="shared" si="21"/>
        <v>534</v>
      </c>
      <c r="J348" t="b">
        <f t="shared" si="22"/>
        <v>1</v>
      </c>
      <c r="K348" s="4">
        <f t="shared" si="23"/>
        <v>-0.71889513108614223</v>
      </c>
      <c r="M348"/>
      <c r="O348"/>
    </row>
    <row r="349" spans="1:15" hidden="1">
      <c r="A349" t="s">
        <v>1346</v>
      </c>
      <c r="B349" t="s">
        <v>1170</v>
      </c>
      <c r="C349" t="s">
        <v>760</v>
      </c>
      <c r="D349" s="19">
        <v>334</v>
      </c>
      <c r="E349" s="19">
        <f t="shared" si="20"/>
        <v>11.928571428571429</v>
      </c>
      <c r="F349">
        <v>0</v>
      </c>
      <c r="I349" s="19">
        <f t="shared" si="21"/>
        <v>668</v>
      </c>
      <c r="J349" t="b">
        <f t="shared" si="22"/>
        <v>1</v>
      </c>
      <c r="K349" s="4">
        <f t="shared" si="23"/>
        <v>-1</v>
      </c>
      <c r="M349"/>
      <c r="O349"/>
    </row>
    <row r="350" spans="1:15" hidden="1">
      <c r="A350" t="s">
        <v>1344</v>
      </c>
      <c r="B350" t="s">
        <v>399</v>
      </c>
      <c r="C350" t="s">
        <v>400</v>
      </c>
      <c r="D350" s="19">
        <v>0</v>
      </c>
      <c r="E350" s="19">
        <f t="shared" si="20"/>
        <v>0</v>
      </c>
      <c r="F350">
        <v>0</v>
      </c>
      <c r="I350" s="19">
        <f t="shared" si="21"/>
        <v>0</v>
      </c>
      <c r="J350" t="b">
        <f t="shared" si="22"/>
        <v>1</v>
      </c>
      <c r="K350" s="4" t="e">
        <f t="shared" si="23"/>
        <v>#DIV/0!</v>
      </c>
      <c r="M350"/>
      <c r="O350"/>
    </row>
    <row r="351" spans="1:15" hidden="1">
      <c r="A351" t="s">
        <v>1346</v>
      </c>
      <c r="B351" t="s">
        <v>1113</v>
      </c>
      <c r="C351" t="s">
        <v>783</v>
      </c>
      <c r="D351" s="19">
        <v>46</v>
      </c>
      <c r="E351" s="19">
        <f t="shared" si="20"/>
        <v>1.6428571428571428</v>
      </c>
      <c r="F351">
        <v>0</v>
      </c>
      <c r="I351" s="19">
        <f t="shared" si="21"/>
        <v>92</v>
      </c>
      <c r="J351" t="b">
        <f t="shared" si="22"/>
        <v>1</v>
      </c>
      <c r="K351" s="4">
        <f t="shared" si="23"/>
        <v>-1</v>
      </c>
      <c r="M351"/>
      <c r="O351"/>
    </row>
    <row r="352" spans="1:15">
      <c r="A352" t="s">
        <v>1344</v>
      </c>
      <c r="B352" t="s">
        <v>352</v>
      </c>
      <c r="C352" t="s">
        <v>353</v>
      </c>
      <c r="D352" s="19">
        <v>1</v>
      </c>
      <c r="E352" s="19">
        <f t="shared" si="20"/>
        <v>3.5714285714285712E-2</v>
      </c>
      <c r="F352">
        <v>109.14</v>
      </c>
      <c r="I352" s="168">
        <f t="shared" si="21"/>
        <v>2</v>
      </c>
      <c r="J352" t="b">
        <f t="shared" si="22"/>
        <v>0</v>
      </c>
      <c r="K352" s="4">
        <f t="shared" si="23"/>
        <v>53.57</v>
      </c>
      <c r="L352" t="s">
        <v>837</v>
      </c>
      <c r="M352" s="171">
        <f>(F352/28)/E352</f>
        <v>109.14</v>
      </c>
      <c r="N352" t="s">
        <v>1361</v>
      </c>
    </row>
    <row r="353" spans="1:15" hidden="1">
      <c r="A353" t="s">
        <v>1346</v>
      </c>
      <c r="B353" t="s">
        <v>1102</v>
      </c>
      <c r="C353" t="s">
        <v>667</v>
      </c>
      <c r="D353" s="19">
        <v>726</v>
      </c>
      <c r="E353" s="19">
        <f t="shared" si="20"/>
        <v>25.928571428571427</v>
      </c>
      <c r="F353">
        <v>1403.84</v>
      </c>
      <c r="I353" s="19">
        <f t="shared" si="21"/>
        <v>1452</v>
      </c>
      <c r="J353" t="b">
        <f t="shared" si="22"/>
        <v>1</v>
      </c>
      <c r="K353" s="4">
        <f t="shared" si="23"/>
        <v>-3.3168044077135028E-2</v>
      </c>
      <c r="M353"/>
      <c r="O353"/>
    </row>
    <row r="354" spans="1:15" hidden="1">
      <c r="A354" t="s">
        <v>1345</v>
      </c>
      <c r="B354" t="s">
        <v>1001</v>
      </c>
      <c r="C354" t="s">
        <v>768</v>
      </c>
      <c r="D354" s="19">
        <v>310</v>
      </c>
      <c r="E354" s="19">
        <f t="shared" si="20"/>
        <v>11.071428571428571</v>
      </c>
      <c r="F354">
        <v>0</v>
      </c>
      <c r="I354" s="19">
        <f t="shared" si="21"/>
        <v>620</v>
      </c>
      <c r="J354" t="b">
        <f t="shared" si="22"/>
        <v>1</v>
      </c>
      <c r="K354" s="4">
        <f t="shared" si="23"/>
        <v>-1</v>
      </c>
      <c r="M354"/>
      <c r="O354"/>
    </row>
    <row r="355" spans="1:15" hidden="1">
      <c r="A355" t="s">
        <v>1346</v>
      </c>
      <c r="B355" t="s">
        <v>1098</v>
      </c>
      <c r="C355" t="s">
        <v>175</v>
      </c>
      <c r="D355" s="19">
        <v>737</v>
      </c>
      <c r="E355" s="19">
        <f t="shared" si="20"/>
        <v>26.321428571428573</v>
      </c>
      <c r="F355">
        <v>1474.73</v>
      </c>
      <c r="I355" s="19">
        <f t="shared" si="21"/>
        <v>1474</v>
      </c>
      <c r="J355" t="b">
        <f t="shared" si="22"/>
        <v>1</v>
      </c>
      <c r="K355" s="4">
        <f t="shared" si="23"/>
        <v>4.9525101763903123E-4</v>
      </c>
      <c r="M355"/>
      <c r="O355"/>
    </row>
    <row r="356" spans="1:15" hidden="1">
      <c r="A356" t="s">
        <v>1344</v>
      </c>
      <c r="B356" t="s">
        <v>521</v>
      </c>
      <c r="C356" t="s">
        <v>522</v>
      </c>
      <c r="D356" s="19">
        <v>484</v>
      </c>
      <c r="E356" s="19">
        <f t="shared" ref="E356:E391" si="24">D356/28</f>
        <v>17.285714285714285</v>
      </c>
      <c r="F356">
        <v>344.21</v>
      </c>
      <c r="I356" s="19">
        <f t="shared" ref="I356:I391" si="25">IF((D356/28)&gt;100,D356*2,D356*2)</f>
        <v>968</v>
      </c>
      <c r="J356" t="b">
        <f t="shared" ref="J356:J391" si="26">IF(F356&gt;1.2*I356,FALSE,TRUE)</f>
        <v>1</v>
      </c>
      <c r="K356" s="4">
        <f t="shared" ref="K356:K391" si="27">F356/I356-1</f>
        <v>-0.64441115702479346</v>
      </c>
      <c r="M356"/>
      <c r="O356"/>
    </row>
    <row r="357" spans="1:15" hidden="1">
      <c r="A357" t="s">
        <v>1344</v>
      </c>
      <c r="B357" t="s">
        <v>426</v>
      </c>
      <c r="C357" t="s">
        <v>427</v>
      </c>
      <c r="D357" s="19">
        <v>278</v>
      </c>
      <c r="E357" s="19">
        <f t="shared" si="24"/>
        <v>9.9285714285714288</v>
      </c>
      <c r="F357">
        <v>211.97</v>
      </c>
      <c r="I357" s="19">
        <f t="shared" si="25"/>
        <v>556</v>
      </c>
      <c r="J357" t="b">
        <f t="shared" si="26"/>
        <v>1</v>
      </c>
      <c r="K357" s="4">
        <f t="shared" si="27"/>
        <v>-0.61875899280575541</v>
      </c>
      <c r="M357"/>
      <c r="O357"/>
    </row>
    <row r="358" spans="1:15" hidden="1">
      <c r="A358" t="s">
        <v>1344</v>
      </c>
      <c r="B358" t="s">
        <v>383</v>
      </c>
      <c r="C358" t="s">
        <v>384</v>
      </c>
      <c r="D358" s="19">
        <v>0</v>
      </c>
      <c r="E358" s="19">
        <f t="shared" si="24"/>
        <v>0</v>
      </c>
      <c r="F358">
        <v>0</v>
      </c>
      <c r="I358" s="19">
        <f t="shared" si="25"/>
        <v>0</v>
      </c>
      <c r="J358" t="b">
        <f t="shared" si="26"/>
        <v>1</v>
      </c>
      <c r="K358" s="4" t="e">
        <f t="shared" si="27"/>
        <v>#DIV/0!</v>
      </c>
      <c r="M358"/>
      <c r="O358"/>
    </row>
    <row r="359" spans="1:15" hidden="1">
      <c r="A359" t="s">
        <v>1345</v>
      </c>
      <c r="B359" t="s">
        <v>908</v>
      </c>
      <c r="C359" t="s">
        <v>767</v>
      </c>
      <c r="D359" s="19">
        <v>15</v>
      </c>
      <c r="E359" s="19">
        <f t="shared" si="24"/>
        <v>0.5357142857142857</v>
      </c>
      <c r="F359">
        <v>17.260000000000002</v>
      </c>
      <c r="I359" s="19">
        <f t="shared" si="25"/>
        <v>30</v>
      </c>
      <c r="J359" t="b">
        <f t="shared" si="26"/>
        <v>1</v>
      </c>
      <c r="K359" s="4">
        <f t="shared" si="27"/>
        <v>-0.42466666666666664</v>
      </c>
      <c r="M359"/>
      <c r="O359"/>
    </row>
    <row r="360" spans="1:15" hidden="1">
      <c r="A360" t="s">
        <v>1346</v>
      </c>
      <c r="B360" t="s">
        <v>1154</v>
      </c>
      <c r="C360" t="s">
        <v>770</v>
      </c>
      <c r="D360" s="19">
        <v>275</v>
      </c>
      <c r="E360" s="19">
        <f t="shared" si="24"/>
        <v>9.8214285714285712</v>
      </c>
      <c r="F360">
        <v>0</v>
      </c>
      <c r="I360" s="19">
        <f t="shared" si="25"/>
        <v>550</v>
      </c>
      <c r="J360" t="b">
        <f t="shared" si="26"/>
        <v>1</v>
      </c>
      <c r="K360" s="4">
        <f t="shared" si="27"/>
        <v>-1</v>
      </c>
      <c r="M360"/>
      <c r="O360"/>
    </row>
    <row r="361" spans="1:15" ht="15.75" hidden="1" customHeight="1">
      <c r="A361" t="s">
        <v>1346</v>
      </c>
      <c r="B361" t="s">
        <v>1132</v>
      </c>
      <c r="C361" t="s">
        <v>832</v>
      </c>
      <c r="D361" s="19">
        <v>0</v>
      </c>
      <c r="E361" s="19">
        <f t="shared" si="24"/>
        <v>0</v>
      </c>
      <c r="F361">
        <v>0</v>
      </c>
      <c r="I361" s="19">
        <f t="shared" si="25"/>
        <v>0</v>
      </c>
      <c r="J361" t="b">
        <f t="shared" si="26"/>
        <v>1</v>
      </c>
      <c r="K361" s="4" t="e">
        <f t="shared" si="27"/>
        <v>#DIV/0!</v>
      </c>
      <c r="M361"/>
      <c r="O361"/>
    </row>
    <row r="362" spans="1:15" hidden="1">
      <c r="A362" t="s">
        <v>1345</v>
      </c>
      <c r="B362" t="s">
        <v>995</v>
      </c>
      <c r="C362" t="s">
        <v>824</v>
      </c>
      <c r="D362" s="19">
        <v>570</v>
      </c>
      <c r="E362" s="19">
        <f t="shared" si="24"/>
        <v>20.357142857142858</v>
      </c>
      <c r="F362">
        <v>447.4</v>
      </c>
      <c r="I362" s="19">
        <f t="shared" si="25"/>
        <v>1140</v>
      </c>
      <c r="J362" t="b">
        <f t="shared" si="26"/>
        <v>1</v>
      </c>
      <c r="K362" s="4">
        <f t="shared" si="27"/>
        <v>-0.60754385964912283</v>
      </c>
      <c r="M362"/>
      <c r="O362"/>
    </row>
    <row r="363" spans="1:15" hidden="1">
      <c r="A363" t="s">
        <v>1344</v>
      </c>
      <c r="B363" t="s">
        <v>435</v>
      </c>
      <c r="C363" t="s">
        <v>436</v>
      </c>
      <c r="D363" s="19">
        <v>351</v>
      </c>
      <c r="E363" s="19">
        <f t="shared" si="24"/>
        <v>12.535714285714286</v>
      </c>
      <c r="F363">
        <v>480.05999999999995</v>
      </c>
      <c r="I363" s="19">
        <f t="shared" si="25"/>
        <v>702</v>
      </c>
      <c r="J363" t="b">
        <f t="shared" si="26"/>
        <v>1</v>
      </c>
      <c r="K363" s="4">
        <f t="shared" si="27"/>
        <v>-0.31615384615384623</v>
      </c>
      <c r="M363"/>
      <c r="O363"/>
    </row>
    <row r="364" spans="1:15">
      <c r="A364" t="s">
        <v>1346</v>
      </c>
      <c r="B364" t="s">
        <v>1127</v>
      </c>
      <c r="C364" t="s">
        <v>718</v>
      </c>
      <c r="D364" s="19">
        <v>867</v>
      </c>
      <c r="E364" s="19">
        <f t="shared" si="24"/>
        <v>30.964285714285715</v>
      </c>
      <c r="F364">
        <v>2116.8999999999996</v>
      </c>
      <c r="I364" s="168">
        <f t="shared" si="25"/>
        <v>1734</v>
      </c>
      <c r="J364" t="b">
        <f t="shared" si="26"/>
        <v>0</v>
      </c>
      <c r="K364" s="4">
        <f t="shared" si="27"/>
        <v>0.2208189158016145</v>
      </c>
      <c r="L364" t="s">
        <v>837</v>
      </c>
      <c r="M364" s="171">
        <f>(F364/28)/E364</f>
        <v>2.441637831603229</v>
      </c>
    </row>
    <row r="365" spans="1:15" hidden="1">
      <c r="A365" t="s">
        <v>1345</v>
      </c>
      <c r="B365" t="s">
        <v>994</v>
      </c>
      <c r="C365" t="s">
        <v>766</v>
      </c>
      <c r="D365" s="19">
        <v>348</v>
      </c>
      <c r="E365" s="19">
        <f t="shared" si="24"/>
        <v>12.428571428571429</v>
      </c>
      <c r="F365">
        <v>0</v>
      </c>
      <c r="I365" s="19">
        <f t="shared" si="25"/>
        <v>696</v>
      </c>
      <c r="J365" t="b">
        <f t="shared" si="26"/>
        <v>1</v>
      </c>
      <c r="K365" s="4">
        <f t="shared" si="27"/>
        <v>-1</v>
      </c>
      <c r="M365"/>
      <c r="O365"/>
    </row>
    <row r="366" spans="1:15" hidden="1">
      <c r="A366" t="s">
        <v>1345</v>
      </c>
      <c r="B366" t="s">
        <v>932</v>
      </c>
      <c r="C366" t="s">
        <v>823</v>
      </c>
      <c r="D366" s="19">
        <v>341</v>
      </c>
      <c r="E366" s="19">
        <f t="shared" si="24"/>
        <v>12.178571428571429</v>
      </c>
      <c r="F366" s="19">
        <v>719.83</v>
      </c>
      <c r="I366" s="19">
        <f t="shared" si="25"/>
        <v>682</v>
      </c>
      <c r="J366" t="b">
        <f t="shared" si="26"/>
        <v>1</v>
      </c>
      <c r="K366" s="4">
        <f t="shared" si="27"/>
        <v>5.546920821114365E-2</v>
      </c>
      <c r="M366"/>
      <c r="O366"/>
    </row>
    <row r="367" spans="1:15" hidden="1">
      <c r="A367" t="s">
        <v>1344</v>
      </c>
      <c r="B367" t="s">
        <v>360</v>
      </c>
      <c r="C367" t="s">
        <v>361</v>
      </c>
      <c r="D367" s="19">
        <v>182</v>
      </c>
      <c r="E367" s="19">
        <f t="shared" si="24"/>
        <v>6.5</v>
      </c>
      <c r="F367">
        <v>321.54000000000002</v>
      </c>
      <c r="I367" s="19">
        <f t="shared" si="25"/>
        <v>364</v>
      </c>
      <c r="J367" t="b">
        <f t="shared" si="26"/>
        <v>1</v>
      </c>
      <c r="K367" s="4">
        <f t="shared" si="27"/>
        <v>-0.11664835164835163</v>
      </c>
      <c r="M367"/>
      <c r="O367"/>
    </row>
    <row r="368" spans="1:15" hidden="1">
      <c r="A368" t="s">
        <v>1344</v>
      </c>
      <c r="B368" t="s">
        <v>612</v>
      </c>
      <c r="C368" t="s">
        <v>613</v>
      </c>
      <c r="D368" s="19">
        <v>576</v>
      </c>
      <c r="E368" s="19">
        <f t="shared" si="24"/>
        <v>20.571428571428573</v>
      </c>
      <c r="F368">
        <v>0</v>
      </c>
      <c r="I368" s="19">
        <f t="shared" si="25"/>
        <v>1152</v>
      </c>
      <c r="J368" t="b">
        <f t="shared" si="26"/>
        <v>1</v>
      </c>
      <c r="K368" s="4">
        <f t="shared" si="27"/>
        <v>-1</v>
      </c>
      <c r="M368"/>
      <c r="O368"/>
    </row>
    <row r="369" spans="1:11" customFormat="1" hidden="1">
      <c r="A369" t="s">
        <v>1344</v>
      </c>
      <c r="B369" t="s">
        <v>408</v>
      </c>
      <c r="C369" t="s">
        <v>409</v>
      </c>
      <c r="D369" s="19">
        <v>242</v>
      </c>
      <c r="E369" s="19">
        <f t="shared" si="24"/>
        <v>8.6428571428571423</v>
      </c>
      <c r="F369">
        <v>128.13999999999999</v>
      </c>
      <c r="I369" s="19">
        <f t="shared" si="25"/>
        <v>484</v>
      </c>
      <c r="J369" t="b">
        <f t="shared" si="26"/>
        <v>1</v>
      </c>
      <c r="K369" s="4">
        <f t="shared" si="27"/>
        <v>-0.73524793388429754</v>
      </c>
    </row>
    <row r="370" spans="1:11" customFormat="1" hidden="1">
      <c r="A370" t="s">
        <v>1346</v>
      </c>
      <c r="B370" t="s">
        <v>1064</v>
      </c>
      <c r="C370" t="s">
        <v>389</v>
      </c>
      <c r="D370" s="19">
        <v>1379</v>
      </c>
      <c r="E370" s="19">
        <f t="shared" si="24"/>
        <v>49.25</v>
      </c>
      <c r="F370">
        <v>2889</v>
      </c>
      <c r="I370" s="19">
        <f t="shared" si="25"/>
        <v>2758</v>
      </c>
      <c r="J370" t="b">
        <f t="shared" si="26"/>
        <v>1</v>
      </c>
      <c r="K370" s="4">
        <f t="shared" si="27"/>
        <v>4.7498187092095634E-2</v>
      </c>
    </row>
    <row r="371" spans="1:11" customFormat="1" hidden="1">
      <c r="A371" t="s">
        <v>1345</v>
      </c>
      <c r="B371" t="s">
        <v>906</v>
      </c>
      <c r="C371" t="s">
        <v>267</v>
      </c>
      <c r="D371" s="19">
        <v>1531</v>
      </c>
      <c r="E371" s="19">
        <f t="shared" si="24"/>
        <v>54.678571428571431</v>
      </c>
      <c r="F371">
        <v>3324.98</v>
      </c>
      <c r="I371" s="19">
        <f t="shared" si="25"/>
        <v>3062</v>
      </c>
      <c r="J371" t="b">
        <f t="shared" si="26"/>
        <v>1</v>
      </c>
      <c r="K371" s="4">
        <f t="shared" si="27"/>
        <v>8.588504245591122E-2</v>
      </c>
    </row>
    <row r="372" spans="1:11" customFormat="1" hidden="1">
      <c r="A372" t="s">
        <v>1344</v>
      </c>
      <c r="B372" t="s">
        <v>557</v>
      </c>
      <c r="C372" t="s">
        <v>558</v>
      </c>
      <c r="D372" s="19">
        <v>495</v>
      </c>
      <c r="E372" s="19">
        <f t="shared" si="24"/>
        <v>17.678571428571427</v>
      </c>
      <c r="F372">
        <v>212.22</v>
      </c>
      <c r="I372" s="19">
        <f t="shared" si="25"/>
        <v>990</v>
      </c>
      <c r="J372" t="b">
        <f t="shared" si="26"/>
        <v>1</v>
      </c>
      <c r="K372" s="4">
        <f t="shared" si="27"/>
        <v>-0.78563636363636369</v>
      </c>
    </row>
    <row r="373" spans="1:11" customFormat="1" hidden="1">
      <c r="A373" t="s">
        <v>1346</v>
      </c>
      <c r="B373" t="s">
        <v>1179</v>
      </c>
      <c r="C373" t="s">
        <v>764</v>
      </c>
      <c r="D373" s="19">
        <v>371</v>
      </c>
      <c r="E373" s="19">
        <f t="shared" si="24"/>
        <v>13.25</v>
      </c>
      <c r="F373">
        <v>146.54</v>
      </c>
      <c r="I373" s="19">
        <f t="shared" si="25"/>
        <v>742</v>
      </c>
      <c r="J373" t="b">
        <f t="shared" si="26"/>
        <v>1</v>
      </c>
      <c r="K373" s="4">
        <f t="shared" si="27"/>
        <v>-0.80250673854447441</v>
      </c>
    </row>
    <row r="374" spans="1:11" customFormat="1" hidden="1">
      <c r="A374" t="s">
        <v>1344</v>
      </c>
      <c r="B374" t="s">
        <v>503</v>
      </c>
      <c r="C374" t="s">
        <v>504</v>
      </c>
      <c r="D374" s="19">
        <v>282</v>
      </c>
      <c r="E374" s="19">
        <f t="shared" si="24"/>
        <v>10.071428571428571</v>
      </c>
      <c r="F374">
        <v>374.55</v>
      </c>
      <c r="I374" s="19">
        <f t="shared" si="25"/>
        <v>564</v>
      </c>
      <c r="J374" t="b">
        <f t="shared" si="26"/>
        <v>1</v>
      </c>
      <c r="K374" s="4">
        <f t="shared" si="27"/>
        <v>-0.33590425531914891</v>
      </c>
    </row>
    <row r="375" spans="1:11" customFormat="1" hidden="1">
      <c r="A375" t="s">
        <v>1345</v>
      </c>
      <c r="B375" t="s">
        <v>936</v>
      </c>
      <c r="C375" t="s">
        <v>826</v>
      </c>
      <c r="D375" s="19">
        <v>152</v>
      </c>
      <c r="E375" s="19">
        <f t="shared" si="24"/>
        <v>5.4285714285714288</v>
      </c>
      <c r="F375">
        <v>116.5</v>
      </c>
      <c r="I375" s="19">
        <f t="shared" si="25"/>
        <v>304</v>
      </c>
      <c r="J375" t="b">
        <f t="shared" si="26"/>
        <v>1</v>
      </c>
      <c r="K375" s="4">
        <f t="shared" si="27"/>
        <v>-0.61677631578947367</v>
      </c>
    </row>
    <row r="376" spans="1:11" customFormat="1" hidden="1">
      <c r="A376" t="s">
        <v>1345</v>
      </c>
      <c r="B376" t="s">
        <v>1031</v>
      </c>
      <c r="C376" t="s">
        <v>827</v>
      </c>
      <c r="D376" s="19" t="e">
        <v>#N/A</v>
      </c>
      <c r="E376" s="19" t="e">
        <f t="shared" si="24"/>
        <v>#N/A</v>
      </c>
      <c r="F376" t="e">
        <v>#N/A</v>
      </c>
      <c r="I376" s="19" t="e">
        <f t="shared" si="25"/>
        <v>#N/A</v>
      </c>
      <c r="J376" t="e">
        <f t="shared" si="26"/>
        <v>#N/A</v>
      </c>
      <c r="K376" s="4" t="e">
        <f t="shared" si="27"/>
        <v>#N/A</v>
      </c>
    </row>
    <row r="377" spans="1:11" customFormat="1" hidden="1">
      <c r="A377" t="s">
        <v>1345</v>
      </c>
      <c r="B377" t="s">
        <v>1002</v>
      </c>
      <c r="C377" t="s">
        <v>206</v>
      </c>
      <c r="D377" s="19">
        <v>1407</v>
      </c>
      <c r="E377" s="19">
        <f t="shared" si="24"/>
        <v>50.25</v>
      </c>
      <c r="F377">
        <v>3102.49</v>
      </c>
      <c r="I377" s="19">
        <f t="shared" si="25"/>
        <v>2814</v>
      </c>
      <c r="J377" t="b">
        <f t="shared" si="26"/>
        <v>1</v>
      </c>
      <c r="K377" s="4">
        <f t="shared" si="27"/>
        <v>0.10251954513148531</v>
      </c>
    </row>
    <row r="378" spans="1:11" customFormat="1" hidden="1">
      <c r="A378" t="s">
        <v>1344</v>
      </c>
      <c r="B378" t="s">
        <v>445</v>
      </c>
      <c r="C378" t="s">
        <v>285</v>
      </c>
      <c r="D378" s="19">
        <v>2308</v>
      </c>
      <c r="E378" s="19">
        <f t="shared" si="24"/>
        <v>82.428571428571431</v>
      </c>
      <c r="F378">
        <v>2264.17</v>
      </c>
      <c r="I378" s="19">
        <f t="shared" si="25"/>
        <v>4616</v>
      </c>
      <c r="J378" t="b">
        <f t="shared" si="26"/>
        <v>1</v>
      </c>
      <c r="K378" s="4">
        <f t="shared" si="27"/>
        <v>-0.50949523396880414</v>
      </c>
    </row>
    <row r="379" spans="1:11" customFormat="1" hidden="1">
      <c r="A379" t="s">
        <v>1344</v>
      </c>
      <c r="B379" t="s">
        <v>387</v>
      </c>
      <c r="C379" t="s">
        <v>388</v>
      </c>
      <c r="D379" s="19">
        <v>0</v>
      </c>
      <c r="E379" s="19">
        <f t="shared" si="24"/>
        <v>0</v>
      </c>
      <c r="F379">
        <v>0</v>
      </c>
      <c r="I379" s="19">
        <f t="shared" si="25"/>
        <v>0</v>
      </c>
      <c r="J379" t="b">
        <f t="shared" si="26"/>
        <v>1</v>
      </c>
      <c r="K379" s="4" t="e">
        <f t="shared" si="27"/>
        <v>#DIV/0!</v>
      </c>
    </row>
    <row r="380" spans="1:11" customFormat="1" hidden="1">
      <c r="A380" t="s">
        <v>1344</v>
      </c>
      <c r="B380" t="s">
        <v>471</v>
      </c>
      <c r="C380" t="s">
        <v>472</v>
      </c>
      <c r="D380" s="19">
        <v>174</v>
      </c>
      <c r="E380" s="19">
        <f t="shared" si="24"/>
        <v>6.2142857142857144</v>
      </c>
      <c r="F380">
        <v>175.35</v>
      </c>
      <c r="I380" s="19">
        <f t="shared" si="25"/>
        <v>348</v>
      </c>
      <c r="J380" t="b">
        <f t="shared" si="26"/>
        <v>1</v>
      </c>
      <c r="K380" s="4">
        <f t="shared" si="27"/>
        <v>-0.49612068965517242</v>
      </c>
    </row>
    <row r="381" spans="1:11" customFormat="1" hidden="1">
      <c r="A381" t="s">
        <v>1346</v>
      </c>
      <c r="B381" t="s">
        <v>1177</v>
      </c>
      <c r="C381" t="s">
        <v>679</v>
      </c>
      <c r="D381" s="19">
        <v>1032</v>
      </c>
      <c r="E381" s="19">
        <f t="shared" si="24"/>
        <v>36.857142857142854</v>
      </c>
      <c r="F381">
        <v>1663.38</v>
      </c>
      <c r="I381" s="19">
        <f t="shared" si="25"/>
        <v>2064</v>
      </c>
      <c r="J381" t="b">
        <f t="shared" si="26"/>
        <v>1</v>
      </c>
      <c r="K381" s="4">
        <f t="shared" si="27"/>
        <v>-0.19409883720930232</v>
      </c>
    </row>
    <row r="382" spans="1:11" customFormat="1" hidden="1">
      <c r="A382" t="s">
        <v>1346</v>
      </c>
      <c r="B382" t="s">
        <v>1133</v>
      </c>
      <c r="C382" t="s">
        <v>1134</v>
      </c>
      <c r="D382" s="19" t="e">
        <v>#N/A</v>
      </c>
      <c r="E382" s="19" t="e">
        <f t="shared" si="24"/>
        <v>#N/A</v>
      </c>
      <c r="F382" t="e">
        <v>#N/A</v>
      </c>
      <c r="I382" s="19" t="e">
        <f t="shared" si="25"/>
        <v>#N/A</v>
      </c>
      <c r="J382" t="e">
        <f t="shared" si="26"/>
        <v>#N/A</v>
      </c>
      <c r="K382" s="4" t="e">
        <f t="shared" si="27"/>
        <v>#N/A</v>
      </c>
    </row>
    <row r="383" spans="1:11" customFormat="1" hidden="1">
      <c r="A383" t="s">
        <v>1345</v>
      </c>
      <c r="B383" t="s">
        <v>1012</v>
      </c>
      <c r="C383" t="s">
        <v>752</v>
      </c>
      <c r="D383" s="19">
        <v>590</v>
      </c>
      <c r="E383" s="19">
        <f t="shared" si="24"/>
        <v>21.071428571428573</v>
      </c>
      <c r="F383">
        <v>0</v>
      </c>
      <c r="I383" s="19">
        <f t="shared" si="25"/>
        <v>1180</v>
      </c>
      <c r="J383" t="b">
        <f t="shared" si="26"/>
        <v>1</v>
      </c>
      <c r="K383" s="4">
        <f t="shared" si="27"/>
        <v>-1</v>
      </c>
    </row>
    <row r="384" spans="1:11" customFormat="1" hidden="1">
      <c r="A384" t="s">
        <v>1344</v>
      </c>
      <c r="B384" t="s">
        <v>328</v>
      </c>
      <c r="C384" t="s">
        <v>329</v>
      </c>
      <c r="D384" s="19">
        <v>518</v>
      </c>
      <c r="E384" s="19">
        <f t="shared" si="24"/>
        <v>18.5</v>
      </c>
      <c r="F384">
        <v>876.78</v>
      </c>
      <c r="I384" s="19">
        <f t="shared" si="25"/>
        <v>1036</v>
      </c>
      <c r="J384" t="b">
        <f t="shared" si="26"/>
        <v>1</v>
      </c>
      <c r="K384" s="4">
        <f t="shared" si="27"/>
        <v>-0.15368725868725874</v>
      </c>
    </row>
    <row r="385" spans="1:15">
      <c r="A385" t="s">
        <v>1344</v>
      </c>
      <c r="B385" t="s">
        <v>302</v>
      </c>
      <c r="C385" t="s">
        <v>303</v>
      </c>
      <c r="D385" s="19">
        <v>495</v>
      </c>
      <c r="E385" s="19">
        <f t="shared" si="24"/>
        <v>17.678571428571427</v>
      </c>
      <c r="F385">
        <v>1266.27</v>
      </c>
      <c r="I385" s="168">
        <f t="shared" si="25"/>
        <v>990</v>
      </c>
      <c r="J385" t="b">
        <f t="shared" si="26"/>
        <v>0</v>
      </c>
      <c r="K385" s="4">
        <f t="shared" si="27"/>
        <v>0.27906060606060601</v>
      </c>
      <c r="L385" t="s">
        <v>837</v>
      </c>
      <c r="M385" s="171">
        <f>(F385/28)/E385</f>
        <v>2.5581212121212125</v>
      </c>
    </row>
    <row r="386" spans="1:15" hidden="1">
      <c r="A386" t="s">
        <v>1345</v>
      </c>
      <c r="B386" t="s">
        <v>993</v>
      </c>
      <c r="C386" t="s">
        <v>771</v>
      </c>
      <c r="D386" s="19">
        <v>433</v>
      </c>
      <c r="E386" s="19">
        <f t="shared" si="24"/>
        <v>15.464285714285714</v>
      </c>
      <c r="F386">
        <v>0</v>
      </c>
      <c r="I386" s="19">
        <f t="shared" si="25"/>
        <v>866</v>
      </c>
      <c r="J386" t="b">
        <f t="shared" si="26"/>
        <v>1</v>
      </c>
      <c r="K386" s="4">
        <f t="shared" si="27"/>
        <v>-1</v>
      </c>
      <c r="M386"/>
      <c r="O386"/>
    </row>
    <row r="387" spans="1:15" hidden="1">
      <c r="A387" t="s">
        <v>1345</v>
      </c>
      <c r="B387" t="s">
        <v>925</v>
      </c>
      <c r="C387" t="s">
        <v>729</v>
      </c>
      <c r="D387" s="19">
        <v>698</v>
      </c>
      <c r="E387" s="19">
        <f t="shared" si="24"/>
        <v>24.928571428571427</v>
      </c>
      <c r="F387">
        <v>644.89</v>
      </c>
      <c r="I387" s="19">
        <f t="shared" si="25"/>
        <v>1396</v>
      </c>
      <c r="J387" t="b">
        <f t="shared" si="26"/>
        <v>1</v>
      </c>
      <c r="K387" s="4">
        <f t="shared" si="27"/>
        <v>-0.53804441260744984</v>
      </c>
      <c r="M387"/>
      <c r="O387"/>
    </row>
    <row r="388" spans="1:15">
      <c r="A388" t="s">
        <v>1344</v>
      </c>
      <c r="B388" t="s">
        <v>499</v>
      </c>
      <c r="C388" t="s">
        <v>500</v>
      </c>
      <c r="D388" s="19">
        <v>533</v>
      </c>
      <c r="E388" s="19">
        <f t="shared" si="24"/>
        <v>19.035714285714285</v>
      </c>
      <c r="F388" s="19">
        <v>1280.1100000000001</v>
      </c>
      <c r="I388" s="168">
        <f t="shared" si="25"/>
        <v>1066</v>
      </c>
      <c r="J388" t="b">
        <f t="shared" si="26"/>
        <v>0</v>
      </c>
      <c r="K388" s="4">
        <f t="shared" si="27"/>
        <v>0.20085365853658543</v>
      </c>
      <c r="L388" t="s">
        <v>837</v>
      </c>
      <c r="M388" s="171">
        <f>(F388/28)/E388</f>
        <v>2.4017073170731709</v>
      </c>
    </row>
    <row r="389" spans="1:15" hidden="1">
      <c r="A389" t="s">
        <v>1346</v>
      </c>
      <c r="B389" t="s">
        <v>1168</v>
      </c>
      <c r="C389" t="s">
        <v>762</v>
      </c>
      <c r="D389" s="19">
        <v>319</v>
      </c>
      <c r="E389" s="19">
        <f t="shared" si="24"/>
        <v>11.392857142857142</v>
      </c>
      <c r="F389">
        <v>0</v>
      </c>
      <c r="I389" s="19">
        <f t="shared" si="25"/>
        <v>638</v>
      </c>
      <c r="J389" t="b">
        <f t="shared" si="26"/>
        <v>1</v>
      </c>
      <c r="K389" s="4">
        <f t="shared" si="27"/>
        <v>-1</v>
      </c>
      <c r="M389"/>
      <c r="O389"/>
    </row>
    <row r="390" spans="1:15" hidden="1">
      <c r="A390" t="s">
        <v>1346</v>
      </c>
      <c r="B390" t="s">
        <v>1144</v>
      </c>
      <c r="C390" t="s">
        <v>789</v>
      </c>
      <c r="D390" s="19">
        <v>17</v>
      </c>
      <c r="E390" s="19">
        <f t="shared" si="24"/>
        <v>0.6071428571428571</v>
      </c>
      <c r="F390">
        <v>0</v>
      </c>
      <c r="I390" s="19">
        <f t="shared" si="25"/>
        <v>34</v>
      </c>
      <c r="J390" t="b">
        <f t="shared" si="26"/>
        <v>1</v>
      </c>
      <c r="K390" s="4">
        <f t="shared" si="27"/>
        <v>-1</v>
      </c>
      <c r="M390"/>
      <c r="O390"/>
    </row>
    <row r="391" spans="1:15" ht="16.5" hidden="1" customHeight="1">
      <c r="A391" t="s">
        <v>1346</v>
      </c>
      <c r="B391" t="s">
        <v>1147</v>
      </c>
      <c r="C391" t="s">
        <v>791</v>
      </c>
      <c r="D391" s="19">
        <v>19</v>
      </c>
      <c r="E391" s="19">
        <f t="shared" si="24"/>
        <v>0.6785714285714286</v>
      </c>
      <c r="F391">
        <v>0</v>
      </c>
      <c r="I391" s="19">
        <f t="shared" si="25"/>
        <v>38</v>
      </c>
      <c r="J391" t="b">
        <f t="shared" si="26"/>
        <v>1</v>
      </c>
      <c r="K391" s="4">
        <f t="shared" si="27"/>
        <v>-1</v>
      </c>
      <c r="M391"/>
      <c r="O391"/>
    </row>
    <row r="399" spans="1:15">
      <c r="E399"/>
    </row>
  </sheetData>
  <autoFilter ref="A1:O391" xr:uid="{EAD0D377-3820-4DB4-B8D5-8AE187021F68}">
    <filterColumn colId="9">
      <filters>
        <filter val="FALSE"/>
      </filters>
    </filterColumn>
  </autoFilter>
  <sortState xmlns:xlrd2="http://schemas.microsoft.com/office/spreadsheetml/2017/richdata2" ref="A2:F391">
    <sortCondition descending="1" ref="E1:E3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2025-03-03T22:26:54Z</dcterms:modified>
  <cp:category/>
  <cp:contentStatus/>
</cp:coreProperties>
</file>