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1200" documentId="14_{7E3F11F7-5506-4157-A2D9-4D026D27B5AF}" xr6:coauthVersionLast="47" xr6:coauthVersionMax="47" xr10:uidLastSave="{667323C9-05D5-47F0-BF37-6A20F5DD0DB5}"/>
  <bookViews>
    <workbookView xWindow="-120" yWindow="-120" windowWidth="29040" windowHeight="15720" activeTab="1" xr2:uid="{00000000-000D-0000-FFFF-FFFF00000000}"/>
  </bookViews>
  <sheets>
    <sheet name="Micro Difference" sheetId="1" r:id="rId1"/>
    <sheet name="NB Difference" sheetId="2" r:id="rId2"/>
    <sheet name="DS Difference" sheetId="3" r:id="rId3"/>
    <sheet name="ACOS &amp; TCOS" sheetId="7" r:id="rId4"/>
    <sheet name="All Products" sheetId="4" state="hidden" r:id="rId5"/>
    <sheet name="CVR" sheetId="9" r:id="rId6"/>
    <sheet name="Sales &amp; Budget OOB" sheetId="5" r:id="rId7"/>
  </sheets>
  <definedNames>
    <definedName name="_xlnm._FilterDatabase" localSheetId="5" hidden="1">CVR!$AG$1:$AG$488</definedName>
    <definedName name="_xlnm._FilterDatabase" localSheetId="2" hidden="1">'DS Difference'!$A$2:$AE$2</definedName>
    <definedName name="_xlnm._FilterDatabase" localSheetId="6" hidden="1">'Sales &amp; Budget OOB'!$A$1:$M$640</definedName>
    <definedName name="_xlnm._FilterDatabase" localSheetId="0" hidden="1">'Micro Difference'!$A$2:$AC$2</definedName>
    <definedName name="_xlnm._FilterDatabase" localSheetId="1" hidden="1">'NB Difference'!$A$2:$AE$2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9" i="1" l="1"/>
  <c r="C136" i="3"/>
  <c r="F155" i="2"/>
  <c r="D2" i="5"/>
  <c r="X433" i="9"/>
  <c r="AK41" i="7"/>
  <c r="AK40" i="7"/>
  <c r="AK30" i="7"/>
  <c r="AK31" i="7"/>
  <c r="AK32" i="7"/>
  <c r="AK33" i="7"/>
  <c r="AK23" i="7"/>
  <c r="AK24" i="7"/>
  <c r="AK25" i="7"/>
  <c r="AK26" i="7"/>
  <c r="AJ23" i="7"/>
  <c r="AK19" i="7"/>
  <c r="AK12" i="7"/>
  <c r="AL5" i="7"/>
  <c r="AK5" i="7"/>
  <c r="AB155" i="2"/>
  <c r="AA155" i="2"/>
  <c r="M155" i="2"/>
  <c r="N155" i="2"/>
  <c r="U10" i="2"/>
  <c r="U6" i="2"/>
  <c r="U12" i="2"/>
  <c r="U3" i="2"/>
  <c r="U4" i="2"/>
  <c r="U7" i="2"/>
  <c r="U8" i="2"/>
  <c r="U48" i="2"/>
  <c r="U11" i="2"/>
  <c r="U13" i="2"/>
  <c r="U9" i="2"/>
  <c r="U16" i="2"/>
  <c r="U17" i="2"/>
  <c r="U24" i="2"/>
  <c r="U131" i="2"/>
  <c r="U23" i="2"/>
  <c r="U21" i="2"/>
  <c r="U58" i="2"/>
  <c r="U14" i="2"/>
  <c r="U33" i="2"/>
  <c r="U53" i="2"/>
  <c r="U36" i="2"/>
  <c r="U146" i="2"/>
  <c r="U25" i="2"/>
  <c r="U20" i="2"/>
  <c r="U37" i="2"/>
  <c r="U35" i="2"/>
  <c r="U49" i="2"/>
  <c r="U31" i="2"/>
  <c r="U46" i="2"/>
  <c r="U65" i="2"/>
  <c r="U122" i="2"/>
  <c r="U30" i="2"/>
  <c r="U127" i="2"/>
  <c r="U64" i="2"/>
  <c r="U27" i="2"/>
  <c r="U39" i="2"/>
  <c r="U77" i="2"/>
  <c r="U148" i="2"/>
  <c r="U47" i="2"/>
  <c r="U136" i="2"/>
  <c r="U26" i="2"/>
  <c r="U133" i="2"/>
  <c r="U137" i="2"/>
  <c r="U19" i="2"/>
  <c r="U41" i="2"/>
  <c r="U52" i="2"/>
  <c r="U79" i="2"/>
  <c r="U102" i="2"/>
  <c r="U84" i="2"/>
  <c r="U66" i="2"/>
  <c r="U40" i="2"/>
  <c r="U119" i="2"/>
  <c r="U70" i="2"/>
  <c r="U42" i="2"/>
  <c r="U87" i="2"/>
  <c r="U28" i="2"/>
  <c r="U121" i="2"/>
  <c r="U104" i="2"/>
  <c r="U56" i="2"/>
  <c r="U29" i="2"/>
  <c r="U107" i="2"/>
  <c r="U38" i="2"/>
  <c r="U57" i="2"/>
  <c r="U141" i="2"/>
  <c r="U108" i="2"/>
  <c r="U92" i="2"/>
  <c r="U68" i="2"/>
  <c r="U80" i="2"/>
  <c r="U109" i="2"/>
  <c r="U88" i="2"/>
  <c r="U78" i="2"/>
  <c r="U106" i="2"/>
  <c r="U51" i="2"/>
  <c r="U101" i="2"/>
  <c r="U97" i="2"/>
  <c r="U93" i="2"/>
  <c r="U111" i="2"/>
  <c r="U112" i="2"/>
  <c r="U113" i="2"/>
  <c r="U110" i="2"/>
  <c r="U114" i="2"/>
  <c r="U115" i="2"/>
  <c r="U116" i="2"/>
  <c r="U117" i="2"/>
  <c r="U76" i="2"/>
  <c r="U67" i="2"/>
  <c r="U50" i="2"/>
  <c r="U63" i="2"/>
  <c r="U126" i="2"/>
  <c r="U98" i="2"/>
  <c r="U85" i="2"/>
  <c r="U81" i="2"/>
  <c r="U91" i="2"/>
  <c r="U96" i="2"/>
  <c r="U129" i="2"/>
  <c r="U59" i="2"/>
  <c r="U128" i="2"/>
  <c r="U100" i="2"/>
  <c r="U125" i="2"/>
  <c r="U120" i="2"/>
  <c r="U32" i="2"/>
  <c r="U124" i="2"/>
  <c r="U74" i="2"/>
  <c r="U134" i="2"/>
  <c r="U54" i="2"/>
  <c r="U103" i="2"/>
  <c r="U71" i="2"/>
  <c r="U94" i="2"/>
  <c r="U132" i="2"/>
  <c r="U43" i="2"/>
  <c r="U86" i="2"/>
  <c r="U44" i="2"/>
  <c r="U61" i="2"/>
  <c r="U82" i="2"/>
  <c r="U144" i="2"/>
  <c r="U45" i="2"/>
  <c r="U143" i="2"/>
  <c r="U75" i="2"/>
  <c r="U89" i="2"/>
  <c r="U95" i="2"/>
  <c r="U62" i="2"/>
  <c r="U90" i="2"/>
  <c r="U99" i="2"/>
  <c r="U34" i="2"/>
  <c r="U69" i="2"/>
  <c r="U139" i="2"/>
  <c r="U15" i="2"/>
  <c r="U83" i="2"/>
  <c r="U22" i="2"/>
  <c r="U60" i="2"/>
  <c r="U123" i="2"/>
  <c r="U73" i="2"/>
  <c r="U140" i="2"/>
  <c r="U118" i="2"/>
  <c r="U142" i="2"/>
  <c r="U105" i="2"/>
  <c r="U138" i="2"/>
  <c r="U18" i="2"/>
  <c r="U149" i="2"/>
  <c r="U145" i="2"/>
  <c r="U72" i="2"/>
  <c r="U151" i="2"/>
  <c r="U150" i="2"/>
  <c r="U55" i="2"/>
  <c r="U147" i="2"/>
  <c r="U135" i="2"/>
  <c r="U130" i="2"/>
  <c r="U5" i="2"/>
  <c r="T8" i="2"/>
  <c r="T48" i="2"/>
  <c r="T11" i="2"/>
  <c r="T13" i="2"/>
  <c r="T9" i="2"/>
  <c r="T16" i="2"/>
  <c r="T17" i="2"/>
  <c r="T24" i="2"/>
  <c r="T131" i="2"/>
  <c r="T23" i="2"/>
  <c r="T21" i="2"/>
  <c r="T58" i="2"/>
  <c r="T14" i="2"/>
  <c r="T33" i="2"/>
  <c r="T53" i="2"/>
  <c r="T36" i="2"/>
  <c r="T146" i="2"/>
  <c r="T25" i="2"/>
  <c r="T20" i="2"/>
  <c r="T37" i="2"/>
  <c r="T35" i="2"/>
  <c r="T49" i="2"/>
  <c r="T31" i="2"/>
  <c r="T46" i="2"/>
  <c r="T65" i="2"/>
  <c r="T122" i="2"/>
  <c r="T30" i="2"/>
  <c r="T127" i="2"/>
  <c r="T64" i="2"/>
  <c r="T27" i="2"/>
  <c r="T39" i="2"/>
  <c r="T77" i="2"/>
  <c r="T148" i="2"/>
  <c r="T47" i="2"/>
  <c r="T136" i="2"/>
  <c r="T26" i="2"/>
  <c r="T133" i="2"/>
  <c r="T137" i="2"/>
  <c r="T19" i="2"/>
  <c r="T41" i="2"/>
  <c r="T52" i="2"/>
  <c r="T79" i="2"/>
  <c r="T102" i="2"/>
  <c r="T84" i="2"/>
  <c r="T66" i="2"/>
  <c r="T40" i="2"/>
  <c r="T119" i="2"/>
  <c r="T70" i="2"/>
  <c r="T42" i="2"/>
  <c r="T87" i="2"/>
  <c r="T28" i="2"/>
  <c r="T121" i="2"/>
  <c r="T104" i="2"/>
  <c r="T56" i="2"/>
  <c r="T29" i="2"/>
  <c r="T107" i="2"/>
  <c r="T38" i="2"/>
  <c r="T57" i="2"/>
  <c r="T141" i="2"/>
  <c r="T108" i="2"/>
  <c r="T92" i="2"/>
  <c r="T68" i="2"/>
  <c r="T80" i="2"/>
  <c r="T109" i="2"/>
  <c r="T88" i="2"/>
  <c r="T78" i="2"/>
  <c r="T106" i="2"/>
  <c r="T51" i="2"/>
  <c r="T101" i="2"/>
  <c r="T97" i="2"/>
  <c r="T93" i="2"/>
  <c r="T111" i="2"/>
  <c r="T112" i="2"/>
  <c r="T113" i="2"/>
  <c r="T110" i="2"/>
  <c r="T114" i="2"/>
  <c r="T115" i="2"/>
  <c r="T116" i="2"/>
  <c r="T117" i="2"/>
  <c r="T76" i="2"/>
  <c r="T67" i="2"/>
  <c r="T50" i="2"/>
  <c r="T63" i="2"/>
  <c r="T126" i="2"/>
  <c r="T98" i="2"/>
  <c r="T85" i="2"/>
  <c r="T81" i="2"/>
  <c r="T91" i="2"/>
  <c r="T96" i="2"/>
  <c r="T129" i="2"/>
  <c r="T59" i="2"/>
  <c r="T128" i="2"/>
  <c r="T100" i="2"/>
  <c r="T125" i="2"/>
  <c r="T120" i="2"/>
  <c r="T32" i="2"/>
  <c r="T124" i="2"/>
  <c r="T74" i="2"/>
  <c r="T134" i="2"/>
  <c r="T54" i="2"/>
  <c r="T103" i="2"/>
  <c r="T71" i="2"/>
  <c r="T94" i="2"/>
  <c r="T132" i="2"/>
  <c r="T43" i="2"/>
  <c r="T86" i="2"/>
  <c r="T44" i="2"/>
  <c r="T61" i="2"/>
  <c r="T82" i="2"/>
  <c r="T144" i="2"/>
  <c r="T45" i="2"/>
  <c r="T143" i="2"/>
  <c r="T75" i="2"/>
  <c r="T89" i="2"/>
  <c r="T95" i="2"/>
  <c r="T62" i="2"/>
  <c r="T90" i="2"/>
  <c r="T99" i="2"/>
  <c r="T34" i="2"/>
  <c r="T69" i="2"/>
  <c r="T139" i="2"/>
  <c r="T15" i="2"/>
  <c r="T83" i="2"/>
  <c r="T22" i="2"/>
  <c r="T60" i="2"/>
  <c r="T123" i="2"/>
  <c r="T73" i="2"/>
  <c r="T140" i="2"/>
  <c r="T118" i="2"/>
  <c r="T142" i="2"/>
  <c r="T105" i="2"/>
  <c r="T138" i="2"/>
  <c r="T18" i="2"/>
  <c r="T149" i="2"/>
  <c r="T145" i="2"/>
  <c r="T72" i="2"/>
  <c r="T151" i="2"/>
  <c r="T150" i="2"/>
  <c r="T55" i="2"/>
  <c r="T147" i="2"/>
  <c r="T135" i="2"/>
  <c r="T130" i="2"/>
  <c r="T10" i="2"/>
  <c r="T6" i="2"/>
  <c r="T12" i="2"/>
  <c r="T3" i="2"/>
  <c r="T4" i="2"/>
  <c r="T7" i="2"/>
  <c r="T5" i="2"/>
  <c r="Q155" i="2"/>
  <c r="AA158" i="2"/>
  <c r="U155" i="2"/>
  <c r="Q136" i="3"/>
  <c r="AC136" i="3"/>
  <c r="F136" i="3"/>
  <c r="F138" i="3" s="1"/>
  <c r="N136" i="3"/>
  <c r="O136" i="3"/>
  <c r="Q138" i="3" s="1"/>
  <c r="X397" i="1"/>
  <c r="Q397" i="1"/>
  <c r="N397" i="1"/>
  <c r="Q399" i="1" s="1"/>
  <c r="M397" i="1"/>
  <c r="W400" i="1" s="1"/>
  <c r="AD129" i="3"/>
  <c r="AD130" i="3"/>
  <c r="AD131" i="3"/>
  <c r="AD132" i="3"/>
  <c r="AD128" i="3"/>
  <c r="T128" i="3"/>
  <c r="U128" i="3"/>
  <c r="K129" i="3"/>
  <c r="K130" i="3"/>
  <c r="K131" i="3"/>
  <c r="K132" i="3"/>
  <c r="J129" i="3"/>
  <c r="J130" i="3"/>
  <c r="J131" i="3"/>
  <c r="J132" i="3"/>
  <c r="J128" i="3"/>
  <c r="K128" i="3"/>
  <c r="G128" i="3"/>
  <c r="G129" i="3"/>
  <c r="G130" i="3"/>
  <c r="G131" i="3"/>
  <c r="G132" i="3"/>
  <c r="AC130" i="2"/>
  <c r="AC135" i="2"/>
  <c r="C155" i="2"/>
  <c r="J130" i="2"/>
  <c r="K130" i="2"/>
  <c r="J135" i="2"/>
  <c r="K135" i="2"/>
  <c r="G135" i="2"/>
  <c r="G130" i="2"/>
  <c r="C397" i="1"/>
  <c r="F397" i="1"/>
  <c r="F399" i="1" s="1"/>
  <c r="Y375" i="1"/>
  <c r="Y268" i="1"/>
  <c r="Y107" i="1"/>
  <c r="Y33" i="1"/>
  <c r="Y348" i="1"/>
  <c r="Y350" i="1"/>
  <c r="Y224" i="1"/>
  <c r="Y293" i="1"/>
  <c r="Y200" i="1"/>
  <c r="Y109" i="1"/>
  <c r="Y352" i="1"/>
  <c r="Y189" i="1"/>
  <c r="Y317" i="1"/>
  <c r="Y366" i="1"/>
  <c r="Y282" i="1"/>
  <c r="Y204" i="1"/>
  <c r="Y206" i="1"/>
  <c r="Y294" i="1"/>
  <c r="Y354" i="1"/>
  <c r="Y365" i="1"/>
  <c r="Y351" i="1"/>
  <c r="Y370" i="1"/>
  <c r="Y335" i="1"/>
  <c r="Y368" i="1"/>
  <c r="Y374" i="1"/>
  <c r="U268" i="1"/>
  <c r="V268" i="1"/>
  <c r="J107" i="1"/>
  <c r="K107" i="1"/>
  <c r="J33" i="1"/>
  <c r="K33" i="1"/>
  <c r="J348" i="1"/>
  <c r="K348" i="1"/>
  <c r="J350" i="1"/>
  <c r="K350" i="1"/>
  <c r="J224" i="1"/>
  <c r="K224" i="1"/>
  <c r="J293" i="1"/>
  <c r="K293" i="1"/>
  <c r="J200" i="1"/>
  <c r="K200" i="1"/>
  <c r="J109" i="1"/>
  <c r="K109" i="1"/>
  <c r="J352" i="1"/>
  <c r="K352" i="1"/>
  <c r="J189" i="1"/>
  <c r="K189" i="1"/>
  <c r="J317" i="1"/>
  <c r="K317" i="1"/>
  <c r="J366" i="1"/>
  <c r="K366" i="1"/>
  <c r="J282" i="1"/>
  <c r="K282" i="1"/>
  <c r="J204" i="1"/>
  <c r="K204" i="1"/>
  <c r="J206" i="1"/>
  <c r="K206" i="1"/>
  <c r="J294" i="1"/>
  <c r="K294" i="1"/>
  <c r="J354" i="1"/>
  <c r="K354" i="1"/>
  <c r="J365" i="1"/>
  <c r="K365" i="1"/>
  <c r="J351" i="1"/>
  <c r="K351" i="1"/>
  <c r="J370" i="1"/>
  <c r="K370" i="1"/>
  <c r="J335" i="1"/>
  <c r="K335" i="1"/>
  <c r="J368" i="1"/>
  <c r="K368" i="1"/>
  <c r="J374" i="1"/>
  <c r="K374" i="1"/>
  <c r="J375" i="1"/>
  <c r="K375" i="1"/>
  <c r="G268" i="1"/>
  <c r="G107" i="1"/>
  <c r="G33" i="1"/>
  <c r="G348" i="1"/>
  <c r="G350" i="1"/>
  <c r="G224" i="1"/>
  <c r="G293" i="1"/>
  <c r="G200" i="1"/>
  <c r="G109" i="1"/>
  <c r="G352" i="1"/>
  <c r="G189" i="1"/>
  <c r="G317" i="1"/>
  <c r="G366" i="1"/>
  <c r="G282" i="1"/>
  <c r="G204" i="1"/>
  <c r="G206" i="1"/>
  <c r="G294" i="1"/>
  <c r="G354" i="1"/>
  <c r="G365" i="1"/>
  <c r="G351" i="1"/>
  <c r="G370" i="1"/>
  <c r="G335" i="1"/>
  <c r="G368" i="1"/>
  <c r="G374" i="1"/>
  <c r="G375" i="1"/>
  <c r="J268" i="1"/>
  <c r="K268" i="1"/>
  <c r="Y367" i="1"/>
  <c r="Y262" i="1"/>
  <c r="AJ38" i="7"/>
  <c r="AJ40" i="7"/>
  <c r="AJ17" i="7"/>
  <c r="AJ10" i="7"/>
  <c r="AJ3" i="7"/>
  <c r="D211" i="5"/>
  <c r="Y165" i="1"/>
  <c r="Y279" i="1"/>
  <c r="K10" i="2"/>
  <c r="K6" i="2"/>
  <c r="K12" i="2"/>
  <c r="K3" i="2"/>
  <c r="K4" i="2"/>
  <c r="K7" i="2"/>
  <c r="K8" i="2"/>
  <c r="K48" i="2"/>
  <c r="K11" i="2"/>
  <c r="K13" i="2"/>
  <c r="K9" i="2"/>
  <c r="K16" i="2"/>
  <c r="K17" i="2"/>
  <c r="K24" i="2"/>
  <c r="K131" i="2"/>
  <c r="K23" i="2"/>
  <c r="K21" i="2"/>
  <c r="K58" i="2"/>
  <c r="K14" i="2"/>
  <c r="K33" i="2"/>
  <c r="K53" i="2"/>
  <c r="K36" i="2"/>
  <c r="K146" i="2"/>
  <c r="K25" i="2"/>
  <c r="K20" i="2"/>
  <c r="K37" i="2"/>
  <c r="K35" i="2"/>
  <c r="K49" i="2"/>
  <c r="K31" i="2"/>
  <c r="K46" i="2"/>
  <c r="K65" i="2"/>
  <c r="K122" i="2"/>
  <c r="K30" i="2"/>
  <c r="K127" i="2"/>
  <c r="K64" i="2"/>
  <c r="K27" i="2"/>
  <c r="K39" i="2"/>
  <c r="K77" i="2"/>
  <c r="K148" i="2"/>
  <c r="K47" i="2"/>
  <c r="K136" i="2"/>
  <c r="K26" i="2"/>
  <c r="K133" i="2"/>
  <c r="K137" i="2"/>
  <c r="K19" i="2"/>
  <c r="K41" i="2"/>
  <c r="K52" i="2"/>
  <c r="K79" i="2"/>
  <c r="K102" i="2"/>
  <c r="K84" i="2"/>
  <c r="K66" i="2"/>
  <c r="K40" i="2"/>
  <c r="K119" i="2"/>
  <c r="K70" i="2"/>
  <c r="K42" i="2"/>
  <c r="K87" i="2"/>
  <c r="K28" i="2"/>
  <c r="K121" i="2"/>
  <c r="K104" i="2"/>
  <c r="K56" i="2"/>
  <c r="K29" i="2"/>
  <c r="K107" i="2"/>
  <c r="K38" i="2"/>
  <c r="K57" i="2"/>
  <c r="K141" i="2"/>
  <c r="K108" i="2"/>
  <c r="K92" i="2"/>
  <c r="K68" i="2"/>
  <c r="K80" i="2"/>
  <c r="K109" i="2"/>
  <c r="K88" i="2"/>
  <c r="K78" i="2"/>
  <c r="K106" i="2"/>
  <c r="K51" i="2"/>
  <c r="K101" i="2"/>
  <c r="K97" i="2"/>
  <c r="K93" i="2"/>
  <c r="K111" i="2"/>
  <c r="K112" i="2"/>
  <c r="K113" i="2"/>
  <c r="K110" i="2"/>
  <c r="K114" i="2"/>
  <c r="K115" i="2"/>
  <c r="K116" i="2"/>
  <c r="K117" i="2"/>
  <c r="K76" i="2"/>
  <c r="K67" i="2"/>
  <c r="K50" i="2"/>
  <c r="K63" i="2"/>
  <c r="K126" i="2"/>
  <c r="K98" i="2"/>
  <c r="K85" i="2"/>
  <c r="K81" i="2"/>
  <c r="K91" i="2"/>
  <c r="K96" i="2"/>
  <c r="K129" i="2"/>
  <c r="K59" i="2"/>
  <c r="K128" i="2"/>
  <c r="K100" i="2"/>
  <c r="K125" i="2"/>
  <c r="K120" i="2"/>
  <c r="K32" i="2"/>
  <c r="K124" i="2"/>
  <c r="K74" i="2"/>
  <c r="K134" i="2"/>
  <c r="K54" i="2"/>
  <c r="K103" i="2"/>
  <c r="K71" i="2"/>
  <c r="K94" i="2"/>
  <c r="K132" i="2"/>
  <c r="K43" i="2"/>
  <c r="K86" i="2"/>
  <c r="K44" i="2"/>
  <c r="K61" i="2"/>
  <c r="K82" i="2"/>
  <c r="K144" i="2"/>
  <c r="K45" i="2"/>
  <c r="K143" i="2"/>
  <c r="K75" i="2"/>
  <c r="K89" i="2"/>
  <c r="K95" i="2"/>
  <c r="K62" i="2"/>
  <c r="K90" i="2"/>
  <c r="K99" i="2"/>
  <c r="K34" i="2"/>
  <c r="K69" i="2"/>
  <c r="K139" i="2"/>
  <c r="K15" i="2"/>
  <c r="K83" i="2"/>
  <c r="K22" i="2"/>
  <c r="K60" i="2"/>
  <c r="K123" i="2"/>
  <c r="K73" i="2"/>
  <c r="K140" i="2"/>
  <c r="K118" i="2"/>
  <c r="K142" i="2"/>
  <c r="K105" i="2"/>
  <c r="K138" i="2"/>
  <c r="K18" i="2"/>
  <c r="K149" i="2"/>
  <c r="K145" i="2"/>
  <c r="K72" i="2"/>
  <c r="K151" i="2"/>
  <c r="K150" i="2"/>
  <c r="K55" i="2"/>
  <c r="K147" i="2"/>
  <c r="K5" i="2"/>
  <c r="T136" i="3"/>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41" i="7"/>
  <c r="AJ30" i="7"/>
  <c r="AJ31" i="7"/>
  <c r="AJ32" i="7"/>
  <c r="AJ24" i="7"/>
  <c r="AJ25" i="7"/>
  <c r="AJ19" i="7"/>
  <c r="AJ12" i="7"/>
  <c r="AC114" i="2"/>
  <c r="AC115" i="2"/>
  <c r="AC116" i="2"/>
  <c r="AC117" i="2"/>
  <c r="Y255" i="1"/>
  <c r="Y340" i="1"/>
  <c r="Y361" i="1"/>
  <c r="Y284" i="1"/>
  <c r="Y38" i="1"/>
  <c r="Y176" i="1"/>
  <c r="Y287" i="1"/>
  <c r="Y315" i="1"/>
  <c r="Y276" i="1"/>
  <c r="Y304" i="1"/>
  <c r="Y195" i="1"/>
  <c r="Y264" i="1"/>
  <c r="Y239" i="1"/>
  <c r="Y261" i="1"/>
  <c r="Y91" i="1"/>
  <c r="Y372" i="1"/>
  <c r="Y324" i="1"/>
  <c r="Y273" i="1"/>
  <c r="Y187" i="1"/>
  <c r="AI41" i="7"/>
  <c r="AI23" i="7"/>
  <c r="T155" i="2" l="1"/>
  <c r="X400" i="1"/>
  <c r="F158" i="2"/>
  <c r="Q157" i="2"/>
  <c r="AB158" i="2"/>
  <c r="F157" i="2"/>
  <c r="AJ33" i="7"/>
  <c r="AJ26" i="7"/>
  <c r="U397" i="1"/>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33" i="7"/>
  <c r="AI24" i="7"/>
  <c r="AI25" i="7"/>
  <c r="AI26" i="7"/>
  <c r="AH23" i="7"/>
  <c r="AI19" i="7"/>
  <c r="AL19" i="7" s="1"/>
  <c r="AI12" i="7"/>
  <c r="J15" i="3"/>
  <c r="K15" i="3"/>
  <c r="T15" i="3"/>
  <c r="U15" i="3"/>
  <c r="G15" i="3"/>
  <c r="G117" i="2"/>
  <c r="G114" i="2"/>
  <c r="G115" i="2"/>
  <c r="G116" i="2"/>
  <c r="V340" i="1"/>
  <c r="V361" i="1"/>
  <c r="V284" i="1"/>
  <c r="V38" i="1"/>
  <c r="V176" i="1"/>
  <c r="V287" i="1"/>
  <c r="V315" i="1"/>
  <c r="V276" i="1"/>
  <c r="V304" i="1"/>
  <c r="V195" i="1"/>
  <c r="V264" i="1"/>
  <c r="V239" i="1"/>
  <c r="V261" i="1"/>
  <c r="V91" i="1"/>
  <c r="V372" i="1"/>
  <c r="V99" i="1"/>
  <c r="V324" i="1"/>
  <c r="V273" i="1"/>
  <c r="V187" i="1"/>
  <c r="U340" i="1"/>
  <c r="U361" i="1"/>
  <c r="U284" i="1"/>
  <c r="U38" i="1"/>
  <c r="U176" i="1"/>
  <c r="U287" i="1"/>
  <c r="U315" i="1"/>
  <c r="U276" i="1"/>
  <c r="U304" i="1"/>
  <c r="U195" i="1"/>
  <c r="U264" i="1"/>
  <c r="U239" i="1"/>
  <c r="U261" i="1"/>
  <c r="U91" i="1"/>
  <c r="U372" i="1"/>
  <c r="U99" i="1"/>
  <c r="U324" i="1"/>
  <c r="U273" i="1"/>
  <c r="U187" i="1"/>
  <c r="K255" i="1"/>
  <c r="K340" i="1"/>
  <c r="K361" i="1"/>
  <c r="K284" i="1"/>
  <c r="K38" i="1"/>
  <c r="K176" i="1"/>
  <c r="K287" i="1"/>
  <c r="K315" i="1"/>
  <c r="K276" i="1"/>
  <c r="K304" i="1"/>
  <c r="K195" i="1"/>
  <c r="K264" i="1"/>
  <c r="K239" i="1"/>
  <c r="K261" i="1"/>
  <c r="K91" i="1"/>
  <c r="K372" i="1"/>
  <c r="K99" i="1"/>
  <c r="K324" i="1"/>
  <c r="K273" i="1"/>
  <c r="K187" i="1"/>
  <c r="J255" i="1"/>
  <c r="J340" i="1"/>
  <c r="J361" i="1"/>
  <c r="J284" i="1"/>
  <c r="J38" i="1"/>
  <c r="J176" i="1"/>
  <c r="J287" i="1"/>
  <c r="J315" i="1"/>
  <c r="J276" i="1"/>
  <c r="J304" i="1"/>
  <c r="J195" i="1"/>
  <c r="J264" i="1"/>
  <c r="J239" i="1"/>
  <c r="J261" i="1"/>
  <c r="J91" i="1"/>
  <c r="J372" i="1"/>
  <c r="J99" i="1"/>
  <c r="J324" i="1"/>
  <c r="J273" i="1"/>
  <c r="J187" i="1"/>
  <c r="U255" i="1"/>
  <c r="V255" i="1"/>
  <c r="G255" i="1"/>
  <c r="G340" i="1"/>
  <c r="G361" i="1"/>
  <c r="G284" i="1"/>
  <c r="G38" i="1"/>
  <c r="G176" i="1"/>
  <c r="G287" i="1"/>
  <c r="G315" i="1"/>
  <c r="G276" i="1"/>
  <c r="G304" i="1"/>
  <c r="G195" i="1"/>
  <c r="G264" i="1"/>
  <c r="G239" i="1"/>
  <c r="G261" i="1"/>
  <c r="G91" i="1"/>
  <c r="G372" i="1"/>
  <c r="G99" i="1"/>
  <c r="G324" i="1"/>
  <c r="G273" i="1"/>
  <c r="G187" i="1"/>
  <c r="AH30" i="7"/>
  <c r="AH31" i="7"/>
  <c r="AH32" i="7"/>
  <c r="AH33" i="7"/>
  <c r="AH25" i="7"/>
  <c r="AG25" i="7"/>
  <c r="AH24" i="7"/>
  <c r="AG23" i="7"/>
  <c r="AL12" i="7"/>
  <c r="AL38" i="7"/>
  <c r="AL39" i="7"/>
  <c r="AL37" i="7"/>
  <c r="AG41" i="7"/>
  <c r="AH40" i="7"/>
  <c r="AH41" i="7" s="1"/>
  <c r="AL17" i="7"/>
  <c r="AL18" i="7"/>
  <c r="AL16" i="7"/>
  <c r="AL3" i="7"/>
  <c r="AL4" i="7"/>
  <c r="AL2" i="7"/>
  <c r="AL10" i="7"/>
  <c r="AL11" i="7"/>
  <c r="AL9" i="7"/>
  <c r="AH12" i="7"/>
  <c r="AH19" i="7"/>
  <c r="U124" i="3"/>
  <c r="U83" i="3"/>
  <c r="U14" i="3"/>
  <c r="U18" i="3"/>
  <c r="T124" i="3"/>
  <c r="T83" i="3"/>
  <c r="T14" i="3"/>
  <c r="T18" i="3"/>
  <c r="AC131" i="2"/>
  <c r="AC24" i="2"/>
  <c r="V250" i="1"/>
  <c r="V156" i="1"/>
  <c r="V298" i="1"/>
  <c r="V323" i="1"/>
  <c r="V266" i="1"/>
  <c r="V382" i="1"/>
  <c r="V379" i="1"/>
  <c r="V61" i="1"/>
  <c r="V341" i="1"/>
  <c r="V309" i="1"/>
  <c r="V231" i="1"/>
  <c r="U250" i="1"/>
  <c r="U156" i="1"/>
  <c r="U298" i="1"/>
  <c r="U323" i="1"/>
  <c r="U266" i="1"/>
  <c r="U382" i="1"/>
  <c r="U379" i="1"/>
  <c r="U61" i="1"/>
  <c r="U341" i="1"/>
  <c r="U309" i="1"/>
  <c r="U231" i="1"/>
  <c r="AD124" i="3"/>
  <c r="AD83" i="3"/>
  <c r="AD14" i="3"/>
  <c r="AD18" i="3"/>
  <c r="K124" i="3"/>
  <c r="K83" i="3"/>
  <c r="K14" i="3"/>
  <c r="K18" i="3"/>
  <c r="J124" i="3"/>
  <c r="J83" i="3"/>
  <c r="J14" i="3"/>
  <c r="J18" i="3"/>
  <c r="G14" i="3"/>
  <c r="G18" i="3"/>
  <c r="G131" i="2"/>
  <c r="G24" i="2"/>
  <c r="J24" i="2"/>
  <c r="J131" i="2"/>
  <c r="Y231" i="1"/>
  <c r="Y156" i="1"/>
  <c r="Y298" i="1"/>
  <c r="Y323" i="1"/>
  <c r="Y266" i="1"/>
  <c r="Y382" i="1"/>
  <c r="Y379" i="1"/>
  <c r="Y61" i="1"/>
  <c r="Y341" i="1"/>
  <c r="Y309" i="1"/>
  <c r="Y250" i="1"/>
  <c r="K156" i="1"/>
  <c r="K298" i="1"/>
  <c r="K323" i="1"/>
  <c r="K266" i="1"/>
  <c r="K382" i="1"/>
  <c r="K379" i="1"/>
  <c r="K61" i="1"/>
  <c r="K341" i="1"/>
  <c r="K309" i="1"/>
  <c r="K231" i="1"/>
  <c r="J156" i="1"/>
  <c r="J298" i="1"/>
  <c r="J323" i="1"/>
  <c r="J266" i="1"/>
  <c r="J382" i="1"/>
  <c r="J379" i="1"/>
  <c r="J61" i="1"/>
  <c r="J341" i="1"/>
  <c r="J309" i="1"/>
  <c r="J231" i="1"/>
  <c r="J250" i="1"/>
  <c r="K250" i="1"/>
  <c r="G250" i="1"/>
  <c r="G156" i="1"/>
  <c r="G298" i="1"/>
  <c r="G323" i="1"/>
  <c r="G266" i="1"/>
  <c r="G382" i="1"/>
  <c r="G379" i="1"/>
  <c r="G61" i="1"/>
  <c r="G341" i="1"/>
  <c r="G309" i="1"/>
  <c r="G231" i="1"/>
  <c r="AG40" i="7"/>
  <c r="AG32" i="7"/>
  <c r="AG31" i="7"/>
  <c r="AG30" i="7"/>
  <c r="AG24" i="7"/>
  <c r="AG19" i="7"/>
  <c r="AG12" i="7"/>
  <c r="J41" i="2"/>
  <c r="J73" i="2"/>
  <c r="J70" i="2"/>
  <c r="AC73" i="2"/>
  <c r="AC70" i="2"/>
  <c r="AC41" i="2"/>
  <c r="K177" i="1"/>
  <c r="K388" i="1"/>
  <c r="K279" i="1"/>
  <c r="K339" i="1"/>
  <c r="K262" i="1"/>
  <c r="K311" i="1"/>
  <c r="K333" i="1"/>
  <c r="K227" i="1"/>
  <c r="K183" i="1"/>
  <c r="K216" i="1"/>
  <c r="K256" i="1"/>
  <c r="K305" i="1"/>
  <c r="K165" i="1"/>
  <c r="K66" i="1"/>
  <c r="K312" i="1"/>
  <c r="K238" i="1"/>
  <c r="K212" i="1"/>
  <c r="K318" i="1"/>
  <c r="K257" i="1"/>
  <c r="J177" i="1"/>
  <c r="J388" i="1"/>
  <c r="J279" i="1"/>
  <c r="J339" i="1"/>
  <c r="J262" i="1"/>
  <c r="J311" i="1"/>
  <c r="J333" i="1"/>
  <c r="J227" i="1"/>
  <c r="J183" i="1"/>
  <c r="J216" i="1"/>
  <c r="J256" i="1"/>
  <c r="J305" i="1"/>
  <c r="J165" i="1"/>
  <c r="J66" i="1"/>
  <c r="J312" i="1"/>
  <c r="J238" i="1"/>
  <c r="J212" i="1"/>
  <c r="J318" i="1"/>
  <c r="J257" i="1"/>
  <c r="J316" i="1"/>
  <c r="K316" i="1"/>
  <c r="G83" i="3"/>
  <c r="G124" i="3"/>
  <c r="G41" i="2"/>
  <c r="G73" i="2"/>
  <c r="G70" i="2"/>
  <c r="V177" i="1"/>
  <c r="V388" i="1"/>
  <c r="V279" i="1"/>
  <c r="V339" i="1"/>
  <c r="V262" i="1"/>
  <c r="V311" i="1"/>
  <c r="V333" i="1"/>
  <c r="V227" i="1"/>
  <c r="V183" i="1"/>
  <c r="V216" i="1"/>
  <c r="V256" i="1"/>
  <c r="V305" i="1"/>
  <c r="V165" i="1"/>
  <c r="V66" i="1"/>
  <c r="V312" i="1"/>
  <c r="V238" i="1"/>
  <c r="V212" i="1"/>
  <c r="V318" i="1"/>
  <c r="V257" i="1"/>
  <c r="U177" i="1"/>
  <c r="U388" i="1"/>
  <c r="U279" i="1"/>
  <c r="U339" i="1"/>
  <c r="U262" i="1"/>
  <c r="U311" i="1"/>
  <c r="U333" i="1"/>
  <c r="U227" i="1"/>
  <c r="U183" i="1"/>
  <c r="U216" i="1"/>
  <c r="U256" i="1"/>
  <c r="U305" i="1"/>
  <c r="U165" i="1"/>
  <c r="U66" i="1"/>
  <c r="U312" i="1"/>
  <c r="U238" i="1"/>
  <c r="U212" i="1"/>
  <c r="U318" i="1"/>
  <c r="U257" i="1"/>
  <c r="U316" i="1"/>
  <c r="V316" i="1"/>
  <c r="G316" i="1"/>
  <c r="G177" i="1"/>
  <c r="G388" i="1"/>
  <c r="G279" i="1"/>
  <c r="G339" i="1"/>
  <c r="G262" i="1"/>
  <c r="G311" i="1"/>
  <c r="G333" i="1"/>
  <c r="G227" i="1"/>
  <c r="G183" i="1"/>
  <c r="G216" i="1"/>
  <c r="G256" i="1"/>
  <c r="G305" i="1"/>
  <c r="G165" i="1"/>
  <c r="G66" i="1"/>
  <c r="G312" i="1"/>
  <c r="G238" i="1"/>
  <c r="G212" i="1"/>
  <c r="G318" i="1"/>
  <c r="G257" i="1"/>
  <c r="AF19" i="7"/>
  <c r="AF12" i="7"/>
  <c r="AF40" i="7"/>
  <c r="AF32" i="7"/>
  <c r="AF31" i="7"/>
  <c r="AF30" i="7"/>
  <c r="AF25" i="7"/>
  <c r="AF24" i="7"/>
  <c r="AF23" i="7"/>
  <c r="V275" i="1"/>
  <c r="V4" i="1"/>
  <c r="V36" i="1"/>
  <c r="V173" i="1"/>
  <c r="V327" i="1"/>
  <c r="V314" i="1"/>
  <c r="V265" i="1"/>
  <c r="V269" i="1"/>
  <c r="V283" i="1"/>
  <c r="V288" i="1"/>
  <c r="V82" i="1"/>
  <c r="V23" i="1"/>
  <c r="V90" i="1"/>
  <c r="V198" i="1"/>
  <c r="V367" i="1"/>
  <c r="V188" i="1"/>
  <c r="V83" i="1"/>
  <c r="V160" i="1"/>
  <c r="V181" i="1"/>
  <c r="V31" i="1"/>
  <c r="V126" i="1"/>
  <c r="V289" i="1"/>
  <c r="U275" i="1"/>
  <c r="U36" i="1"/>
  <c r="U173" i="1"/>
  <c r="U327" i="1"/>
  <c r="U314" i="1"/>
  <c r="U265" i="1"/>
  <c r="U269" i="1"/>
  <c r="U283" i="1"/>
  <c r="U288" i="1"/>
  <c r="U82" i="1"/>
  <c r="U23" i="1"/>
  <c r="U90" i="1"/>
  <c r="U198" i="1"/>
  <c r="U367" i="1"/>
  <c r="U188" i="1"/>
  <c r="U83" i="1"/>
  <c r="U160" i="1"/>
  <c r="U181" i="1"/>
  <c r="U31" i="1"/>
  <c r="U126" i="1"/>
  <c r="U289" i="1"/>
  <c r="AD121" i="3"/>
  <c r="J121" i="3"/>
  <c r="K121" i="3"/>
  <c r="G121" i="3"/>
  <c r="Y275" i="1"/>
  <c r="Y36" i="1"/>
  <c r="Y173" i="1"/>
  <c r="Y327" i="1"/>
  <c r="Y314" i="1"/>
  <c r="Y265" i="1"/>
  <c r="Y269" i="1"/>
  <c r="Y283" i="1"/>
  <c r="Y288" i="1"/>
  <c r="Y82" i="1"/>
  <c r="Y23" i="1"/>
  <c r="Y90" i="1"/>
  <c r="Y198" i="1"/>
  <c r="Y188" i="1"/>
  <c r="Y83" i="1"/>
  <c r="Y160" i="1"/>
  <c r="Y181" i="1"/>
  <c r="Y31" i="1"/>
  <c r="Y126" i="1"/>
  <c r="Y289" i="1"/>
  <c r="Y102" i="1"/>
  <c r="Y60" i="1"/>
  <c r="U60" i="1"/>
  <c r="V60" i="1"/>
  <c r="K275" i="1"/>
  <c r="K36" i="1"/>
  <c r="K173" i="1"/>
  <c r="K327" i="1"/>
  <c r="K314" i="1"/>
  <c r="K265" i="1"/>
  <c r="K269" i="1"/>
  <c r="K283" i="1"/>
  <c r="K288" i="1"/>
  <c r="K82" i="1"/>
  <c r="K23" i="1"/>
  <c r="K90" i="1"/>
  <c r="K198" i="1"/>
  <c r="K367" i="1"/>
  <c r="K188" i="1"/>
  <c r="K83" i="1"/>
  <c r="K160" i="1"/>
  <c r="K181" i="1"/>
  <c r="K31" i="1"/>
  <c r="K126" i="1"/>
  <c r="K289" i="1"/>
  <c r="K102" i="1"/>
  <c r="J275" i="1"/>
  <c r="J36" i="1"/>
  <c r="J173" i="1"/>
  <c r="J327" i="1"/>
  <c r="J314" i="1"/>
  <c r="J265" i="1"/>
  <c r="J269" i="1"/>
  <c r="J283" i="1"/>
  <c r="J288" i="1"/>
  <c r="J82" i="1"/>
  <c r="J23" i="1"/>
  <c r="J90" i="1"/>
  <c r="J198" i="1"/>
  <c r="J367" i="1"/>
  <c r="J188" i="1"/>
  <c r="J83" i="1"/>
  <c r="J160" i="1"/>
  <c r="J181" i="1"/>
  <c r="J31" i="1"/>
  <c r="J126" i="1"/>
  <c r="J289" i="1"/>
  <c r="J102" i="1"/>
  <c r="J60" i="1"/>
  <c r="K60" i="1"/>
  <c r="G60" i="1"/>
  <c r="G275" i="1"/>
  <c r="G36" i="1"/>
  <c r="G173" i="1"/>
  <c r="G327" i="1"/>
  <c r="G314" i="1"/>
  <c r="G265" i="1"/>
  <c r="G269" i="1"/>
  <c r="G283" i="1"/>
  <c r="G288" i="1"/>
  <c r="G82" i="1"/>
  <c r="G23" i="1"/>
  <c r="G90" i="1"/>
  <c r="G198" i="1"/>
  <c r="G367" i="1"/>
  <c r="G188" i="1"/>
  <c r="G83" i="1"/>
  <c r="G160" i="1"/>
  <c r="G181" i="1"/>
  <c r="G31" i="1"/>
  <c r="G126" i="1"/>
  <c r="G289" i="1"/>
  <c r="G102" i="1"/>
  <c r="AE25" i="7"/>
  <c r="J6" i="3"/>
  <c r="J3" i="3"/>
  <c r="J122" i="3"/>
  <c r="J64" i="3"/>
  <c r="J75" i="3"/>
  <c r="J25" i="3"/>
  <c r="J105" i="3"/>
  <c r="J68" i="3"/>
  <c r="J88" i="3"/>
  <c r="J58" i="3"/>
  <c r="J72" i="3"/>
  <c r="J123" i="3"/>
  <c r="J70" i="3"/>
  <c r="J21" i="3"/>
  <c r="J104" i="3"/>
  <c r="J106" i="3"/>
  <c r="J107" i="3"/>
  <c r="J89" i="3"/>
  <c r="J112" i="3"/>
  <c r="J111" i="3"/>
  <c r="J115" i="3"/>
  <c r="J84" i="3"/>
  <c r="J96" i="3"/>
  <c r="J101" i="3"/>
  <c r="J100" i="3"/>
  <c r="J125" i="3"/>
  <c r="J99" i="3"/>
  <c r="J102" i="3"/>
  <c r="J87" i="3"/>
  <c r="J30" i="3"/>
  <c r="J108" i="3"/>
  <c r="J32" i="3"/>
  <c r="J24" i="3"/>
  <c r="J74" i="3"/>
  <c r="J116" i="3"/>
  <c r="J127" i="3"/>
  <c r="J119" i="3"/>
  <c r="J50" i="3"/>
  <c r="J51" i="3"/>
  <c r="J114" i="3"/>
  <c r="J26" i="3"/>
  <c r="J22" i="3"/>
  <c r="J29" i="3"/>
  <c r="J23" i="3"/>
  <c r="J86" i="3"/>
  <c r="J28" i="3"/>
  <c r="J77" i="3"/>
  <c r="J34" i="3"/>
  <c r="J49" i="3"/>
  <c r="J7" i="3"/>
  <c r="J65" i="3"/>
  <c r="J37" i="3"/>
  <c r="J69" i="3"/>
  <c r="J67" i="3"/>
  <c r="J92" i="3"/>
  <c r="J10" i="3"/>
  <c r="J91" i="3"/>
  <c r="J66" i="3"/>
  <c r="J117" i="3"/>
  <c r="J38" i="3"/>
  <c r="J17" i="3"/>
  <c r="J41" i="3"/>
  <c r="J33" i="3"/>
  <c r="J45" i="3"/>
  <c r="J79" i="3"/>
  <c r="J73" i="3"/>
  <c r="J35" i="3"/>
  <c r="J43" i="3"/>
  <c r="J56" i="3"/>
  <c r="J80" i="3"/>
  <c r="J71" i="3"/>
  <c r="J60" i="3"/>
  <c r="J53" i="3"/>
  <c r="J54" i="3"/>
  <c r="J57" i="3"/>
  <c r="J55" i="3"/>
  <c r="J85" i="3"/>
  <c r="J39" i="3"/>
  <c r="J110" i="3"/>
  <c r="J109" i="3"/>
  <c r="J61" i="3"/>
  <c r="J78" i="3"/>
  <c r="J59" i="3"/>
  <c r="J63" i="3"/>
  <c r="J93" i="3"/>
  <c r="J36" i="3"/>
  <c r="J11" i="3"/>
  <c r="J27" i="3"/>
  <c r="J82" i="3"/>
  <c r="J97" i="3"/>
  <c r="J103" i="3"/>
  <c r="J4" i="3"/>
  <c r="J98" i="3"/>
  <c r="J113" i="3"/>
  <c r="J13" i="3"/>
  <c r="J52" i="3"/>
  <c r="J62" i="3"/>
  <c r="J76" i="3"/>
  <c r="J118" i="3"/>
  <c r="J44" i="3"/>
  <c r="J48" i="3"/>
  <c r="J16" i="3"/>
  <c r="J20" i="3"/>
  <c r="J94" i="3"/>
  <c r="J5" i="3"/>
  <c r="J19" i="3"/>
  <c r="J31" i="3"/>
  <c r="J46" i="3"/>
  <c r="J47" i="3"/>
  <c r="J81" i="3"/>
  <c r="J42" i="3"/>
  <c r="J90" i="3"/>
  <c r="J40" i="3"/>
  <c r="J95" i="3"/>
  <c r="J120" i="3"/>
  <c r="J9" i="3"/>
  <c r="J12" i="3"/>
  <c r="J8" i="3"/>
  <c r="J126" i="3"/>
  <c r="J5" i="2"/>
  <c r="J148" i="2"/>
  <c r="J107" i="2"/>
  <c r="J149" i="2"/>
  <c r="J13" i="2"/>
  <c r="J147" i="2"/>
  <c r="J38" i="2"/>
  <c r="J27" i="2"/>
  <c r="J16" i="2"/>
  <c r="J29" i="2"/>
  <c r="J121" i="2"/>
  <c r="J125" i="2"/>
  <c r="J56" i="2"/>
  <c r="J132" i="2"/>
  <c r="J14" i="2"/>
  <c r="J65" i="2"/>
  <c r="J90" i="2"/>
  <c r="J12" i="2"/>
  <c r="J59" i="2"/>
  <c r="J95" i="2"/>
  <c r="J30" i="2"/>
  <c r="J143" i="2"/>
  <c r="J151" i="2"/>
  <c r="J129" i="2"/>
  <c r="J37" i="2"/>
  <c r="J123" i="2"/>
  <c r="J60" i="2"/>
  <c r="J146" i="2"/>
  <c r="J97" i="2"/>
  <c r="J45" i="2"/>
  <c r="J101" i="2"/>
  <c r="J10" i="2"/>
  <c r="J134" i="2"/>
  <c r="J63" i="2"/>
  <c r="J67" i="2"/>
  <c r="J81" i="2"/>
  <c r="J33" i="2"/>
  <c r="J25" i="2"/>
  <c r="J32" i="2"/>
  <c r="J139" i="2"/>
  <c r="J108" i="2"/>
  <c r="J11" i="2"/>
  <c r="J88" i="2"/>
  <c r="J28" i="2"/>
  <c r="J64" i="2"/>
  <c r="J141" i="2"/>
  <c r="J46" i="2"/>
  <c r="J6" i="2"/>
  <c r="J84" i="2"/>
  <c r="J42" i="2"/>
  <c r="J71" i="2"/>
  <c r="J150" i="2"/>
  <c r="J120" i="2"/>
  <c r="J94" i="2"/>
  <c r="J15" i="2"/>
  <c r="J111" i="2"/>
  <c r="J43" i="2"/>
  <c r="J118" i="2"/>
  <c r="J112" i="2"/>
  <c r="J19" i="2"/>
  <c r="J23" i="2"/>
  <c r="J99" i="2"/>
  <c r="J113" i="2"/>
  <c r="J106" i="2"/>
  <c r="J109" i="2"/>
  <c r="J102" i="2"/>
  <c r="J96" i="2"/>
  <c r="J31" i="2"/>
  <c r="J124" i="2"/>
  <c r="J128" i="2"/>
  <c r="J110" i="2"/>
  <c r="J40" i="2"/>
  <c r="J44" i="2"/>
  <c r="J51" i="2"/>
  <c r="J68" i="2"/>
  <c r="J54" i="2"/>
  <c r="J122" i="2"/>
  <c r="J36" i="2"/>
  <c r="J78" i="2"/>
  <c r="J126" i="2"/>
  <c r="J92" i="2"/>
  <c r="J77" i="2"/>
  <c r="J104" i="2"/>
  <c r="J127" i="2"/>
  <c r="J142" i="2"/>
  <c r="J39" i="2"/>
  <c r="J66" i="2"/>
  <c r="J57" i="2"/>
  <c r="J35" i="2"/>
  <c r="J58" i="2"/>
  <c r="J100" i="2"/>
  <c r="J22" i="2"/>
  <c r="J87" i="2"/>
  <c r="J48" i="2"/>
  <c r="J89" i="2"/>
  <c r="J80" i="2"/>
  <c r="J62" i="2"/>
  <c r="J103" i="2"/>
  <c r="J86" i="2"/>
  <c r="J91" i="2"/>
  <c r="J61" i="2"/>
  <c r="J34" i="2"/>
  <c r="J75" i="2"/>
  <c r="J93" i="2"/>
  <c r="J9" i="2"/>
  <c r="J85" i="2"/>
  <c r="J74" i="2"/>
  <c r="J17" i="2"/>
  <c r="J136" i="2"/>
  <c r="J47" i="2"/>
  <c r="J49" i="2"/>
  <c r="J76" i="2"/>
  <c r="J144" i="2"/>
  <c r="J119" i="2"/>
  <c r="J138" i="2"/>
  <c r="J83" i="2"/>
  <c r="J140" i="2"/>
  <c r="J133" i="2"/>
  <c r="J20" i="2"/>
  <c r="J98" i="2"/>
  <c r="J7" i="2"/>
  <c r="J72" i="2"/>
  <c r="J55" i="2"/>
  <c r="J82" i="2"/>
  <c r="J50" i="2"/>
  <c r="J137" i="2"/>
  <c r="J52" i="2"/>
  <c r="J53" i="2"/>
  <c r="J69" i="2"/>
  <c r="J79" i="2"/>
  <c r="J21" i="2"/>
  <c r="J18" i="2"/>
  <c r="J4" i="2"/>
  <c r="J105" i="2"/>
  <c r="J145" i="2"/>
  <c r="J26" i="2"/>
  <c r="J3" i="2"/>
  <c r="J8" i="2"/>
  <c r="J4" i="1"/>
  <c r="J3" i="1"/>
  <c r="J9" i="1"/>
  <c r="J7" i="1"/>
  <c r="J17" i="1"/>
  <c r="J26" i="1"/>
  <c r="J8" i="1"/>
  <c r="J215" i="1"/>
  <c r="J87" i="1"/>
  <c r="J10" i="1"/>
  <c r="J65" i="1"/>
  <c r="J39" i="1"/>
  <c r="J35" i="1"/>
  <c r="J72" i="1"/>
  <c r="J28" i="1"/>
  <c r="J19" i="1"/>
  <c r="J24" i="1"/>
  <c r="J43" i="1"/>
  <c r="J70" i="1"/>
  <c r="J155" i="1"/>
  <c r="J49" i="1"/>
  <c r="J12" i="1"/>
  <c r="J46" i="1"/>
  <c r="J120" i="1"/>
  <c r="J42" i="1"/>
  <c r="J209" i="1"/>
  <c r="J48" i="1"/>
  <c r="J25" i="1"/>
  <c r="J174" i="1"/>
  <c r="J27" i="1"/>
  <c r="J40" i="1"/>
  <c r="J41" i="1"/>
  <c r="J94" i="1"/>
  <c r="J113" i="1"/>
  <c r="J71" i="1"/>
  <c r="J147" i="1"/>
  <c r="J214" i="1"/>
  <c r="J63" i="1"/>
  <c r="J152" i="1"/>
  <c r="J57" i="1"/>
  <c r="J139" i="1"/>
  <c r="J235" i="1"/>
  <c r="J149" i="1"/>
  <c r="J13" i="1"/>
  <c r="J22" i="1"/>
  <c r="J123" i="1"/>
  <c r="J16" i="1"/>
  <c r="J171" i="1"/>
  <c r="J115" i="1"/>
  <c r="J223" i="1"/>
  <c r="J116" i="1"/>
  <c r="J302" i="1"/>
  <c r="J104" i="1"/>
  <c r="J254" i="1"/>
  <c r="J228" i="1"/>
  <c r="J131" i="1"/>
  <c r="J158" i="1"/>
  <c r="J68" i="1"/>
  <c r="J313" i="1"/>
  <c r="J222" i="1"/>
  <c r="J110" i="1"/>
  <c r="J59" i="1"/>
  <c r="J103" i="1"/>
  <c r="J186" i="1"/>
  <c r="J325" i="1"/>
  <c r="J201" i="1"/>
  <c r="J180" i="1"/>
  <c r="J234" i="1"/>
  <c r="J141" i="1"/>
  <c r="J343" i="1"/>
  <c r="J389" i="1"/>
  <c r="J338" i="1"/>
  <c r="J332" i="1"/>
  <c r="J274" i="1"/>
  <c r="J98" i="1"/>
  <c r="J146" i="1"/>
  <c r="J89" i="1"/>
  <c r="J32" i="1"/>
  <c r="J53" i="1"/>
  <c r="J164" i="1"/>
  <c r="J300" i="1"/>
  <c r="J108" i="1"/>
  <c r="J357" i="1"/>
  <c r="J153" i="1"/>
  <c r="J321" i="1"/>
  <c r="J213" i="1"/>
  <c r="J144" i="1"/>
  <c r="J342" i="1"/>
  <c r="J271" i="1"/>
  <c r="J241" i="1"/>
  <c r="J44" i="1"/>
  <c r="J135" i="1"/>
  <c r="J244" i="1"/>
  <c r="J322" i="1"/>
  <c r="J166" i="1"/>
  <c r="J371" i="1"/>
  <c r="J390" i="1"/>
  <c r="J15" i="1"/>
  <c r="J291" i="1"/>
  <c r="J76" i="1"/>
  <c r="J112" i="1"/>
  <c r="J331" i="1"/>
  <c r="J346" i="1"/>
  <c r="J336" i="1"/>
  <c r="J101" i="1"/>
  <c r="J290" i="1"/>
  <c r="J190" i="1"/>
  <c r="J69" i="1"/>
  <c r="J78" i="1"/>
  <c r="J225" i="1"/>
  <c r="J185" i="1"/>
  <c r="J45" i="1"/>
  <c r="J344" i="1"/>
  <c r="J248" i="1"/>
  <c r="J170" i="1"/>
  <c r="J301" i="1"/>
  <c r="J182" i="1"/>
  <c r="J251" i="1"/>
  <c r="J197" i="1"/>
  <c r="J252" i="1"/>
  <c r="J114" i="1"/>
  <c r="J247" i="1"/>
  <c r="J358" i="1"/>
  <c r="J353" i="1"/>
  <c r="J178" i="1"/>
  <c r="J226" i="1"/>
  <c r="J34" i="1"/>
  <c r="J55" i="1"/>
  <c r="J75" i="1"/>
  <c r="J364" i="1"/>
  <c r="J355" i="1"/>
  <c r="J292" i="1"/>
  <c r="J245" i="1"/>
  <c r="J330" i="1"/>
  <c r="J310" i="1"/>
  <c r="J306" i="1"/>
  <c r="J138" i="1"/>
  <c r="J237" i="1"/>
  <c r="J259" i="1"/>
  <c r="J54" i="1"/>
  <c r="J385" i="1"/>
  <c r="J384" i="1"/>
  <c r="J359" i="1"/>
  <c r="J249" i="1"/>
  <c r="J219" i="1"/>
  <c r="J50" i="1"/>
  <c r="J345" i="1"/>
  <c r="J130" i="1"/>
  <c r="J217" i="1"/>
  <c r="J297" i="1"/>
  <c r="J243" i="1"/>
  <c r="J281" i="1"/>
  <c r="J97" i="1"/>
  <c r="J62" i="1"/>
  <c r="J169" i="1"/>
  <c r="J88" i="1"/>
  <c r="J242" i="1"/>
  <c r="J328" i="1"/>
  <c r="J199" i="1"/>
  <c r="J393" i="1"/>
  <c r="J360" i="1"/>
  <c r="J326" i="1"/>
  <c r="J380" i="1"/>
  <c r="J192" i="1"/>
  <c r="J319" i="1"/>
  <c r="J246" i="1"/>
  <c r="J221" i="1"/>
  <c r="J373" i="1"/>
  <c r="J64" i="1"/>
  <c r="J145" i="1"/>
  <c r="J84" i="1"/>
  <c r="J392" i="1"/>
  <c r="J148" i="1"/>
  <c r="J51" i="1"/>
  <c r="J387" i="1"/>
  <c r="J334" i="1"/>
  <c r="J278" i="1"/>
  <c r="J295" i="1"/>
  <c r="J272" i="1"/>
  <c r="J381" i="1"/>
  <c r="J129" i="1"/>
  <c r="J356" i="1"/>
  <c r="J207" i="1"/>
  <c r="J230" i="1"/>
  <c r="J81" i="1"/>
  <c r="J299" i="1"/>
  <c r="J377" i="1"/>
  <c r="J285" i="1"/>
  <c r="J142" i="1"/>
  <c r="J208" i="1"/>
  <c r="J320" i="1"/>
  <c r="J157" i="1"/>
  <c r="J196" i="1"/>
  <c r="J211" i="1"/>
  <c r="J74" i="1"/>
  <c r="J167" i="1"/>
  <c r="J118" i="1"/>
  <c r="J117" i="1"/>
  <c r="J378" i="1"/>
  <c r="J161" i="1"/>
  <c r="J80" i="1"/>
  <c r="J337" i="1"/>
  <c r="J263" i="1"/>
  <c r="J140" i="1"/>
  <c r="J296" i="1"/>
  <c r="J347" i="1"/>
  <c r="J202" i="1"/>
  <c r="J122" i="1"/>
  <c r="J270" i="1"/>
  <c r="J277" i="1"/>
  <c r="J106" i="1"/>
  <c r="J86" i="1"/>
  <c r="J95" i="1"/>
  <c r="J383" i="1"/>
  <c r="J362" i="1"/>
  <c r="J253" i="1"/>
  <c r="J307" i="1"/>
  <c r="J159" i="1"/>
  <c r="J386" i="1"/>
  <c r="J111" i="1"/>
  <c r="J203" i="1"/>
  <c r="J58" i="1"/>
  <c r="J258" i="1"/>
  <c r="J391" i="1"/>
  <c r="J220" i="1"/>
  <c r="J136" i="1"/>
  <c r="J191" i="1"/>
  <c r="J150" i="1"/>
  <c r="J236" i="1"/>
  <c r="J132" i="1"/>
  <c r="J151" i="1"/>
  <c r="J205" i="1"/>
  <c r="J67" i="1"/>
  <c r="J210" i="1"/>
  <c r="J376" i="1"/>
  <c r="J232" i="1"/>
  <c r="J240" i="1"/>
  <c r="J286" i="1"/>
  <c r="J105" i="1"/>
  <c r="J77" i="1"/>
  <c r="J229" i="1"/>
  <c r="J85" i="1"/>
  <c r="J29" i="1"/>
  <c r="J30" i="1"/>
  <c r="J193" i="1"/>
  <c r="J162" i="1"/>
  <c r="J47" i="1"/>
  <c r="J119" i="1"/>
  <c r="J125" i="1"/>
  <c r="J79" i="1"/>
  <c r="J349" i="1"/>
  <c r="J134" i="1"/>
  <c r="J52" i="1"/>
  <c r="J303" i="1"/>
  <c r="J154" i="1"/>
  <c r="J363" i="1"/>
  <c r="J218" i="1"/>
  <c r="J133" i="1"/>
  <c r="J179" i="1"/>
  <c r="J128" i="1"/>
  <c r="J21" i="1"/>
  <c r="J369" i="1"/>
  <c r="J92" i="1"/>
  <c r="J127" i="1"/>
  <c r="J267" i="1"/>
  <c r="J280" i="1"/>
  <c r="J172" i="1"/>
  <c r="J308" i="1"/>
  <c r="J11" i="1"/>
  <c r="J100" i="1"/>
  <c r="J329" i="1"/>
  <c r="J175" i="1"/>
  <c r="J56" i="1"/>
  <c r="J37" i="1"/>
  <c r="J184" i="1"/>
  <c r="J260" i="1"/>
  <c r="J194" i="1"/>
  <c r="J137" i="1"/>
  <c r="J73" i="1"/>
  <c r="J121" i="1"/>
  <c r="J96" i="1"/>
  <c r="J168" i="1"/>
  <c r="J124" i="1"/>
  <c r="J143" i="1"/>
  <c r="J93" i="1"/>
  <c r="J233" i="1"/>
  <c r="J163" i="1"/>
  <c r="J20" i="1"/>
  <c r="J18" i="1"/>
  <c r="J6" i="1"/>
  <c r="J14" i="1"/>
  <c r="J5" i="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40" i="3"/>
  <c r="K95" i="3"/>
  <c r="K120" i="3"/>
  <c r="K9" i="3"/>
  <c r="K12" i="3"/>
  <c r="K8" i="3"/>
  <c r="AD40" i="3"/>
  <c r="AD95" i="3"/>
  <c r="AD120" i="3"/>
  <c r="AD9" i="3"/>
  <c r="AD12" i="3"/>
  <c r="AD8" i="3"/>
  <c r="AC19" i="2"/>
  <c r="AC23" i="2"/>
  <c r="AC8" i="2"/>
  <c r="Y143" i="1"/>
  <c r="Y267" i="1"/>
  <c r="Y175" i="1"/>
  <c r="Y168" i="1"/>
  <c r="Y37" i="1"/>
  <c r="Y179" i="1"/>
  <c r="Y220" i="1"/>
  <c r="Y105" i="1"/>
  <c r="Y205" i="1"/>
  <c r="Y128" i="1"/>
  <c r="Y258" i="1"/>
  <c r="Y377" i="1"/>
  <c r="Y295" i="1"/>
  <c r="Y196" i="1"/>
  <c r="Y230" i="1"/>
  <c r="V267" i="1"/>
  <c r="V175" i="1"/>
  <c r="V168" i="1"/>
  <c r="V37" i="1"/>
  <c r="V179" i="1"/>
  <c r="V220" i="1"/>
  <c r="V105" i="1"/>
  <c r="V205" i="1"/>
  <c r="V128" i="1"/>
  <c r="V258" i="1"/>
  <c r="V377" i="1"/>
  <c r="V295" i="1"/>
  <c r="V196" i="1"/>
  <c r="V230" i="1"/>
  <c r="U267" i="1"/>
  <c r="U175" i="1"/>
  <c r="U168" i="1"/>
  <c r="U37" i="1"/>
  <c r="U179" i="1"/>
  <c r="U220" i="1"/>
  <c r="U105" i="1"/>
  <c r="U205" i="1"/>
  <c r="U128" i="1"/>
  <c r="U258" i="1"/>
  <c r="U377" i="1"/>
  <c r="U295" i="1"/>
  <c r="U196" i="1"/>
  <c r="U230" i="1"/>
  <c r="U143" i="1"/>
  <c r="V143" i="1"/>
  <c r="K143" i="1"/>
  <c r="K267" i="1"/>
  <c r="K175" i="1"/>
  <c r="K168" i="1"/>
  <c r="K37" i="1"/>
  <c r="K179" i="1"/>
  <c r="K220" i="1"/>
  <c r="K105" i="1"/>
  <c r="K205" i="1"/>
  <c r="K128" i="1"/>
  <c r="K258" i="1"/>
  <c r="K377" i="1"/>
  <c r="K295" i="1"/>
  <c r="K196" i="1"/>
  <c r="K230" i="1"/>
  <c r="AE32" i="7"/>
  <c r="AE31" i="7"/>
  <c r="AE30" i="7"/>
  <c r="AE24" i="7"/>
  <c r="AE23" i="7"/>
  <c r="AE19" i="7"/>
  <c r="AE12" i="7"/>
  <c r="U90" i="3"/>
  <c r="U40" i="3"/>
  <c r="U95" i="3"/>
  <c r="U120" i="3"/>
  <c r="U9" i="3"/>
  <c r="U12" i="3"/>
  <c r="U8" i="3"/>
  <c r="T40" i="3"/>
  <c r="T95" i="3"/>
  <c r="T120" i="3"/>
  <c r="T9" i="3"/>
  <c r="T12" i="3"/>
  <c r="T8" i="3"/>
  <c r="G40" i="3"/>
  <c r="G95" i="3"/>
  <c r="G120" i="3"/>
  <c r="G9" i="3"/>
  <c r="G12" i="3"/>
  <c r="G8" i="3"/>
  <c r="G19" i="2"/>
  <c r="G23" i="2"/>
  <c r="G8" i="2"/>
  <c r="G143" i="1"/>
  <c r="G267" i="1"/>
  <c r="G175" i="1"/>
  <c r="G168" i="1"/>
  <c r="G37" i="1"/>
  <c r="G179" i="1"/>
  <c r="G220" i="1"/>
  <c r="G105" i="1"/>
  <c r="G205" i="1"/>
  <c r="G128" i="1"/>
  <c r="G258" i="1"/>
  <c r="G377" i="1"/>
  <c r="G295" i="1"/>
  <c r="G196" i="1"/>
  <c r="G230" i="1"/>
  <c r="I362" i="5"/>
  <c r="G280" i="1"/>
  <c r="Q433" i="9"/>
  <c r="AD40" i="7"/>
  <c r="AD30" i="7"/>
  <c r="AD23" i="7"/>
  <c r="AD19" i="7"/>
  <c r="AD32" i="7"/>
  <c r="AD31" i="7"/>
  <c r="AD25" i="7"/>
  <c r="AD24" i="7"/>
  <c r="AD12" i="7"/>
  <c r="U47" i="3"/>
  <c r="U11" i="3"/>
  <c r="T47" i="3"/>
  <c r="T11" i="3"/>
  <c r="V308" i="1"/>
  <c r="V18" i="1"/>
  <c r="V184" i="1"/>
  <c r="V20" i="1"/>
  <c r="V73" i="1"/>
  <c r="V233" i="1"/>
  <c r="V303" i="1"/>
  <c r="V260" i="1"/>
  <c r="V286" i="1"/>
  <c r="V369" i="1"/>
  <c r="V120" i="1"/>
  <c r="U308" i="1"/>
  <c r="U18" i="1"/>
  <c r="U184" i="1"/>
  <c r="U20" i="1"/>
  <c r="U73" i="1"/>
  <c r="U233" i="1"/>
  <c r="U303" i="1"/>
  <c r="U260" i="1"/>
  <c r="U286" i="1"/>
  <c r="U369" i="1"/>
  <c r="U120" i="1"/>
  <c r="AD11" i="3"/>
  <c r="AD47" i="3"/>
  <c r="G47" i="3"/>
  <c r="G11" i="3"/>
  <c r="K11" i="3"/>
  <c r="K47" i="3"/>
  <c r="AC16" i="2"/>
  <c r="AC53" i="2"/>
  <c r="G53" i="2"/>
  <c r="G16" i="2"/>
  <c r="U240" i="1"/>
  <c r="V240" i="1"/>
  <c r="Y308" i="1"/>
  <c r="Y18" i="1"/>
  <c r="Y184" i="1"/>
  <c r="Y20" i="1"/>
  <c r="Y73" i="1"/>
  <c r="Y233" i="1"/>
  <c r="Y303" i="1"/>
  <c r="Y260" i="1"/>
  <c r="Y286" i="1"/>
  <c r="Y369" i="1"/>
  <c r="Y120" i="1"/>
  <c r="Y240" i="1"/>
  <c r="K120" i="1"/>
  <c r="K308" i="1"/>
  <c r="K18" i="1"/>
  <c r="K184" i="1"/>
  <c r="K20" i="1"/>
  <c r="K73" i="1"/>
  <c r="K233" i="1"/>
  <c r="K303" i="1"/>
  <c r="K260" i="1"/>
  <c r="K286" i="1"/>
  <c r="K369" i="1"/>
  <c r="G240" i="1"/>
  <c r="G308" i="1"/>
  <c r="G18" i="1"/>
  <c r="G184" i="1"/>
  <c r="G20" i="1"/>
  <c r="G73" i="1"/>
  <c r="G233" i="1"/>
  <c r="G303" i="1"/>
  <c r="G260" i="1"/>
  <c r="G286" i="1"/>
  <c r="G369" i="1"/>
  <c r="G120" i="1"/>
  <c r="K240" i="1"/>
  <c r="G65" i="1"/>
  <c r="G17" i="1"/>
  <c r="Y310" i="1"/>
  <c r="Y192" i="1"/>
  <c r="Y277" i="1"/>
  <c r="Y88" i="1"/>
  <c r="Y110" i="1"/>
  <c r="Y5" i="1"/>
  <c r="Y132" i="1"/>
  <c r="Y14" i="1"/>
  <c r="Y40" i="1"/>
  <c r="Y119" i="1"/>
  <c r="Y296" i="1"/>
  <c r="Y161" i="1"/>
  <c r="Y194" i="1"/>
  <c r="Y218" i="1"/>
  <c r="Y133" i="1"/>
  <c r="Y124" i="1"/>
  <c r="Y172" i="1"/>
  <c r="Y329" i="1"/>
  <c r="Y208" i="1"/>
  <c r="Y280" i="1"/>
  <c r="P433" i="9"/>
  <c r="AC40" i="7"/>
  <c r="AB40" i="7"/>
  <c r="AC12" i="7"/>
  <c r="AC19" i="7"/>
  <c r="AC23" i="7"/>
  <c r="AC24" i="7"/>
  <c r="AC25" i="7"/>
  <c r="AC30" i="7"/>
  <c r="AC31" i="7"/>
  <c r="AC32" i="7"/>
  <c r="AD90" i="3"/>
  <c r="T90" i="3"/>
  <c r="AC118" i="2"/>
  <c r="V310" i="1"/>
  <c r="V192" i="1"/>
  <c r="V277" i="1"/>
  <c r="V88" i="1"/>
  <c r="V110" i="1"/>
  <c r="V5" i="1"/>
  <c r="V132" i="1"/>
  <c r="V14" i="1"/>
  <c r="V40" i="1"/>
  <c r="V119" i="1"/>
  <c r="V296" i="1"/>
  <c r="V161" i="1"/>
  <c r="V194" i="1"/>
  <c r="V218" i="1"/>
  <c r="V133" i="1"/>
  <c r="V124" i="1"/>
  <c r="V172" i="1"/>
  <c r="V329" i="1"/>
  <c r="V208" i="1"/>
  <c r="V280" i="1"/>
  <c r="U310" i="1"/>
  <c r="U192" i="1"/>
  <c r="U277" i="1"/>
  <c r="U88" i="1"/>
  <c r="U110" i="1"/>
  <c r="U5" i="1"/>
  <c r="U132" i="1"/>
  <c r="U14" i="1"/>
  <c r="U40" i="1"/>
  <c r="U119" i="1"/>
  <c r="U296" i="1"/>
  <c r="U161" i="1"/>
  <c r="U194" i="1"/>
  <c r="U218" i="1"/>
  <c r="U133" i="1"/>
  <c r="U124" i="1"/>
  <c r="U172" i="1"/>
  <c r="U329" i="1"/>
  <c r="U208" i="1"/>
  <c r="U280" i="1"/>
  <c r="K90" i="3"/>
  <c r="G90" i="3"/>
  <c r="G118" i="2"/>
  <c r="K310" i="1"/>
  <c r="K192" i="1"/>
  <c r="K277" i="1"/>
  <c r="K88" i="1"/>
  <c r="K110" i="1"/>
  <c r="K5" i="1"/>
  <c r="K132" i="1"/>
  <c r="K14" i="1"/>
  <c r="K40" i="1"/>
  <c r="K119" i="1"/>
  <c r="K296" i="1"/>
  <c r="K161" i="1"/>
  <c r="K194" i="1"/>
  <c r="K218" i="1"/>
  <c r="K133" i="1"/>
  <c r="K124" i="1"/>
  <c r="K172" i="1"/>
  <c r="K329" i="1"/>
  <c r="K208" i="1"/>
  <c r="K280" i="1"/>
  <c r="G310" i="1"/>
  <c r="G192" i="1"/>
  <c r="G277" i="1"/>
  <c r="G88" i="1"/>
  <c r="G110" i="1"/>
  <c r="G5" i="1"/>
  <c r="G132" i="1"/>
  <c r="G14" i="1"/>
  <c r="G40" i="1"/>
  <c r="G119" i="1"/>
  <c r="G296" i="1"/>
  <c r="G161" i="1"/>
  <c r="G194" i="1"/>
  <c r="G218" i="1"/>
  <c r="G133" i="1"/>
  <c r="G124" i="1"/>
  <c r="G172" i="1"/>
  <c r="G329" i="1"/>
  <c r="G208" i="1"/>
  <c r="AG488" i="9"/>
  <c r="AH488" i="9"/>
  <c r="AF488" i="9"/>
  <c r="J136" i="3" l="1"/>
  <c r="J397" i="1"/>
  <c r="J155" i="2"/>
  <c r="AH26" i="7"/>
  <c r="AL40" i="7"/>
  <c r="AF41" i="7"/>
  <c r="AD26" i="7"/>
  <c r="AC139" i="3"/>
  <c r="AG26" i="7"/>
  <c r="AG33" i="7"/>
  <c r="AD136" i="3"/>
  <c r="AC155" i="2"/>
  <c r="AB139" i="3"/>
  <c r="F139" i="3"/>
  <c r="V397" i="1"/>
  <c r="J505" i="5"/>
  <c r="J425" i="5"/>
  <c r="J517" i="5"/>
  <c r="J537" i="5"/>
  <c r="J453" i="5"/>
  <c r="J521" i="5"/>
  <c r="J441" i="5"/>
  <c r="J489" i="5"/>
  <c r="J409" i="5"/>
  <c r="J421" i="5"/>
  <c r="J485" i="5"/>
  <c r="J393" i="5"/>
  <c r="J473" i="5"/>
  <c r="J389" i="5"/>
  <c r="J549" i="5"/>
  <c r="J457" i="5"/>
  <c r="J377" i="5"/>
  <c r="AF26" i="7"/>
  <c r="AF33" i="7"/>
  <c r="F400" i="1"/>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O433" i="9"/>
  <c r="AD33" i="7"/>
  <c r="AC26" i="7"/>
  <c r="AC33" i="7"/>
  <c r="AB30" i="7"/>
  <c r="AB23" i="7"/>
  <c r="AB12" i="7"/>
  <c r="AB19" i="7"/>
  <c r="AB24" i="7"/>
  <c r="AB25" i="7"/>
  <c r="AB31" i="7"/>
  <c r="AB32" i="7"/>
  <c r="AC41" i="7"/>
  <c r="Y397" i="1"/>
  <c r="U159" i="1"/>
  <c r="V159" i="1"/>
  <c r="U118" i="1"/>
  <c r="V118" i="1"/>
  <c r="U137" i="1"/>
  <c r="V137" i="1"/>
  <c r="U278" i="1"/>
  <c r="V278" i="1"/>
  <c r="U297" i="1"/>
  <c r="V297" i="1"/>
  <c r="U211" i="1"/>
  <c r="V211" i="1"/>
  <c r="U178" i="1"/>
  <c r="V178" i="1"/>
  <c r="U81" i="1"/>
  <c r="V81" i="1"/>
  <c r="U100" i="1"/>
  <c r="V100" i="1"/>
  <c r="U180" i="1"/>
  <c r="V180" i="1"/>
  <c r="U210" i="1"/>
  <c r="V210" i="1"/>
  <c r="U125" i="1"/>
  <c r="V125" i="1"/>
  <c r="U32" i="1"/>
  <c r="V32" i="1"/>
  <c r="U22" i="1"/>
  <c r="V22" i="1"/>
  <c r="U378" i="1"/>
  <c r="V378" i="1"/>
  <c r="U46" i="1"/>
  <c r="V46" i="1"/>
  <c r="U243" i="1"/>
  <c r="V243" i="1"/>
  <c r="U229" i="1"/>
  <c r="V229" i="1"/>
  <c r="U95" i="1"/>
  <c r="V95" i="1"/>
  <c r="U221" i="1"/>
  <c r="V221" i="1"/>
  <c r="U245" i="1"/>
  <c r="V245" i="1"/>
  <c r="U53" i="1"/>
  <c r="V53" i="1"/>
  <c r="U87" i="1"/>
  <c r="V87" i="1"/>
  <c r="U154" i="1"/>
  <c r="V154" i="1"/>
  <c r="U232" i="1"/>
  <c r="V232" i="1"/>
  <c r="U263" i="1"/>
  <c r="V263" i="1"/>
  <c r="U26" i="1"/>
  <c r="V26" i="1"/>
  <c r="K118" i="1"/>
  <c r="K137" i="1"/>
  <c r="K278" i="1"/>
  <c r="K297" i="1"/>
  <c r="K211" i="1"/>
  <c r="K178" i="1"/>
  <c r="K81" i="1"/>
  <c r="K100" i="1"/>
  <c r="K180" i="1"/>
  <c r="K210" i="1"/>
  <c r="K125" i="1"/>
  <c r="K32" i="1"/>
  <c r="K22" i="1"/>
  <c r="K378" i="1"/>
  <c r="K46" i="1"/>
  <c r="K243" i="1"/>
  <c r="K229" i="1"/>
  <c r="K95" i="1"/>
  <c r="K221" i="1"/>
  <c r="K245" i="1"/>
  <c r="K53" i="1"/>
  <c r="K87" i="1"/>
  <c r="K154" i="1"/>
  <c r="K232" i="1"/>
  <c r="K263" i="1"/>
  <c r="K26" i="1"/>
  <c r="K159" i="1"/>
  <c r="AD105" i="3"/>
  <c r="AD64" i="3"/>
  <c r="AD65" i="3"/>
  <c r="AD75" i="3"/>
  <c r="AD34" i="3"/>
  <c r="AD5" i="3"/>
  <c r="AC110" i="2"/>
  <c r="AC148" i="2"/>
  <c r="AC27" i="2"/>
  <c r="AC7" i="2"/>
  <c r="AC74" i="2"/>
  <c r="AC69" i="2"/>
  <c r="AC85" i="2"/>
  <c r="T105" i="3"/>
  <c r="U105" i="3"/>
  <c r="T64" i="3"/>
  <c r="U64" i="3"/>
  <c r="T65" i="3"/>
  <c r="U65" i="3"/>
  <c r="T75" i="3"/>
  <c r="U75" i="3"/>
  <c r="T34" i="3"/>
  <c r="U34" i="3"/>
  <c r="T5" i="3"/>
  <c r="U5" i="3"/>
  <c r="T26" i="3"/>
  <c r="K105" i="3"/>
  <c r="K64" i="3"/>
  <c r="K65" i="3"/>
  <c r="K75" i="3"/>
  <c r="K34" i="3"/>
  <c r="K5" i="3"/>
  <c r="Y118" i="1"/>
  <c r="Y137" i="1"/>
  <c r="Y278" i="1"/>
  <c r="Y297" i="1"/>
  <c r="Y211" i="1"/>
  <c r="Y178" i="1"/>
  <c r="Y81" i="1"/>
  <c r="Y100" i="1"/>
  <c r="Y180" i="1"/>
  <c r="Y210" i="1"/>
  <c r="Y125" i="1"/>
  <c r="Y32" i="1"/>
  <c r="Y22" i="1"/>
  <c r="Y378" i="1"/>
  <c r="Y46" i="1"/>
  <c r="Y243" i="1"/>
  <c r="Y229" i="1"/>
  <c r="Y95" i="1"/>
  <c r="Y221" i="1"/>
  <c r="Y245" i="1"/>
  <c r="Y53" i="1"/>
  <c r="Y87" i="1"/>
  <c r="Y154" i="1"/>
  <c r="Y232" i="1"/>
  <c r="Y263" i="1"/>
  <c r="Y26" i="1"/>
  <c r="Y159" i="1"/>
  <c r="G105" i="3"/>
  <c r="G64" i="3"/>
  <c r="G65" i="3"/>
  <c r="G75" i="3"/>
  <c r="G34" i="3"/>
  <c r="G5" i="3"/>
  <c r="G110" i="2"/>
  <c r="G148" i="2"/>
  <c r="G27" i="2"/>
  <c r="G7" i="2"/>
  <c r="G74" i="2"/>
  <c r="G69" i="2"/>
  <c r="G85" i="2"/>
  <c r="G95" i="2"/>
  <c r="G118" i="1"/>
  <c r="G137" i="1"/>
  <c r="G278" i="1"/>
  <c r="G297" i="1"/>
  <c r="G211" i="1"/>
  <c r="G178" i="1"/>
  <c r="G81" i="1"/>
  <c r="G100" i="1"/>
  <c r="G180" i="1"/>
  <c r="G210" i="1"/>
  <c r="G125" i="1"/>
  <c r="G32" i="1"/>
  <c r="G22" i="1"/>
  <c r="G378" i="1"/>
  <c r="G46" i="1"/>
  <c r="G243" i="1"/>
  <c r="G229" i="1"/>
  <c r="G95" i="1"/>
  <c r="G221" i="1"/>
  <c r="G245" i="1"/>
  <c r="G53" i="1"/>
  <c r="G87" i="1"/>
  <c r="G154" i="1"/>
  <c r="G232" i="1"/>
  <c r="G263" i="1"/>
  <c r="G26" i="1"/>
  <c r="G159" i="1"/>
  <c r="AE488" i="9"/>
  <c r="AA19" i="7"/>
  <c r="AA40" i="7"/>
  <c r="AA32" i="7"/>
  <c r="AA31" i="7"/>
  <c r="AA30" i="7"/>
  <c r="AA25" i="7"/>
  <c r="AA24" i="7"/>
  <c r="AA23" i="7"/>
  <c r="AA12" i="7"/>
  <c r="T6" i="3"/>
  <c r="Y40" i="7"/>
  <c r="G10" i="1"/>
  <c r="G12" i="1"/>
  <c r="AA425" i="9"/>
  <c r="N425" i="9"/>
  <c r="Z32" i="7"/>
  <c r="Z31" i="7"/>
  <c r="Z30" i="7"/>
  <c r="Z23" i="7"/>
  <c r="Z25" i="7"/>
  <c r="Z24" i="7"/>
  <c r="Z19" i="7"/>
  <c r="Z12" i="7"/>
  <c r="Z40" i="7"/>
  <c r="G22" i="2"/>
  <c r="G30" i="2"/>
  <c r="G67" i="2"/>
  <c r="G132" i="2"/>
  <c r="G11" i="2"/>
  <c r="G76" i="2"/>
  <c r="G59" i="2"/>
  <c r="G123" i="2"/>
  <c r="G65" i="2"/>
  <c r="G33" i="2"/>
  <c r="G79" i="2"/>
  <c r="G102" i="2"/>
  <c r="G112" i="2"/>
  <c r="G77" i="2"/>
  <c r="G122" i="2"/>
  <c r="G107" i="2"/>
  <c r="G45" i="2"/>
  <c r="G81" i="2"/>
  <c r="G128" i="2"/>
  <c r="G64" i="2"/>
  <c r="G108" i="2"/>
  <c r="G88" i="2"/>
  <c r="G103" i="2"/>
  <c r="G96" i="2"/>
  <c r="G62" i="2"/>
  <c r="G100" i="2"/>
  <c r="G97" i="2"/>
  <c r="G48" i="2"/>
  <c r="G94" i="2"/>
  <c r="G125" i="2"/>
  <c r="G31" i="2"/>
  <c r="G144" i="2"/>
  <c r="G28" i="2"/>
  <c r="G80" i="2"/>
  <c r="G63" i="2"/>
  <c r="G106" i="2"/>
  <c r="G89" i="2"/>
  <c r="G44" i="2"/>
  <c r="G9" i="2"/>
  <c r="G127" i="2"/>
  <c r="G57" i="2"/>
  <c r="G136" i="2"/>
  <c r="G129" i="2"/>
  <c r="G38" i="2"/>
  <c r="G32" i="2"/>
  <c r="G101" i="2"/>
  <c r="G149" i="2"/>
  <c r="G47" i="2"/>
  <c r="G71" i="2"/>
  <c r="G43" i="2"/>
  <c r="G140" i="2"/>
  <c r="G26" i="2"/>
  <c r="G40" i="2"/>
  <c r="G20" i="2"/>
  <c r="G34" i="2"/>
  <c r="G51" i="2"/>
  <c r="G42" i="2"/>
  <c r="G92" i="2"/>
  <c r="G111" i="2"/>
  <c r="G36" i="2"/>
  <c r="G82" i="2"/>
  <c r="G83" i="2"/>
  <c r="G133" i="2"/>
  <c r="G66" i="2"/>
  <c r="G35" i="2"/>
  <c r="G54" i="2"/>
  <c r="G150" i="2"/>
  <c r="G145" i="2"/>
  <c r="G46" i="2"/>
  <c r="G50" i="2"/>
  <c r="G61" i="2"/>
  <c r="G15" i="2"/>
  <c r="G138" i="2"/>
  <c r="G6" i="2"/>
  <c r="G17" i="2"/>
  <c r="G5" i="2"/>
  <c r="G151" i="2"/>
  <c r="G137" i="2"/>
  <c r="G146" i="2"/>
  <c r="G4" i="2"/>
  <c r="G147" i="2"/>
  <c r="Z425" i="9"/>
  <c r="M425" i="9"/>
  <c r="U27" i="3"/>
  <c r="U52" i="3"/>
  <c r="U88" i="3"/>
  <c r="T27" i="3"/>
  <c r="T52" i="3"/>
  <c r="T88" i="3"/>
  <c r="V223" i="1"/>
  <c r="U271" i="1"/>
  <c r="V271" i="1"/>
  <c r="U163" i="1"/>
  <c r="V163" i="1"/>
  <c r="U226" i="1"/>
  <c r="V226" i="1"/>
  <c r="U174" i="1"/>
  <c r="V174" i="1"/>
  <c r="U131" i="1"/>
  <c r="V131" i="1"/>
  <c r="U134" i="1"/>
  <c r="V134" i="1"/>
  <c r="U193" i="1"/>
  <c r="V193" i="1"/>
  <c r="U117" i="1"/>
  <c r="V117" i="1"/>
  <c r="AD98" i="3"/>
  <c r="AD13" i="3"/>
  <c r="AD62" i="3"/>
  <c r="AD103" i="3"/>
  <c r="AD85" i="3"/>
  <c r="AD36" i="3"/>
  <c r="AD27" i="3"/>
  <c r="AD52" i="3"/>
  <c r="AD88" i="3"/>
  <c r="T36" i="3"/>
  <c r="U36" i="3"/>
  <c r="K36" i="3"/>
  <c r="K27" i="3"/>
  <c r="K52" i="3"/>
  <c r="K88" i="3"/>
  <c r="G36" i="3"/>
  <c r="G27" i="3"/>
  <c r="G52" i="3"/>
  <c r="G88" i="3"/>
  <c r="AC35" i="2"/>
  <c r="AC82" i="2"/>
  <c r="AC18" i="2"/>
  <c r="AC10" i="2"/>
  <c r="AC98" i="2"/>
  <c r="G56" i="2"/>
  <c r="G25" i="2"/>
  <c r="G60" i="2"/>
  <c r="Y223" i="1"/>
  <c r="Y271" i="1"/>
  <c r="Y163" i="1"/>
  <c r="Y226" i="1"/>
  <c r="Y174" i="1"/>
  <c r="Y131" i="1"/>
  <c r="Y134" i="1"/>
  <c r="Y193" i="1"/>
  <c r="Y117" i="1"/>
  <c r="Y12" i="1"/>
  <c r="U223" i="1"/>
  <c r="K337" i="1"/>
  <c r="K199" i="1"/>
  <c r="K6" i="1"/>
  <c r="K123" i="1"/>
  <c r="K121" i="1"/>
  <c r="K151" i="1"/>
  <c r="K274" i="1"/>
  <c r="K103" i="1"/>
  <c r="K145" i="1"/>
  <c r="G223" i="1"/>
  <c r="G271" i="1"/>
  <c r="G163" i="1"/>
  <c r="G226" i="1"/>
  <c r="G174" i="1"/>
  <c r="G131" i="1"/>
  <c r="G134" i="1"/>
  <c r="G193" i="1"/>
  <c r="G117" i="1"/>
  <c r="G129" i="1"/>
  <c r="L425" i="9"/>
  <c r="Y425" i="9"/>
  <c r="X425" i="9"/>
  <c r="W425" i="9"/>
  <c r="V425" i="9"/>
  <c r="U425" i="9"/>
  <c r="T425" i="9"/>
  <c r="S425" i="9"/>
  <c r="R425" i="9"/>
  <c r="Q425" i="9"/>
  <c r="P425" i="9"/>
  <c r="O425" i="9"/>
  <c r="K425" i="9"/>
  <c r="J425" i="9"/>
  <c r="I425" i="9"/>
  <c r="H425" i="9"/>
  <c r="G425" i="9"/>
  <c r="F425" i="9"/>
  <c r="E425" i="9"/>
  <c r="D425" i="9"/>
  <c r="C425" i="9"/>
  <c r="B425" i="9"/>
  <c r="Z41" i="7" l="1"/>
  <c r="N433" i="9"/>
  <c r="M433" i="9"/>
  <c r="AB41" i="7"/>
  <c r="AB26" i="7"/>
  <c r="AA41" i="7"/>
  <c r="AB33" i="7"/>
  <c r="I319" i="5"/>
  <c r="K433" i="9"/>
  <c r="AA33" i="7"/>
  <c r="AA26" i="7"/>
  <c r="Z33" i="7"/>
  <c r="Z26" i="7"/>
  <c r="L433" i="9"/>
  <c r="U136" i="3"/>
  <c r="J319" i="5"/>
  <c r="I433" i="9"/>
  <c r="J433" i="9"/>
  <c r="C433" i="9"/>
  <c r="D433" i="9"/>
  <c r="A433" i="9"/>
  <c r="B433" i="9"/>
  <c r="E433" i="9"/>
  <c r="F433" i="9"/>
  <c r="H433" i="9"/>
  <c r="G433" i="9"/>
  <c r="V376" i="1"/>
  <c r="V64" i="1"/>
  <c r="V244" i="1"/>
  <c r="V121" i="1"/>
  <c r="V112" i="1"/>
  <c r="V313" i="1"/>
  <c r="V45" i="1"/>
  <c r="V93" i="1"/>
  <c r="V129" i="1"/>
  <c r="U376" i="1"/>
  <c r="U64" i="1"/>
  <c r="U244" i="1"/>
  <c r="U121" i="1"/>
  <c r="U112" i="1"/>
  <c r="U313" i="1"/>
  <c r="U45" i="1"/>
  <c r="U93" i="1"/>
  <c r="U129" i="1"/>
  <c r="U3" i="1"/>
  <c r="AC54" i="2"/>
  <c r="AC31" i="2"/>
  <c r="AC108" i="2"/>
  <c r="AC132" i="2"/>
  <c r="AC139" i="2"/>
  <c r="AC43" i="2"/>
  <c r="AC9" i="2"/>
  <c r="AC17" i="2"/>
  <c r="AC57" i="2"/>
  <c r="AC90" i="2"/>
  <c r="AC45" i="2"/>
  <c r="G55" i="2"/>
  <c r="G29" i="2"/>
  <c r="G49" i="2"/>
  <c r="G10" i="2"/>
  <c r="K138" i="1"/>
  <c r="K241" i="1"/>
  <c r="K242" i="1"/>
  <c r="K244" i="1"/>
  <c r="K254" i="1"/>
  <c r="K251" i="1"/>
  <c r="Y121" i="1"/>
  <c r="Y112" i="1"/>
  <c r="Y313" i="1"/>
  <c r="Y45" i="1"/>
  <c r="Y93" i="1"/>
  <c r="Y129" i="1"/>
  <c r="Y244" i="1"/>
  <c r="Y7" i="1"/>
  <c r="Y9" i="1"/>
  <c r="Y103" i="1"/>
  <c r="Y343" i="1"/>
  <c r="Y49" i="1"/>
  <c r="Y35" i="1"/>
  <c r="Y171" i="1"/>
  <c r="Y150" i="1"/>
  <c r="Y113" i="1"/>
  <c r="Y136" i="1"/>
  <c r="Y325" i="1"/>
  <c r="Y115" i="1"/>
  <c r="Y30" i="1"/>
  <c r="Y139" i="1"/>
  <c r="Y337" i="1"/>
  <c r="Y191" i="1"/>
  <c r="Y25" i="1"/>
  <c r="Y8" i="1"/>
  <c r="Y170" i="1"/>
  <c r="Y55" i="1"/>
  <c r="Y235" i="1"/>
  <c r="Y353" i="1"/>
  <c r="Y332" i="1"/>
  <c r="Y94" i="1"/>
  <c r="Y52" i="1"/>
  <c r="Y371" i="1"/>
  <c r="Y185" i="1"/>
  <c r="Y27" i="1"/>
  <c r="Y111" i="1"/>
  <c r="Y338" i="1"/>
  <c r="Y222" i="1"/>
  <c r="Y213" i="1"/>
  <c r="Y300" i="1"/>
  <c r="Y228" i="1"/>
  <c r="Y62" i="1"/>
  <c r="Y251" i="1"/>
  <c r="Y142" i="1"/>
  <c r="Y254" i="1"/>
  <c r="Y219" i="1"/>
  <c r="Y169" i="1"/>
  <c r="Y322" i="1"/>
  <c r="Y182" i="1"/>
  <c r="Y56" i="1"/>
  <c r="Y15" i="1"/>
  <c r="Y326" i="1"/>
  <c r="Y148" i="1"/>
  <c r="Y362" i="1"/>
  <c r="Y357" i="1"/>
  <c r="Y152" i="1"/>
  <c r="Y302" i="1"/>
  <c r="Y363" i="1"/>
  <c r="Y380" i="1"/>
  <c r="Y116" i="1"/>
  <c r="Y101" i="1"/>
  <c r="Y215" i="1"/>
  <c r="Y122" i="1"/>
  <c r="Y78" i="1"/>
  <c r="Y217" i="1"/>
  <c r="Y319" i="1"/>
  <c r="Y75" i="1"/>
  <c r="Y270" i="1"/>
  <c r="Y54" i="1"/>
  <c r="Y347" i="1"/>
  <c r="Y331" i="1"/>
  <c r="Y247" i="1"/>
  <c r="Y281" i="1"/>
  <c r="Y135" i="1"/>
  <c r="Y241" i="1"/>
  <c r="Y386" i="1"/>
  <c r="Y166" i="1"/>
  <c r="Y68" i="1"/>
  <c r="Y358" i="1"/>
  <c r="Y355" i="1"/>
  <c r="Y360" i="1"/>
  <c r="Y391" i="1"/>
  <c r="Y356" i="1"/>
  <c r="Y246" i="1"/>
  <c r="Y346" i="1"/>
  <c r="Y336" i="1"/>
  <c r="Y69" i="1"/>
  <c r="Y392" i="1"/>
  <c r="Y253" i="1"/>
  <c r="Y349" i="1"/>
  <c r="Y290" i="1"/>
  <c r="Y201" i="1"/>
  <c r="Y57" i="1"/>
  <c r="Y381" i="1"/>
  <c r="Y242" i="1"/>
  <c r="Y202" i="1"/>
  <c r="Y44" i="1"/>
  <c r="Y158" i="1"/>
  <c r="Y80" i="1"/>
  <c r="Y225" i="1"/>
  <c r="Y292" i="1"/>
  <c r="Y89" i="1"/>
  <c r="Y320" i="1"/>
  <c r="Y97" i="1"/>
  <c r="Y162" i="1"/>
  <c r="Y167" i="1"/>
  <c r="Y383" i="1"/>
  <c r="Y385" i="1"/>
  <c r="Y390" i="1"/>
  <c r="Y234" i="1"/>
  <c r="Y334" i="1"/>
  <c r="Y59" i="1"/>
  <c r="Y307" i="1"/>
  <c r="Y197" i="1"/>
  <c r="Y384" i="1"/>
  <c r="Y203" i="1"/>
  <c r="Y146" i="1"/>
  <c r="Y51" i="1"/>
  <c r="Y164" i="1"/>
  <c r="Y306" i="1"/>
  <c r="Y373" i="1"/>
  <c r="Y92" i="1"/>
  <c r="Y359" i="1"/>
  <c r="Y259" i="1"/>
  <c r="Y153" i="1"/>
  <c r="Y345" i="1"/>
  <c r="Y342" i="1"/>
  <c r="Y199" i="1"/>
  <c r="Y344" i="1"/>
  <c r="Y6" i="1"/>
  <c r="Y65" i="1"/>
  <c r="Y389" i="1"/>
  <c r="Y393" i="1"/>
  <c r="Y77" i="1"/>
  <c r="Y252" i="1"/>
  <c r="Y364" i="1"/>
  <c r="Y50" i="1"/>
  <c r="Y127" i="1"/>
  <c r="Y141" i="1"/>
  <c r="Y330" i="1"/>
  <c r="Y16" i="1"/>
  <c r="Y104" i="1"/>
  <c r="Y108" i="1"/>
  <c r="Y299" i="1"/>
  <c r="Y76" i="1"/>
  <c r="Y249" i="1"/>
  <c r="Y285" i="1"/>
  <c r="Y74" i="1"/>
  <c r="Y387" i="1"/>
  <c r="Y130" i="1"/>
  <c r="Y48" i="1"/>
  <c r="Y149" i="1"/>
  <c r="Y84" i="1"/>
  <c r="Y98" i="1"/>
  <c r="Y272" i="1"/>
  <c r="Y19" i="1"/>
  <c r="Y186" i="1"/>
  <c r="Y328" i="1"/>
  <c r="Y147" i="1"/>
  <c r="Y301" i="1"/>
  <c r="Y291" i="1"/>
  <c r="Y145" i="1"/>
  <c r="Y114" i="1"/>
  <c r="Y86" i="1"/>
  <c r="Y71" i="1"/>
  <c r="Y190" i="1"/>
  <c r="Y274" i="1"/>
  <c r="Y236" i="1"/>
  <c r="Y248" i="1"/>
  <c r="Y123" i="1"/>
  <c r="Y321" i="1"/>
  <c r="Y237" i="1"/>
  <c r="Y28" i="1"/>
  <c r="Y70" i="1"/>
  <c r="Y39" i="1"/>
  <c r="Y138" i="1"/>
  <c r="Y67" i="1"/>
  <c r="Y157" i="1"/>
  <c r="Y209" i="1"/>
  <c r="Y79" i="1"/>
  <c r="Y17" i="1"/>
  <c r="Y72" i="1"/>
  <c r="Y214" i="1"/>
  <c r="Y47" i="1"/>
  <c r="Y13" i="1"/>
  <c r="Y96" i="1"/>
  <c r="Y85" i="1"/>
  <c r="Y151" i="1"/>
  <c r="Y155" i="1"/>
  <c r="Y207" i="1"/>
  <c r="Y29" i="1"/>
  <c r="Y42" i="1"/>
  <c r="Y106" i="1"/>
  <c r="Y58" i="1"/>
  <c r="Y41" i="1"/>
  <c r="Y140" i="1"/>
  <c r="Y144" i="1"/>
  <c r="Y11" i="1"/>
  <c r="Y43" i="1"/>
  <c r="Y21" i="1"/>
  <c r="Y24" i="1"/>
  <c r="Y34" i="1"/>
  <c r="Y63" i="1"/>
  <c r="Y10" i="1"/>
  <c r="Y4" i="1"/>
  <c r="Y376" i="1"/>
  <c r="Y64" i="1"/>
  <c r="Y3" i="1"/>
  <c r="G93" i="1"/>
  <c r="G45" i="1"/>
  <c r="G313" i="1"/>
  <c r="G112" i="1"/>
  <c r="G121" i="1"/>
  <c r="U98" i="3"/>
  <c r="U13" i="3"/>
  <c r="U62" i="3"/>
  <c r="U103" i="3"/>
  <c r="U85" i="3"/>
  <c r="T98" i="3"/>
  <c r="T13" i="3"/>
  <c r="T62" i="3"/>
  <c r="T103" i="3"/>
  <c r="T85" i="3"/>
  <c r="G62" i="3"/>
  <c r="G103" i="3"/>
  <c r="G85" i="3"/>
  <c r="G13" i="3"/>
  <c r="G98" i="3"/>
  <c r="AC3" i="2"/>
  <c r="G98" i="2"/>
  <c r="G105" i="2"/>
  <c r="G139" i="2"/>
  <c r="K131" i="1"/>
  <c r="K63" i="1"/>
  <c r="K115" i="1"/>
  <c r="G64" i="1"/>
  <c r="G244" i="1"/>
  <c r="G376" i="1"/>
  <c r="AD4" i="3"/>
  <c r="AD89" i="3"/>
  <c r="AD99" i="3"/>
  <c r="AD30" i="3"/>
  <c r="AD97" i="3"/>
  <c r="AD51" i="3"/>
  <c r="AD41" i="3"/>
  <c r="AD66" i="3"/>
  <c r="AD96" i="3"/>
  <c r="AD93" i="3"/>
  <c r="AD22" i="3"/>
  <c r="AD122" i="3"/>
  <c r="AD79" i="3"/>
  <c r="AD6" i="3"/>
  <c r="AD115" i="3"/>
  <c r="AD46" i="3"/>
  <c r="AD17" i="3"/>
  <c r="AD56" i="3"/>
  <c r="AD53" i="3"/>
  <c r="AD113" i="3"/>
  <c r="AD20" i="3"/>
  <c r="AD32" i="3"/>
  <c r="AD76" i="3"/>
  <c r="AD43" i="3"/>
  <c r="AD84" i="3"/>
  <c r="AD58" i="3"/>
  <c r="AD80" i="3"/>
  <c r="AD24" i="3"/>
  <c r="AD61" i="3"/>
  <c r="AD112" i="3"/>
  <c r="AD50" i="3"/>
  <c r="AD55" i="3"/>
  <c r="AD7" i="3"/>
  <c r="AD16" i="3"/>
  <c r="AD25" i="3"/>
  <c r="AD114" i="3"/>
  <c r="AD110" i="3"/>
  <c r="AD87" i="3"/>
  <c r="AD57" i="3"/>
  <c r="AD35" i="3"/>
  <c r="AD60" i="3"/>
  <c r="AD39" i="3"/>
  <c r="AD117" i="3"/>
  <c r="AD33" i="3"/>
  <c r="AD108" i="3"/>
  <c r="AD73" i="3"/>
  <c r="AD42" i="3"/>
  <c r="AD71" i="3"/>
  <c r="AD31" i="3"/>
  <c r="AD101" i="3"/>
  <c r="AD74" i="3"/>
  <c r="AD3" i="3"/>
  <c r="AD29" i="3"/>
  <c r="AD38" i="3"/>
  <c r="AD107" i="3"/>
  <c r="AD44" i="3"/>
  <c r="AD69" i="3"/>
  <c r="AD72" i="3"/>
  <c r="AD59" i="3"/>
  <c r="AD100" i="3"/>
  <c r="AD116" i="3"/>
  <c r="AD67" i="3"/>
  <c r="AD28" i="3"/>
  <c r="AD111" i="3"/>
  <c r="AD26" i="3"/>
  <c r="AD82" i="3"/>
  <c r="AD109" i="3"/>
  <c r="AD119" i="3"/>
  <c r="AD78" i="3"/>
  <c r="AD77" i="3"/>
  <c r="AD92" i="3"/>
  <c r="AD86" i="3"/>
  <c r="AD94" i="3"/>
  <c r="AD19" i="3"/>
  <c r="AD63" i="3"/>
  <c r="AD10" i="3"/>
  <c r="AD118" i="3"/>
  <c r="AD70" i="3"/>
  <c r="AD48" i="3"/>
  <c r="AD21" i="3"/>
  <c r="AD102" i="3"/>
  <c r="AD23" i="3"/>
  <c r="AD106" i="3"/>
  <c r="AD91" i="3"/>
  <c r="AD125" i="3"/>
  <c r="AD37" i="3"/>
  <c r="AD45" i="3"/>
  <c r="AD49" i="3"/>
  <c r="AD81" i="3"/>
  <c r="AD54" i="3"/>
  <c r="AD68" i="3"/>
  <c r="AD123" i="3"/>
  <c r="AD127" i="3"/>
  <c r="AD126" i="3"/>
  <c r="AD104" i="3"/>
  <c r="AC5" i="2"/>
  <c r="AC32" i="2"/>
  <c r="AC151" i="2"/>
  <c r="AC150" i="2"/>
  <c r="AC121" i="2"/>
  <c r="AC13" i="2"/>
  <c r="AC72" i="2"/>
  <c r="AC145" i="2"/>
  <c r="AC58" i="2"/>
  <c r="AC55" i="2"/>
  <c r="AC20" i="2"/>
  <c r="AC33" i="2"/>
  <c r="AC146" i="2"/>
  <c r="AC6" i="2"/>
  <c r="AC149" i="2"/>
  <c r="AC21" i="2"/>
  <c r="AC56" i="2"/>
  <c r="AC67" i="2"/>
  <c r="AC79" i="2"/>
  <c r="AC141" i="2"/>
  <c r="AC147" i="2"/>
  <c r="AC101" i="2"/>
  <c r="AC60" i="2"/>
  <c r="AC15" i="2"/>
  <c r="AC144" i="2"/>
  <c r="AC14" i="2"/>
  <c r="AC86" i="2"/>
  <c r="AC100" i="2"/>
  <c r="AC25" i="2"/>
  <c r="AC103" i="2"/>
  <c r="AC140" i="2"/>
  <c r="AC63" i="2"/>
  <c r="AC138" i="2"/>
  <c r="AC111" i="2"/>
  <c r="AC62" i="2"/>
  <c r="AC78" i="2"/>
  <c r="AC94" i="2"/>
  <c r="AC134" i="2"/>
  <c r="AC81" i="2"/>
  <c r="AC133" i="2"/>
  <c r="AC128" i="2"/>
  <c r="AC75" i="2"/>
  <c r="AC136" i="2"/>
  <c r="AC142" i="2"/>
  <c r="AC46" i="2"/>
  <c r="AC38" i="2"/>
  <c r="AC95" i="2"/>
  <c r="AC29" i="2"/>
  <c r="AC120" i="2"/>
  <c r="AC87" i="2"/>
  <c r="AC22" i="2"/>
  <c r="AC61" i="2"/>
  <c r="AC12" i="2"/>
  <c r="AC4" i="2"/>
  <c r="AC49" i="2"/>
  <c r="AC64" i="2"/>
  <c r="AC59" i="2"/>
  <c r="AC143" i="2"/>
  <c r="AC11" i="2"/>
  <c r="AC84" i="2"/>
  <c r="AC51" i="2"/>
  <c r="AC93" i="2"/>
  <c r="AC66" i="2"/>
  <c r="AC77" i="2"/>
  <c r="AC126" i="2"/>
  <c r="AC42" i="2"/>
  <c r="AC89" i="2"/>
  <c r="AC99" i="2"/>
  <c r="AC68" i="2"/>
  <c r="AC36" i="2"/>
  <c r="AC47" i="2"/>
  <c r="AC40" i="2"/>
  <c r="AC80" i="2"/>
  <c r="AC48" i="2"/>
  <c r="AC137" i="2"/>
  <c r="AC125" i="2"/>
  <c r="AC50" i="2"/>
  <c r="AC92" i="2"/>
  <c r="AC44" i="2"/>
  <c r="AC104" i="2"/>
  <c r="AC88" i="2"/>
  <c r="AC34" i="2"/>
  <c r="AC37" i="2"/>
  <c r="AC109" i="2"/>
  <c r="AC91" i="2"/>
  <c r="AC39" i="2"/>
  <c r="AC124" i="2"/>
  <c r="AC113" i="2"/>
  <c r="AC76" i="2"/>
  <c r="AC119" i="2"/>
  <c r="AC129" i="2"/>
  <c r="AC65" i="2"/>
  <c r="AC112" i="2"/>
  <c r="AC28" i="2"/>
  <c r="AC106" i="2"/>
  <c r="AC97" i="2"/>
  <c r="AC52" i="2"/>
  <c r="AC83" i="2"/>
  <c r="AC123" i="2"/>
  <c r="AC127" i="2"/>
  <c r="AC122" i="2"/>
  <c r="AC105" i="2"/>
  <c r="AC102" i="2"/>
  <c r="AC71" i="2"/>
  <c r="AC107" i="2"/>
  <c r="AC96" i="2"/>
  <c r="AC30" i="2"/>
  <c r="K4" i="1"/>
  <c r="V3" i="1"/>
  <c r="V10" i="1"/>
  <c r="V299" i="1"/>
  <c r="V79" i="1"/>
  <c r="V47" i="1"/>
  <c r="U96" i="1"/>
  <c r="U10" i="1"/>
  <c r="U299" i="1"/>
  <c r="U79" i="1"/>
  <c r="U47" i="1"/>
  <c r="G72" i="2"/>
  <c r="G119" i="2"/>
  <c r="V96" i="1"/>
  <c r="K69" i="1"/>
  <c r="K10" i="1"/>
  <c r="K30" i="1"/>
  <c r="K135" i="1"/>
  <c r="K247" i="1"/>
  <c r="G96" i="1"/>
  <c r="G299" i="1"/>
  <c r="G79" i="1"/>
  <c r="G47" i="1"/>
  <c r="U107" i="3"/>
  <c r="T24" i="3"/>
  <c r="T89" i="3"/>
  <c r="U89" i="3"/>
  <c r="T51" i="3"/>
  <c r="U106" i="3"/>
  <c r="T106" i="3"/>
  <c r="U68" i="3"/>
  <c r="U66" i="3"/>
  <c r="U122" i="3"/>
  <c r="U49" i="3"/>
  <c r="U84" i="3"/>
  <c r="U79" i="3"/>
  <c r="U80" i="3"/>
  <c r="U76" i="3"/>
  <c r="U72" i="3"/>
  <c r="U73" i="3"/>
  <c r="U100" i="3"/>
  <c r="U81" i="3"/>
  <c r="U91" i="3"/>
  <c r="U119" i="3"/>
  <c r="U23" i="3"/>
  <c r="U115" i="3"/>
  <c r="U39" i="3"/>
  <c r="U92" i="3"/>
  <c r="U118" i="3"/>
  <c r="U7" i="3"/>
  <c r="U61" i="3"/>
  <c r="U69" i="3"/>
  <c r="U102" i="3"/>
  <c r="U45" i="3"/>
  <c r="U78" i="3"/>
  <c r="U60" i="3"/>
  <c r="U57" i="3"/>
  <c r="U42" i="3"/>
  <c r="U94" i="3"/>
  <c r="U43" i="3"/>
  <c r="U71" i="3"/>
  <c r="U29" i="3"/>
  <c r="U33" i="3"/>
  <c r="U31" i="3"/>
  <c r="U109" i="3"/>
  <c r="U67" i="3"/>
  <c r="U48" i="3"/>
  <c r="U35" i="3"/>
  <c r="U55" i="3"/>
  <c r="U56" i="3"/>
  <c r="U58" i="3"/>
  <c r="U87" i="3"/>
  <c r="U21" i="3"/>
  <c r="U108" i="3"/>
  <c r="U63" i="3"/>
  <c r="U77" i="3"/>
  <c r="U59" i="3"/>
  <c r="U10" i="3"/>
  <c r="U110" i="3"/>
  <c r="U99" i="3"/>
  <c r="U46" i="3"/>
  <c r="U86" i="3"/>
  <c r="U44" i="3"/>
  <c r="U74" i="3"/>
  <c r="U20" i="3"/>
  <c r="U4" i="3"/>
  <c r="U19" i="3"/>
  <c r="U114" i="3"/>
  <c r="U117" i="3"/>
  <c r="U54" i="3"/>
  <c r="U38" i="3"/>
  <c r="U32" i="3"/>
  <c r="U112" i="3"/>
  <c r="U17" i="3"/>
  <c r="U93" i="3"/>
  <c r="U104" i="3"/>
  <c r="U82" i="3"/>
  <c r="U16" i="3"/>
  <c r="U25" i="3"/>
  <c r="U50" i="3"/>
  <c r="U123" i="3"/>
  <c r="U70" i="3"/>
  <c r="U41" i="3"/>
  <c r="U125" i="3"/>
  <c r="U53" i="3"/>
  <c r="U37" i="3"/>
  <c r="U101" i="3"/>
  <c r="U113" i="3"/>
  <c r="U97" i="3"/>
  <c r="U22" i="3"/>
  <c r="U116" i="3"/>
  <c r="U24" i="3"/>
  <c r="U126" i="3"/>
  <c r="U127" i="3"/>
  <c r="U96" i="3"/>
  <c r="T107" i="3"/>
  <c r="T68" i="3"/>
  <c r="T66" i="3"/>
  <c r="T122" i="3"/>
  <c r="T49" i="3"/>
  <c r="T84" i="3"/>
  <c r="T79" i="3"/>
  <c r="T80" i="3"/>
  <c r="T76" i="3"/>
  <c r="T72" i="3"/>
  <c r="T73" i="3"/>
  <c r="T100" i="3"/>
  <c r="T81" i="3"/>
  <c r="T91" i="3"/>
  <c r="T119" i="3"/>
  <c r="T23" i="3"/>
  <c r="T115" i="3"/>
  <c r="T39" i="3"/>
  <c r="T92" i="3"/>
  <c r="T118" i="3"/>
  <c r="T7" i="3"/>
  <c r="T61" i="3"/>
  <c r="T69" i="3"/>
  <c r="T102" i="3"/>
  <c r="T45" i="3"/>
  <c r="T78" i="3"/>
  <c r="T60" i="3"/>
  <c r="T57" i="3"/>
  <c r="T42" i="3"/>
  <c r="T94" i="3"/>
  <c r="T43" i="3"/>
  <c r="T71" i="3"/>
  <c r="T29" i="3"/>
  <c r="T33" i="3"/>
  <c r="T31" i="3"/>
  <c r="T109" i="3"/>
  <c r="T67" i="3"/>
  <c r="T48" i="3"/>
  <c r="T35" i="3"/>
  <c r="T55" i="3"/>
  <c r="T56" i="3"/>
  <c r="T58" i="3"/>
  <c r="T87" i="3"/>
  <c r="T21" i="3"/>
  <c r="T108" i="3"/>
  <c r="T63" i="3"/>
  <c r="T77" i="3"/>
  <c r="T59" i="3"/>
  <c r="T10" i="3"/>
  <c r="T110" i="3"/>
  <c r="T99" i="3"/>
  <c r="T46" i="3"/>
  <c r="T86" i="3"/>
  <c r="T44" i="3"/>
  <c r="T74" i="3"/>
  <c r="T20" i="3"/>
  <c r="T4" i="3"/>
  <c r="T19" i="3"/>
  <c r="T114" i="3"/>
  <c r="T117" i="3"/>
  <c r="T54" i="3"/>
  <c r="T38" i="3"/>
  <c r="T32" i="3"/>
  <c r="T112" i="3"/>
  <c r="T17" i="3"/>
  <c r="T93" i="3"/>
  <c r="T104" i="3"/>
  <c r="T82" i="3"/>
  <c r="T16" i="3"/>
  <c r="T25" i="3"/>
  <c r="T50" i="3"/>
  <c r="T123" i="3"/>
  <c r="T70" i="3"/>
  <c r="T41" i="3"/>
  <c r="T125" i="3"/>
  <c r="T53" i="3"/>
  <c r="T37" i="3"/>
  <c r="T101" i="3"/>
  <c r="T113" i="3"/>
  <c r="T97" i="3"/>
  <c r="T22" i="3"/>
  <c r="T116" i="3"/>
  <c r="T126" i="3"/>
  <c r="T127" i="3"/>
  <c r="T96" i="3"/>
  <c r="T3" i="3"/>
  <c r="V48" i="1"/>
  <c r="V219" i="1"/>
  <c r="V25" i="1"/>
  <c r="V11" i="1"/>
  <c r="V30" i="1"/>
  <c r="V343" i="1"/>
  <c r="V55" i="1"/>
  <c r="V6" i="1"/>
  <c r="V42" i="1"/>
  <c r="V214" i="1"/>
  <c r="V130" i="1"/>
  <c r="V12" i="1"/>
  <c r="V147" i="1"/>
  <c r="V139" i="1"/>
  <c r="V13" i="1"/>
  <c r="V17" i="1"/>
  <c r="V21" i="1"/>
  <c r="V49" i="1"/>
  <c r="V103" i="1"/>
  <c r="V235" i="1"/>
  <c r="V209" i="1"/>
  <c r="V115" i="1"/>
  <c r="V186" i="1"/>
  <c r="V236" i="1"/>
  <c r="V290" i="1"/>
  <c r="V140" i="1"/>
  <c r="V85" i="1"/>
  <c r="V63" i="1"/>
  <c r="U48" i="1"/>
  <c r="U219" i="1"/>
  <c r="U25" i="1"/>
  <c r="U11" i="1"/>
  <c r="U30" i="1"/>
  <c r="U343" i="1"/>
  <c r="U55" i="1"/>
  <c r="U6" i="1"/>
  <c r="U42" i="1"/>
  <c r="U214" i="1"/>
  <c r="U130" i="1"/>
  <c r="U12" i="1"/>
  <c r="U147" i="1"/>
  <c r="U139" i="1"/>
  <c r="U13" i="1"/>
  <c r="U17" i="1"/>
  <c r="U21" i="1"/>
  <c r="U49" i="1"/>
  <c r="U103" i="1"/>
  <c r="U235" i="1"/>
  <c r="U209" i="1"/>
  <c r="U115" i="1"/>
  <c r="U186" i="1"/>
  <c r="U236" i="1"/>
  <c r="U290" i="1"/>
  <c r="U140" i="1"/>
  <c r="U85" i="1"/>
  <c r="U63" i="1"/>
  <c r="V274" i="1"/>
  <c r="U274" i="1"/>
  <c r="U19" i="1"/>
  <c r="V35" i="1"/>
  <c r="V7" i="1"/>
  <c r="V15" i="1"/>
  <c r="V155" i="1"/>
  <c r="V201" i="1"/>
  <c r="V138" i="1"/>
  <c r="V248" i="1"/>
  <c r="V123" i="1"/>
  <c r="V72" i="1"/>
  <c r="V215" i="1"/>
  <c r="V202" i="1"/>
  <c r="V302" i="1"/>
  <c r="V56" i="1"/>
  <c r="V207" i="1"/>
  <c r="V148" i="1"/>
  <c r="V380" i="1"/>
  <c r="V357" i="1"/>
  <c r="V392" i="1"/>
  <c r="V322" i="1"/>
  <c r="V393" i="1"/>
  <c r="V225" i="1"/>
  <c r="V300" i="1"/>
  <c r="V336" i="1"/>
  <c r="V306" i="1"/>
  <c r="V127" i="1"/>
  <c r="V387" i="1"/>
  <c r="V330" i="1"/>
  <c r="V74" i="1"/>
  <c r="V386" i="1"/>
  <c r="V222" i="1"/>
  <c r="V364" i="1"/>
  <c r="V307" i="1"/>
  <c r="V76" i="1"/>
  <c r="V383" i="1"/>
  <c r="V347" i="1"/>
  <c r="V241" i="1"/>
  <c r="V353" i="1"/>
  <c r="V326" i="1"/>
  <c r="V362" i="1"/>
  <c r="V41" i="1"/>
  <c r="V391" i="1"/>
  <c r="V92" i="1"/>
  <c r="V217" i="1"/>
  <c r="V247" i="1"/>
  <c r="V325" i="1"/>
  <c r="V346" i="1"/>
  <c r="V349" i="1"/>
  <c r="V384" i="1"/>
  <c r="V355" i="1"/>
  <c r="V345" i="1"/>
  <c r="V344" i="1"/>
  <c r="V358" i="1"/>
  <c r="V342" i="1"/>
  <c r="V371" i="1"/>
  <c r="V301" i="1"/>
  <c r="V338" i="1"/>
  <c r="V385" i="1"/>
  <c r="V356" i="1"/>
  <c r="V381" i="1"/>
  <c r="V321" i="1"/>
  <c r="V77" i="1"/>
  <c r="V246" i="1"/>
  <c r="V334" i="1"/>
  <c r="V152" i="1"/>
  <c r="V390" i="1"/>
  <c r="V331" i="1"/>
  <c r="V360" i="1"/>
  <c r="V291" i="1"/>
  <c r="V320" i="1"/>
  <c r="V254" i="1"/>
  <c r="V373" i="1"/>
  <c r="V146" i="1"/>
  <c r="V270" i="1"/>
  <c r="V16" i="1"/>
  <c r="V162" i="1"/>
  <c r="V158" i="1"/>
  <c r="V359" i="1"/>
  <c r="V84" i="1"/>
  <c r="V108" i="1"/>
  <c r="V182" i="1"/>
  <c r="V34" i="1"/>
  <c r="V169" i="1"/>
  <c r="V234" i="1"/>
  <c r="V213" i="1"/>
  <c r="V97" i="1"/>
  <c r="V71" i="1"/>
  <c r="V281" i="1"/>
  <c r="V319" i="1"/>
  <c r="V197" i="1"/>
  <c r="V237" i="1"/>
  <c r="V272" i="1"/>
  <c r="V153" i="1"/>
  <c r="V167" i="1"/>
  <c r="V171" i="1"/>
  <c r="V253" i="1"/>
  <c r="V199" i="1"/>
  <c r="V328" i="1"/>
  <c r="V166" i="1"/>
  <c r="V39" i="1"/>
  <c r="V363" i="1"/>
  <c r="V190" i="1"/>
  <c r="V106" i="1"/>
  <c r="V292" i="1"/>
  <c r="V136" i="1"/>
  <c r="V151" i="1"/>
  <c r="V259" i="1"/>
  <c r="V113" i="1"/>
  <c r="V80" i="1"/>
  <c r="V203" i="1"/>
  <c r="V75" i="1"/>
  <c r="V249" i="1"/>
  <c r="V135" i="1"/>
  <c r="V141" i="1"/>
  <c r="V285" i="1"/>
  <c r="V242" i="1"/>
  <c r="V389" i="1"/>
  <c r="V252" i="1"/>
  <c r="V8" i="1"/>
  <c r="V62" i="1"/>
  <c r="V185" i="1"/>
  <c r="V27" i="1"/>
  <c r="V170" i="1"/>
  <c r="V54" i="1"/>
  <c r="V191" i="1"/>
  <c r="V164" i="1"/>
  <c r="V51" i="1"/>
  <c r="V98" i="1"/>
  <c r="V332" i="1"/>
  <c r="V122" i="1"/>
  <c r="V251" i="1"/>
  <c r="V65" i="1"/>
  <c r="V69" i="1"/>
  <c r="V111" i="1"/>
  <c r="V101" i="1"/>
  <c r="V57" i="1"/>
  <c r="V337" i="1"/>
  <c r="V29" i="1"/>
  <c r="V68" i="1"/>
  <c r="V149" i="1"/>
  <c r="V24" i="1"/>
  <c r="V104" i="1"/>
  <c r="V59" i="1"/>
  <c r="V157" i="1"/>
  <c r="V116" i="1"/>
  <c r="V58" i="1"/>
  <c r="V142" i="1"/>
  <c r="V28" i="1"/>
  <c r="V114" i="1"/>
  <c r="V44" i="1"/>
  <c r="V228" i="1"/>
  <c r="V94" i="1"/>
  <c r="V50" i="1"/>
  <c r="V43" i="1"/>
  <c r="V145" i="1"/>
  <c r="V144" i="1"/>
  <c r="V52" i="1"/>
  <c r="V70" i="1"/>
  <c r="V86" i="1"/>
  <c r="V78" i="1"/>
  <c r="V89" i="1"/>
  <c r="V67" i="1"/>
  <c r="V150" i="1"/>
  <c r="V19" i="1"/>
  <c r="V9" i="1"/>
  <c r="U7" i="1"/>
  <c r="U4" i="1"/>
  <c r="U15" i="1"/>
  <c r="U155" i="1"/>
  <c r="U201" i="1"/>
  <c r="U138" i="1"/>
  <c r="U248" i="1"/>
  <c r="U123" i="1"/>
  <c r="U72" i="1"/>
  <c r="U215" i="1"/>
  <c r="U202" i="1"/>
  <c r="U302" i="1"/>
  <c r="U56" i="1"/>
  <c r="U207" i="1"/>
  <c r="U148" i="1"/>
  <c r="U380" i="1"/>
  <c r="U357" i="1"/>
  <c r="U392" i="1"/>
  <c r="U322" i="1"/>
  <c r="U393" i="1"/>
  <c r="U225" i="1"/>
  <c r="U300" i="1"/>
  <c r="U336" i="1"/>
  <c r="U306" i="1"/>
  <c r="U127" i="1"/>
  <c r="U387" i="1"/>
  <c r="U330" i="1"/>
  <c r="U74" i="1"/>
  <c r="U386" i="1"/>
  <c r="U222" i="1"/>
  <c r="U364" i="1"/>
  <c r="U307" i="1"/>
  <c r="U76" i="1"/>
  <c r="U383" i="1"/>
  <c r="U347" i="1"/>
  <c r="U241" i="1"/>
  <c r="U353" i="1"/>
  <c r="U326" i="1"/>
  <c r="U362" i="1"/>
  <c r="U41" i="1"/>
  <c r="U391" i="1"/>
  <c r="U92" i="1"/>
  <c r="U217" i="1"/>
  <c r="U247" i="1"/>
  <c r="U325" i="1"/>
  <c r="U346" i="1"/>
  <c r="U349" i="1"/>
  <c r="U384" i="1"/>
  <c r="U355" i="1"/>
  <c r="U345" i="1"/>
  <c r="U344" i="1"/>
  <c r="U358" i="1"/>
  <c r="U342" i="1"/>
  <c r="U371" i="1"/>
  <c r="U301" i="1"/>
  <c r="U338" i="1"/>
  <c r="U385" i="1"/>
  <c r="U356" i="1"/>
  <c r="U381" i="1"/>
  <c r="U35" i="1"/>
  <c r="U321" i="1"/>
  <c r="U77" i="1"/>
  <c r="U246" i="1"/>
  <c r="U334" i="1"/>
  <c r="U152" i="1"/>
  <c r="U390" i="1"/>
  <c r="U331" i="1"/>
  <c r="U360" i="1"/>
  <c r="U291" i="1"/>
  <c r="U320" i="1"/>
  <c r="U254" i="1"/>
  <c r="U373" i="1"/>
  <c r="U146" i="1"/>
  <c r="U270" i="1"/>
  <c r="U16" i="1"/>
  <c r="U162" i="1"/>
  <c r="U158" i="1"/>
  <c r="U359" i="1"/>
  <c r="U84" i="1"/>
  <c r="U108" i="1"/>
  <c r="U182" i="1"/>
  <c r="U34" i="1"/>
  <c r="U169" i="1"/>
  <c r="U234" i="1"/>
  <c r="U213" i="1"/>
  <c r="U97" i="1"/>
  <c r="U71" i="1"/>
  <c r="U281" i="1"/>
  <c r="U319" i="1"/>
  <c r="U197" i="1"/>
  <c r="U237" i="1"/>
  <c r="U272" i="1"/>
  <c r="U153" i="1"/>
  <c r="U167" i="1"/>
  <c r="U171" i="1"/>
  <c r="U253" i="1"/>
  <c r="U199" i="1"/>
  <c r="U328" i="1"/>
  <c r="U166" i="1"/>
  <c r="U39" i="1"/>
  <c r="U363" i="1"/>
  <c r="U190" i="1"/>
  <c r="U106" i="1"/>
  <c r="U292" i="1"/>
  <c r="U136" i="1"/>
  <c r="U151" i="1"/>
  <c r="U259" i="1"/>
  <c r="U113" i="1"/>
  <c r="U80" i="1"/>
  <c r="U203" i="1"/>
  <c r="U75" i="1"/>
  <c r="U249" i="1"/>
  <c r="U135" i="1"/>
  <c r="U141" i="1"/>
  <c r="U285" i="1"/>
  <c r="U242" i="1"/>
  <c r="U389" i="1"/>
  <c r="U252" i="1"/>
  <c r="U8" i="1"/>
  <c r="U62" i="1"/>
  <c r="U185" i="1"/>
  <c r="U27" i="1"/>
  <c r="U170" i="1"/>
  <c r="U54" i="1"/>
  <c r="U191" i="1"/>
  <c r="U164" i="1"/>
  <c r="U51" i="1"/>
  <c r="U98" i="1"/>
  <c r="U332" i="1"/>
  <c r="U122" i="1"/>
  <c r="U251" i="1"/>
  <c r="U65" i="1"/>
  <c r="U69" i="1"/>
  <c r="U111" i="1"/>
  <c r="U101" i="1"/>
  <c r="U57" i="1"/>
  <c r="U337" i="1"/>
  <c r="U29" i="1"/>
  <c r="U68" i="1"/>
  <c r="U149" i="1"/>
  <c r="U24" i="1"/>
  <c r="U104" i="1"/>
  <c r="U59" i="1"/>
  <c r="U157" i="1"/>
  <c r="U116" i="1"/>
  <c r="U58" i="1"/>
  <c r="U142" i="1"/>
  <c r="U28" i="1"/>
  <c r="U114" i="1"/>
  <c r="U44" i="1"/>
  <c r="U228" i="1"/>
  <c r="U94" i="1"/>
  <c r="U50" i="1"/>
  <c r="U43" i="1"/>
  <c r="U145" i="1"/>
  <c r="U144" i="1"/>
  <c r="U52" i="1"/>
  <c r="U70" i="1"/>
  <c r="U86" i="1"/>
  <c r="U78" i="1"/>
  <c r="U89" i="1"/>
  <c r="U67" i="1"/>
  <c r="U150" i="1"/>
  <c r="U9" i="1"/>
  <c r="K97" i="1"/>
  <c r="K387" i="1"/>
  <c r="K104" i="1"/>
  <c r="K94" i="1"/>
  <c r="K325" i="1"/>
  <c r="K182" i="1"/>
  <c r="K25" i="1"/>
  <c r="K78" i="1"/>
  <c r="K77" i="1"/>
  <c r="G236" i="1"/>
  <c r="G290" i="1"/>
  <c r="G140" i="1"/>
  <c r="G85" i="1"/>
  <c r="G63" i="1"/>
  <c r="G115" i="1"/>
  <c r="G186" i="1"/>
  <c r="K85" i="3" l="1"/>
  <c r="K103" i="3"/>
  <c r="K62" i="3"/>
  <c r="K13" i="3"/>
  <c r="K98" i="3"/>
  <c r="G96" i="3"/>
  <c r="G89" i="3"/>
  <c r="G52" i="2"/>
  <c r="G235" i="1"/>
  <c r="G209" i="1"/>
  <c r="G3" i="3"/>
  <c r="K25" i="3"/>
  <c r="K111" i="3"/>
  <c r="K33" i="3"/>
  <c r="U3" i="3"/>
  <c r="G107" i="3"/>
  <c r="K57" i="3"/>
  <c r="G68" i="3"/>
  <c r="K91" i="3"/>
  <c r="G66" i="3"/>
  <c r="K32" i="3"/>
  <c r="G122" i="3"/>
  <c r="K74" i="3"/>
  <c r="K46" i="3"/>
  <c r="G49" i="3"/>
  <c r="G84" i="3"/>
  <c r="K59" i="3"/>
  <c r="G79" i="3"/>
  <c r="K117" i="3"/>
  <c r="K115" i="3"/>
  <c r="G76" i="3"/>
  <c r="K48" i="3"/>
  <c r="G80" i="3"/>
  <c r="K104" i="3"/>
  <c r="G72" i="3"/>
  <c r="K42" i="3"/>
  <c r="G73" i="3"/>
  <c r="K29" i="3"/>
  <c r="G100" i="3"/>
  <c r="K35" i="3"/>
  <c r="G119" i="3"/>
  <c r="G91" i="3"/>
  <c r="K45" i="3"/>
  <c r="G23" i="3"/>
  <c r="K4" i="3"/>
  <c r="G115" i="3"/>
  <c r="G39" i="3"/>
  <c r="K100" i="3"/>
  <c r="G92" i="3"/>
  <c r="K118" i="3"/>
  <c r="G61" i="3"/>
  <c r="K72" i="3"/>
  <c r="G7" i="3"/>
  <c r="K77" i="3"/>
  <c r="K82" i="3"/>
  <c r="G69" i="3"/>
  <c r="G102" i="3"/>
  <c r="K66" i="3"/>
  <c r="K106" i="3"/>
  <c r="G45" i="3"/>
  <c r="K108" i="3"/>
  <c r="K55" i="3"/>
  <c r="K10" i="3"/>
  <c r="G94" i="3"/>
  <c r="K71" i="3"/>
  <c r="G60" i="3"/>
  <c r="K17" i="3"/>
  <c r="K87" i="3"/>
  <c r="G42" i="3"/>
  <c r="K31" i="3"/>
  <c r="G57" i="3"/>
  <c r="G71" i="3"/>
  <c r="K79" i="3"/>
  <c r="K123" i="3"/>
  <c r="G78" i="3"/>
  <c r="K38" i="3"/>
  <c r="G43" i="3"/>
  <c r="K41" i="3"/>
  <c r="G33" i="3"/>
  <c r="K20" i="3"/>
  <c r="G21" i="3"/>
  <c r="K70" i="3"/>
  <c r="G31" i="3"/>
  <c r="K67" i="3"/>
  <c r="G109" i="3"/>
  <c r="K78" i="3"/>
  <c r="G29" i="3"/>
  <c r="G48" i="3"/>
  <c r="K43" i="3"/>
  <c r="G67" i="3"/>
  <c r="K86" i="3"/>
  <c r="K97" i="3"/>
  <c r="G55" i="3"/>
  <c r="K44" i="3"/>
  <c r="K101" i="3"/>
  <c r="G87" i="3"/>
  <c r="K102" i="3"/>
  <c r="G56" i="3"/>
  <c r="K76" i="3"/>
  <c r="G108" i="3"/>
  <c r="G58" i="3"/>
  <c r="K61" i="3"/>
  <c r="G63" i="3"/>
  <c r="K94" i="3"/>
  <c r="G77" i="3"/>
  <c r="K125" i="3"/>
  <c r="G59" i="3"/>
  <c r="K112" i="3"/>
  <c r="G110" i="3"/>
  <c r="G99" i="3"/>
  <c r="K107" i="3"/>
  <c r="G10" i="3"/>
  <c r="K49" i="3"/>
  <c r="G44" i="3"/>
  <c r="K56" i="3"/>
  <c r="G74" i="3"/>
  <c r="K109" i="3"/>
  <c r="G46" i="3"/>
  <c r="K50" i="3"/>
  <c r="G86" i="3"/>
  <c r="K7" i="3"/>
  <c r="G20" i="3"/>
  <c r="K99" i="3"/>
  <c r="G4" i="3"/>
  <c r="K122" i="3"/>
  <c r="K113" i="3"/>
  <c r="G81" i="3"/>
  <c r="K69" i="3"/>
  <c r="G19" i="3"/>
  <c r="K84" i="3"/>
  <c r="K80" i="3"/>
  <c r="G114" i="3"/>
  <c r="K16" i="3"/>
  <c r="G117" i="3"/>
  <c r="K58" i="3"/>
  <c r="G54" i="3"/>
  <c r="K96" i="3"/>
  <c r="G112" i="3"/>
  <c r="K110" i="3"/>
  <c r="G32" i="3"/>
  <c r="K114" i="3"/>
  <c r="G104" i="3"/>
  <c r="K126" i="3"/>
  <c r="G38" i="3"/>
  <c r="G82" i="3"/>
  <c r="K63" i="3"/>
  <c r="G17" i="3"/>
  <c r="K127" i="3"/>
  <c r="G93" i="3"/>
  <c r="K21" i="3"/>
  <c r="G16" i="3"/>
  <c r="K54" i="3"/>
  <c r="G25" i="3"/>
  <c r="K60" i="3"/>
  <c r="G123" i="3"/>
  <c r="K89" i="3"/>
  <c r="G50" i="3"/>
  <c r="K119" i="3"/>
  <c r="G125" i="3"/>
  <c r="K37" i="3"/>
  <c r="G70" i="3"/>
  <c r="K81" i="3"/>
  <c r="G41" i="3"/>
  <c r="K28" i="3"/>
  <c r="G35" i="3"/>
  <c r="K73" i="3"/>
  <c r="G101" i="3"/>
  <c r="G53" i="3"/>
  <c r="K24" i="3"/>
  <c r="G37" i="3"/>
  <c r="K22" i="3"/>
  <c r="G97" i="3"/>
  <c r="K30" i="3"/>
  <c r="G113" i="3"/>
  <c r="K19" i="3"/>
  <c r="G22" i="3"/>
  <c r="K53" i="3"/>
  <c r="G116" i="3"/>
  <c r="K39" i="3"/>
  <c r="G24" i="3"/>
  <c r="K92" i="3"/>
  <c r="G127" i="3"/>
  <c r="K26" i="3"/>
  <c r="G28" i="3"/>
  <c r="T28" i="3"/>
  <c r="U28" i="3"/>
  <c r="G30" i="3"/>
  <c r="K6" i="3"/>
  <c r="T30" i="3"/>
  <c r="U30" i="3"/>
  <c r="G126" i="3"/>
  <c r="K3" i="3"/>
  <c r="G111" i="3"/>
  <c r="K23" i="3"/>
  <c r="T111" i="3"/>
  <c r="U111" i="3"/>
  <c r="G26" i="3"/>
  <c r="U26" i="3"/>
  <c r="G118" i="3"/>
  <c r="K116" i="3"/>
  <c r="G51" i="3"/>
  <c r="K68" i="3"/>
  <c r="U51" i="3"/>
  <c r="G106" i="3"/>
  <c r="K93" i="3"/>
  <c r="G6" i="3"/>
  <c r="K51" i="3"/>
  <c r="U6" i="3"/>
  <c r="I2" i="5"/>
  <c r="G21" i="2" l="1"/>
  <c r="G12" i="2"/>
  <c r="K225" i="1"/>
  <c r="K147" i="1"/>
  <c r="K41" i="1"/>
  <c r="K48" i="1"/>
  <c r="K236" i="1"/>
  <c r="K98" i="1"/>
  <c r="K72" i="1"/>
  <c r="K71" i="1"/>
  <c r="K96" i="1"/>
  <c r="K34" i="1"/>
  <c r="K17" i="1"/>
  <c r="K11" i="1"/>
  <c r="K130" i="1"/>
  <c r="K249" i="1"/>
  <c r="K3" i="1"/>
  <c r="K393" i="1"/>
  <c r="K376" i="1"/>
  <c r="K313" i="1"/>
  <c r="K16" i="1"/>
  <c r="K321" i="1"/>
  <c r="K155" i="1"/>
  <c r="K52" i="1"/>
  <c r="K358" i="1"/>
  <c r="K381" i="1"/>
  <c r="K300" i="1"/>
  <c r="K330" i="1"/>
  <c r="K347" i="1"/>
  <c r="K185" i="1"/>
  <c r="K386" i="1"/>
  <c r="K43" i="1"/>
  <c r="K79" i="1"/>
  <c r="K51" i="1"/>
  <c r="K226" i="1"/>
  <c r="K12" i="1"/>
  <c r="K248" i="1"/>
  <c r="K122" i="1"/>
  <c r="K148" i="1"/>
  <c r="K76" i="1"/>
  <c r="K142" i="1"/>
  <c r="K35" i="1"/>
  <c r="K157" i="1"/>
  <c r="K150" i="1"/>
  <c r="K129" i="1"/>
  <c r="K28" i="1"/>
  <c r="K346" i="1"/>
  <c r="K75" i="1"/>
  <c r="K281" i="1"/>
  <c r="K290" i="1"/>
  <c r="K62" i="1"/>
  <c r="K54" i="1"/>
  <c r="K50" i="1"/>
  <c r="K164" i="1"/>
  <c r="K271" i="1"/>
  <c r="K237" i="1"/>
  <c r="K9" i="1"/>
  <c r="K319" i="1"/>
  <c r="K134" i="1"/>
  <c r="K44" i="1"/>
  <c r="K344" i="1"/>
  <c r="K349" i="1"/>
  <c r="K383" i="1"/>
  <c r="K55" i="1"/>
  <c r="K291" i="1"/>
  <c r="K158" i="1"/>
  <c r="K171" i="1"/>
  <c r="K47" i="1"/>
  <c r="K246" i="1"/>
  <c r="K326" i="1"/>
  <c r="K201" i="1"/>
  <c r="K222" i="1"/>
  <c r="K21" i="1"/>
  <c r="K149" i="1"/>
  <c r="K219" i="1"/>
  <c r="K235" i="1"/>
  <c r="K363" i="1"/>
  <c r="K332" i="1"/>
  <c r="K112" i="1"/>
  <c r="K92" i="1"/>
  <c r="K228" i="1"/>
  <c r="K217" i="1"/>
  <c r="K13" i="1"/>
  <c r="K93" i="1"/>
  <c r="K193" i="1"/>
  <c r="K270" i="1"/>
  <c r="K163" i="1"/>
  <c r="K127" i="1"/>
  <c r="K45" i="1"/>
  <c r="K80" i="1"/>
  <c r="K364" i="1"/>
  <c r="K114" i="1"/>
  <c r="K356" i="1"/>
  <c r="K89" i="1"/>
  <c r="K203" i="1"/>
  <c r="K302" i="1"/>
  <c r="K389" i="1"/>
  <c r="K86" i="1"/>
  <c r="K355" i="1"/>
  <c r="K357" i="1"/>
  <c r="K27" i="1"/>
  <c r="K353" i="1"/>
  <c r="K306" i="1"/>
  <c r="K213" i="1"/>
  <c r="K29" i="1"/>
  <c r="K49" i="1"/>
  <c r="K342" i="1"/>
  <c r="K64" i="1"/>
  <c r="K336" i="1"/>
  <c r="K146" i="1"/>
  <c r="K190" i="1"/>
  <c r="K15" i="1"/>
  <c r="K116" i="1"/>
  <c r="K68" i="1"/>
  <c r="K334" i="1"/>
  <c r="K373" i="1"/>
  <c r="K141" i="1"/>
  <c r="K301" i="1"/>
  <c r="K234" i="1"/>
  <c r="K7" i="1"/>
  <c r="K65" i="1"/>
  <c r="K320" i="1"/>
  <c r="K117" i="1"/>
  <c r="K153" i="1"/>
  <c r="K307" i="1"/>
  <c r="K59" i="1"/>
  <c r="K197" i="1"/>
  <c r="K391" i="1"/>
  <c r="K359" i="1"/>
  <c r="K167" i="1"/>
  <c r="K191" i="1"/>
  <c r="K272" i="1"/>
  <c r="K139" i="1"/>
  <c r="K285" i="1"/>
  <c r="K169" i="1"/>
  <c r="K331" i="1"/>
  <c r="K384" i="1"/>
  <c r="K57" i="1"/>
  <c r="K259" i="1"/>
  <c r="K74" i="1"/>
  <c r="K152" i="1"/>
  <c r="K371" i="1"/>
  <c r="K223" i="1"/>
  <c r="K345" i="1"/>
  <c r="K113" i="1"/>
  <c r="K380" i="1"/>
  <c r="K162" i="1"/>
  <c r="K360" i="1"/>
  <c r="K207" i="1"/>
  <c r="K202" i="1"/>
  <c r="K385" i="1"/>
  <c r="K253" i="1"/>
  <c r="K186" i="1"/>
  <c r="K101" i="1"/>
  <c r="K67" i="1"/>
  <c r="K85" i="1"/>
  <c r="K170" i="1"/>
  <c r="K299" i="1"/>
  <c r="K362" i="1"/>
  <c r="K174" i="1"/>
  <c r="K111" i="1"/>
  <c r="K39" i="1"/>
  <c r="K215" i="1"/>
  <c r="K252" i="1"/>
  <c r="K56" i="1"/>
  <c r="K106" i="1"/>
  <c r="K292" i="1"/>
  <c r="K70" i="1"/>
  <c r="K214" i="1"/>
  <c r="K343" i="1"/>
  <c r="K338" i="1"/>
  <c r="K108" i="1"/>
  <c r="K84" i="1"/>
  <c r="K390" i="1"/>
  <c r="K42" i="1"/>
  <c r="K328" i="1"/>
  <c r="K322" i="1"/>
  <c r="K19" i="1"/>
  <c r="K209" i="1"/>
  <c r="K392" i="1"/>
  <c r="K166" i="1"/>
  <c r="K136" i="1"/>
  <c r="K144" i="1"/>
  <c r="K8" i="1"/>
  <c r="K140" i="1"/>
  <c r="K24" i="1"/>
  <c r="G247" i="1"/>
  <c r="G44" i="1"/>
  <c r="G35" i="1"/>
  <c r="G171" i="1"/>
  <c r="G144" i="1"/>
  <c r="G292" i="1"/>
  <c r="G251" i="1"/>
  <c r="G291" i="1"/>
  <c r="G272" i="1"/>
  <c r="G67" i="1"/>
  <c r="I18" i="5"/>
  <c r="J80" i="5"/>
  <c r="G222" i="1"/>
  <c r="G274" i="1"/>
  <c r="G337" i="1"/>
  <c r="G158"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141" i="2" l="1"/>
  <c r="G42" i="1"/>
  <c r="G9" i="1"/>
  <c r="G3" i="1"/>
  <c r="G13" i="2"/>
  <c r="G90" i="2"/>
  <c r="G75" i="2"/>
  <c r="G3" i="2"/>
  <c r="G58" i="2"/>
  <c r="G134" i="2"/>
  <c r="G37" i="2"/>
  <c r="G84" i="2"/>
  <c r="G93" i="2"/>
  <c r="G121" i="2"/>
  <c r="G86" i="2"/>
  <c r="G39" i="2"/>
  <c r="G68" i="2"/>
  <c r="G124" i="2"/>
  <c r="G14" i="2"/>
  <c r="G126" i="2"/>
  <c r="G113" i="2"/>
  <c r="G99" i="2"/>
  <c r="G91" i="2"/>
  <c r="G104" i="2"/>
  <c r="G143" i="2"/>
  <c r="G109" i="2"/>
  <c r="G78" i="2"/>
  <c r="G87" i="2"/>
  <c r="G120" i="2"/>
  <c r="G142" i="2"/>
  <c r="G76" i="1"/>
  <c r="G74" i="1" l="1"/>
  <c r="G386" i="1"/>
  <c r="G234" i="1"/>
  <c r="G71" i="1"/>
  <c r="G15" i="1"/>
  <c r="G127" i="1"/>
  <c r="G149" i="1"/>
  <c r="G246" i="1"/>
  <c r="G170" i="1"/>
  <c r="G241" i="1"/>
  <c r="G68" i="1"/>
  <c r="G306" i="1"/>
  <c r="G356" i="1"/>
  <c r="G363" i="1"/>
  <c r="G362" i="1"/>
  <c r="G19" i="1"/>
  <c r="G321" i="1"/>
  <c r="G330" i="1"/>
  <c r="G148" i="1"/>
  <c r="G104" i="1"/>
  <c r="G219" i="1"/>
  <c r="G357" i="1"/>
  <c r="G336" i="1"/>
  <c r="G92" i="1"/>
  <c r="G199" i="1"/>
  <c r="G146" i="1"/>
  <c r="G338" i="1"/>
  <c r="G185" i="1"/>
  <c r="G343" i="1"/>
  <c r="G11" i="1"/>
  <c r="G355" i="1"/>
  <c r="G347" i="1"/>
  <c r="G113" i="1"/>
  <c r="G217" i="1"/>
  <c r="G108" i="1"/>
  <c r="G103" i="1"/>
  <c r="G237" i="1"/>
  <c r="G228" i="1"/>
  <c r="G358" i="1"/>
  <c r="G342" i="1"/>
  <c r="G69" i="1"/>
  <c r="G41" i="1"/>
  <c r="G345" i="1"/>
  <c r="G101" i="1"/>
  <c r="G254" i="1"/>
  <c r="G393" i="1"/>
  <c r="G191" i="1"/>
  <c r="G111" i="1"/>
  <c r="G13" i="1"/>
  <c r="G214" i="1"/>
  <c r="G322" i="1"/>
  <c r="G364" i="1"/>
  <c r="G344" i="1"/>
  <c r="G48" i="1"/>
  <c r="G97" i="1"/>
  <c r="G252" i="1"/>
  <c r="G225" i="1"/>
  <c r="G319" i="1"/>
  <c r="G281" i="1"/>
  <c r="G16" i="1"/>
  <c r="G207" i="1"/>
  <c r="G78" i="1"/>
  <c r="G54" i="1"/>
  <c r="G169" i="1"/>
  <c r="G285" i="1"/>
  <c r="G80" i="1"/>
  <c r="G328" i="1"/>
  <c r="G70" i="1"/>
  <c r="G301" i="1"/>
  <c r="G51" i="1"/>
  <c r="G307" i="1"/>
  <c r="G164" i="1"/>
  <c r="G6" i="1"/>
  <c r="G270" i="1"/>
  <c r="G114" i="1"/>
  <c r="G52" i="1"/>
  <c r="G94" i="1"/>
  <c r="G360" i="1"/>
  <c r="G349" i="1"/>
  <c r="G384" i="1"/>
  <c r="G385" i="1"/>
  <c r="G34" i="1"/>
  <c r="G248" i="1"/>
  <c r="G389" i="1"/>
  <c r="G55" i="1"/>
  <c r="G392" i="1"/>
  <c r="G300" i="1"/>
  <c r="G332" i="1"/>
  <c r="G56" i="1"/>
  <c r="G141" i="1"/>
  <c r="G58" i="1"/>
  <c r="G373" i="1"/>
  <c r="G147" i="1"/>
  <c r="G145" i="1"/>
  <c r="G24" i="1"/>
  <c r="G29" i="1"/>
  <c r="G326" i="1"/>
  <c r="G182" i="1"/>
  <c r="G138" i="1"/>
  <c r="G152" i="1"/>
  <c r="G153" i="1"/>
  <c r="G130" i="1"/>
  <c r="G151" i="1"/>
  <c r="G28" i="1"/>
  <c r="G4" i="1"/>
  <c r="G75" i="1"/>
  <c r="G59" i="1"/>
  <c r="G201" i="1"/>
  <c r="G157" i="1"/>
  <c r="G139" i="1"/>
  <c r="G122" i="1"/>
  <c r="G62" i="1"/>
  <c r="G135" i="1"/>
  <c r="G84" i="1"/>
  <c r="G116" i="1"/>
  <c r="G123" i="1"/>
  <c r="G150" i="1"/>
  <c r="G142" i="1"/>
  <c r="G77" i="1"/>
  <c r="G202" i="1"/>
  <c r="G49" i="1"/>
  <c r="G21" i="1"/>
  <c r="G249" i="1"/>
  <c r="G106" i="1"/>
  <c r="G155" i="1"/>
  <c r="G43" i="1"/>
  <c r="G39" i="1"/>
  <c r="G8" i="1"/>
  <c r="G7" i="1"/>
  <c r="G215" i="1"/>
  <c r="G30" i="1"/>
  <c r="G371" i="1"/>
  <c r="G253" i="1"/>
  <c r="G166" i="1"/>
  <c r="G57" i="1"/>
  <c r="G391" i="1"/>
  <c r="G346" i="1"/>
  <c r="G25" i="1"/>
  <c r="G380" i="1"/>
  <c r="G167" i="1"/>
  <c r="G320" i="1"/>
  <c r="G302" i="1"/>
  <c r="G136" i="1"/>
  <c r="G390" i="1"/>
  <c r="G381" i="1"/>
  <c r="G197" i="1"/>
  <c r="G27" i="1"/>
  <c r="G325" i="1"/>
  <c r="G89" i="1"/>
  <c r="G86" i="1"/>
  <c r="G203" i="1"/>
  <c r="G383" i="1"/>
  <c r="G190" i="1"/>
  <c r="G50" i="1"/>
  <c r="G331" i="1"/>
  <c r="G72" i="1"/>
  <c r="G259" i="1"/>
  <c r="G98" i="1"/>
  <c r="G387" i="1"/>
  <c r="G213" i="1"/>
  <c r="G334" i="1"/>
  <c r="G359" i="1"/>
  <c r="G353" i="1"/>
  <c r="G242" i="1"/>
  <c r="G162" i="1"/>
  <c r="G18" i="2" l="1"/>
  <c r="K58" i="1"/>
  <c r="AC26" i="2"/>
</calcChain>
</file>

<file path=xl/sharedStrings.xml><?xml version="1.0" encoding="utf-8"?>
<sst xmlns="http://schemas.openxmlformats.org/spreadsheetml/2006/main" count="5767" uniqueCount="1680">
  <si>
    <t>Spend</t>
  </si>
  <si>
    <t>Ad Sales</t>
  </si>
  <si>
    <t>Spend Difference</t>
  </si>
  <si>
    <t>Total Sales</t>
  </si>
  <si>
    <t>Title</t>
  </si>
  <si>
    <t>Row Labels</t>
  </si>
  <si>
    <t>Sum of Units Ordered</t>
  </si>
  <si>
    <t>Consistency</t>
  </si>
  <si>
    <t>Diff 11-12</t>
  </si>
  <si>
    <t>Diff %</t>
  </si>
  <si>
    <t>NOV</t>
  </si>
  <si>
    <t>DEC</t>
  </si>
  <si>
    <t>Ad Sales 12</t>
  </si>
  <si>
    <t>Diff</t>
  </si>
  <si>
    <t>Nov</t>
  </si>
  <si>
    <t>Dec</t>
  </si>
  <si>
    <t>CL</t>
  </si>
  <si>
    <t>TW</t>
  </si>
  <si>
    <t>ZY</t>
  </si>
  <si>
    <t>JC</t>
  </si>
  <si>
    <t>Vitamin D3 10000 iu Plus K2 (MK-7) 200 mcg, 300 Virgin Coconut Oil Softgels| 2 in 1 Vitamins D &amp; K Complex | Supports Calcium Absorption, Bone, Immune, &amp; Heart Health – Easy to Swallow</t>
  </si>
  <si>
    <t>B07YMJLTR6</t>
  </si>
  <si>
    <t>Micro Ingredients Oil of Oregano Softgels 6000mg Per Serving, 300 Count | with Black Seed Oil, 4X Strength Carvacrol &amp; Thymoquinone | Plant Based, Non-GMO | Antioxidant &amp; Immune Support</t>
  </si>
  <si>
    <t>B0BXYKQBDC</t>
  </si>
  <si>
    <t>BFCM後銷量下滑比較明顯, oil of oregano市場熱度在11月份下滑, 12月底來了一波仿品熱度</t>
  </si>
  <si>
    <t>Oil of Oregano 6000mg 150 count</t>
  </si>
  <si>
    <t>B0DK7XKTM6</t>
  </si>
  <si>
    <t>Natural Astaxanthin 12mg, 90 Softgels, 3 Month Supply, Premium Astaxanthin Supplements (MicroAlgae), Supports Eye, Joint, Internal Circulation Health and Antioxidant, Easy to Swallow</t>
  </si>
  <si>
    <t>B08MWZQ4S6</t>
  </si>
  <si>
    <t>仿品熱度</t>
  </si>
  <si>
    <t>Multi Collagen Protein Powder, 2 Pounds – Type I,II,III,V,X with Biotin 10000mcg, Hyaluronic Acid, Vitamin C – Unflavored Collagen Peptides – Keto &amp; Paleo Friendly, Easy Dissolve, Non-GMO</t>
  </si>
  <si>
    <t>B01BHF3OMW</t>
  </si>
  <si>
    <t>加碼了小包的廣告跑deal, Wholesome Wellness B07L48J4HW降價後拿到multi占比</t>
  </si>
  <si>
    <t>Pumpkin Seed Oil with Saw Palmetto, 3,000mg Per Serving, 300 Softgels | Cold Pressed, Pure Virgin Oil, Herbal Supplement | Supports Urinary, Bladder &amp; Prostate Health | Non-GMO</t>
  </si>
  <si>
    <t>B01BHF3KRG</t>
  </si>
  <si>
    <t>Micro Ingredients Vitamin D3 5000 IU with K2 100 mcg, 300 Soft-Gels | K2 MK-7 with D3 Vitamin Supplement, 2 in 1 Support Immune, Heart, Joint, Teeth &amp; Bone Health - Easy to Swallow</t>
  </si>
  <si>
    <t>B07RX4P4RL</t>
  </si>
  <si>
    <t>Multi-Collagen Capsules</t>
  </si>
  <si>
    <t>B0D16FNPY5</t>
  </si>
  <si>
    <t>Triple Strength Omega 3 Fish Oil Supplements 3000mg, 200 Softgels - Lemon Flavored - Burpless (Enteric-Coated) | EPA 1200mg + DHA 900mg | Deep Sea Fish, Wild Caught from Norwegian Waters</t>
  </si>
  <si>
    <t>B07L45XQBR</t>
  </si>
  <si>
    <t>Multi Collagen Peptides Powder, 16 Oz - Hydrolyzed Protein Peptides | Type I,II,III,V,X with Hyaluronic Acid, Biotin 10,000mcg &amp; Vitamin C - Unflavored - Keto &amp; Paleo Friendly, Ez Mix in Drinks</t>
  </si>
  <si>
    <t>B0BKK4X56L</t>
  </si>
  <si>
    <t>Organic MCT Oil Powder with Prebiotic Fiber,1 Pound(16 Ounce), Fast Fuel for Body and Brain, C8 MCT Oil for Coffee Creamer, Delicious for Tea, Smoothie, Drink and Beverage, No GMOs, Keto Diet, Vegan</t>
  </si>
  <si>
    <t>B07T5X85N9</t>
  </si>
  <si>
    <t xml:space="preserve">Pure Turmeric Curcumin 95% 1000mg </t>
  </si>
  <si>
    <t>B0DS6LCFRH</t>
  </si>
  <si>
    <t>Organic Beet Root Powder, 4 Pounds | Cold Pressed, Water Soluble, High Concentrated Raw Beet Supplement | Superfood Drink Mix | Non-GMO, Vegan Friendly, Plant Based</t>
  </si>
  <si>
    <t>B01N20ON39</t>
  </si>
  <si>
    <t>Micro Ingredients Odorless Garlic 7500mg Per Servings, 300 Softgels | 2 Years Aged Garlic Extract, Grown Allium Sativum Bulb | Potent Antioxidant Supplement, Immune Support, and Heart Health</t>
  </si>
  <si>
    <t>B0812DJRSK</t>
  </si>
  <si>
    <t>Organic Matcha Green Tea Powder, 1 Pound (16 Ounce), Culinary Grade, First Harvest Authentic Japanese Origin, 100% Pure Matcha for Smoothies, Latte and Baking, Unflavored, Non-Irradiation</t>
  </si>
  <si>
    <t>B08PY3Q8XS</t>
  </si>
  <si>
    <t xml:space="preserve">Vitamin D3K2 10,000IU 180 count </t>
  </si>
  <si>
    <t>B0D2SRGD76</t>
  </si>
  <si>
    <t>Organic Inulin FOS Powder (Jerusalem Artichoke), 2.2 Pounds (35 Ounce), Quick Water Soluble, Prebiotic Intestinal Support for Colon and Gut Health, Natural Fibers for Smoothie &amp; Drinks, Vegan Friendly</t>
  </si>
  <si>
    <t>B074WKCPS4</t>
  </si>
  <si>
    <t xml:space="preserve">Pumpkin Seed Oil Softgels 150 count </t>
  </si>
  <si>
    <t>B0F3B84SDQ</t>
  </si>
  <si>
    <t>Microingredients Hydration Electrolyte Powder, Lemon Raspberry, 2 Lbs - High Potassium (1000mg), 0 Calorie, Sugar-Free, Hydration Drink Mix with Real Lemon Juice - Keto, Paleo, Non-GMO</t>
  </si>
  <si>
    <t>B0CG7TB55T</t>
  </si>
  <si>
    <t>Pure Methylated B Complex with Vitamin C</t>
  </si>
  <si>
    <t>B0DLLHRVLY</t>
  </si>
  <si>
    <t>Liposomal NAD+ Ultimate 1000mg</t>
  </si>
  <si>
    <t>B0F8FZSPTY</t>
  </si>
  <si>
    <t>Organic Instant 10 in 1 Mushroom Coffee Powder, 28 Ounce (317 Servings) | Premium Arabica Coffee with Lion’s Mane, Chaga, Reishi, &amp; More | Smooth Medium Roast, Clean Energy, &amp; Immune Support</t>
  </si>
  <si>
    <t>B0BCMKNMZB</t>
  </si>
  <si>
    <t>Organic Chlorella Spirulina Tablets, 3000mg Per Serving, 720 Counts, 4 Months Supply, 50/50 Blend Superfood, No Filler, No Additives, Cracked Cell Wall, Rich in Vegan Protein &amp; Chlorophyll</t>
  </si>
  <si>
    <t>B01DPW5JSW</t>
  </si>
  <si>
    <t>Pure Methylated Multivitamin 240 count</t>
  </si>
  <si>
    <t>B0DLLG833V</t>
  </si>
  <si>
    <t>Organic Pomegranate Juice Powder, 1 Pound (91 Serving), Freeze Dried &amp; Cold Pressed, Natural Vitamin C (Immune Vitamin), Support Immune System, Organic Flavor for Smoothie &amp; Beverage, Vegan Friendly</t>
  </si>
  <si>
    <t>B01HN63W4Y</t>
  </si>
  <si>
    <t>Goat Milk Powder, 2lbs | Grass Fed Source, Australian Farm Derived, Unadulterated Formula, Easily Digested | Rich in Protein, Calcium, &amp; Probiotics | Non-GMO, Gluten Free, Pet Friendly</t>
  </si>
  <si>
    <t>B0BXYDSGC4</t>
  </si>
  <si>
    <t>Organic Non-Fortified Nutritional Yeast Flakes, 2 Pounds | Rich in Vegan Protein, B Vitamins &amp; Beta-glucans | Keto Friendly, Dairy Free Cheese Substitute, Non-GMO, Gluten Free</t>
  </si>
  <si>
    <t>B0BCMNBZPR</t>
  </si>
  <si>
    <t>Micro Ingredients Organic Spirulina Supplement, 3000MG Per Serving, 720 Tablets (4 Month Supply), No Filler &amp; Non-GMO, Rich in Vegan Protein, Vitamins &amp; Prebiotics, Premium Spirulina Pills Organic</t>
  </si>
  <si>
    <t>B01DPW5DC4</t>
  </si>
  <si>
    <t xml:space="preserve">Astaxanthin 24mg Softgels 60 count </t>
  </si>
  <si>
    <t>B0F4M8Y6V6</t>
  </si>
  <si>
    <t>Pure Magnesium Glycinate 1000mg with Vitamin C</t>
  </si>
  <si>
    <t>B0DLLLZD5K</t>
  </si>
  <si>
    <t>Astaxanthin 12mg with MCT Oil, 60 Softgels</t>
  </si>
  <si>
    <t>B0FGFPQCCW</t>
  </si>
  <si>
    <t>Allulose Sweetener, 3 Pounds (48 Ounces), Zero Calorie, Plant Based Sugar Alternative, No After Taste, Best for Coffee, Drinks, Tea, Cooking and Baking, Keto Diet and Vegan Friendly</t>
  </si>
  <si>
    <t>B08PY5ZJTX</t>
  </si>
  <si>
    <t>Vitamin D3 2,000 iu Plus K2 (MK-7) 50 mcg, 300 Virgin Coconut Oil Softgels</t>
  </si>
  <si>
    <t>B0CVTDBXW5</t>
  </si>
  <si>
    <t xml:space="preserve">Black Seed Oil 3000mg with Oregano Oil </t>
  </si>
  <si>
    <t>B0F3G35G6W</t>
  </si>
  <si>
    <t>Vitamin D3K2 5000IU with sunflower oil 180 count</t>
  </si>
  <si>
    <t>B0D2S6DMDS</t>
  </si>
  <si>
    <t>Vitamin D3K2 5000IU sunflower 180 count</t>
  </si>
  <si>
    <t>Organic Ceylon Cinnamon Powder | 2 Lb - [Sourced from Sri Lanka] - Inner Bark Cinnamomum Verum, Delicate Flavor and Aroma, Third Party Tested for Purity, Vegan, Non-GMO &amp; Gluten Free</t>
  </si>
  <si>
    <t>B01BHF3IXM</t>
  </si>
  <si>
    <t xml:space="preserve">Turmeric Curcumin 3000mg with MCT Oil </t>
  </si>
  <si>
    <t>B0DK66NCWL</t>
  </si>
  <si>
    <t>Sustainably US Grown, Organic Mega Mushroom 10 in 1 Complex Formula Powder for Immune System Booster, 10 Ounce (284 Days Supply), Chaga, Lions Mane, Cordyceps, Reishi &amp; More, Filler Free, Vegan</t>
  </si>
  <si>
    <t>B07RG8MMXW</t>
  </si>
  <si>
    <t>Micro Ingredients Organic Spirulina Powder, 16 Ounce, Raw Spirulina (Arthrospira Platensis), The Richest Sources of 70% Vegan Protein, Containers Minerals, Vitamins, Non-GMO &amp; Non-Irradiation</t>
  </si>
  <si>
    <t>B01DPW5FWW</t>
  </si>
  <si>
    <t>Whole Milk Powder, 4lbs | rBST Hormone Free, Pasture Raised Source, Premium Grade Dry Powdered Form | Great for Baking | Rich in Protein | Non-GMO</t>
  </si>
  <si>
    <t>B0CLFXDX4Z</t>
  </si>
  <si>
    <t>Marine Collagen Protein Powder, 1lb</t>
  </si>
  <si>
    <t>B0CVTQ4G5Z</t>
  </si>
  <si>
    <t xml:space="preserve">Multi Collagen Peptides Packets 40-count </t>
  </si>
  <si>
    <t>B0D3FQWRV4</t>
  </si>
  <si>
    <t>L-Theanine + Magnesium Glycinate</t>
  </si>
  <si>
    <t>B0DK65BMV7</t>
  </si>
  <si>
    <t xml:space="preserve">Organic Instant Mushroom Coffee 14oz </t>
  </si>
  <si>
    <t>B0CWN8C5KR</t>
  </si>
  <si>
    <t>Micro Ingredients Organic Coconut Milk Powder, 2 Pound (32 Ounce), Plant-Based Creamer, Perfect for Coffee, Tea and Smoothie, Non-GMO and Keto Friendly</t>
  </si>
  <si>
    <t>B07X37D16H</t>
  </si>
  <si>
    <t>Vitamin D3 5000 iu Plus K2 (MK-7) 100 mcg, 300 Virgin Coconut Oil Softgels | 2 in 1 Vitamins D &amp; K Complex | Supports Calcium Absorption, Bone, Immune, &amp; Heart Health – Easy to Swallow</t>
  </si>
  <si>
    <t>B0CG7M9HWP</t>
  </si>
  <si>
    <t>D Mannose Powder, 8.8 Ounce, Pure Mannose Supplement, Quick Water Soluble, Support Urinary Tract Cleanse &amp; Bladder Health, Premium Mannose for Women and Men, Vegan Friendly</t>
  </si>
  <si>
    <t>B01L2TFP1Q</t>
  </si>
  <si>
    <t>Micro Ingredients Quercetin with Vitamin C and Zinc, 240 Capsules | Quercetin 500mg, Vitamin C 500mg, Zinc 50mg (Picolinate, Citrate, Glycinate, Gluconate) | Complete Immune Support Supplements</t>
  </si>
  <si>
    <t>B087Z8PSW6</t>
  </si>
  <si>
    <t>Micro Ingredients Vitamin B12 5000mcg | Methyl B12 Active Form – 180 Chewable Tablets | Fast Dissolve, Natural Strawberry Flavor, Support Energy, Metabolism Health | Vegan, Non-GMO, &amp; No Gluten</t>
  </si>
  <si>
    <t>B08MX1ZWB4</t>
  </si>
  <si>
    <t>CoQ10 200mg with MCT Oil</t>
  </si>
  <si>
    <t>B0DGRK52HZ</t>
  </si>
  <si>
    <t>Micro Ingredients Vitamin E 1000 IU, 240 Softgels | Pure Vitamin E Oil Pills | Antioxidant Supplements for Skin, Face, &amp; Immune Health | Non-GMO, Gluten Free</t>
  </si>
  <si>
    <t>B0845QRGV5</t>
  </si>
  <si>
    <t>Organic Ground Ginger Powder, 2 Pounds (32 Ounce), Great Flavor and Highly Aromatic, Fine Loose Powder for Better Mixing without Settling, Best for Cooking, Baking, Tea &amp; More, Product of India</t>
  </si>
  <si>
    <t>B08TBBBJK8</t>
  </si>
  <si>
    <t>Organic Matcha Green Tea Powder, 2 Pound (32 Ounce), Culinary Grade - Unflavored - First Harvest Authentic Japanese Origin, 100% Pure Matcha for Smoothies, Latte and Baking, Non-GMO, Non-Irradiation</t>
  </si>
  <si>
    <t>B09TG3RDGS</t>
  </si>
  <si>
    <t>Pure Organic Stevia Powder, 8 Ounces, 1418 Serving, High Grade Stevia Green Leaf Extract Reb-A, Reduced Bitter Aftertaste, 0 Calorie, Natural Sweetener, Sugar Alternative, Keto Friendly</t>
  </si>
  <si>
    <t>B01DPW5H84</t>
  </si>
  <si>
    <t>Creatine Monohydrate Powder 1 kg (2.2 Lbs), 5000mg Per Serv, Micronized Creatine Powder, Unflavored, Pure, No Filler, Keto &amp; Vegan Friendly, Easy Dissolve Pre Workout Creatine for Women and Men</t>
  </si>
  <si>
    <t>B09YFHGK3F</t>
  </si>
  <si>
    <t>Micro Ingredients Antarctic Krill Oil Supplement, 2,000mg Per Serving, 240 Softgels, Triple Strength, Rich in Omega-3s EPA, DHA &amp; Natural Astaxanthin, Supports Immune System &amp; Brain Health</t>
  </si>
  <si>
    <t>B0C35GYDV3</t>
  </si>
  <si>
    <t>2 Pack Pure Turmeric Curcumin</t>
  </si>
  <si>
    <t>B0FBP4NMKK</t>
  </si>
  <si>
    <t xml:space="preserve">Supreme Omega-3 rTG Fish Oil 1300mg (700mg EPA + 500mg DHA) with Vitamin D3 1000IU Softgels 60 counts </t>
  </si>
  <si>
    <t>B0FN26WGH8</t>
  </si>
  <si>
    <t>Organic Hibiscus Tea Bags, 200 Count | Caffeine Free, Loose Leaf Flower Source | Eco-Friendly Hemp Paper Bags | Great for Iced or Hot Brewed Tea | Non-GMO, No Sugar</t>
  </si>
  <si>
    <t>B0C35TKL3M</t>
  </si>
  <si>
    <t>Organic Lion's Mane Powder 8oz</t>
  </si>
  <si>
    <t>B0D2S6H23L</t>
  </si>
  <si>
    <t>Vegan omega 3</t>
  </si>
  <si>
    <t>B0D3T51D3C</t>
  </si>
  <si>
    <t>Organic Soluble Prebiotics Fiber Supplement (Inulin, Acacia, Psyllium Husk), 2 Pounds, 3 in 1 Fiber Formula, Daily Fiber, Unflavored, for Digestive Health, Hunger Control, Vegan</t>
  </si>
  <si>
    <t>B07RG8M2XB</t>
  </si>
  <si>
    <t>Nattokinase 4,000 FU Equivalent 240 Softgels with MCT Oil</t>
  </si>
  <si>
    <t>B0F5MHP4Q8</t>
  </si>
  <si>
    <t>Omega 3 Fish Oil 4200mg 120 Softgels</t>
  </si>
  <si>
    <t>B0CS56P75L</t>
  </si>
  <si>
    <t>Pure Acerola Cherry Powder Organic, Natural Organic Vitamin C for Immune System Booster, 8 Ounce, Best Superfoods for Beverage, Smoothie and Drinks, Vegan Friendly, Brazil Origin</t>
  </si>
  <si>
    <t>B06XC72G8G</t>
  </si>
  <si>
    <t>Ultra Omega 3-6-9 3600mg Perserv, 300 Burpless Softgels | Lemon Flavor – Blend of Fish, Flaxseed, Borage Oils | Bioavailable Source, Non-GMO, No Gluten, Mercury Free</t>
  </si>
  <si>
    <t>B07RD8T952</t>
  </si>
  <si>
    <t>Magnesium Glycinate 400mg with Vitamin C - 200 Capsules, Elemental Magnesium 400mg Supplement, 100% Chelated, Support Healthy Muscle, Bones &amp; Mood</t>
  </si>
  <si>
    <t>B087F4HLJ3</t>
  </si>
  <si>
    <t>Sustainably US Grown, Organic Sunflower Lecithin Powder, 1 Pound, Sustainable Farmed, Cold Pressed, Rich in Phosphatidyl Choline and Protein, Making Liposomal Vitamin C, Lactation Supplement, Non-GMO</t>
  </si>
  <si>
    <t>B01N02YNF5</t>
  </si>
  <si>
    <t>Moringa Powder Organic (Moringa Oleifera Leaf Powder), 2 Pounds, Rich in Antioxidants and Immune Vitamin, Great Superfoods for Moringa Tea, Moringa Drink, Moringa Powder for Hair, India Grown, Vegan</t>
  </si>
  <si>
    <t>B01L2TGLTG</t>
  </si>
  <si>
    <t xml:space="preserve">2pack Multi-Collagen Complex Capsules 240 count </t>
  </si>
  <si>
    <t>B0F6ZJ1NXP</t>
  </si>
  <si>
    <t>Micro Ingredients Glycine Powder, 1KG (2.2 Pounds), Glycine 1000mg Per Serving, Supports Restful Sleep and Neurotransmitter, Water Soluble and Products of USA</t>
  </si>
  <si>
    <t>B01LBILPCG</t>
  </si>
  <si>
    <t>Beef Gelatin Powder | Grass Fed, 2lbs | Unflavored Thickening Agent, Pasture Raised Source, Rich in Natural Protein | Great for Cooking &amp; Baking | Non-GMO</t>
  </si>
  <si>
    <t>B0C35DQQM9</t>
  </si>
  <si>
    <t>US Origin Pure Magnesium Citrate Powder, 2 Pounds (32 Ounce), Pure and Filler Free, Relaxation and Nutrient Utilization, Vegan</t>
  </si>
  <si>
    <t>B01BHF3GMK</t>
  </si>
  <si>
    <t>Organic Freeze Dried Strawberries Sliced, 6.4oz | Fresh Raw Fruit Slices, Great Healthy Snacks or as a Garnish for Chocolate, Shortcake, and Smoothies | Non-GMO, 0 Sugar Added</t>
  </si>
  <si>
    <t>B0C9PLML31</t>
  </si>
  <si>
    <t>Micro Ingredients Lutein &amp; Zeaxanthin 40mg Softgels, 240 Count, with Astaxanthin, Omega-3s, &amp; Phospholipids | Eye + Vision Health Vitamins | Third Party Tested, Non-GMO, Gluten Free</t>
  </si>
  <si>
    <t>B0812QPT4J</t>
  </si>
  <si>
    <t>Organic Mega 10 Mushroom Powder 5oz</t>
  </si>
  <si>
    <t>B0D2S5M4DK</t>
  </si>
  <si>
    <t>Micro Ingredients Full Spectrum Vitamin K2 MK-4 + MK-7 Supplement, 150 mcg, 300 Coconut Oil Softgles | Easily Absorbed, Active Menaquinone Complex | Immune, Joint, &amp; Heart Support | Non-GMO</t>
  </si>
  <si>
    <t>B087DZKHVW</t>
  </si>
  <si>
    <t>Nitric Oxide Booster 3600mg 240 tablets</t>
  </si>
  <si>
    <t>B0DK6684NK</t>
  </si>
  <si>
    <t>Organic Pumpkin Seeds 4lb</t>
  </si>
  <si>
    <t>B0CLFY72DS</t>
  </si>
  <si>
    <t>12月NOW持續斷貨，權重往上走，KW已經有很多高IS的詞廣告預算先給還沒有IS的中部詞上調跑跑</t>
  </si>
  <si>
    <t>Pure Methylated Multivitamin for Women</t>
  </si>
  <si>
    <t>B0F8FWJN2Q</t>
  </si>
  <si>
    <t>Golden Monk Fruit Sweetener with Allulose, 2 lbs | No Erythritol, No Aftertaste, 1:1 Brown Sugar Substitute | Zero Calorie, Great for Drinks, Coffee, Tea, Cookies | Keto, Vegan, Non-GMO</t>
  </si>
  <si>
    <t>B0C9P7L7YJ</t>
  </si>
  <si>
    <t>Instant Bovine Colostrum Powder 8oz</t>
  </si>
  <si>
    <t>B0D3SNSJ47</t>
  </si>
  <si>
    <t>Micro Ingredients Antarctic Krill Oil Supplement, 1000mg Per Serving, 300 Soft-Gels, Rich in Omega-3s EPA, DHA &amp; Natural Astaxanthin, Supports Immune System &amp; Brain Health, Easy to Swallow</t>
  </si>
  <si>
    <t>B01JNNAN4C</t>
  </si>
  <si>
    <t>Ashwagandha 6000mg with MCT Oil Softgels</t>
  </si>
  <si>
    <t>B0DK6596L8</t>
  </si>
  <si>
    <t>Super greens Superfood Powder 1lb</t>
  </si>
  <si>
    <t>B0DK7WVQQY</t>
  </si>
  <si>
    <t>Organic Maca Root Powder, 2 Pound, Gelatinized for Better Absorption, Rich in Antioxidants, Help Energy, Stamina, Endurance, Strength and Immune System, No GMOs, Vegan Friendly and Peru Origin</t>
  </si>
  <si>
    <t>B01JNM6NTW</t>
  </si>
  <si>
    <t>Organic Chia Seeds 4lb</t>
  </si>
  <si>
    <t>B0F3GFTM5J</t>
  </si>
  <si>
    <t>12月沒貨有關廣告</t>
  </si>
  <si>
    <t>NMN 1000mg 120 Capsules</t>
  </si>
  <si>
    <t>B0FXJ8YYX4</t>
  </si>
  <si>
    <t>Organic Strawberry Freeze Dried Powder, 12 Ounce (56 Serving), Strawberry Powder for Baking, Best Super Foods for Smoothie &amp; Beverage Blend, Non-GMO, Vegan</t>
  </si>
  <si>
    <t>B07CXZBRZP</t>
  </si>
  <si>
    <t xml:space="preserve">Myo &amp; D-Chiro Inositol Powder 1lb </t>
  </si>
  <si>
    <t>B0DGRG846L</t>
  </si>
  <si>
    <t>Micro Ingredients Biotin 10,000mcg w/Hyaluronic Acid 25mg | 360 Virgin Coconut Oil Softgels, Fast Release, One Year Supply, Supports Healthy Hair, Skin &amp; Nails, Non-GMO &amp; No Gluten</t>
  </si>
  <si>
    <t>B08MX3DD8G</t>
  </si>
  <si>
    <t xml:space="preserve">Organic MCT Liquid Oil 32 fl oz (946mL) </t>
  </si>
  <si>
    <t>B0C325P6Z4</t>
  </si>
  <si>
    <t xml:space="preserve">Electrolyte Powder Grape Flavor 2lb </t>
  </si>
  <si>
    <t>B0D3T248FJ</t>
  </si>
  <si>
    <t>Monk Fruit Sweetener with Erythritol Granules, 4 Pounds, No After Taste, 1:1 White Sugar Substitute, Keto Diet Friendly, Zero Calorie, Natural Sweetener for Drinks, Coffee, Tea, Cookies, No-GMO, Vegan</t>
  </si>
  <si>
    <t>B07X4BL4GC</t>
  </si>
  <si>
    <t>Micro Ingredients Organic Camu Camu Powder, 12 oz | High Natural Vitamin C Level | Fresh Freeze-Dried Berries Source | Supports Energy and Immune Health | No GMOs, Vegan Friendly</t>
  </si>
  <si>
    <t>B01L2TGRFO</t>
  </si>
  <si>
    <t xml:space="preserve">Organic Ceylon Cinnamon Powder 8oz </t>
  </si>
  <si>
    <t>B0FGF3F9H4</t>
  </si>
  <si>
    <t>Beet Root 3000mg with grape seed &amp; CoQ10</t>
  </si>
  <si>
    <t>B0DK65FRV2</t>
  </si>
  <si>
    <t>Micro Ingredients Melatonin 20mg Tablets, 400 Counts, Natural Strawberry Flavor, Fast Dissolve | No Drug, Vegetarian Friendly, Non-GMO &amp; No Gluten</t>
  </si>
  <si>
    <t>B07RY554K5</t>
  </si>
  <si>
    <t xml:space="preserve">Ceylon Cinnamon 600mg  300 count </t>
  </si>
  <si>
    <t>B0F5RHY51V</t>
  </si>
  <si>
    <t>Micro Ingredients Organic Lions Mane Mushroom Supplement Powder, 16 Ounce | Sustainably US Grown, Nootropic for Mental Clarity, Energy, &amp; Immune Support | Non-GMO, Vegan</t>
  </si>
  <si>
    <t>B07P2CWWVV</t>
  </si>
  <si>
    <t>Micro Ingredients Maximum Strength Organic Korean Ginseng Root 200:1 Powder, 4 Ounce, Red Panax Ginseng Powder, Active Ginsenosides, Vegan Friendly</t>
  </si>
  <si>
    <t>B079MNQXLF</t>
  </si>
  <si>
    <t xml:space="preserve">CoQ10 400mg with MCT Oil Softgels 240 count </t>
  </si>
  <si>
    <t>B0F3FXTP4V</t>
  </si>
  <si>
    <t>Vitamin B1 Benfotiamine 600mg Per Serving, 240 Coconut Oil Softgels | Essential B Vitamins Supplement, Fat Soluble | Supports Metabolism &amp; Healthy Nervous System | Non-GMO, Easy to Swallow</t>
  </si>
  <si>
    <t>B0CG7ZTT7B</t>
  </si>
  <si>
    <t>Berberine 1000mg with MCT Oil softgels 240 count </t>
  </si>
  <si>
    <t>B0FJ3X2KQC</t>
  </si>
  <si>
    <t>Organic Turkey Tail Mushroom Powder (50:1 Extract), 8 Ounce | Sustainably US Grown, Freeze Dried with Active Polysaccharides, Supports Immune Response &amp; Cellular Level, Pet Friendly</t>
  </si>
  <si>
    <t>B07P2BWC78</t>
  </si>
  <si>
    <t>Organic Inulin Powder 500g (1.1lb) </t>
  </si>
  <si>
    <t>B0FGFJFFBY</t>
  </si>
  <si>
    <t xml:space="preserve">Glucosamine Chondroitin 4000mg </t>
  </si>
  <si>
    <t>B0DK683WHV</t>
  </si>
  <si>
    <t>Pure Birch Xylitol Sweetener (Xylitol Sugar Crystal Powder), 6 Pounds (96 Ounce &amp; 680 Serving), Natural Sweetener, 1:1 Brown Sugar Substitute and Low Calorie, Best for Baking and Cooking, No After Taste, Keto Friendly and Product of USA</t>
  </si>
  <si>
    <t>B07T5WW8LF</t>
  </si>
  <si>
    <t>Moringa 6000mg capsules</t>
  </si>
  <si>
    <t>B0DDWPH39G</t>
  </si>
  <si>
    <t>Micro Ingredients Organic Lemon Juice Powder, 10 Ounce, Cold Pressed Concentrated Powder, Filler Free, Rich in Natural Vitamin C for Immune System Booster, Great Flavor for Soda, Baking and Cooking, Vegan Friendly</t>
  </si>
  <si>
    <t>B07NY4MF5Y</t>
  </si>
  <si>
    <t>Omega 3 Fish Oil DHA Supplements 1000mg with EPA 500mg, 200 Softgels – Lemon Flavored, Burpless (Enteric Coated) | Deep Sea Fresh Fish, Wild Caught from Norwegian Waters | Mercury Free</t>
  </si>
  <si>
    <t>B08MX16TYC</t>
  </si>
  <si>
    <t>Electrolyte Powder 1lb</t>
  </si>
  <si>
    <t>B0CS4VV8MD</t>
  </si>
  <si>
    <t>Organic Whole Rainbow Peppercorn Blend, 2lbs | Black, Green, Pink, &amp; White Fresh Peppercorns for Easy Grinder Refill | Multi Purpose Seasoning for Cooking or Baking | Non-GMO</t>
  </si>
  <si>
    <t>B0C9PGG2WV</t>
  </si>
  <si>
    <t>Calcium 1200mg with Vitamin D3K2 1000IU</t>
  </si>
  <si>
    <t>B0DDWNT45S</t>
  </si>
  <si>
    <t xml:space="preserve">Premium Vital Wheat Gluten Powder 6lb </t>
  </si>
  <si>
    <t>B0DK7WV3MS</t>
  </si>
  <si>
    <t>Berberine 3000mg vegetarian capsules 240 count</t>
  </si>
  <si>
    <t>B0DW192P2Z</t>
  </si>
  <si>
    <t>Organic Ceylon Cinnamon Powder 1lb</t>
  </si>
  <si>
    <t>B0D2S665WK</t>
  </si>
  <si>
    <t>Organic Fortified Nutritional Yeast Flakes, 2LB | Rich in Vegan Protein, B Vitamins, &amp; Beta-Glucans | Keto Friendly, Dairy Free Cheese Substitute, Non-GMO, Gluten Free</t>
  </si>
  <si>
    <t>B0C35PK9GJ</t>
  </si>
  <si>
    <t>Organic Whole Cinnamon Stick, 2lbs | 2 ¾” Stick Size | Raw Cinnamon Spice Flavor &amp; Aroma | Great for Tea, Desserts, or Cooking | Non-GMO, Vegan Friendly, Bulk Supply</t>
  </si>
  <si>
    <t>B0C9PGM2LW</t>
  </si>
  <si>
    <t>12月cinnamon需求上升目前沒貨還在等inbound</t>
  </si>
  <si>
    <t>Mega Probiotics 40 strains 200 billion CFU</t>
  </si>
  <si>
    <t>B0DVN41167</t>
  </si>
  <si>
    <t>Triple Magnesium Complex (Glycinate + Malate + Taurate) 400mg capsules 300 count</t>
  </si>
  <si>
    <t>B0DLLHGKDM</t>
  </si>
  <si>
    <t>Beet Root 300mg with MCT Oil 360 softgels</t>
  </si>
  <si>
    <t>B0F5LZYS78</t>
  </si>
  <si>
    <t>Micro Ingredients Organic Beet Root Juice Powder, 1 Pound -Superfood Drink Mix | Non-GMO</t>
  </si>
  <si>
    <t>B01N32M7BR</t>
  </si>
  <si>
    <t xml:space="preserve">Pure Vitamin C 2000mg vegetarian capsules 240 count </t>
  </si>
  <si>
    <t>B0F3GV9QWR</t>
  </si>
  <si>
    <t xml:space="preserve">Peanut Powder 4lb </t>
  </si>
  <si>
    <t>B0DGRPBBZY</t>
  </si>
  <si>
    <t>Organic Goji Berries 2lbs, Large Whole Sun-Dried Berries | Sulfate Free, Natural Antioxidant | Raw Superfood Berry for Energy, Eye, &amp; Immune Health | Non-GMO</t>
  </si>
  <si>
    <t>B0BXYB91BJ</t>
  </si>
  <si>
    <t>12月断货很久</t>
  </si>
  <si>
    <t>CoQ10 100mg with MCT Oil</t>
  </si>
  <si>
    <t>B0DK69D35M</t>
  </si>
  <si>
    <t xml:space="preserve">Glycine 2000mg 240 count </t>
  </si>
  <si>
    <t>B0DW1BXPMV</t>
  </si>
  <si>
    <t>Liposomal Vitamin C 2500mg</t>
  </si>
  <si>
    <t>B0DW142NNT</t>
  </si>
  <si>
    <t>Omega-3 Fish Oil 1000mg 300 count</t>
  </si>
  <si>
    <t>B0DK69SLY9</t>
  </si>
  <si>
    <t>Taurine Powder Supplement | 1 KG, 2000mg Per Serving | Unflavored | 100% Pure, Easily Absorbed Free Form | Essential Amino Acids for Exercise, Energy, &amp; Heart Support</t>
  </si>
  <si>
    <t>B0C88H675D</t>
  </si>
  <si>
    <t>Organic Chlorella Tablets, 500mg Per Tablet, 720 Tabs (360 Grams), 4 Months Supply, Broken Cell Wall, Rich in Vegan Protein &amp; Vitamins, No Filler, No Additives &amp; Non-GMO | Pure Green Algae Superfood</t>
  </si>
  <si>
    <t>B01FMWFG86</t>
  </si>
  <si>
    <t>Multi-Collagen Gummies 120 count</t>
  </si>
  <si>
    <t>B0DDWNGRKL</t>
  </si>
  <si>
    <t>Micro Ingredients Pure Bee Pollen Granules, 2lbs | Fresh Harvest, Natural Superfood, Raw Sweet Flavor | Rich in B Vitamins, Minerals, Protein, &amp; Antioxidants | Keto, Non-GMO</t>
  </si>
  <si>
    <t>B0BV3DFDK5</t>
  </si>
  <si>
    <t>Vitamin D3 50,000 IU Plus K2 (MK-7) 200 mcg, 240 Virgin Coconut Oil Softgels | 2 in 1 Vitamins D &amp; K Complex | Supports Calcium Absorption, Bone, Immune, &amp; Heart Health | Easy to Swallow</t>
  </si>
  <si>
    <t>B0C35N273V</t>
  </si>
  <si>
    <t xml:space="preserve">Cod Liver Oil 2000mg </t>
  </si>
  <si>
    <t>B0D3T12XYP</t>
  </si>
  <si>
    <t>Creatine Monohydrate Powder 500 Grams (1.1 LBS), 5000mg Per Serv, Micronized Creatine Powder, Unflavored, Pure, No Filler, Keto &amp; Vegan, Easy Dissolve Pre Workout Creatine for Women and Men</t>
  </si>
  <si>
    <t>B09TNMZBQ5</t>
  </si>
  <si>
    <t>Organic Hibiscus Flowers, 2lbs | Loose Leaf Flower Source for Tea Bags | Cut &amp; Sifted Dried Leaves | Great for Iced or Hot Brewed Herbal Tea | Caffeine Free, Non-GMO, No Sugar</t>
  </si>
  <si>
    <t>B0C9PGR822</t>
  </si>
  <si>
    <t xml:space="preserve">Ginkgo Ginseng Complex 5600mg </t>
  </si>
  <si>
    <t>B0DVMLWR97</t>
  </si>
  <si>
    <t>Bovine Collagen Protein Powder, 1 Pound</t>
  </si>
  <si>
    <t>B0D16G8C8P</t>
  </si>
  <si>
    <t>11月有做BFCM之後漲價12月沒做deal，這品之前是靠varation賣現在拆後PT調整結構把MI top seller組關閉另外開一個MI collagen組目前穩定輸出，KW也往bovine相關詞跑</t>
  </si>
  <si>
    <t>Creatine Monohydrate 5,000mg, 500 Capsules | Pure Creatine Pills – Micronized + Unflavored Powder Source, Easy Absorption | Pre Workout &amp; Muscle Health Support | Keto, Non-GMO</t>
  </si>
  <si>
    <t>B0B9289VLY</t>
  </si>
  <si>
    <t>Sustainably Canada Grown, Organic Blueberry Extract 50:1 Concentrated Powder, 6 Ounce, Wild Grown and Freeze Dried, Natural Flavor for Beverage, Smoothie and Baking, No GMOs</t>
  </si>
  <si>
    <t>B07CY1TLH2</t>
  </si>
  <si>
    <t>Organic Blue Spirulina Powder (Phycocyanin Extract), 50 Servings - No Fishy Smell, 100% Vegan Protein from Blue-Green Algae, Natural Luminous Blue Food Coloring for Smoothies, Baking, Drinks &amp; Cooking</t>
  </si>
  <si>
    <t>B0B2379WMW</t>
  </si>
  <si>
    <t>Micro Ingredients Sustainably US Grown, Organic Slippery Elm Bark Powder, 1 Pound (645 Servings), Helps Soothe The Throat and Coughing, No Irradiated, No Contaminated, No GMOs, Pet Friendly</t>
  </si>
  <si>
    <t>B075VFCQBC</t>
  </si>
  <si>
    <t>Micro Ingredients Organic Ashwagandha Root Powder | 2 Pound, No Filler, No Additives, Highly Purified | Active Withanolides, Adaptogenic Ayurvedic Herbal Supplements, No GMO, Gluten Free, India Origin</t>
  </si>
  <si>
    <t>B01N3U3WO4</t>
  </si>
  <si>
    <t>Pure Magnesium Flakes, 6lbs | Great for Foot &amp; Body Bath Soaks | Natural Magnesium Chloride Minerals | Better Absorption Over Epsom Salt | Relaxation &amp; Skin Hydration Support</t>
  </si>
  <si>
    <t>B0C9PGM325</t>
  </si>
  <si>
    <t>Citric Acid 6 Pounds, Food Grade, Fine Granular Powder | 100% Pure, Concentrated Anhydrous Form | Natural Preservative + Great for Cooking, Cleaning, &amp; DIY Bath Bombs | Non-GMO</t>
  </si>
  <si>
    <t>B0BXYCL8KP</t>
  </si>
  <si>
    <t>Xanthan Gum Powder 2lb - Premium Food Grade for Cooking, Keto Baking, Thickening Soups &amp; Sauces, Dressings, Vegan Friendly, Non-GMO, Gluten Free</t>
  </si>
  <si>
    <t>B0BXY6BMHQ</t>
  </si>
  <si>
    <t>Organic Garlic Powder, 3lbs | Culinary Grade | Freshly Harvested Raw Allium Sativum Bulb | Natural Herbal Spice | Great for Seasonings, Meats, or Vegetables | Non-GMO</t>
  </si>
  <si>
    <t>B0BXYB635P</t>
  </si>
  <si>
    <t>Pure D-Mannose 1300mg with cranberry</t>
  </si>
  <si>
    <t>B0DLLMC7DS</t>
  </si>
  <si>
    <t>Organic Bee Pollen Granules, 1lb | Pure Fresh Harvest, Natural Superfood, Raw Sweet Flavor | Rich in B Vitamins, Minerals, Protein, &amp; Antioxidants | Keto, Non-GMO</t>
  </si>
  <si>
    <t>B0CLFGBK2B</t>
  </si>
  <si>
    <t>Electrolyte Powder Strawberry &amp; Kiwi Flavor 2lb</t>
  </si>
  <si>
    <t>B0FGKJCC9X</t>
  </si>
  <si>
    <t>Micro Ingredients North American Grown, Pea Protein Powder, 5 Pounds | Plant Based, Unflavored | Complete Vegan Protein Source – 27g Serving | Rich in BCAAs &amp; EAAs | Non-GMO, Keto Friendly</t>
  </si>
  <si>
    <t>B0C35LNMRF</t>
  </si>
  <si>
    <t>Organic Shredded Coconut Flakes, 4lbs</t>
  </si>
  <si>
    <t>B0CLFYHSV2</t>
  </si>
  <si>
    <t xml:space="preserve">Organic Instant Coffee 1lb </t>
  </si>
  <si>
    <t>B0DGSDQ2XG</t>
  </si>
  <si>
    <t xml:space="preserve">Saw Palmetto 4800mg with Pumpkin Seed Oil softgels 240 count </t>
  </si>
  <si>
    <t>B0F5M6PZSY</t>
  </si>
  <si>
    <t>Vegan Omega-7 Sea Buckthorn Oil 6000mg</t>
  </si>
  <si>
    <t>B0DS6MT295</t>
  </si>
  <si>
    <t>Organic Black Cumin Seed (Nigella Sativa), 2lbs | Premium Grade Whole Black Seed from Egypt | Rich in Healthy Black Seed Oil | Raw Seeds for Baking, Seasoning, and Cooking | Non-GMO</t>
  </si>
  <si>
    <t>B0CG7S11B6</t>
  </si>
  <si>
    <t>Organic Blue Spirulina 30g</t>
  </si>
  <si>
    <t>B0DDW2L4YM</t>
  </si>
  <si>
    <t>Micro Ingredients Vitamin B3 Nicotinamide 1,000mg Per Serving, 400 Capsules | Flush Free Niacin, Essential B Vitamin Supplement | Skin Care Health &amp; Energy Support | Non-GMO, Gluten Free</t>
  </si>
  <si>
    <t>B08C9MWZD9</t>
  </si>
  <si>
    <t>Pure Methylated Multivitamin for Men 240 Capsules</t>
  </si>
  <si>
    <t>B0F8FX9SXY</t>
  </si>
  <si>
    <t>11月連續跑deal，12月有改ITK到multivitamin，KW跑中部詞</t>
  </si>
  <si>
    <t>Pure Organic Stevia Powder, 4 Ounces, 706 Serving, Highest Grade Stevia Green Leaf Extract Reb-A, Reduced Bitter Aftertaste, 0 Calorie, Natural Sweetener, Sugar Alternative, Keto Friendly</t>
  </si>
  <si>
    <t>B01DPW5GRG</t>
  </si>
  <si>
    <t>Micro Ingredients Evening Primrose Oil 1300mg Perserving, 240 Softgels | Enhanced with 40mg Black Cohosh Extract, Cold Pressed – 10% Active GLA, Non-GMO, No Gluten, Easy to Swallow</t>
  </si>
  <si>
    <t>B01DPW5LR6</t>
  </si>
  <si>
    <t xml:space="preserve">Pure L-Lysine 2000mg </t>
  </si>
  <si>
    <t>B0DVM9M4DS</t>
  </si>
  <si>
    <t>Organic Celery Juice Powder, 20 Ounce (1.25 Pound), 71 Serving, Celery Detox and Cold Pressed, Boosts Immune System, Energy and Supports Gut Health, Rich in Immune Vitamin C and Minerals, Vegan</t>
  </si>
  <si>
    <t>B0846SDQZG</t>
  </si>
  <si>
    <t>Micro Ingredients Organic Chlorella Powder, 20 Ounces | Broken Cell Wall for Complete Absorption | Raw Superfood Supplement, Rich in Protein &amp; Vitamins | Non-GMO, Vegan, Non-Irradiated</t>
  </si>
  <si>
    <t>B01NCTZSPF</t>
  </si>
  <si>
    <t>Vitamin D3 1,000 iu Plus K2 (MK-7) 25 mcg, 300 Virgin Coconut Oil Softgels</t>
  </si>
  <si>
    <t>B0CVTRSWQ1</t>
  </si>
  <si>
    <t>Women’s Probiotics 40 strains 100 bullion CFU</t>
  </si>
  <si>
    <t>B0DW1K3367</t>
  </si>
  <si>
    <t xml:space="preserve">Selenium 200mcg with coconut oil 500 count </t>
  </si>
  <si>
    <t>B0F3GKVDHY</t>
  </si>
  <si>
    <t>Vitamin B12 1000mcg</t>
  </si>
  <si>
    <t>B0DK64ZGK4</t>
  </si>
  <si>
    <t>Goat Milk Powder 1lb</t>
  </si>
  <si>
    <t>B0D2S64JP2</t>
  </si>
  <si>
    <t>Pure Liposomal NAD+ 9000mg for women</t>
  </si>
  <si>
    <t>B0F8FP7F8T</t>
  </si>
  <si>
    <t>Multi-Collagen Powder Chocolate Flavor 2lb</t>
  </si>
  <si>
    <t>B0D68JXS1L</t>
  </si>
  <si>
    <t>Alpha Lipoic Acid (ALA) 600mg</t>
  </si>
  <si>
    <t>B0DVMNZ1HR</t>
  </si>
  <si>
    <t>Organic Turmeric Powder 5lb</t>
  </si>
  <si>
    <t>B0DGYLR7W1</t>
  </si>
  <si>
    <t xml:space="preserve">Milk Thistle 6000mg with Grape Seed Oil softgels 360 count </t>
  </si>
  <si>
    <t>B0F5S4X7L6</t>
  </si>
  <si>
    <t>Monk Fruit Sweetener with Allulose, 2 lbs | No Erythritol | No Aftertaste, 1:1 White Sugar Substitute, Keto &amp; Vegan Friendly, Zero Calorie | Great for Drinks, Coffee, Tea, Cookies | Non-GMO</t>
  </si>
  <si>
    <t>B0BR4N7C2F</t>
  </si>
  <si>
    <t>L Methylfolate 15mg with B6 Plus Methyl B12</t>
  </si>
  <si>
    <t>B0F5S1V6ZQ</t>
  </si>
  <si>
    <t>11月BFCM，KW詞之前很多都出在b6上，12月改title沒有提到b9加上5mthf放太後面，加了brand purchaser，主要跑methylfolate/5mthf相關詞, 一月權重往上走</t>
  </si>
  <si>
    <t xml:space="preserve">Hyaluronic Acid Powder 50g </t>
  </si>
  <si>
    <t>B0F3BH66BZ</t>
  </si>
  <si>
    <t>Sustainably US Grown, Organic Cranberry Juice Powder (Wild Cranberry Supplements Cold Pressed), 8 Ounce, Enhance Urinary Tract Cleanse &amp; Prostate Health, Water Soluble and Pet Friendly</t>
  </si>
  <si>
    <t>B07G3L5SX7</t>
  </si>
  <si>
    <t>Vitamin K Complex with coconut oil softgels</t>
  </si>
  <si>
    <t>B0C9PNMGR3</t>
  </si>
  <si>
    <t>Tart Cherry+ with Black Seed Oil Softgels 300 count </t>
  </si>
  <si>
    <t>B0FJ4DSJ36</t>
  </si>
  <si>
    <t>產品溢價也賣得好，AUTO出很多在自家產品上，12月PT加brand purchaser 20%給預算到80降TOP，KW主要跑capsules/chery+mg相關詞juice不跑</t>
  </si>
  <si>
    <t xml:space="preserve">Multi-Collagen Peptides Powder 8oz </t>
  </si>
  <si>
    <t>B0D2S5S6D7</t>
  </si>
  <si>
    <t>Fiber Gummies 6g with Probiotics Peach Cherry Flavor Gummies 120 count </t>
  </si>
  <si>
    <t>B0FKD3M8QQ</t>
  </si>
  <si>
    <t>US Origin Potassium Citrate Powder, 1 KG (35 Ounce), Essential Electrolyte Supplement, Supports Mineral Balance, Heart Health and Immune System, Vegan Friendly</t>
  </si>
  <si>
    <t>B01KFALQ34</t>
  </si>
  <si>
    <t>Potassium Chloride Powder, 1 Kg (2.2 Pounds), Salt Substitute &amp; Electrolyte Powder, Pure Potassium Chloride Supplement, Essential Mineral, Filler Free and Dissolve Easily</t>
  </si>
  <si>
    <t>B07T1LZ4D2</t>
  </si>
  <si>
    <t xml:space="preserve">Vitality Fiber Prebiotic Powder 1lb </t>
  </si>
  <si>
    <t>B0DK69WWNQ</t>
  </si>
  <si>
    <t>Vitamin D3 5000IU with coconut oil</t>
  </si>
  <si>
    <t>B0DGRWCTN8</t>
  </si>
  <si>
    <t xml:space="preserve">Resveratrol Complex 3000mg </t>
  </si>
  <si>
    <t>B0DVMN2XB5</t>
  </si>
  <si>
    <t xml:space="preserve">Sport Electrolytes Powder Pineapple (Pina Colada) Flavor 2lb </t>
  </si>
  <si>
    <t>B0FGL1QZJF</t>
  </si>
  <si>
    <t>合併賣之後4.2/65，比較多出在MI電解質上</t>
  </si>
  <si>
    <t xml:space="preserve">Organic Ceremonial Matcha Powder 100g </t>
  </si>
  <si>
    <t>B0F3GD9TWT</t>
  </si>
  <si>
    <t>Micro Ingredients Pure Vitamin C Crystal Powder (Water Soluble Vitamin C 1000mg Per Serving), 1 KG (2.2 Pounds), Immune Vitamins and Strong Antioxidant, Pure Ascorbic Acid Powder Supplement</t>
  </si>
  <si>
    <t>B01HFOJBG2</t>
  </si>
  <si>
    <t>Organic Spirulina Powder 2lb</t>
  </si>
  <si>
    <t>B0F3G992L6</t>
  </si>
  <si>
    <t>Micro Ingredients Organic Chaga Mushroom Extract 100:1 Powder, 6 Ounce | Sustainably Maine Grown, Wild Harvest, Chaga Tea, Superfood for Beverage and Smoothie, Vegan Friendly</t>
  </si>
  <si>
    <t>B07CY1LGVZ</t>
  </si>
  <si>
    <t>DIM+ 400mg with Pumpkin Seed Oil Softgels 240 count </t>
  </si>
  <si>
    <t>B0FJ4FHNHZ</t>
  </si>
  <si>
    <t>Agar Agar Powder, 1lb | Vegan Substitute for Beef Gelatin, Unflavored Thickening Agent, Plant Based Red Algae | Great for Desserts or Baked Plates | Non-GMO, Sugar Free</t>
  </si>
  <si>
    <t>B0C35H321V</t>
  </si>
  <si>
    <t>BFCM之后卖断货了</t>
  </si>
  <si>
    <t>Organic 10 in 1 Ground Mushroom Coffee Powder, 24 Ounce | Premium Arabica Coffee with Lion’s Mane, Chaga, Reishi, &amp; More | Smooth Medium Roast, Clean Energy, &amp; Immune Support</t>
  </si>
  <si>
    <t>B0C9PNDL22</t>
  </si>
  <si>
    <t>Micro Ingredients Sustainably US Grown, Organic Reishi Mushroom Powder, 8 Ounce, Pure Reishi Supplement 100:1 Extract (Reishi Mushroom)</t>
  </si>
  <si>
    <t>B01JNNAQVW</t>
  </si>
  <si>
    <t>Supreme Omega-3 rTG Fish Oil 1300mg, 120 softgels</t>
  </si>
  <si>
    <t>B0FN669XZP</t>
  </si>
  <si>
    <t xml:space="preserve">TUDCA 2000mg Complex capsules 240 count </t>
  </si>
  <si>
    <t>B0F4HH894D</t>
  </si>
  <si>
    <t xml:space="preserve">Organic Beet Root Powder 2lb </t>
  </si>
  <si>
    <t>B0FH1HDTF1</t>
  </si>
  <si>
    <t>Pure Trans-Resveratrol Powder with Natural Vitamin E, 5 Ounce, 2 in 1 Formula, Micronized Powder for Better Absorption, Premium Resveratrol Supplement, Super Antioxidant, Vegan Friendly</t>
  </si>
  <si>
    <t>B0812F3JGG</t>
  </si>
  <si>
    <t>Apple Cider Vinegar Capsules</t>
  </si>
  <si>
    <t>B0DX4GZDW9</t>
  </si>
  <si>
    <t>Hair Vitamins Complex, 120 Capsules</t>
  </si>
  <si>
    <t>B0CVTRS7KJ</t>
  </si>
  <si>
    <t>Omega-3 Fish Oil 1200mg</t>
  </si>
  <si>
    <t>B0DGRNC1VW</t>
  </si>
  <si>
    <t>11月除$14.99跑了deal</t>
  </si>
  <si>
    <t>Biotin 5000mcg with coconut oil</t>
  </si>
  <si>
    <t>B0DK64NZS8</t>
  </si>
  <si>
    <t xml:space="preserve">Pure Methylated Multivitamin 2pk </t>
  </si>
  <si>
    <t>B0FMBGZZM1</t>
  </si>
  <si>
    <t>Maximum Strength Organic Pure Horny Goat Weed with Active Icariins for Men and Women, 100 Grams, Organic Epimedium Powder for Energy and Immune System Booster, Filler Free and Vegan Friendly</t>
  </si>
  <si>
    <t>B01L2TGSVM</t>
  </si>
  <si>
    <t>2 Pack Vitamin D3 5000IU Plus K2, 2 in 1 Formula, Vitamin D3 Liquid with Vitamin K2, 300 Soft-Gels, Immune Vitamin Complex with Virgin Sunflower Seed Oil, Support Your Heart, Teeth &amp; Joint Health</t>
  </si>
  <si>
    <t>B07VF2S2LC</t>
  </si>
  <si>
    <t>Hyaluronic Acid Serum Powder, High Molecular Weight, Cosmetics Grade, 30 Gram, Support Hydration and Moisture, Water Soluble (Within 2 Hours), Vegan Friendly</t>
  </si>
  <si>
    <t>B01DPW5C5W</t>
  </si>
  <si>
    <t>R Alpha Lipoic Acid 600mg 120 Softgels</t>
  </si>
  <si>
    <t>B0F5LP6MH6</t>
  </si>
  <si>
    <t>Micro Ingredients Organic Papaya Fruit Powder, 8 Ounce, Freeze Dried, Naturally Rich in Papaya Enzyme, Supports Antioxidant and Digestive Function, No GMOs &amp; Vegan Friendly</t>
  </si>
  <si>
    <t>B07NY5GKYG</t>
  </si>
  <si>
    <t>Magnesium Glycinate 350mg</t>
  </si>
  <si>
    <t>B0DWDHJZ4T</t>
  </si>
  <si>
    <t>Micro Ingredients Sustainably US Grown, Organic Dandelion Root Tea Powder, Pure Dandelion Supplement, 1 Pound (16 Ounce, 1 Year Supply)</t>
  </si>
  <si>
    <t>B079MTDMK8</t>
  </si>
  <si>
    <t xml:space="preserve">Super Enzymes+ with Prebiotics + Probiotics vegetarian capsules 240 count </t>
  </si>
  <si>
    <t>B0DX44RL58</t>
  </si>
  <si>
    <t>Pure Magnesium Citrate 500mg with Vitamin C</t>
  </si>
  <si>
    <t>B0DLLJ7HTQ</t>
  </si>
  <si>
    <t>Organic Arrowroot Powder, 5lbs | Food Grade, All Purpose Flour, Corn Starch Substitute</t>
  </si>
  <si>
    <t>B0CLFXD4XS</t>
  </si>
  <si>
    <t>Indian Healing Clay Powder 2lb</t>
  </si>
  <si>
    <t>B0DDWH3NNX</t>
  </si>
  <si>
    <t>Mega Mushroom 10-in-1 with MCT Oil Softgels 240 count </t>
  </si>
  <si>
    <t>B0FJ3ZQ1C7</t>
  </si>
  <si>
    <t>Organic Dried Red Raspberry Leaf, 2lbs | Raw from Germany, Cut &amp; Sifted Whole Leaves | Makes Traditional Herbal Tea | Great for Refilling Tea Bags | Non-GMO, Vegan, Gluten Free</t>
  </si>
  <si>
    <t>B07YQBYZ75</t>
  </si>
  <si>
    <t>Magnesium Oxide 400mg</t>
  </si>
  <si>
    <t>B0DDWD83GF</t>
  </si>
  <si>
    <t xml:space="preserve">Bromelain 500mg with Quercetin &amp; MCT Oil </t>
  </si>
  <si>
    <t>B0F5M2HRX9</t>
  </si>
  <si>
    <t>Organic Freeze-Dried Dragon Fruit Powder (Pink Pitaya/Pitahaya), 10 Ounce, Perfect for Shakes, Baking &amp; Smoothie, Non-GMO, No Gluten, Vegan Friendly</t>
  </si>
  <si>
    <t>B07P4M1YGN</t>
  </si>
  <si>
    <t>Organic Black Seed Oil Bottle 16 fl oz (473mL)</t>
  </si>
  <si>
    <t>B0CVR6MX33</t>
  </si>
  <si>
    <t xml:space="preserve">Organic Spirulina Chlorella Mixed Mini-Tablets 2500 count </t>
  </si>
  <si>
    <t>B0F3GG32FF</t>
  </si>
  <si>
    <t xml:space="preserve">Vitamin B1 500mg with Benfotiamine with MCT Oil Softgels 240 counts </t>
  </si>
  <si>
    <t>B0F5M8Z61H</t>
  </si>
  <si>
    <t>11月BFCM+漲價，KW之前部分詞出在附成分benfotiamine+五詞缺乏主要成分b1/theanine詞，12月改五詞跟title把theanine擺前面一點，跑b1/theanine相關詞找占比</t>
  </si>
  <si>
    <t xml:space="preserve">Organic Whole Psyllium Husks Powder 3lb </t>
  </si>
  <si>
    <t>B0DS6MHM6Z</t>
  </si>
  <si>
    <t>Chlorophyll Complex 2000mg 240 Veg Caps</t>
  </si>
  <si>
    <t>B0DX44D7FF</t>
  </si>
  <si>
    <t>Micro Ingredients Organic Barley Grass Juice Powder, 10 Ounce, Cold Pressed, US Grown, Rich in Immune Vitamin, Fibers, Minerals, Antioxidants and Protein, Support Immune System and Digestion, Vegan</t>
  </si>
  <si>
    <t>B01MT7T5XX</t>
  </si>
  <si>
    <t xml:space="preserve">Organic Butterfly Pea Flowers, 8oz </t>
  </si>
  <si>
    <t>B0CLFQJ9V2</t>
  </si>
  <si>
    <t>Organic Tomato Powder 2lb</t>
  </si>
  <si>
    <t>B0CLFZXMRB</t>
  </si>
  <si>
    <t>Organic Daily Prebiotic Dietary Fiber Supplement Powder, (Inulin Fiber from Chicory Root), 10 Ounce, Highly Promote Intestinal Colon, Gut Health and Digestive Function, Vegan Friendly</t>
  </si>
  <si>
    <t>B07P3GKXKK</t>
  </si>
  <si>
    <t xml:space="preserve">Pure Methylated Prenatal Vitamins for Women 240 Veggie Capsules </t>
  </si>
  <si>
    <t>B0F8FYNB8X</t>
  </si>
  <si>
    <t xml:space="preserve">Sport Electrolytes Powder Berry Punch Flavor 2lb </t>
  </si>
  <si>
    <t>B0FGKCLXQ4</t>
  </si>
  <si>
    <t>合併4.1/57，也是出比較多在MI電解質，PT加了category</t>
  </si>
  <si>
    <t>Pure Saffron Extract 88.5mg</t>
  </si>
  <si>
    <t>B0DWDGKDMC</t>
  </si>
  <si>
    <t>Micro Ingredients Sustainably US Grown, Organic Wheat Grass Powder (100% Whole-Leaf), 16 Ounce, Rich in Immune Vitamins, Fibers and Minerals, Support Digestion Function, Vegan Friendly</t>
  </si>
  <si>
    <t>B01NH4ZI46</t>
  </si>
  <si>
    <t>Smoked Paprika Powder, 4lbs | Spanish Origin, Fine Ground, Oak Wood Smoked, Raw Sweet &amp; Spicy Flavor | Spice Rack Seasoning | Great for Chicken, Steak, or Vegetables | Additive Free, Non-GMO</t>
  </si>
  <si>
    <t>B0CLFZ81GG</t>
  </si>
  <si>
    <t>Magnesium Glycinate Powder 12oz</t>
  </si>
  <si>
    <t>B0DG3QT3M2</t>
  </si>
  <si>
    <t>Lions Mane Capsules</t>
  </si>
  <si>
    <t>B0D68FCQVT</t>
  </si>
  <si>
    <t>Pure Potassium Magnesium with Vitamin C</t>
  </si>
  <si>
    <t>B0DLLLB5TL</t>
  </si>
  <si>
    <t>Organic Barley Grass Powder, 16 Ounces | US Grown | Rich in Vitamins, Minerals, Fibers, &amp; Antioxidants | Superfood Greens Mix for Immune Health and Digestion Support | Non-GMO</t>
  </si>
  <si>
    <t>B01NCTM200</t>
  </si>
  <si>
    <t>Pure Organic Stevia Powder, 1lb</t>
  </si>
  <si>
    <t>B0D2LYMLJT</t>
  </si>
  <si>
    <t>Micro Ingredients Ground Cayenne Pepper Powder Bulk, 6 Pounds - 60,000 Heat Units, Spicy and Filler Free, Garden Protection from Wildlife, No Gluten, No GMOs, Vegan Friendly</t>
  </si>
  <si>
    <t>B08TB8F5LL</t>
  </si>
  <si>
    <t>Organic French Chicory Root, 2lbs | Roasted Chicory Granule for Chicory Coffee | Brews like Regular Coffee | Caffeine Free Coffee Substitute | Rich in Prebiotic Fiber | Non-GMO</t>
  </si>
  <si>
    <t>B0CG7VSS1Z</t>
  </si>
  <si>
    <t>Magnesium Glycinate 1500mg</t>
  </si>
  <si>
    <t>B0DWCQGFWP</t>
  </si>
  <si>
    <t>MiracleMag Magnesium Supplement, 2lbs</t>
  </si>
  <si>
    <t>B0CVT7ZLLH</t>
  </si>
  <si>
    <t>2 Pack Micro Ingredients Organic Lemon Juice Powder, 10 Ounce, Rich in Natural Vitamin C (Immune Vitamins) for Immune System, Great Flavor for Drinks, Smoothie &amp; Beverages, Vegan</t>
  </si>
  <si>
    <t>B07XGDGNH9</t>
  </si>
  <si>
    <t>Pure L-Theanine Powder, 100 Grams (1 Year Supply), Filler Free, No GMOs and Vegan Friendly</t>
  </si>
  <si>
    <t>B01DPW5F5O</t>
  </si>
  <si>
    <t>Micro Ingredients Red Panax Ginseng 1200mg Per Serving, 200 Softgels | High Potency Korean Ginseng Extract with Active Ginsenosides, Non-GMO &amp; No Gluten</t>
  </si>
  <si>
    <t>B07S17DJS3</t>
  </si>
  <si>
    <t>Pure Allulose Sweetener Sachets 300 ct</t>
  </si>
  <si>
    <t>B0F7NBHZ52</t>
  </si>
  <si>
    <t>11月有做BFCM+漲價，之後銷量有減少，給PT預算到50主要跑packets相關競品</t>
  </si>
  <si>
    <t>L-Theanine 400mg 400 Softgels</t>
  </si>
  <si>
    <t>B0F5S2PCLD</t>
  </si>
  <si>
    <t>Micro Ingredients 2 Pack Liver Detox, 480 Capsules</t>
  </si>
  <si>
    <t>B0FMBVXBNV</t>
  </si>
  <si>
    <t xml:space="preserve">Mega Omega-3 Krill &amp; Fish Oil 2000mg (350mg EPA + 230mg DHA) Complex Softgels 240 count </t>
  </si>
  <si>
    <t>B0F4HPY7D5</t>
  </si>
  <si>
    <t>Micro Ingredients Organic Chlorella Powder, 10 Ounce, Broken Cell Wall, Rich in Vegan Proteins &amp; Vitamins, Raw, Bulk Premium Chlorella Supplement, Vegan Friendly, Non-Irradiation</t>
  </si>
  <si>
    <t>B01L2TGOEI</t>
  </si>
  <si>
    <t xml:space="preserve">Melatonin 10mg tablets strawberry flavor 400 count </t>
  </si>
  <si>
    <t>B0DX4D8Q84</t>
  </si>
  <si>
    <t>Sport Electrolytes Powder Watermelon Lime Flavor 2lb</t>
  </si>
  <si>
    <t>B0FGKXX19D</t>
  </si>
  <si>
    <t xml:space="preserve">Vitamin D3K2 5000IU Golden Passion Fruit Flavor Gummies 120 count </t>
  </si>
  <si>
    <t>B0DS6MBN7J</t>
  </si>
  <si>
    <t xml:space="preserve">Niacin (Vitamin B3) 500mg capsules 400 count </t>
  </si>
  <si>
    <t>B0DLLJLMKD</t>
  </si>
  <si>
    <t xml:space="preserve">Sport Electrolytes Powder Passionfruit and Citrus Flavor 2lb </t>
  </si>
  <si>
    <t>B0FGL1SQML</t>
  </si>
  <si>
    <t xml:space="preserve">Oregano Oil with Black Seed Oil Drop 4 fl oz (118mL) </t>
  </si>
  <si>
    <t>B0DS6MGRHD</t>
  </si>
  <si>
    <t>Vitamin D3 10,000IU Softgels 400 counts</t>
  </si>
  <si>
    <t>B0DK67ZTSP</t>
  </si>
  <si>
    <t>Psyllium Husk 3000mg veg caps</t>
  </si>
  <si>
    <t>B0DWDVSHZW</t>
  </si>
  <si>
    <t>L-Arginine 1000mg with MCT Oil softgels 300 count </t>
  </si>
  <si>
    <t>B0FJ3P7PJ4</t>
  </si>
  <si>
    <t>Pure Myo &amp; D-Chiro Inositol 2050mg caps</t>
  </si>
  <si>
    <t>B0F4HQ6C1C</t>
  </si>
  <si>
    <t>DIM Active Supplement, DIM 300mg, 240 Veggie Capsules (8-Month Supply), 2 in 1 Formula, Estrogen Metabolism, Premium DIM-Plus Broccoli Extract Supplement With Black Pepper for Better Absorption</t>
  </si>
  <si>
    <t>B08MX153BT</t>
  </si>
  <si>
    <t>Magnesium Glycinate 400mg</t>
  </si>
  <si>
    <t>B0DGRNP1ZL</t>
  </si>
  <si>
    <t>Sunflower Lecithin 1,600mg Per Serving, 300 Softgels</t>
  </si>
  <si>
    <t>B0CVTMQBGR</t>
  </si>
  <si>
    <t xml:space="preserve">5-HTP+ 300mg with Hemp Seed Oil Softgels 240 count </t>
  </si>
  <si>
    <t>B0FJ477YCV</t>
  </si>
  <si>
    <t>Brewers Yeast Powder for Lactation, 3lbs</t>
  </si>
  <si>
    <t>B0CLFRYPPT</t>
  </si>
  <si>
    <t xml:space="preserve">Vitamin E 400IU Softgels 300 count </t>
  </si>
  <si>
    <t>B0F3G6VH73</t>
  </si>
  <si>
    <t xml:space="preserve">Krill Oil 2000mg Softgels 120 count </t>
  </si>
  <si>
    <t>B0FGFQKC2T</t>
  </si>
  <si>
    <t xml:space="preserve">Maca Root Complex 5000mg </t>
  </si>
  <si>
    <t>B0DW1M7VQK</t>
  </si>
  <si>
    <t>Psyllium Husk 500mg capsules 500 count</t>
  </si>
  <si>
    <t>B0DF425DGX</t>
  </si>
  <si>
    <t>Red Yeast Rice 1200mg with CoQ10 100mg 240 Veggie Capsules</t>
  </si>
  <si>
    <t>B0F7NQ81NX</t>
  </si>
  <si>
    <t>Glutathione reduced 1000mg</t>
  </si>
  <si>
    <t>B0DWD6PXP2</t>
  </si>
  <si>
    <t>Glutathione Supplement, Pure Glutathione Reduced Powder with Inositol, 5 Ounce (9 Months Supply), 2 in 1 Formula, Powerful Ingredients for Antioxidants, Supports Liver Function, Vegan</t>
  </si>
  <si>
    <t>B0812D49XG</t>
  </si>
  <si>
    <t>2pack Pumpkin Seed Oil with Saw Palmetto 300 Softgels</t>
  </si>
  <si>
    <t>B0G1641C8X</t>
  </si>
  <si>
    <t>Vitamin B2 Riboflavin 400mg</t>
  </si>
  <si>
    <t>B0F5M2GGC3</t>
  </si>
  <si>
    <t xml:space="preserve">Instant Whey Protein Powder 2lb </t>
  </si>
  <si>
    <t>B0FJ4KZL8M</t>
  </si>
  <si>
    <t>11月BFCM deal效果很好最多可以賣到130+，跑完之後沒貨12月都在等，現在重新提廣告力度合格內正常跑</t>
  </si>
  <si>
    <t>Micro Ingredients Maximum Strength Vitamin A 25000 IU | 500 Softgels with Coconut Oil for Better Absorption | Essential Vitamins for Vision, Growth, &amp; Reproduction | Non-GMO, Easy to Swallow</t>
  </si>
  <si>
    <t>B087DVF12V</t>
  </si>
  <si>
    <t>L-Arginine1600mg + L-Citrulline 800mg bisected tablets 240 count </t>
  </si>
  <si>
    <t>B0DWD26MMF</t>
  </si>
  <si>
    <t xml:space="preserve">NMN 200mg vegetarian capsules 120 count </t>
  </si>
  <si>
    <t>B0FV26F161</t>
  </si>
  <si>
    <t>Organic Sunflower Seeds (Kernels) 4lb</t>
  </si>
  <si>
    <t>B0CLFLQ8DJ</t>
  </si>
  <si>
    <t>11月前期有做deal，頭部低價競品多，廣告主要跑KW中部詞</t>
  </si>
  <si>
    <t>Cranbery 400mg Vitamin C &amp; MCT 300 Softgel</t>
  </si>
  <si>
    <t>B0F5RKBCJJ</t>
  </si>
  <si>
    <t>Organic Collagen Peptides Powder 12oz</t>
  </si>
  <si>
    <t>B0D3SH3DVW</t>
  </si>
  <si>
    <t>Lutein &amp; Zeaxanthin 20mg Softgels, 400 Coun</t>
  </si>
  <si>
    <t>B0CVTTDTP9</t>
  </si>
  <si>
    <t>Organic Bamboo Fiber Powder, 2lbs</t>
  </si>
  <si>
    <t>B0CVTJKVFQ</t>
  </si>
  <si>
    <t>Lions Mane+ with MCT Oil Softgels 240 count </t>
  </si>
  <si>
    <t>B0FJ46RC8P</t>
  </si>
  <si>
    <t>Tongkat Ali+ for men with MCT Oil Softgels 240 count </t>
  </si>
  <si>
    <t>B0FJ44M36M</t>
  </si>
  <si>
    <t>Myo + D-Chiro Inositol Blend Powder 2lb</t>
  </si>
  <si>
    <t>B0F1QXFLBK</t>
  </si>
  <si>
    <t>Vitamin D3 2000IU with coconut oil softgels</t>
  </si>
  <si>
    <t>B0DS6L2MFW</t>
  </si>
  <si>
    <t>Hair Vitamins Complex 240 capsules</t>
  </si>
  <si>
    <t>B0DLDXLQ4B</t>
  </si>
  <si>
    <t xml:space="preserve">Pure KSM-66 Ashwagandha 1000mg vegetarian capsules 120 count </t>
  </si>
  <si>
    <t>B0F7NM5CXF</t>
  </si>
  <si>
    <t>Organic Dandelion Root Powder 8oz</t>
  </si>
  <si>
    <t>B0D2S4DZ7L</t>
  </si>
  <si>
    <t>Stevia Sweetener Powder with Plant-based Erythritol, 4 Pounds (64 Ounces) | Keto, 0 Calorie, Low Carb, 4:1 Sugar Substitute, Natural Sweetener, Bitterless, Reb-A Stevia Leaf Extract, Non-GMO, Vegan</t>
  </si>
  <si>
    <t>B09NQXJHYQ</t>
  </si>
  <si>
    <t>Magnesium Citrate 400mg with Vitamin D3 1000IU &amp; B6, 240 Capsules | Elemental Mineral &amp; Vitamins Complex | Combats Constipation, Supports Muscle, Heart, &amp; Bone Health – Non-GMO</t>
  </si>
  <si>
    <t>B087F7DTR7</t>
  </si>
  <si>
    <t>North America Grown, Organic Pea Protein Powder, 1KG (2.2 Pounds), Plant-Based Vegan Protein Organic, Rich in Branched Chain Amino Acids, Flavonoids and Minerals, No GMOs &amp; Vegan Friendly</t>
  </si>
  <si>
    <t>B01DWUEQ7C</t>
  </si>
  <si>
    <t>Grape Seed Extract 36000mg with Resveratrol</t>
  </si>
  <si>
    <t>B0DX3W24CJ</t>
  </si>
  <si>
    <t xml:space="preserve">Organic Castor Oil 32 fl oz </t>
  </si>
  <si>
    <t>B0CVRWSVRY</t>
  </si>
  <si>
    <t>11月BFCM降價$9賣60+之後iherb漲價，organic castor oil主詞競爭激烈頭部評論都過萬，cold pressed還有切入的空間，12月調整title跟五詞重新定位讓廣告可以往cold pressed相對沒那麼競爭的地方跑</t>
  </si>
  <si>
    <t>L Tyrosine Supplement 500mg with Omega-3</t>
  </si>
  <si>
    <t>B0F5S28X8S</t>
  </si>
  <si>
    <t>Organic Goji Powder, Freeze Dried Goji Berry Powder, 1 Pound (16 Ounce), Sulfate Free, Pure Goji Supplement, Natural Booster for Energy, Eye Health, and Super Immune Vitamin C for Antioxidant, Non-GMO</t>
  </si>
  <si>
    <t>B06XKJQVZ8</t>
  </si>
  <si>
    <t>Micro Ingredients Riboflavin Vitamin B2, 400mg Per Serving, 180 Mini Tablets, Premium Vitamin B2 400mg Riboflavin Supplements, Easy to Swallow, Non-GMO</t>
  </si>
  <si>
    <t>B08C7BCJPM</t>
  </si>
  <si>
    <t xml:space="preserve">Green Tea 9000mg capsules 300 count </t>
  </si>
  <si>
    <t>B0DVMFPFJ1</t>
  </si>
  <si>
    <t>Creatine Monohydrate 5000mg Gummies Strawberry Raspberry Flavor, 120 count</t>
  </si>
  <si>
    <t>B0DS6KG42Q</t>
  </si>
  <si>
    <t>Electrolyte tablets tubes 40 tablets</t>
  </si>
  <si>
    <t>B0DK68J877</t>
  </si>
  <si>
    <t>Melatonin Gummies 20mg</t>
  </si>
  <si>
    <t>B0F7NYGQ58</t>
  </si>
  <si>
    <t>Blood Booster 60 Capsules</t>
  </si>
  <si>
    <t>B0F8XQDMXS</t>
  </si>
  <si>
    <t xml:space="preserve">Organic Butterfly Pea Powder 8oz </t>
  </si>
  <si>
    <t>B0D3ST21FG</t>
  </si>
  <si>
    <t xml:space="preserve">HMB 1000mg with coconut oil softgels 240 count </t>
  </si>
  <si>
    <t>B0F5M5HXC3</t>
  </si>
  <si>
    <t xml:space="preserve">Krill Oil 1000mg Softgels 150 count </t>
  </si>
  <si>
    <t>B0FGFNMVJ3</t>
  </si>
  <si>
    <t xml:space="preserve">Liposomal Vitamin C 1000mg 40 packets </t>
  </si>
  <si>
    <t>B0F3GDQTLS</t>
  </si>
  <si>
    <t>Matcha Latte with Allulose 2lb </t>
  </si>
  <si>
    <t>B0FGFQD1Q8</t>
  </si>
  <si>
    <t xml:space="preserve">Pure Methylated B Complex 2 Pack </t>
  </si>
  <si>
    <t>B0FMC1W6ZH</t>
  </si>
  <si>
    <t>Organic Dried Lavender Flowers, 2lbs | Raw from France, Extra Grade Loose Lavender Buds | Great for Herbal Tea or Culinary Baking | Rich in Antioxidants &amp; Essential Oil | Non-GMO</t>
  </si>
  <si>
    <t>B07YQCX5WR</t>
  </si>
  <si>
    <t>Flaxseed Oil 1400mg Softgels, 300 Counts | w/ 700mg ALA Omega 3, Cold Pressed, Rich in Fatty Acids, Alpha Linolenic Acid, Support Heart Health &amp; Immune System | Non-GMO, No Gluten - 300 Servings</t>
  </si>
  <si>
    <t>B01DPW5TXW</t>
  </si>
  <si>
    <t>Sustainably US Grown, Organic Cordyceps Mushroom Extract Powder 100:1 | 6 Ounce, 30% Polysaccharides and Cordycepic Acid, From Fruit Body and Mycelium, Supports Energy &amp; Immune Health</t>
  </si>
  <si>
    <t>B074WL37DN</t>
  </si>
  <si>
    <t>Micro Ingredients Organic Pineapple Powder, 8 Ounce, Freeze Dried, Rich in Bromelain and Immune Vitamin C for Immune System Booster, Great Flavor for Drinks, Baking and Cooking, Non-GMO</t>
  </si>
  <si>
    <t>B07W9B5K1R</t>
  </si>
  <si>
    <t>Magnesium Glycinate 400mg Gummies Grape Blueberry Flavor, 120 count</t>
  </si>
  <si>
    <t>B0F7NR5HSH</t>
  </si>
  <si>
    <t>Turmeric Ginger Peach Mango Flavor Gummies</t>
  </si>
  <si>
    <t>B0FXBQDB38</t>
  </si>
  <si>
    <t>relaunch之後評論還是很差3.8/4說口感差難吃，9.99賣已關閉廣告銷量沒受到影響</t>
  </si>
  <si>
    <t>Pure D Ribose Powder, 1 KG (2.2 Pound and 200 Servings), Natural Simple Sugar, Dissolves Clear, Pharmaceutical Grade, Filler Free, No GMOs, No Gluten. and Water Soluble</t>
  </si>
  <si>
    <t>B01JNFGDUI</t>
  </si>
  <si>
    <t>Golden Monk Fruit Sweetener with Erythritol, 4 Pounds - No After Taste - Brown Sugar Substitute, Keto Diet Friendly, Zero Calorie, Natural Sweetener for Drinks, Coffee, Tea, Cookies, No-GMO, Vegan</t>
  </si>
  <si>
    <t>B0BCN5XPBX</t>
  </si>
  <si>
    <t>KSM-66 Ashwagandha Gummies</t>
  </si>
  <si>
    <t>B0F3B3Y86P</t>
  </si>
  <si>
    <t>Folic Acid 1,000 mcg, 500 Coconut Oil Softgels (1mg) | Essential Prenatal Vitamins (Vitamin B9) | 1,667 mcg DFE | Third Party Tested, No Artificial Colors or Flavors | Non-GMO, Gluten Free</t>
  </si>
  <si>
    <t>B087F3WYNW</t>
  </si>
  <si>
    <t>NAD+ with resveratrol</t>
  </si>
  <si>
    <t>B0DS6NNCP9</t>
  </si>
  <si>
    <t>Micro Ingredients Organic Marshmallow Root Powder, 8 Ounce, Filler Free and Traditionally Used, Supports Digestive Gastrointestinal Health, Non-Irradiated and No GMOs, Vegan Friendly</t>
  </si>
  <si>
    <t>B074WLN3WN</t>
  </si>
  <si>
    <t>Micro Ingredients Tongkat Ali Extract 200:1 (Longjack) Powder, 100 Grams, Grown in Indonesia, 100% Pure Eurycoma Longifolia Root Extract, Bitter Taste - No Filler, No Additive, Non-GMO</t>
  </si>
  <si>
    <t>B01L2TFQHY</t>
  </si>
  <si>
    <t>Organic Freeze-Dried Acai Powder 8oz, Sustainably Grown in Brazilian Amazon, 100% Pure Berry Pulp, Raw, Bulk, No Filler, No additives, Great for Acai Bowls, Yogurt, Smoothies, and More</t>
  </si>
  <si>
    <t>B09TG36LYR</t>
  </si>
  <si>
    <t>Bariatric Multivitamin with 45mg Iron 240 Veggie Capsules</t>
  </si>
  <si>
    <t>B0F6H61S1J</t>
  </si>
  <si>
    <t>2 Pack of Pure USDA Organic Acerola Cherry Powder, Natural and Organic Vitamin C for Immune System, 8 Ounce, No GMO, No Gluten, Brazil Origin</t>
  </si>
  <si>
    <t>B01L2TGTK2</t>
  </si>
  <si>
    <t>Beef Gelatin Powder 1lb</t>
  </si>
  <si>
    <t>B0FGFNMT45</t>
  </si>
  <si>
    <t>Micro Ingredients Organic Bamboo Extract Powder, 8 Ounce (1 Year Supply), Rich in Silica and Minerals, Supports Healthy Skin, Nail, Hair, Joints and Bones, Non-GMO and Vegan Friendly</t>
  </si>
  <si>
    <t>B07CXK6M1G</t>
  </si>
  <si>
    <t>Organic Whole Yellow Mustard Seed, 4lbs</t>
  </si>
  <si>
    <t>B0CLFJ81NC</t>
  </si>
  <si>
    <t>Micro Ingredients Organic Tart Cherry Powder, 4 Ounce, Sustainably US Grown, Uric Acid Cleanse, Antioxidant and Flavonoids, Enhance Joint Health, Sleep Cycles &amp; Immune System</t>
  </si>
  <si>
    <t>B07G3KLNM7</t>
  </si>
  <si>
    <t>Calm Powder 1lb</t>
  </si>
  <si>
    <t>B0FH5PPJVM</t>
  </si>
  <si>
    <t>Kids Magnesium Calm Gummies</t>
  </si>
  <si>
    <t>B0FGKW135S</t>
  </si>
  <si>
    <t xml:space="preserve">Mega Mushroom with ashwagandha gummies raspberry and pomegranate flavor 120 count </t>
  </si>
  <si>
    <t>B0FGKJD22C</t>
  </si>
  <si>
    <t>Micro Ingredients Organic European Black Elderberry Juice Powder, 4 Ounce, Cold Pressed, Flash Pasteurized for Safety, Supports Immune System, Energy and Vascular Health, No GMOs, Vegan Friendly</t>
  </si>
  <si>
    <t>B07QTCDMBW</t>
  </si>
  <si>
    <t>Organic Schisandra Extract Powder, 8 Ounce, Traditional Adaptogen and Filler Free, Pure Schisandra Supplement, Supports Liver Detox and Cognitive Health, No GMOs</t>
  </si>
  <si>
    <t>B07GF4QLJJ</t>
  </si>
  <si>
    <t>Sustainably US Grown, Organic Saw Palmetto Powder, 4 Ounce, with Active Fatty Acid, Pure Saw Palmetto Prostate &amp; Hair Growth Supplement, Healthy Urination Frequency &amp; Hair Loss Blocker Supplement</t>
  </si>
  <si>
    <t>B07WLMT9FS</t>
  </si>
  <si>
    <t>Micro Ingredients Water Soluble COQ10 Supplement (COQ10 200mg Per Serving in Powder Form), 50 Grams (8 Months Supply), Extra Absorption, Support Heart Health and Energy Production, Vegan Friendly</t>
  </si>
  <si>
    <t>B07RH9L848</t>
  </si>
  <si>
    <t>Pure Quercetin Dihydrate Powder, Quercetin 500mg Per Serving, 100 Grams, Most Bioavailable Grade and Filler Free, Powerful Antioxidant Supports Energy, Immune System , No GMOs and Vegan</t>
  </si>
  <si>
    <t>B01DPW5IWY</t>
  </si>
  <si>
    <t>Sustainably US Grown, Kale Powder Organic, 1 Pound (454 Servings), Freeze Dried, Most Nutrient-Dense Food on the Planet, Green Superfood for Kale Tea and Kale Drink, No GMOs and Vegan Friendly</t>
  </si>
  <si>
    <t>B07L46RH6P</t>
  </si>
  <si>
    <t xml:space="preserve">Pure Rosemary Essential Oil 8 floz (237mL) </t>
  </si>
  <si>
    <t>B0FGFWPT83</t>
  </si>
  <si>
    <t>Double Strength Yohimbine Supplements for Men and Women, 10mg Per Serving, 300 Softgels, Yohimbine HCL with Virgin Sunflower Seed Oil for Better Absorption, Supports Energy Production, African Raw</t>
  </si>
  <si>
    <t>B08MX72C55</t>
  </si>
  <si>
    <t>Pure Lavender Essential Oil 8 floz (237mL)</t>
  </si>
  <si>
    <t>B0FGFPHB55</t>
  </si>
  <si>
    <t>Zinc Carnosine 75mg 10-in-1 vegetarian capsules 240 count</t>
  </si>
  <si>
    <t>B0FWJ1HC2H</t>
  </si>
  <si>
    <t>Pure Tea Tree Essential Oil 8 floz (237mL) </t>
  </si>
  <si>
    <t>B0FGFJT3RY</t>
  </si>
  <si>
    <t>Micro Ingredients Organic Triphala Powder, 2 Pounds (Amla + Haritaki + Bibhitaki) | India Origin, Herbal Adaptogen Supplement, Supports Colon &amp; Immune Health | Vegan, No GMOS</t>
  </si>
  <si>
    <t>B01L2U1RHG</t>
  </si>
  <si>
    <t xml:space="preserve">Magnesium Taurate 2000mg capsules 240 count </t>
  </si>
  <si>
    <t>B0FWHW4HDL</t>
  </si>
  <si>
    <t>Sustainably US Grown, Organic Freeze Dried Raspberry Juice Powder, 8 Ounce, Contains Immune Vitamin C for Immune System Booster, Rich in Raspberry Ketones, Fatty Acids, Minerals and Antioxidant, Vegan</t>
  </si>
  <si>
    <t>B07L466GW8</t>
  </si>
  <si>
    <t>Organic He Shou Wu, Pure Fo Ti Extract Powder, 6 Ounce, Prepared Foti Steaming with Black Bean, Traditional Anti Aging Herb, Promotes Hair Health and Antioxidant, Filler Free and No GMOs</t>
  </si>
  <si>
    <t>B06XKV2PK3</t>
  </si>
  <si>
    <t>Pure Pine Pollen Powder, 6 Ounce, Wild Harvest an Broken Cell Wall, Supports Immune System Health, Boosts Energy, Antioxidant &amp; Androgenic, No GMOs, Vegan Friendly</t>
  </si>
  <si>
    <t>B079N44L9C</t>
  </si>
  <si>
    <t>Organic Broccoli Powder, 1 Pound, Freeze Dried, Contains Natural DIM (Diindolylmethane), and Rich in Fiber and Immune Vitamin C, Green Superfood for Smoothie &amp; Drinks, Vegan Friendly</t>
  </si>
  <si>
    <t>B07QQ3HTM5</t>
  </si>
  <si>
    <t>Micro Ingredients Raw Organic Ginkgo Biloba Powder, 8 Ounce (18 Months Supply), Filler Free, Supports Brain Function and Mental Alertness, No GMOs and Vegan Friendly</t>
  </si>
  <si>
    <t>B01L2TGUHO</t>
  </si>
  <si>
    <t>Micro Ingredients Pantothenic Acid Vitamin B5 Supplement, Vitamin B5 500mg Per Count, 365 Capsules (1 Year Supply), B-Complex Vitamin, Support Energy Production and Nervous System, Non-GMO</t>
  </si>
  <si>
    <t>B08MX59VV3</t>
  </si>
  <si>
    <t xml:space="preserve">Hyaluronic Acid Serum 4fl oz (118 mL) </t>
  </si>
  <si>
    <t>B0F3GF9G1H</t>
  </si>
  <si>
    <t>賣不動，beauty系列太競爭沒有品牌知名度，加了MI top seller也吸引不到自家客人，一月做deal最多也只賣5個</t>
  </si>
  <si>
    <t>Pure Green Coffee Bean Extract, 4 Ounce, Filler Free with Natural Caffeine, Green Coffee Bean Fat Burn Supplement with 50% Chlorogenic Acid, Supports Metabolism and Weight Management, Vegan Friendly</t>
  </si>
  <si>
    <t>B074WGLHFM</t>
  </si>
  <si>
    <t>Organic Amla Powder (Amalaki) | 32oz, India Origin Gooseberry Powder | Rich in Vitamin C, Antioxidants, Supports Immune, Digestive &amp; Skin Health, Non-GMO, Vegan &amp; Keto Friendly</t>
  </si>
  <si>
    <t>B06XKYNFY1</t>
  </si>
  <si>
    <t>Micro Ingredients Sustainably US Grown, Organic Spinach Powder, 1 Pound, Freeze Dried from Whole Leaf, Rich in Beneficial Thylakoids and Chlorophyll, Contains Multivitamins, Non-GMO, Vegan Friendly</t>
  </si>
  <si>
    <t>B07WH4DXVX</t>
  </si>
  <si>
    <t>Liposomal Glutathione Complex 3000mg vegetarian capsules 120 count</t>
  </si>
  <si>
    <t>B0FWHFRB31</t>
  </si>
  <si>
    <t>2pack Pumpkin Seed Oil with Saw Palmetto 150 Softgels</t>
  </si>
  <si>
    <t>B0G16663LP</t>
  </si>
  <si>
    <t>Hair, Skin &amp; Nails softgels 400 Count</t>
  </si>
  <si>
    <t>B0F4HSLBW8</t>
  </si>
  <si>
    <t xml:space="preserve">Ginger Root with MCT Oil Softgels 360 count </t>
  </si>
  <si>
    <t>B0FWHBV8FF</t>
  </si>
  <si>
    <t>Organic Moringa Powder 1lb</t>
  </si>
  <si>
    <t>B0DW17X7XS</t>
  </si>
  <si>
    <t xml:space="preserve">Glutathione 500mg with Vitamin C vegetarian capsules 240 count </t>
  </si>
  <si>
    <t>B0FWGTM3ND</t>
  </si>
  <si>
    <t>Pure Inositol Powder, Myo-Inositol B8 Powder, 1KG (2.2 Pounds), Strongly Supports Liver Health &amp; Antioxidant, Super Inositol for Hair and Inositol for Sleep, Non-GMO and Vegan Friendly</t>
  </si>
  <si>
    <t>B01DPW5E46</t>
  </si>
  <si>
    <t>NMN 1000mg 240 Capsules</t>
  </si>
  <si>
    <t>B0FXJ959VH</t>
  </si>
  <si>
    <t>Fadogia Agrestis 600mg Per Serving, 50:1 Extract Powder, 4 Ounce, Highly Purified and Bioavailable, USA Third Party Tested, Maximum Strength, No Filler, No Additives, Non-GMO &amp; No Gluten</t>
  </si>
  <si>
    <t>B0B22T88RH</t>
  </si>
  <si>
    <t xml:space="preserve">Sunflower Lecithin 2400mg softgels 240 count </t>
  </si>
  <si>
    <t>B0FWJ2DKD9</t>
  </si>
  <si>
    <t xml:space="preserve">Magnesium Glycinate Powder Lemon Flavor 12oz </t>
  </si>
  <si>
    <t>B0G163QK2Y</t>
  </si>
  <si>
    <t>Electrolyte Powder Pineapple Flavor 2lb</t>
  </si>
  <si>
    <t>B0D3T8WHH4</t>
  </si>
  <si>
    <t>NAC 600mg with NAD+ with coconut oil softgels 150 count</t>
  </si>
  <si>
    <t>B0F6J2MW5T</t>
  </si>
  <si>
    <t xml:space="preserve">NAC+NAD with MCT Oil softgels </t>
  </si>
  <si>
    <t>B0DK65J8YX</t>
  </si>
  <si>
    <t xml:space="preserve">Turmeric Ginger Peach Mango Flavor Gummies 120 count </t>
  </si>
  <si>
    <t>B0FGKN2XZX</t>
  </si>
  <si>
    <t>Micro Ingredients Organic Rhodiola Rosea Root Extract, 50g Powder | Adaptogenic Herb Based Supplement with Active Rosavins &amp; Salidrosides | Supports Energy &amp; Relaxation | No GMOs, Filler Free</t>
  </si>
  <si>
    <t>B01DPW5LN0</t>
  </si>
  <si>
    <t>Pure L Citrulline Malate 2:1 Powder, 500 Grams, Filler Free, Vegan Citrulline Supplement and Citrulline Nitrate, Supports Muscle Performance, Endurance and Strength, Unflavored, Dissolve Easily</t>
  </si>
  <si>
    <t>B01HFOBO7Q</t>
  </si>
  <si>
    <t>Kids Methylated Multivitamins Orange Flavor Gummies 120 count</t>
  </si>
  <si>
    <t>B0FGKQ3X48</t>
  </si>
  <si>
    <t>Turmeric Extract 95% Curcuminoids (Natural Turmeric Extract and Turmeric Supplements), 100 Grams, Rich in Antioxidants for Joint &amp; Immune Support, No GMOs, Vegan Friendly, India Origin</t>
  </si>
  <si>
    <t>B01JNPEPOE</t>
  </si>
  <si>
    <t>Micro Ingredients L Citrulline Capsules, 1500mg Per Serving, 360 Counts, Citrulline Pre-Workout Supplement, Non-GMO</t>
  </si>
  <si>
    <t>B08N3BG2SR</t>
  </si>
  <si>
    <t>Sustainably US Grown, Organic Shiitake Mushrooms Powder, 8 Ounce, Made from The Finest Dried Shiitake Mushroom, Stronger Umami Flavor Than Fresh Mushrooms, Great for Sauce, Soup and Pasta</t>
  </si>
  <si>
    <t>B08PXYB6RH</t>
  </si>
  <si>
    <t>Organic Kelp Powder Supplement, 2lbs | Sustainably US Grown, Raw Ascophyllum Nodosum Source | Rich in Iodine for Thyroid Support, Body Scrubs, &amp; Skin Care | Non-GMO, Vegan</t>
  </si>
  <si>
    <t>B01LFPNJ8S</t>
  </si>
  <si>
    <t>Organic Milk Thistle Extract, 3.5 Ounces, Pure Milk Thistle Powder Organic, Milk Thistle Tea, Contains 80% Active Silymarin, Strongly Supports Liver Health and Antioxidant, Vegan Friendly</t>
  </si>
  <si>
    <t>B01L2TGS30</t>
  </si>
  <si>
    <t>Omega-3 for Kids 240 Chewable Veggie Softgel</t>
  </si>
  <si>
    <t>B0F4HHCGGC</t>
  </si>
  <si>
    <t>Micro Ingredients Black Seed Oil 2000 mg with Vitamin D3 1000 IU, 240 Softgels | Cold Pressed - Nigella Sativa Pills from Egypt, Virgin Oil, Odorless, Non-GMO &amp; No Gluten</t>
  </si>
  <si>
    <t>B08TB8VX8P</t>
  </si>
  <si>
    <t>L Glutamine Powder Gut Health, 1Kg, 100% Pure, Free Form - Unflavored- Vegan Friendly, No Filler, No additives, Supports Muscle Recovery, Post Workout | Non-GMO &amp; Gluten-Free</t>
  </si>
  <si>
    <t>B01HFN37MC</t>
  </si>
  <si>
    <t>Micro Ingredients Organic Boswellia Serrata Extract Powder, 8 Ounce, Pure Boswellia Supplement with 65% Boswellic Acid, Supports Joints, Knees and Bones Health, Non-GMO, Pet Friendly, India Origin</t>
  </si>
  <si>
    <t>B01DPW5I6U</t>
  </si>
  <si>
    <t>Micro Ingredients Organic Acacia Senegal Powder, 2 Pounds (32 Ounce), Instant Soluble Fiber Powder, Plant-Based Prebiotic Superfood for Gut Health, Non-GMO, No Gluten, Vegan</t>
  </si>
  <si>
    <t>B09NQVBGQK</t>
  </si>
  <si>
    <t>Erythritol Granules, 6 Pounds (96 Ounce), 1:1 Sugar Substitute, No After Taste, 0 Calorie, Natural Sweetener, Erythritol Keto Sugar Substitute, Non-GMO, Vegan</t>
  </si>
  <si>
    <t>B07SZHV7RN</t>
  </si>
  <si>
    <t>Total Unit</t>
  </si>
  <si>
    <t>Diff Unit</t>
  </si>
  <si>
    <t>Total Spend</t>
  </si>
  <si>
    <t>Total Ad</t>
  </si>
  <si>
    <t>Total Diff</t>
  </si>
  <si>
    <t>ACOS</t>
  </si>
  <si>
    <t>Tcos</t>
  </si>
  <si>
    <t>November</t>
  </si>
  <si>
    <t>HL</t>
  </si>
  <si>
    <t>GP</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</si>
  <si>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</si>
  <si>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</si>
  <si>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</si>
  <si>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2 Pack Magnesium Glycinate 500mg, 480 Capsules – 100% Chelated for Max Absorption – Bioavailable Mineral Supplement for Muscle, Joint, Enzyme, &amp; Heart Health</t>
  </si>
  <si>
    <t>B07RD4DFNZ</t>
  </si>
  <si>
    <t>Magnesium Complex Supplement 500mg, 300 Capsules | 10 Active Forms – Glycinate, Citrate, Taurate, Plus More | 100% Chelated &amp; Purified | Bone, Heart, &amp; Muscle Support | Non-GMO</t>
  </si>
  <si>
    <t>B0C2SLBPRK</t>
  </si>
  <si>
    <t>NatureBell Vitamin D3 5000 K2 (MK7) with Virgin Coconut Oil, 240 Softgels, 100mcg, 2 in 1 Support, Duo-Ack | 8 Months Supply | Third Party Tested, Non GMO &amp; No Gluten</t>
  </si>
  <si>
    <t>B09MJYVXX9</t>
  </si>
  <si>
    <t>CoQ10 100mg with Omega-3</t>
  </si>
  <si>
    <t>B0DJWWMBTF</t>
  </si>
  <si>
    <t xml:space="preserve">Boron 10mg with MCT Oil softgels 300 counts </t>
  </si>
  <si>
    <t>B0F11Z2BLQ</t>
  </si>
  <si>
    <t>11月有跑過9.99 deal</t>
  </si>
  <si>
    <t>Vitamin E 400iu</t>
  </si>
  <si>
    <t>B0CWKDYC5Q</t>
  </si>
  <si>
    <t>Liposomal Vitamin C 2000mg capsules</t>
  </si>
  <si>
    <t>B0D85XBLCH</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</si>
  <si>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</si>
  <si>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</si>
  <si>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</si>
  <si>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 xml:space="preserve">Magnesium Taurate 1500mg 240 Capsules </t>
  </si>
  <si>
    <t>B0CWK143JD</t>
  </si>
  <si>
    <t>NatureBell Oregano Oil with Black Seed Oil 7,500mg, 360 Softgels | Wild Harvested, 50:1 Fresh Oregano Extract – Retains Carvacrol &amp; Thymoquinone – Essential Oils for Immune Health – Non-GMO</t>
  </si>
  <si>
    <t>B0CFPQN4J1</t>
  </si>
  <si>
    <t>NatureBell Astaxanthin 12mg, 240 Softgels, Made with Astax (Max Strength from MicroAlgae), Natural Antioxidant for Skin &amp; Eye Health – Non-GMO &amp; No Gluten, 4 Month Supply</t>
  </si>
  <si>
    <t>B0923B4XLX</t>
  </si>
  <si>
    <t>Triple Complex Magnesium Supplement, 240 Capsules | Magnesium Glycinate 500mg with Citrate &amp; Malate | Chelated &amp; Purified | Bone, Heart, &amp; Muscle Support | Non-GMO</t>
  </si>
  <si>
    <t>B0CMK2Z12X</t>
  </si>
  <si>
    <t>11月有跑deal</t>
  </si>
  <si>
    <t xml:space="preserve">Psyllium Husk 2000mg capsules 360 counts </t>
  </si>
  <si>
    <t>B0F11QQ8ND</t>
  </si>
  <si>
    <t>CoQ10 (Ubiquinone) 300mg with Omega 3 Fatty Acids, 240 Capsules</t>
  </si>
  <si>
    <t>B0CMK3LBGJ</t>
  </si>
  <si>
    <t>NatureBell Moringa Oleifera 8000mg Per Serving | 240 Capsules, Made with Organic Moringa Leaf Powder, Non-GMO, Gluten Free, Superfood Antioxidant, Skin Health &amp; Immune Support</t>
  </si>
  <si>
    <t>B07MTTBMD1</t>
  </si>
  <si>
    <t xml:space="preserve">Magnesium Oxide 400mg capsules 400 counts </t>
  </si>
  <si>
    <t>B0F11PGHN9</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</si>
  <si>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</si>
  <si>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</si>
  <si>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</si>
  <si>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Magnesium Malate 1500mg capsules 240 count</t>
  </si>
  <si>
    <t>B0CWMWHRFC</t>
  </si>
  <si>
    <t>11月連續做deal</t>
  </si>
  <si>
    <t>Magnesium Glycinate Supplement 1,000mg | 500mg Per Capsule, 240 Pills | 100% Chelated &amp; Purified – Non-GMO &amp; Gluten Free</t>
  </si>
  <si>
    <t>B0CFPG9M5K</t>
  </si>
  <si>
    <t xml:space="preserve">Electrolyte Jar Grape Flavor 500g </t>
  </si>
  <si>
    <t>B0DJWX4ZNQ</t>
  </si>
  <si>
    <t>靠做deal廣告能打出去，KW主要跑potassium相關詞找impression，加強PT</t>
  </si>
  <si>
    <t>Organic Inulin Powder Jar 1lb</t>
  </si>
  <si>
    <t>B0F11HLBFC</t>
  </si>
  <si>
    <t xml:space="preserve">Advanced Electrolyte hydration capsules </t>
  </si>
  <si>
    <t>B0DDCW84F6</t>
  </si>
  <si>
    <t>NatureBell Ceylon Cinnamon 1800mg Per Serving, 180 Capsules, Made with Organic Sri Lanka Ceylon Cinnamon and Bitter Melon, 2 in 1 Support, Non-GMO, No Gluten</t>
  </si>
  <si>
    <t>B07MTVDV6Y</t>
  </si>
  <si>
    <t>Creatine Monohydrate 5000mg capsules</t>
  </si>
  <si>
    <t>B0DDB5BWYP</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</si>
  <si>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</si>
  <si>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</si>
  <si>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</si>
  <si>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</si>
  <si>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</si>
  <si>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 xml:space="preserve">Colostrum 1000mg capsules 240 count </t>
  </si>
  <si>
    <t>B0DJTVL9H4</t>
  </si>
  <si>
    <t>Antarctic Krill Oil 2000mg Supplement, 240 Softgels, 3X Strength Natural Source of Omega-3s, EPA 240mg + DHA 160mg + Astaxanthin 800mcg – No Fishy Aftertaste – Mercury Free &amp; Non-GMO</t>
  </si>
  <si>
    <t>B0BSP5TBP3</t>
  </si>
  <si>
    <t>NatureBell 2 Pack Hyaluronic Acid Supplements 2000mg | 480 Total Capsules, with MSM &amp; Multi Collagen – 3 in 1 Support – Skin Hydration, Joint Lubrication, Hair, and Eye Health</t>
  </si>
  <si>
    <t>B01FL9DFR4</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</si>
  <si>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</si>
  <si>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</si>
  <si>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</si>
  <si>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 xml:space="preserve">Potassium Citrate 99mg capsules 500 count </t>
  </si>
  <si>
    <t>B0DDCTG43B</t>
  </si>
  <si>
    <t>11月初有做9.99 deal</t>
  </si>
  <si>
    <t>Korean Red Ginseng 2,250mg Per Serving, 240 Softgels | Panax Ginseng Root, Standardized to 10% Ginsenosides, Non-GMO, Support Energy, Male Performance, &amp; Immune System</t>
  </si>
  <si>
    <t>B07MTW3QDD</t>
  </si>
  <si>
    <t>2 Pack Magnesium Citrate 500mg, 480 Capsules | High Purity Elemental Form – Extra Strength | Essential Mineral for Heart, Muscle, &amp; Digestion Support – Non-GMO &amp; No Gluten</t>
  </si>
  <si>
    <t>B07755F5YT</t>
  </si>
  <si>
    <t>NatureBell Alpha Lipoic Acid 600mg Per Serving | 300 Capsules - with Vitamin B1 Complex | 4 in 1 - [R-ALA | S-ALA | Thiamine | Benfotiamine] - High Bioavailability, Third Party Tested | Non-GMO</t>
  </si>
  <si>
    <t>B0BB53JDMF</t>
  </si>
  <si>
    <t>NatureBell Magnesium Glycinate 400mg (Elemental), 270 Capsules – 100% Chelated for Max Absorption | Non-GMO &amp; No Gluten, Bioavailable Mineral Supplement for Muscle, Joint, Enzyme, &amp; Heart Health</t>
  </si>
  <si>
    <t>B0BJ198K28</t>
  </si>
  <si>
    <t>NatureBell Antarctic Krill Oil 1000mg Supplement, 180 Softgels, Natural Source of Omega-3s, EPA, DHA and Astaxanthin - No Aftertaste - Support Heart Health, Mercury Free &amp; Non-GMO</t>
  </si>
  <si>
    <t>B07BKN8S81</t>
  </si>
  <si>
    <t>TUDCA 500mg with Black Pepper Extract, 60 Capsules – High Absorption Livamate Formula, Natural Bitter Taste | Bile Salt Supplement | Third Party Tested</t>
  </si>
  <si>
    <t>B09KTBBYLQ</t>
  </si>
  <si>
    <t>Lutein 40mg and Zeaxanthin 1,600mcg Per Serving, 360 Softgels | 4 in 1 with Omega-3s, Astaxanthin, &amp; Phospholipids – Marigold Flower Extract – Eye Antioxidant Vitamins – Non-GMO</t>
  </si>
  <si>
    <t>B0C2S5MC6J</t>
  </si>
  <si>
    <t xml:space="preserve">Magnesium Citrate Calm Powder Jar 1lb </t>
  </si>
  <si>
    <t>B0FCVC7LKV</t>
  </si>
  <si>
    <t>Omega 3 Fish Oil 4,200mg, 180 Burpless Softgels, Highly Purified EPA 1,200mg &amp; DHA 900mg | Lemon Flavored | Premium Wild Caught Fish from Deep Sea – Heart &amp; Brain Support – Mercury Free &amp; Non-GMO</t>
  </si>
  <si>
    <t>B0BSP4P38R</t>
  </si>
  <si>
    <t>NatureBell Full Spectrum Vitamin K2 Supplement with MK-7 &amp; MK-4, 200 mcg, 240 Capsules | 2 in 1 Formula, K Vitamins Complex – Supports Bone, Joint, and Heart Health – Non-GMO</t>
  </si>
  <si>
    <t>B07R8JTQSZ</t>
  </si>
  <si>
    <t>NatureBell Cranberry Pills 36,000mg with Acerola, 240 Veggie Capsules | 100:1 Fresh Cranberries Extract – Made with Organic Ingredients – Supports Urinary Tract Health – Sugar Free</t>
  </si>
  <si>
    <t>B076BFRPNS</t>
  </si>
  <si>
    <t>NatureBell 2 Pack Plant Based Hyaluronic Acid Supplements 250mg with 25mg Vitamin C &amp; Biotin 5000mcg, 480 Total Capsules | Essential for Hair Growth, Joint Support, &amp; Hydrating Skin | Non-GMO</t>
  </si>
  <si>
    <t>B07GBMPZKD</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</si>
  <si>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</si>
  <si>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</si>
  <si>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</si>
  <si>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</si>
  <si>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</si>
  <si>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</si>
  <si>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</si>
  <si>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</si>
  <si>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</si>
  <si>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NatureBell Melatonin 20mg, 365 Fast Dissolve Tablets - Natural Strawberry Flavor - Vegetarian Chewable Lozenges for 1 Year Supply, High Potency | Non-GMO, No Gluten</t>
  </si>
  <si>
    <t>B0B92XZZPJ</t>
  </si>
  <si>
    <t xml:space="preserve">Taurine 1000mg capsules 500 count </t>
  </si>
  <si>
    <t>B0D87LZF99</t>
  </si>
  <si>
    <t>Magnesium Complex 400mg Supplement, 300 Capsules | Magnesium Glycinate + Citrate Elemental Forms – Essential Minerals for Heart, Muscle, &amp; Digestion Support – Non-GMO &amp; No Gluten</t>
  </si>
  <si>
    <t>B0BSP3CD3N</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</si>
  <si>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</si>
  <si>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</si>
  <si>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</si>
  <si>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</si>
  <si>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Magnesium Glycinate 200mg with Valerian Root, 300 Capsules</t>
  </si>
  <si>
    <t>B0CWNDCY6V</t>
  </si>
  <si>
    <t>Valerian Root Complex 5000mg</t>
  </si>
  <si>
    <t>B0F11D462D</t>
  </si>
  <si>
    <t>11月BFCM $8.99最多賣到100+，NOW漲價掉BS，KW能做的詞不多主要跑valerian root for sleep重新找IS占比</t>
  </si>
  <si>
    <t>Benfotiamine 300mg with Thiamine 100mg Per Serving | 240 Veggie Capsules, Essential Vitamin B1 Benfotiamine Supplement, Bioavailable Fat &amp; Water Soluble Forms – Energy &amp; Nerve Support – Non-GMO</t>
  </si>
  <si>
    <t>B0C6YKYN2B</t>
  </si>
  <si>
    <t xml:space="preserve">Probiotics+ 200 billion CFU 40 </t>
  </si>
  <si>
    <t>B0DDCWYPWR</t>
  </si>
  <si>
    <t>Dihydroberberine 500mg</t>
  </si>
  <si>
    <t>B0DDMM94BF</t>
  </si>
  <si>
    <t>DHEA 50mg</t>
  </si>
  <si>
    <t>B0CX3MJQKM</t>
  </si>
  <si>
    <t>NatureBell Resveratrol Supplement 1000mg Per Serving, 180 Veggie Capsules, 99% Pure Trans-Resveratrol, Antioxidant for Healthy Aging, Brain, &amp; Heart Support – Non-GMO</t>
  </si>
  <si>
    <t>B0C2SCVL8Z</t>
  </si>
  <si>
    <t>Ultra Strength Phosphatidylserine Supplement 500mg Per Serving, 240 Capsules | Soy Free, Derived from Sunflower Lecithin – Supports Cognitive Health and Brain Function – Non-GMO</t>
  </si>
  <si>
    <t>B074R8XH2Q</t>
  </si>
  <si>
    <t>L-Theanine 400mg capsules 400 count</t>
  </si>
  <si>
    <t>B0DDCW97QV</t>
  </si>
  <si>
    <t>Vitamin B Complex for Women, 240 Veggie Capsules</t>
  </si>
  <si>
    <t>B0CMK1YPQN</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</si>
  <si>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</si>
  <si>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</si>
  <si>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</si>
  <si>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</si>
  <si>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TMG (Trimethylglycine) 1500mg capsules</t>
  </si>
  <si>
    <t>B0D883PXW4</t>
  </si>
  <si>
    <t>NatureBell PQQ 40mg with CoQ10, 180 Veggie Capsules | Active Pyrroloquinoline Quinone, Highly Bioavailable ZenPQQ+ Formula – Promotes Heart, Brain, &amp; Mitochondrial Health – Non-GMO</t>
  </si>
  <si>
    <t>B09KTDRCYD</t>
  </si>
  <si>
    <t>2 Pack Berberine Supplement 1500mg Per Serving, 480 Veggie Capsules | Plus 1200mg True Ceylon Cinnamon, 97% Berberine HCL, Plant-Based, Vegan, Non-GMO, Gluten Free</t>
  </si>
  <si>
    <t>B01L2TFPNE</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</si>
  <si>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</si>
  <si>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</si>
  <si>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</si>
  <si>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</si>
  <si>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R-Alpha Lipoic Acid (R-ALA) 1200mg</t>
  </si>
  <si>
    <t>B0DJWWQSPX</t>
  </si>
  <si>
    <t>Naturebell Ginkgo Biloba Extract 500mg Per Serving, 300 Capsules | GinkoVida | Extra Strength Ginko Biloba Supplement - Promote Memory, Focus and Brain Health</t>
  </si>
  <si>
    <t>B09F4ML3FF</t>
  </si>
  <si>
    <t>Organic Matcha Green Tea Powder Jar, 2lbs</t>
  </si>
  <si>
    <t>B0DT2NH3V9</t>
  </si>
  <si>
    <t>Ginger Root with MCT Oil</t>
  </si>
  <si>
    <t>B0F11MGDGT</t>
  </si>
  <si>
    <t>NatureBell Evening Primrose Oil with Black Cohosh, 1,300mg Per Serving, 300 Mini-Softgels | Cold Pressed Seeds, Retains 130mg GLA for Womens Health &amp; Skin Care Support – Hexane Free, Non-GMO</t>
  </si>
  <si>
    <t>B0C6WN52Q9</t>
  </si>
  <si>
    <t xml:space="preserve">NAD+ 1500mg vegetarian capsules 240 count </t>
  </si>
  <si>
    <t>B0D85VVNF7</t>
  </si>
  <si>
    <t>Methylated Multivitamin 240 Capsules</t>
  </si>
  <si>
    <t>B0FCW45JZF</t>
  </si>
  <si>
    <t>11月BFCM，這品評論差距小deal可以跑上去，AUTO出很多在自家產品上KW加上brand purchaser 20%</t>
  </si>
  <si>
    <t>Vaginal Probiotics 10 Billion 120 Veggie Capsules</t>
  </si>
  <si>
    <t>B0DJWW2B1L</t>
  </si>
  <si>
    <t>NatureBell Lions Mane Supplement 9,000mg Per Serving, 240 Veggie Capsules | Made with Organic Lion’s Mane Powder Extract – Cognitive Brain Nootropic &amp; Immune Health Mushroom – Non-GMO</t>
  </si>
  <si>
    <t>B0CJK6YZYX</t>
  </si>
  <si>
    <t>11月BFCM</t>
  </si>
  <si>
    <t>NatureBell Bromelain, 1,000mg Per Serving, 240 Veggie Capsules</t>
  </si>
  <si>
    <t>B0CMK9SWBJ</t>
  </si>
  <si>
    <t>Huperzine A 400mcg Per Serving, 180 Capsules, (Huperzine A Supplement), Supports Focus, Cognition, Memory and Learning Ability, Premium Brain Health Supplement, No GMOs</t>
  </si>
  <si>
    <t>B07BKSH9GW</t>
  </si>
  <si>
    <t>High Potency Zinc Picolinate 100mg - 240 Capsules, Bioavailable Form of Zinc for Immune Support and Skin Health - Non-GMO and Gluten- Zinc Supplements</t>
  </si>
  <si>
    <t>B07VC1M3S3</t>
  </si>
  <si>
    <t>Magnesium Glycinate Powder Peach-Mango Flavor Jar 1lb</t>
  </si>
  <si>
    <t>B0DLXM7ZTC</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</si>
  <si>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</si>
  <si>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</si>
  <si>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</si>
  <si>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</si>
  <si>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L Tyrosine Supplement, 1,500mg Per Serving, 240 Capsules | Essential Amino Acids – Brain Health Support for Memory, Cognitive Health, and Mental Alertness – Non-GMO</t>
  </si>
  <si>
    <t>B08X6JSZ69</t>
  </si>
  <si>
    <t xml:space="preserve">Electrolyte Powder Lemon &amp; Raspberry Flavor 500g </t>
  </si>
  <si>
    <t>B0CX3GYCNN</t>
  </si>
  <si>
    <t>NatureBell Red Yeast Rice 2,400mg with CoQ10 100mg | 240 Veggie Capsules (1,200mg Per Capsule) – Max Strength Herbal Supplement – Antioxidant Support for Energy &amp; Heart Health – Non-GMO</t>
  </si>
  <si>
    <t>B0CFPLT75L</t>
  </si>
  <si>
    <t>NatureBell Quercetin 500mg Per Serving | 300 Capsules, Ultra Strength Quercetin Supplement | Bioflavonoids for Healthy Immune Support, Third Party Tested, Non-GMO &amp; No Gluten</t>
  </si>
  <si>
    <t>B0B8TJLSSP</t>
  </si>
  <si>
    <t>Colostrum with probiotics Powder 12oz</t>
  </si>
  <si>
    <t>B0DJWWQVHC</t>
  </si>
  <si>
    <t>NatureBell Glutathione Supplement 1000mg, 180 Veggie Capsules | 98%+ Purity Verified, Bioavailable Reduced Glutathione Pills, Active Form, Master Antioxidant – Vegan Friendly &amp; Non-GMO</t>
  </si>
  <si>
    <t>B09KTCYFZ7</t>
  </si>
  <si>
    <t>Advanced Turkey Tail Quercetin Supplements, Turkey Tail (Coriolus Versicolor) with Quercetin 1100mg Per Serving, 180 Counts, 2 in 1 Formula, Immune System Booster, Daily Mushroom Mycelium Supplement</t>
  </si>
  <si>
    <t>B07YF52935</t>
  </si>
  <si>
    <t>NatureBell Fadogia Agrestis 600mg Complexed with Tongkat Ali 400mg, 180 Capsules, Optimal Dosage for Enhanced Bioavailability, 20:1 Fadogia Argrestis Extract Indonesia Tongkat-Ali (Longjack)</t>
  </si>
  <si>
    <t>B09WJV9D1Y</t>
  </si>
  <si>
    <t>NatureBell L Tryptophan 1500mg with L Theanine 200mg, 300 Capsules | Active Free Form, Plant Based Supplement – Calm Formula, Supports Relaxation – Non-GMO &amp; No Gluten</t>
  </si>
  <si>
    <t>B07V8LRWZK</t>
  </si>
  <si>
    <t>Nattokinase Supplement 8,000 FU Per Serving, 240 Veggie Capsules | Traditional Natto Extract Source – Max Strength Enzyme &amp; Heart Health Support – Non-GMO</t>
  </si>
  <si>
    <t>B0CJK4JF1V</t>
  </si>
  <si>
    <t>NatureBell P5P Vitamin B6 100mg Per Serving, 240 Capsules | Activated Pyridoxal 5 Phosphate Supplements – Essential B Vitamins for Brain &amp; Memory Health – Non-GMO</t>
  </si>
  <si>
    <t>B07GCBWP2M</t>
  </si>
  <si>
    <t>Organic Lion's Mane Powder</t>
  </si>
  <si>
    <t>B0CFP9DF3C</t>
  </si>
  <si>
    <t>NatureBell Biotin 10000mcg + Hyaluronic Acid 25mg | 250 Coconut Oil Softgels, Premium Biotin Vitamins for Hair Skin and Nails, Highly Purified and Bioavailable, Quick Release</t>
  </si>
  <si>
    <t>B0B34CDHNS</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</si>
  <si>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</si>
  <si>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</si>
  <si>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</si>
  <si>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</si>
  <si>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</si>
  <si>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Citrus Bergamot 5000mg</t>
  </si>
  <si>
    <t>B0CFPBNWCF</t>
  </si>
  <si>
    <t>Tongkat Ali 200:1 (Longjack) Extract for Men, 2000mg Per Serving, Indonesia Origin, Eurycoma Longifolia | with Panax Ginseng for Energy, Stamina, &amp; Male Health Support (150 Count (Pack of 2))</t>
  </si>
  <si>
    <t>B0BMF3TMWZ</t>
  </si>
  <si>
    <t>NatureBell D Mannose Powder, 12oz | Instantized for Max Absorption – Fast Acting Cleanse – Urinary Tract &amp; Bladder Health Support – Flush UTI Impurities – Non-GMO, Vegan</t>
  </si>
  <si>
    <t>B075G4N2K1</t>
  </si>
  <si>
    <t>Allulose Sweetener 5lb</t>
  </si>
  <si>
    <t>B0DDCVSPP5</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</si>
  <si>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</si>
  <si>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</si>
  <si>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</si>
  <si>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NatureBell Irish Sea Moss Capsules, 3,000mg Per Serving, 240 Veggie Pills | Made with Organic Raw Powder – 3 in 1 Plus Bladderwrack &amp; Burdock Root – Immune &amp; Thyroid Superfood Support – Non-GMO</t>
  </si>
  <si>
    <t>B0CP2YGSCZ</t>
  </si>
  <si>
    <t>deal效果有限穩定出在20+，賣完看要不要DC</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</si>
  <si>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</si>
  <si>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</si>
  <si>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</si>
  <si>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</si>
  <si>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2 Pack Olive Leaf Extract 30000mg, 480 Total Capsules | 40% Active Oleuropein, 50:1 Herbal Equivalent – Rich in Polyphenol &amp; Flavonoid Antioxidants for Immune &amp; Heart Health – Non-GMO</t>
  </si>
  <si>
    <t>B07VNJ97G1</t>
  </si>
  <si>
    <t>NatureBell Hyaluronic Acid Supplements 2000mg Per Serving | 240 Capsules, with MSM &amp; Multi Collagen – 3 in 1 Support – Skin Hydration, Joint Lubrication, Hair, and Eye Health</t>
  </si>
  <si>
    <t>B01DPW5BNA</t>
  </si>
  <si>
    <t>St John's Wort Supplement, 1500mg Per Serving with 2250mcg Hypericin, 2 in 1 Formula St John's Wort Complex, 200 Capsules, Promote Emotional Balance, Joyful Mood &amp; Stress Response</t>
  </si>
  <si>
    <t>B07H9JTLWY</t>
  </si>
  <si>
    <t>Ashwagandha 12,500mg with black pepper</t>
  </si>
  <si>
    <t>B0DDM8LQMS</t>
  </si>
  <si>
    <t>NatureBell 2 Pack Cranberry Pills 36,000mg with Acerola, 480 Veggie Capsules | 100:1 Fresh Cranberries Extract – Organic Ingredients – Supports Urinary Tract Health – Sugar Free</t>
  </si>
  <si>
    <t>B07RD4CKP4</t>
  </si>
  <si>
    <t>NatureBell 2 Pack Ceylon Cinnamon 9000mg Per Serving, 480 Capsules, Made with Organic Ceylon Cinnamon Plus Bitter Melon, Non-GMO</t>
  </si>
  <si>
    <t>B08DK1M6FL</t>
  </si>
  <si>
    <t>Xylitol Sweetener, 5lbs | Natural Birch Crystal Source – 1:1 Sugar Substitute – Sweet Flavor with No Erythritol – Low Calorie &amp; Glycemic Impact – Sugar Free, No Aftertaste, Non-GMO</t>
  </si>
  <si>
    <t>B0CFPJ5BRM</t>
  </si>
  <si>
    <t>Mucuna Pruriens Capsules, Triple Strength 1500mg Per Serving, 2 in 1 Formula, Made with Mucuna and Ashwagandha, 240 Capsules, Potent Seed Extract, Positive Mood, Relaxation &amp; Restoration Support</t>
  </si>
  <si>
    <t>B07K6Z195K</t>
  </si>
  <si>
    <t>Magnesium Glycinate 500mg vegetarian</t>
  </si>
  <si>
    <t>B0DNVCPMYW</t>
  </si>
  <si>
    <t>Organic Hibiscus Tea Bags</t>
  </si>
  <si>
    <t>B0C6WP15YQ</t>
  </si>
  <si>
    <t>NatureBell Cold Pressed Black Seed Oil 3,000mg Per Serving with Vitamin D3 2,000IU, 180 Softgels | Egyptian Nigella Sativa, Odorless Black Cumin Seed, Virgin Liquid Oil Capsules – Non-GMO</t>
  </si>
  <si>
    <t>B09238QQ52</t>
  </si>
  <si>
    <t>NatureBell Double Strength Triphala Supplement (Made with Organic Amla, Bibhitaki, Haritaki Fruit Complex), 1200mg Per Serving, 180 Capsules, 3 in 1 Formula, Supports Digestive Health, Non-GMO</t>
  </si>
  <si>
    <t>B076B5V4RQ</t>
  </si>
  <si>
    <t xml:space="preserve">Turmeric Curcumin with MCT Oil Softgels 240 count </t>
  </si>
  <si>
    <t>B0FNYD1SVT</t>
  </si>
  <si>
    <t>11月做BFCM，turmeric頭部競爭激烈評論都很多，在PT轉化一般，一月跑deal跑得上去，KW給預算到60降TOP到90 CPC 2.1太高，black pepper相關詞轉化差，調整title把black pepper放前面+刪掉3000mg</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</si>
  <si>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</si>
  <si>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</si>
  <si>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</si>
  <si>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</si>
  <si>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</si>
  <si>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</si>
  <si>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 xml:space="preserve">Multi Collagen Complex capsules 300 count </t>
  </si>
  <si>
    <t>B0F11WDDHF</t>
  </si>
  <si>
    <t>Choline 500mg with Omega-3 capsules 240 count</t>
  </si>
  <si>
    <t>B0D85V6X3G</t>
  </si>
  <si>
    <t>Zinc Quercetin 1300mg with Vitamin D3 5000IU, 120 Capsules, 4 in 1 Formula, Zinc 50mg, Vitamin C 250mg, Vitamin D3 5000 IU - Advanced Immune Defense, Non-GMO</t>
  </si>
  <si>
    <t>B085WGFPYS</t>
  </si>
  <si>
    <t>NatureBell Psyllium Husk Powder, 3 Lbs(48 Oz), 9000mg Per Serving - Unflavored | No Fillers, No Additives, Gluten Free, Soluble Fiber, Great for Gut Health, Keto Baking, Mixing Shakes, Juices &amp; More</t>
  </si>
  <si>
    <t>B09ZPVMQ9F</t>
  </si>
  <si>
    <t>NatureBell Vitamin B2 Riboflavin 400mg Per Serving, 240 Capsules | Essential Daily B Vitamin, Easily Absorbed Form – Supports Energy, Skin, and Cellular Health – Non-GMO, Gluten Free</t>
  </si>
  <si>
    <t>B0BSP461K1</t>
  </si>
  <si>
    <t>NatureBell CoQ10 (Ubiquinone) 200mg with PQQ, 240 Veggie Capsules | Stable High Absorption Form – Antioxidant Support for Brain, Heart, &amp; Energy Health – Extra Strength Coenzyme Q10 Supplement</t>
  </si>
  <si>
    <t>B0CFPMHB25</t>
  </si>
  <si>
    <t>L-Lysine 1000mg + Quercetin 250mg Supplement, 240 Capsules, Free Form, 4-in-1 Lysine Complex, Quercetin with Vitamin C and Zinc | Immune Support | Promote Lips &amp; Skin Health</t>
  </si>
  <si>
    <t>B09F4GYTDQ</t>
  </si>
  <si>
    <t>NatureBell D-Mannose 2000mg with Cranberry Extract 400mg, 240 Veggie Capsules, Double Strength | Fast Acting Urinary Tract Health Pills, Flush Impurities, Ultra UTI Support for Women &amp; Men</t>
  </si>
  <si>
    <t>B07QBVHK8H</t>
  </si>
  <si>
    <t>Pregnenolone 100mg, 200 Capsules | 99%+ Purity, Micronized Grade for Higher Absorption, Plant Based – Hormone*, Cognitive, &amp; Immune Health Supplement – Non-GMO, Soy Free</t>
  </si>
  <si>
    <t>B087CMV1PD</t>
  </si>
  <si>
    <t>Organic Mushroom Coffee with MCT Oil</t>
  </si>
  <si>
    <t>B0DS6Q88VS</t>
  </si>
  <si>
    <t>Olive Leaf Extract 30000mg, 240 Capsules | 40% Active Oleuropein, 50:1 Herbal Equivalent – Rich in Polyphenol &amp; Flavonoid Antioxidants for Immune &amp; Heart Health – Non-GMO</t>
  </si>
  <si>
    <t>B076B7TYL7</t>
  </si>
  <si>
    <t>2 Pack NAC Supplement (N-Acetyl Cysteine) with Quercetin, 1,200mg Per Serving, 480 Capsules | Double Strength Antioxidant Support for Immune, Liver, &amp; Lung Health – Non-GMO</t>
  </si>
  <si>
    <t>B086QBQ7X4</t>
  </si>
  <si>
    <t xml:space="preserve">Nitric Oxide 3600mg Bisected Tablets 300 count </t>
  </si>
  <si>
    <t>B0FNTLPT5V</t>
  </si>
  <si>
    <t xml:space="preserve">Vegan Omega-3 Algae Oil 1250mg vegetarian softgels 120 counts </t>
  </si>
  <si>
    <t>B0FCVZQMT1</t>
  </si>
  <si>
    <t>12月有優化title，單價比較低，KW挑vegan/plant based相關詞做</t>
  </si>
  <si>
    <t>NatureBell 2 Pack Creatine Monohydrate Powder 500 Grams, 5000mg Per Serving, Pure Unflavored Creatine Powder - Micronized - Pre Workout | Keto | Vegan | Dissolves Easy | Filler Free</t>
  </si>
  <si>
    <t>B0BT2V8YK4</t>
  </si>
  <si>
    <t>NatureBell Organic Myco Guardians 10 in 1 Mushroom Powder, 10oz | Fresh Superfood Mushrooms Complex – Lions Mane, Turkey Tail, 8 More | Immune Booster &amp; Brain Health Supplement | No Fillers</t>
  </si>
  <si>
    <t>B0C485JWYV</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</si>
  <si>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</si>
  <si>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</si>
  <si>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</si>
  <si>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Magnesium 12-in-1 Complex 1000mg capsules 240 counts </t>
  </si>
  <si>
    <t>B0FNTZ3WYF</t>
  </si>
  <si>
    <t>NatureBell Digestive Enzymes with Prebiotics | 240 Veggie Capsules - 20 Enzyme &amp; 5 Prebiotic Complex – Support Gut Health, Bloating Relief for Women &amp; Men, Non-GMO, Vegan Friendly</t>
  </si>
  <si>
    <t>B0CJK5JRPV</t>
  </si>
  <si>
    <t>Liver Cleanse Detox &amp; Repair Supplement, 240 Veggie Capsules</t>
  </si>
  <si>
    <t>B0CWN5QQ8V</t>
  </si>
  <si>
    <t>Vitamin D3 K2 (10,000 IU Vitamin D + 200mcg Vitamin K MK-7) 240 Softgels with Coconut Oil for Complete Absorption | Bone, Heart, Immune, &amp; Calcium Support | One a Day, Non-GMO</t>
  </si>
  <si>
    <t>B0C6WY48KJ</t>
  </si>
  <si>
    <t xml:space="preserve">Advanced Glucosamine </t>
  </si>
  <si>
    <t>B0D85XVGMQ</t>
  </si>
  <si>
    <t>NatureBell L Methylfolate 15mg (5-MTHF) with Methyl B12 1,000mcg, 240 Vegetarian Capsules | High Potency Dual Action for Energy &amp; Cognitive Support, Active Folic Acid – Methyl Folate Supplement</t>
  </si>
  <si>
    <t>B0CHX3CST7</t>
  </si>
  <si>
    <t>NatureBell Everyday Fruits and Vegetables Supplements, 480 Total Vegetarian Capsules</t>
  </si>
  <si>
    <t>B0CMK41YYD</t>
  </si>
  <si>
    <t>NAC Supplement (N-Acetyl Cysteine) with Quercetin, 1,200mg Per Serving, 240 Capsules | Double Strength Antioxidant Support for Immune, Liver, &amp; Lung Health – Non-GMO</t>
  </si>
  <si>
    <t>B0866BQP63</t>
  </si>
  <si>
    <t>NatureBell Virgin Pumpkin Seed Oil 3,000mg Per Serving with Saw Palmetto, 240 Softgel Capsules | Cold Pressed – Rich in Omega 6 &amp; 9 Essential Fatty Acids – Prostate &amp; Bladder Supplements, Non-GMO</t>
  </si>
  <si>
    <t>B07K6XGYPL</t>
  </si>
  <si>
    <t>NatureBell DHEA 100mg, 240 Capsules | Extra Strength, Micronized Grade for Better Absorption, Supports Energy Level, Metabolism and Healthy Aging for Men and Women, No GMOs and Made in U.S.A</t>
  </si>
  <si>
    <t>B074Q2KK6Z</t>
  </si>
  <si>
    <t>CoQ10 (Ubiquinone) 400mg with Omega 3 Fatty Acids, 240 Capsules | Stable High Absorption Form – Antioxidant Support for Heart &amp; Energy Health – Extra Strength Coenzyme Q10 Supplement</t>
  </si>
  <si>
    <t>B0BSP5GTMQ</t>
  </si>
  <si>
    <t>NatureBell Hyaluronic Acid Supplements 250mg | 240 Capsules, with Biotin 5000mcg &amp; Vitamin C 25mg, 3 in 1 Support - Skin Hydration, Joint Lubrication, Hair and Eye Health</t>
  </si>
  <si>
    <t>B076FH7639</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</si>
  <si>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</si>
  <si>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</si>
  <si>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</si>
  <si>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</si>
  <si>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Creatine Monohydrate Jar 1kg</t>
  </si>
  <si>
    <t>B0DJWVMRR9</t>
  </si>
  <si>
    <t>Berberine Supplement 500mg | 300 Veggie Capsules, 97% Pure Berberine HCL, 5:1 Root Extract – Healthy Glucose Metabolism &amp; Immune Support – Plant Based, Vegan, Non-GMO</t>
  </si>
  <si>
    <t>B0C7FF131K</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</si>
  <si>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</si>
  <si>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</si>
  <si>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</si>
  <si>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Quercetin 1000mg Per Serving | 240 Capsules, Ultra Strength Quercetin Supplement | Bioflavonoids for Healthy Immune Support, Third Party Tested, Non-GMO &amp; No Gluten</t>
  </si>
  <si>
    <t>B07H9LGDPM</t>
  </si>
  <si>
    <t>Total Ad Sales</t>
  </si>
  <si>
    <t>HB</t>
  </si>
  <si>
    <t>KC</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</si>
  <si>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</si>
  <si>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</si>
  <si>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</si>
  <si>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主要是BFCM deal導致銷量上的變化, TOP KW補上400mg的詞跑看, 上提KW力度, 現在KW花費少, 補上一些競品有量的詞</t>
  </si>
  <si>
    <t>Magnesium Glycinate 400mg | Elemental Magnesium - 300 Capsules | Chelated for Easy Absorption | Highly Purified Essential Trace Mineral for Muscle, Joint, Heart, &amp; Immune Support</t>
  </si>
  <si>
    <t>B0BKRPXKWD</t>
  </si>
  <si>
    <t xml:space="preserve">Electrolyte Powder Lemon Lime Flavor Jar </t>
  </si>
  <si>
    <t>B0DJWN567H</t>
  </si>
  <si>
    <t>Nitric Oxide Booster 3,000mg Per Serving, 300 Capsules</t>
  </si>
  <si>
    <t>B0CZGHL1TW</t>
  </si>
  <si>
    <t>Ginkgo Biloba 500mg Per Serving, 300 Capsules, 5 Month Supply – Grown in Northern Asia – Extra Strength, Non-GMO, No Gluten</t>
  </si>
  <si>
    <t>B081NW5N61</t>
  </si>
  <si>
    <t xml:space="preserve">Goat Milk 1lb </t>
  </si>
  <si>
    <t>B0F2L2SQT8</t>
  </si>
  <si>
    <t xml:space="preserve">Organic Mushroom Coffee Jar 10oz </t>
  </si>
  <si>
    <t>B0DJWQN3G7</t>
  </si>
  <si>
    <t>Eagleshine Vitamins Phosphatidylserine Supplement, 400mg Per Serving, 240 Capsules – Soy Free Sunflower Lecithin Source – Retains 20% Active PS – Nootropic Brain Health Support – Non-GMO</t>
  </si>
  <si>
    <t>B0971RLCR2</t>
  </si>
  <si>
    <t>CoQ10 600mg with DHA</t>
  </si>
  <si>
    <t>B0F1CC797J</t>
  </si>
  <si>
    <t xml:space="preserve">CoQ10 300mg with Omega-3 capsules 240 count </t>
  </si>
  <si>
    <t>B0F1C28KV6</t>
  </si>
  <si>
    <t>Organic Beet Root Powder 3lb</t>
  </si>
  <si>
    <t>B0C2XJ92Y6</t>
  </si>
  <si>
    <t xml:space="preserve">Norwegian Cod Liver Oil 2000mg softgels 240 count </t>
  </si>
  <si>
    <t>B0FCVRCJ2S</t>
  </si>
  <si>
    <t>Creatine Monohydrate 5000mg Powder 1.2kg</t>
  </si>
  <si>
    <t>B0FCVJZRMF</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</si>
  <si>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</si>
  <si>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</si>
  <si>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</si>
  <si>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Quercetin 1,000mg Per Serving, 300 Capsules – Healthy Immune Support Supplements, High Bioavailable Flavonoids, Natural Antioxidant – Non-GMO, Soy Free, No Gluten</t>
  </si>
  <si>
    <t>B07XW8BXDS</t>
  </si>
  <si>
    <t>2 Pack Magnesium Complex 500mg</t>
  </si>
  <si>
    <t>B0FMBTVDK2</t>
  </si>
  <si>
    <t>Apigenin, 100mg Per Serving, 240 Capsules – Plant Extract from Chamomile Flower – Active Bioflavonoids &amp; Antioxidants – Sleep &amp; Relaxation Supplement</t>
  </si>
  <si>
    <t>B09LFFGQXM</t>
  </si>
  <si>
    <t>DEAL SUPPLEMENT Citicoline CDP Choline, 1,000mg Per Serving, 120 Capsules – Extra Strength Choline Supplements – Nootropic B Vitamin Properties – Promotes Brain Health, Memory, &amp; Focus – Non-GMO</t>
  </si>
  <si>
    <t>B0C2WY5ZN1</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</si>
  <si>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</si>
  <si>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</si>
  <si>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</si>
  <si>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</si>
  <si>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</si>
  <si>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</si>
  <si>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Myo-Inositol &amp; D-Chiro Inositol (40:1) 2,050mg Per Serving, 240 Veggie Capsules – with Folate, Vitamin D3, &amp; Vitex Complex – Hormonal, Ovarian, &amp; Liver Support Supplement</t>
  </si>
  <si>
    <t>B0BWGKT1PJ</t>
  </si>
  <si>
    <t>Vitamin K2 (MK-7) 200mcg, 240 Virgin Coconut Oil Softgels | Premium Menaquinone-7 Form, Easily Absorbed Vitamin K Supplement – Bone, Joint, &amp; Immune Support – Non-GMO</t>
  </si>
  <si>
    <t>B088B4L5WB</t>
  </si>
  <si>
    <t>DEAL SUPPLEMENT Premium K Complete - High Potency Vitamin K1, K2 MK-7 &amp; MK-4 Complex, 200 Coconut Oil Infused Softgels - Full Spectrum Triple Vitamin K, Optimal Bone &amp; Heart Health Support</t>
  </si>
  <si>
    <t>B0BWH7QPX6</t>
  </si>
  <si>
    <t>Unscented Magnesium Flakes, 10lbs</t>
  </si>
  <si>
    <t>B0CZFY5HHJ</t>
  </si>
  <si>
    <t>Moringa 9,000mg capsules 240 count</t>
  </si>
  <si>
    <t>B0DJWPJ2MX</t>
  </si>
  <si>
    <t>DEAL SUPPLEMENT Ultra Strength HMB Supplements 3,000mg Per Serving, 240 Capsules | Third Party Tested | Supports Muscle Growth, Retention &amp; Lean Muscle Mass | Fast Workout Recovery</t>
  </si>
  <si>
    <t>B0C8M8X8PG</t>
  </si>
  <si>
    <t>Korean Red Panax Ginseng Root Extract, 7,500mg Per Serving, 240 Softgels – 150mg Active Ginsenosides, 5:1 Max Strength Extract – Energy &amp; Immune Health Supplement – Non-GMO</t>
  </si>
  <si>
    <t>B08517K5QY</t>
  </si>
  <si>
    <t>Psyllium Husk Fiber, 300 Capsules | 1500mg Per Serving, Complexed with Inulin &amp; Acacia – Natural Soluble Fiber Supplement, Plant Based, Non-GMO | Supports Digestive and Colon Health for Men and Women</t>
  </si>
  <si>
    <t>B0BKR4ZNH1</t>
  </si>
  <si>
    <t>9.9低價產品</t>
  </si>
  <si>
    <t>Multi Collagen Protein Powder,1Lb - Type I, II, III, V, X Collagen Peptides with Biotin 10000mcg, Vitamin C &amp; Hyaluronic Acid - Unflavored - Keto &amp; Paleo Friendly, Great for Hair, Skin, Nails &amp; Joints</t>
  </si>
  <si>
    <t>B0BL1NMB59</t>
  </si>
  <si>
    <t>Bitter Melon 15,000mg Per Serving | 300 Capsules, with Berberine HCL | 15:1 Wild Bitter Melon Fruit Extract | Third Party Tested | Plant Based, Non-GMO &amp; No Gluten</t>
  </si>
  <si>
    <t>B081ZH92R6</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</si>
  <si>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</si>
  <si>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</si>
  <si>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</si>
  <si>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 xml:space="preserve">Astaxanthin 24mg softgels 120 count </t>
  </si>
  <si>
    <t>B0DNRKCZGT</t>
  </si>
  <si>
    <t>Ultra Strength CLA 3000mg | 240 Softgels, Active Conjugated Linoleic Acid from Non-GMO Safflower Oil, Non-Stimulating, Supports Weight Management | Lean Muscle Mass</t>
  </si>
  <si>
    <t>B07WWK3SMQ</t>
  </si>
  <si>
    <t>Whole milk powder 3lb</t>
  </si>
  <si>
    <t>B0DJWTBLGH</t>
  </si>
  <si>
    <t>Unsweetened Organic Coconut Milk Powder, 3lbs – Dairy Free Creamer Alternative – Sugar Free Raw Flavor – Rich Source of MCT Oil – Great for Coffee or Tea – Non-GMO, Plant Based, Keto</t>
  </si>
  <si>
    <t>B0CF3HYSHR</t>
  </si>
  <si>
    <t>DHA Supplements | 240 Softgels, Burpless, Lemon Flavor, DHA 1000mg + EPA 500mg, Wild Caught Fish, Rich in Omega-3s, Mercury Free, Non-GMO, Support Brain Heart &amp; Joint Health</t>
  </si>
  <si>
    <t>B08WHZZP5F</t>
  </si>
  <si>
    <t>Tongkat Ali Extract 300:1 400mg &amp; Maca Root 400mg | 300 Capsules, Ultra Strength Longjack (Eurycoma Longifolia) + Peru Maca – Non-GMO, Herbal Supplement for Men Health, Performance, &amp; Energy</t>
  </si>
  <si>
    <t>B0C2WG9NLL</t>
  </si>
  <si>
    <t xml:space="preserve">Organic Matcha Green Tea Powder Jar 1lb </t>
  </si>
  <si>
    <t>B0DJWSLKQS</t>
  </si>
  <si>
    <t>DEAL SUPPLEMENT Psyllium Husk Powder 3 lbs, 9,000mg Per Serving – Unflavored, Plant Based, Soluble Dietary Fiber – Great for Baking &amp; Cooking – Keto Friendly, Gluten Free, Non-GMO</t>
  </si>
  <si>
    <t>B0C3NM9959</t>
  </si>
  <si>
    <t>DEAL SUPPLEMENT High Potency Vitamin A 25000 IU, 500 Coconut Oil Softgels | Easily Absorbed, Natural Fish Liver Oil Source – Vitamins for Eye, Immune, &amp; Skin Health – Easy to Swallow, Non-GMO</t>
  </si>
  <si>
    <t>B0BKR14XL3</t>
  </si>
  <si>
    <t>DEAL SUPPLEMENT Folic Acid 1000 mcg (1 mg), 500 Coconut Oil Softgels | Bioavailable Prenatal Vitamins (Vitamin B9) – 1,667 mcg DFE – Easy to Swallow, Non-GMO, &amp; No Gluten</t>
  </si>
  <si>
    <t>B09F2NL4H6</t>
  </si>
  <si>
    <t>Alpha Lipoic Acid 1,000mg, 180 Veggie Capsules – 50/50 R-ALA &amp; S-ALA for Max Bioavailability – Antioxidant Supplement – Energy &amp; Nervous System Support – Non-GMO</t>
  </si>
  <si>
    <t>B0BWHLHMHY</t>
  </si>
  <si>
    <t>DEAL SUPPLEMENT Methyl B-12 Vitamins 5000 mcg, 240 Chewable Tablets | Active Form - Strawberry Flavored - Energy Support &amp; Brain Health Function - Vegetarian &amp; GMO Free</t>
  </si>
  <si>
    <t>B0BKR522Q9</t>
  </si>
  <si>
    <t>2 Pack Deal Supplement Vitamin D3 K2 Softgel, 250 Count, 2-1 Complex, Vitamin D3 5000 IU &amp; Vitamin K2 MK7, Promotes Heart, Bone &amp; Teeth Health – Very Easy to Swallow</t>
  </si>
  <si>
    <t>B08LMTG54X</t>
  </si>
  <si>
    <t>Allulose Sweetener 6 Pounds</t>
  </si>
  <si>
    <t>B0F2L717LV</t>
  </si>
  <si>
    <t>DEAL SUPPLEMENT Vitamin E Supplements, 1,000 IU Per Serving, 240 Softgels – Extra Strength Antioxidant Protection – Bioavailable Stable Form – Skin, Heart, Brain, &amp; Immune Support – Non-GMO</t>
  </si>
  <si>
    <t>B0C2X2BW68</t>
  </si>
  <si>
    <t>Organic Lemon Powder, 1lb – Real Freeze-Dried Lemon Source – Rich in Essential Vitamin C – Natural Immune Support – Raw Lemon Juice Flavor &amp; Aroma – Non-GMO, Filler Free, No Sugar</t>
  </si>
  <si>
    <t>B0CF3RZQCZ</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</si>
  <si>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</si>
  <si>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</si>
  <si>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</si>
  <si>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Berberine 500mg with Yohimbine</t>
  </si>
  <si>
    <t>B0CZGQN3Y4</t>
  </si>
  <si>
    <t>Allulose Sweetener Powder 4lb</t>
  </si>
  <si>
    <t>B0DCKRMSJ8</t>
  </si>
  <si>
    <t>Ultra Strength HMB Supplements 1000mg Per Serving, 300 Capsules | Third Party Tested | Supports Muscle Growth, Retention &amp; Lean Muscle Mass | Fast Workout Recovery</t>
  </si>
  <si>
    <t>B0971W4PSN</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</si>
  <si>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</si>
  <si>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</si>
  <si>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</si>
  <si>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DEAL SUPPLEMENT 2 Pack of Ultra Strength HMB Supplements 1000mg Per Serving, 600 Capsules | Third Party Tested | Supports Muscle Growth, Retention &amp; Lean Muscle Mass | Fast Workout Recover</t>
  </si>
  <si>
    <t>B0B7CMR12N</t>
  </si>
  <si>
    <t>Red Yeast Rice 1,200mg Per Serving with CoQ10 100mg, 300 Capsules – Heart Health Supplement &amp; Antioxidant Support – Pure Monascus Purpureus Powder Source – Citrinin Free, Non-GMO</t>
  </si>
  <si>
    <t>B07WV6898X</t>
  </si>
  <si>
    <t>2 Pack of Tongkat Ali Extract 300:1 Enhanced with Horny Goat, 1100mg Per Serving, 180 Capsules, 2-1 Formula, Indonesia Origin Eurycoma Longifolia (Longjack), Max Strength Tongkat Ali for Men</t>
  </si>
  <si>
    <t>B0BMDPLQ3K</t>
  </si>
  <si>
    <t>Kava Kava Supplement 750mg, 180 Capsules, 3 Months Supply, Kava Kava Root Extract, Promotes Stress &amp; Anxiety Relief, Mental Calmness and Restful Sleep</t>
  </si>
  <si>
    <t>B07XVS9MS3</t>
  </si>
  <si>
    <t>Magnesium Citrate Powder 500mg, 3lbs – Unflavored, Easily Absorbed – Purified Trace Mineral for Muscle, Heart, &amp; Digestive Support – One a Day, Non-GMO, Filler Free</t>
  </si>
  <si>
    <t>B0C8M1F4V7</t>
  </si>
  <si>
    <t>Quercetin 1000mg Per Serving (2 Pack) | 300 Capsules, High Bioavailable Flavonoids, Third Party Tested, Supports Healthy Immune System, Non-GMO, No Gluten</t>
  </si>
  <si>
    <t>B08M23CLN5</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</si>
  <si>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</si>
  <si>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</si>
  <si>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</si>
  <si>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Cayenne Pepper 5lb</t>
  </si>
  <si>
    <t>B0CDDY9DJL</t>
  </si>
  <si>
    <t>CoQ10 200mg &amp; PQQ 200mcg, 240 Veggie Capsules – 2 in 1 Coenzyme Q10 Supplement for Better Absorption – Antioxidant Support for Energy, Brain, &amp; Heart Health – Non-GMO</t>
  </si>
  <si>
    <t>B0C2WV9FGF</t>
  </si>
  <si>
    <t>KSM-66 Ashwagandha 1200mg</t>
  </si>
  <si>
    <t>B0DJWP1442</t>
  </si>
  <si>
    <t xml:space="preserve">Saccaromyces Boulardii + FOS </t>
  </si>
  <si>
    <t>B0DJWTDKW3</t>
  </si>
  <si>
    <t>Multi Collagen Pills with Hyaluronic Acid, Vitamin C &amp; Biotin 5000mcg, 300 Capsules - Type I, II, III, V, X Collagen Supplements for Women or Men - Hair, Skin, Nail, &amp; Joint Health - Unflavored, Keto</t>
  </si>
  <si>
    <t>B0C2WPPTNM</t>
  </si>
  <si>
    <t>Eagleshine Vitamins 2 Pack NAC Supplement (N-Acetyl Cysteine) 1,000mg Per Serving with Reduced Glutathione, 480 Total Capsules – Antioxidant Support for Immune Health, Lung, &amp; Liver Function</t>
  </si>
  <si>
    <t>B08M245LZF</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</si>
  <si>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</si>
  <si>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</si>
  <si>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</si>
  <si>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Organic Lions Mane Mushroom Powder Supplement, 1,500mg Per Serving, 1lb – Active Fruiting Body &amp; Mycelium Extract – Natural Brain Nootropic &amp; Immune System Booster – Non-GMO</t>
  </si>
  <si>
    <t>B0C8LTR6L1</t>
  </si>
  <si>
    <t>Zinc 50mg with Selenium 200mcg + Copper, 240 Capsules, 8 Month Supply, 3 in 1 Mineral Formula, Zinc Picolinate Complex Supplement, Supports Healthy Immune System for Adults and Kid</t>
  </si>
  <si>
    <t>B08FXYT1RT</t>
  </si>
  <si>
    <t>Eagle Shine Vitamins 2 Pack Antarctic Krill Oil, 1,000mg Per Serving, 480 Softgels – Mercury Free, No Fishy Taste – Rich in Omega-3s, EPA, DHA, Astaxanthin, &amp; Phospholipids – Non-GMO, No Gluten</t>
  </si>
  <si>
    <t>B08X63BXLZ</t>
  </si>
  <si>
    <t>Essential Amino Acids (EAA) 2000mg Per Serving, 300 Capsules – Unflavored - 9 in 1, All BCAAs (Branched-Chain Aminos) – Lean Muscle Support &amp; Natural Pre Workout Supplement</t>
  </si>
  <si>
    <t>B0BWH3JMNB</t>
  </si>
  <si>
    <t>Vitamin B3 Nicotinamide 1,000mg Per Serving – 500 Capsules, Flush Free Niacin, Essential B3 Vitamin Supplement – Supports Healthy Skin &amp; Energy Production – Non-GMO</t>
  </si>
  <si>
    <t>B0C2X6VR58</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</si>
  <si>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</si>
  <si>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</si>
  <si>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</si>
  <si>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 xml:space="preserve">Fruits &amp; Veggies 240 caps </t>
  </si>
  <si>
    <t>B0DJWV79NT</t>
  </si>
  <si>
    <t>Vitamin K2 Supplement 600mcg, 180 Virgin Coconut Oil Softgels – Full Spectrum MK-7 &amp; MK-4 Forms, High Absorption, Triple Strength K Vitamins – Bone, Joint, &amp; Immune Support – Non-GMO</t>
  </si>
  <si>
    <t>B0CF3N7PNY</t>
  </si>
  <si>
    <t>Vitamin B2 400mg (Riboflavin) | with Magnesium Glycinate 400mg, 240 Capsules – 2 in 1 Support Healthy Nervous System, Mood, Blood &amp; Energy Production, Non-GMO</t>
  </si>
  <si>
    <t>B085PZLP29</t>
  </si>
  <si>
    <t>2 Pack Creatine Monohydrate Powder 600 Grams (21.2oz), Unflavored | Pure | Micronized Creatine Powder, 5000mg Per Serving, 4 Month Supply, Vegan | Keto, Non-GMO, No Filler, No Additives - 120 Servings</t>
  </si>
  <si>
    <t>B0BGR22RG6</t>
  </si>
  <si>
    <t>DEAL SUPPLEMENT Slippery Elm Capsules, 6,000mg Per Serving – 300 Pills, Made with Organic Inner Bark Powder Extract – Natural Herb for Soothing Throat &amp; Digestive Support – Non-GMO</t>
  </si>
  <si>
    <t>B0C2XJGG1H</t>
  </si>
  <si>
    <t>DEAL SUPPLEMENT Odorless Aged Garlic Pills, 6,000mg Per Serving, 500 Softgels – 24:1 Garlic Oil Extract – Fresh Allium Sativum Bulb Source – Heart &amp; Immune Antioxidant Supplements – Non-GMO</t>
  </si>
  <si>
    <t>B0CF3CTC2V</t>
  </si>
  <si>
    <t>Allulose Sweetener 2 Pounds – Natural Sugar Subsitutes, No Aftertaste - Keto Friendly, Vegan, Zero Net Carb, Zero Calorie, Great for Cooking &amp; Baking</t>
  </si>
  <si>
    <t>B0BL1R1T8Y</t>
  </si>
  <si>
    <t>DEAL SUPPLEMENT Lutein and Zeaxanthin Supplements, 40mg Per Serving, 300 Softgels – Plus Astaxanthin, Omega-3s, &amp; Phospholipids – Essential Eye Vitamins &amp; Vision Health Support – Non-GMO</t>
  </si>
  <si>
    <t>B0C2XFMKWL</t>
  </si>
  <si>
    <t>Myo-Inositol &amp; D-Chiro Inositol Supplement for Women 40:1</t>
  </si>
  <si>
    <t>B0FCWBBR9Z</t>
  </si>
  <si>
    <t>DEAL SUPPLEMENT Vitamin D3 50,000 IU + K2 MK7 200 mcg,240 Softgels | Virgin Coconut Oil, Max Strength Vitamin D &amp; K, Promotes Heart, Bone, &amp; Teeth Health – One Softgel Weekly, Easy to Swallow</t>
  </si>
  <si>
    <t>B0C8LR3L5M</t>
  </si>
  <si>
    <t>Dihydroberberine 100mg</t>
  </si>
  <si>
    <t>B0DCKRBV9T</t>
  </si>
  <si>
    <t>2 Pack Magnesium Glycinate 500mg, 480 Veggie Capsules | Chelated for Easy Absorption | Highly Purified Essential Trace Mineral for Muscle, Joint, Heart, &amp; Digestive Health</t>
  </si>
  <si>
    <t>B0C6V5K27L</t>
  </si>
  <si>
    <t>DEAL SUPPLEMENT D Mannose Veggie Capsules, 2,000mg Per Serving, 240 Pills – Fast Acting Water-Soluble Form – Extra Strength Urinary Tract (UTI) Health Support – Non-GMO, Vegan Friendly</t>
  </si>
  <si>
    <t>B0C2SSC3XZ</t>
  </si>
  <si>
    <t>NAD+ 1000mg</t>
  </si>
  <si>
    <t>B0DJWRXKPX</t>
  </si>
  <si>
    <t>Irish Sea Moss 7,000mg Per Serving, 240 Veggie Capsules</t>
  </si>
  <si>
    <t>B0CZFZYXN3</t>
  </si>
  <si>
    <t xml:space="preserve">Organic Stevia Extract Powder 12oz </t>
  </si>
  <si>
    <t>B0CF3K9R3G</t>
  </si>
  <si>
    <t>Nattokinase 4,000 FU Per Serving, 240 Veggie Capsules – Bromelain, Turmeric Curcumin, with Black Pepper Complex – Heart Health &amp; Digestive Enzymes Supplement – Non-GMO, Vegan</t>
  </si>
  <si>
    <t>B0CF3HM62X</t>
  </si>
  <si>
    <t>Ceylon Cinnamon 6000mg with Chromium 1000mcg, 240 Capsules | Active Inner Bark Extract, True Sri Lanka Source | Natural Cinnamon Supplements</t>
  </si>
  <si>
    <t>B084Z9VQ2Q</t>
  </si>
  <si>
    <t>Organic Peruvian Maca Root Powder, 3lbs</t>
  </si>
  <si>
    <t>B0CF3MT9NR</t>
  </si>
  <si>
    <t>R Alpha Lipoic Acid 600mg with Benfotiamine 300mg Per Serving, 120 Veggie Capsules – 200mg R-ALA Per Capsule – Antioxidant Supplement for Energy &amp; Nervous System Support</t>
  </si>
  <si>
    <t>B0CF3P11B1</t>
  </si>
  <si>
    <t xml:space="preserve">Beef Gelatin Powder 1lb </t>
  </si>
  <si>
    <t>B0F1C28MLR</t>
  </si>
  <si>
    <t>Lions Mane Mushroom Supplement, 7,500mg Per Serving, 240 Capsules – Active Fruiting Body &amp; Mycelium 10:1 Extract – Natural Brain Nootropic &amp; Immune System Booster – Non-GMO</t>
  </si>
  <si>
    <t>B09KZ1VNPF</t>
  </si>
  <si>
    <t>Berberine Max Supplement, 5,000mg Per Serving, 240 Veggie Capsules – 97% Pure Berberine HCL – 25:1 Root Extract – Glucose Metabolism &amp; Weight Management Support– Non-GMO</t>
  </si>
  <si>
    <t>B0C7FPF4TT</t>
  </si>
  <si>
    <t>Vitamin D3K2 5,000IU with coconut oil</t>
  </si>
  <si>
    <t>B0CZFY5H2J</t>
  </si>
  <si>
    <t>5-HTP 200mg Per Serving, 240 Capsules, 98% African Derived Griffonia Seed Extract | 4 in 1 Formula Plus Active L-Theanine, L-Tryptophan &amp; GABA, Complete Support for Positive Mood, Relaxation</t>
  </si>
  <si>
    <t>B08WHFZQSJ</t>
  </si>
  <si>
    <t>Mullein Leaf 20,000mg, 240 Veggie Capsules – 20:1 Max Strength Leaf Extract – Natural Soothing Herb for Lungs – Supports Respiratory &amp; Immune Health – Non-GMO, Vegan</t>
  </si>
  <si>
    <t>B0C8LYLM61</t>
  </si>
  <si>
    <t>Glutathione Supplement 1000mg Per Serving, 98% Purity | Plus Vitamin C 500mg, Active Reduced Form (GSH) | 60 Capsules - Intracellular Antioxidant, Detoxification* Support, Immune &amp; Skin Whitening</t>
  </si>
  <si>
    <t>B09BDNFL58</t>
  </si>
  <si>
    <t>Bioactive Vitamin B Complex | 240 Veggie Capsules - Methylated B Vitamins &amp; Esterified Vitamin C, High Potency &amp; Easy Absorption – Immune, Energy, &amp; Metabolism Supplement – Non-GMO, Vegan</t>
  </si>
  <si>
    <t>B0BWGKFVS9</t>
  </si>
  <si>
    <t xml:space="preserve">Vitamin D3K2 2000IU with coconut oil </t>
  </si>
  <si>
    <t>B0DCJ6L37S</t>
  </si>
  <si>
    <t>Vitamin B1 500mg with Benfotiamine, 240 Capsules – 2 in 1 Enhanced Formula – Fat &amp; Water Soluble Thiamine B1 Supplement – Third Party Tested, Non-GMO, No Gluten</t>
  </si>
  <si>
    <t>B081ZJQYVK</t>
  </si>
  <si>
    <t>Resveratrol Complex 2000mg</t>
  </si>
  <si>
    <t>B0DJWR8MZ3</t>
  </si>
  <si>
    <t>Creatine Monohydrate Powder 600 Grams (1.32lb), Unflavored | Pure | Micronized Creatine Powder, 5000mg(5g) Per Serving, 4 Month Supply, Vegan | Keto, Non-GMO, No Filler, No Additives - 120 Servings</t>
  </si>
  <si>
    <t>B0B2FF7XN9</t>
  </si>
  <si>
    <t>Vitamin D3 10,000 IU + K2 MK7 200 mcg, Infused with Virgin Coconut Oil, 250 Softgels, Double Strength Vitamin D &amp; K, Promotes Heart, Bone &amp; Teeth Health - Very Easy to Swallow</t>
  </si>
  <si>
    <t>B08FXX6WSZ</t>
  </si>
  <si>
    <t>Omega 3 Fish Oil Supplements, 3,000mg Per Serving, 240 Softgels – EPA 1,200mg + DHA 900mg – Burpless Pills, Lemon Flavored, Wild Caught – Brain &amp; Heart Support – Mercury Free, Non-GMO</t>
  </si>
  <si>
    <t>B0CF38KTZQ</t>
  </si>
  <si>
    <t>Bromelain Supplement 2,000mg Per Serving, 240 Capsules – Natural Proteolytic Enzymes from Fresh Pineapple – Supports Nutrient Digestion</t>
  </si>
  <si>
    <t>B09BDHTR2H</t>
  </si>
  <si>
    <t>整体水平没有变化只是primeday多出了一些</t>
  </si>
  <si>
    <t>DEAL SUPPLEMENT Unflavored Pea Protein Powder, 5lbs – Premium North American Grown Peas – Easily Digested Isolate Form – Great for Shakes, Bars, or Snacks – 27g Protein Serving, Soy Free, Vegan</t>
  </si>
  <si>
    <t>B0C2WJHQLT</t>
  </si>
  <si>
    <t>DEAL SUPPLEMENT Oil of Oregano Softgels with Black Seed Oil, 9,000mg Per Serving, 300 Count – 30:1 Extract, Active Carvacrol &amp; Thymoquinone – Antioxidant Immune Health Support – Plant Based, Non-GMO</t>
  </si>
  <si>
    <t>B0BWGY19D1</t>
  </si>
  <si>
    <t>DEAL SUPPLEMENT Alpha GPC 600mg Per Serving, 240 Capsules – Bioavailable Choline Replenishment –Nootropic Brain Health Supplements for Memory and Focus – Non-GMO, Gluten Free</t>
  </si>
  <si>
    <t>B0C2X5QQRR</t>
  </si>
  <si>
    <t>Hyaluronic Acid Supplements 1,500mg – 240 Capsules, with MSM &amp; Vitamin C – Pure 95% | Non-GMO + Plant Based HA – Supports Healthy Joints, Bones, Connective Tissue, &amp; Skin Hydration</t>
  </si>
  <si>
    <t>B091G5YF1J</t>
  </si>
  <si>
    <t>Max Strength Magnesium Glycinate 500mg Per Serving, 240 Capsules | Chelated, Highly Purified, Essential Mineral | Magnesium Supplement for Muscle, Joint, &amp; Heart Health</t>
  </si>
  <si>
    <t>B0CF3JV16Q</t>
  </si>
  <si>
    <t>DEAL SUPPLEMENT Rhodiola Rosea with Ashwagandha 5,000mg Per Serving, 240 Veggie Capsules – Max Strength 10:1 Root Extract – Adaptogenic Supplements for Relaxation, Energy, &amp; Brain Health – Non-GMO</t>
  </si>
  <si>
    <t>B0C8PVGKSK</t>
  </si>
  <si>
    <t>Organic Matcha Green Tea Powder, 2lbs (907g) | Zero Sugar, First Harvest | Culinary Grade, Cafe Mix, Keto Friendly, Genuine Japanese Source, Non-GMO, Vegetarian</t>
  </si>
  <si>
    <t>B0BY3V6ZR7</t>
  </si>
  <si>
    <t>Mushroom Supplement, 8,000mg Per Serving, 240 Capsules – 10 in 1 Defense Formula</t>
  </si>
  <si>
    <t>B0BWH9RWC9</t>
  </si>
  <si>
    <t>DIM Supplement 300mg, 240 Veggie Caps, 4 Months Supply, Diindolylmethane DIM Plus Black Pepper Extract, Estrogen Balance, Supports Acne &amp; PCOS Relief</t>
  </si>
  <si>
    <t>B07WV689LY</t>
  </si>
  <si>
    <t>Magnesium Citrate 400mg Per Serving, 300 Veggie Capsules – Chelated for Easy Absorption – Purified Trace Mineral – Supports Muscle, Heart, &amp; Digestive Health – Non-GMO</t>
  </si>
  <si>
    <t>B0BWGPJNTR</t>
  </si>
  <si>
    <t>B0F1BWQL3C</t>
  </si>
  <si>
    <t xml:space="preserve">Omega 3-6-9 3600mg 240 count </t>
  </si>
  <si>
    <t>B0F1C8CM23</t>
  </si>
  <si>
    <t>CoQ10 100mg, 240 Capsules – with Omega 3 Fatty Acid 100mg – Bioavailable Coenzyme Q10 Supplements – Heart, Energy, &amp; Brain Health Antioxidant Support – Non-GMO, One A Day</t>
  </si>
  <si>
    <t>B0CF3M3Y1M</t>
  </si>
  <si>
    <t>Benfotiamine 600mg Per Serving, 180 Veggie Capsules (300mg Per Cap), Fat Soluble Vitamin B1 Thiamine Supplement – Supports Energy &amp; Nervous System Health – 3rd Party Tested, Non-GMO, Gluten Free</t>
  </si>
  <si>
    <t>B0BWH53V3J</t>
  </si>
  <si>
    <t>Pumpkin Seed Oil 3,000mg with Saw Palmetto, 240 Softgels</t>
  </si>
  <si>
    <t>B0FCW9DX6Y</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</si>
  <si>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</si>
  <si>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</si>
  <si>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</si>
  <si>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Creatine Monohydrate Powder 300 Grams (60 Servings), Unflavored | Pure | Micronized Creatine Powder, 5000mg(5g) Per Serving, 2 Month Supply, Vegan | Keto, Non-GMO, No Filler, No Additives</t>
  </si>
  <si>
    <t>B09YX7G6JJ</t>
  </si>
  <si>
    <t>Magnesium Complex Supplement 500mg, 240 Veggie Capsules – 10 in 1 Blend with Glycinate, Citrate, Malate, &amp; More – Chelated for Easy Absorption – Muscle, Joint, &amp; Relaxation Support</t>
  </si>
  <si>
    <t>B07WS2TFP1</t>
  </si>
  <si>
    <t xml:space="preserve">Lithium Orotate 5mg capsules </t>
  </si>
  <si>
    <t>B0FQZPJY9F</t>
  </si>
  <si>
    <t>Max Triple Magnesium Complex 500mg capsules 240 count </t>
  </si>
  <si>
    <t>B0FQZNWZNC</t>
  </si>
  <si>
    <t>Electrolyte Powder Icy Grape Flavor 1lb </t>
  </si>
  <si>
    <t>B0FCW5LHQ8</t>
  </si>
  <si>
    <t>Electrolyte Powder Watermelon Flavor 1lb </t>
  </si>
  <si>
    <t>B0FQYTVF81</t>
  </si>
  <si>
    <t xml:space="preserve">Electrolyte Powder Mixed Berry Flavor 1lb </t>
  </si>
  <si>
    <t>B0FQZSJXL1</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</si>
  <si>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</si>
  <si>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</si>
  <si>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</si>
  <si>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</si>
  <si>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</si>
  <si>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</si>
  <si>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</si>
  <si>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</si>
  <si>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</si>
  <si>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</si>
  <si>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</si>
  <si>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</si>
  <si>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</si>
  <si>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</si>
  <si>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</si>
  <si>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</si>
  <si>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</si>
  <si>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</si>
  <si>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</si>
  <si>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</si>
  <si>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</si>
  <si>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</si>
  <si>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</si>
  <si>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</si>
  <si>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</si>
  <si>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</si>
  <si>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</si>
  <si>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</si>
  <si>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</si>
  <si>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</si>
  <si>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</si>
  <si>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</si>
  <si>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</si>
  <si>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</si>
  <si>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</si>
  <si>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</si>
  <si>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</si>
  <si>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Year to Date</t>
  </si>
  <si>
    <t>MI</t>
  </si>
  <si>
    <t>NB</t>
  </si>
  <si>
    <t>DS</t>
  </si>
  <si>
    <t>Total</t>
  </si>
  <si>
    <t>$ Ad Sales</t>
  </si>
  <si>
    <t>$ Spend</t>
  </si>
  <si>
    <t>a</t>
  </si>
  <si>
    <t>Acos</t>
  </si>
  <si>
    <t>%</t>
  </si>
  <si>
    <t>Asin</t>
  </si>
  <si>
    <t>Brand</t>
  </si>
  <si>
    <t>B0BR4NQGSC</t>
  </si>
  <si>
    <t>B01JNNAGEY</t>
  </si>
  <si>
    <t>B0CG7C5X2F</t>
  </si>
  <si>
    <t>B09TG497BW</t>
  </si>
  <si>
    <t>B07L44PJYM</t>
  </si>
  <si>
    <t>B0B239F6JW</t>
  </si>
  <si>
    <t>B0BCMY5TBJ</t>
  </si>
  <si>
    <t>B0CG7M7PRM</t>
  </si>
  <si>
    <t>B07P3HDQD9</t>
  </si>
  <si>
    <t>B087F1HYB7</t>
  </si>
  <si>
    <t>B01N91404L</t>
  </si>
  <si>
    <t>B01DPW5EIM</t>
  </si>
  <si>
    <t>B07CRQ7NJ5</t>
  </si>
  <si>
    <t>B01DPW5MJI</t>
  </si>
  <si>
    <t>B09SBP5D35</t>
  </si>
  <si>
    <t>B01MTLG2HR</t>
  </si>
  <si>
    <t>B07RD8TVDG</t>
  </si>
  <si>
    <t>B01N02YD5I</t>
  </si>
  <si>
    <t>B01BHF3J4K</t>
  </si>
  <si>
    <t>B01M3YCOJ4</t>
  </si>
  <si>
    <t>B08X6N1YBK</t>
  </si>
  <si>
    <t>B08MX256RL</t>
  </si>
  <si>
    <t>B08C73K1PR</t>
  </si>
  <si>
    <t>B08C9JP3L2</t>
  </si>
  <si>
    <t>B08MX453B9</t>
  </si>
  <si>
    <t>B08C77PT4J</t>
  </si>
  <si>
    <t>B07P3H1872</t>
  </si>
  <si>
    <t>B01DPW5DD8</t>
  </si>
  <si>
    <t>B07L47VZ1Z</t>
  </si>
  <si>
    <t>B0C35H2G42</t>
  </si>
  <si>
    <t>B07W86RNBX</t>
  </si>
  <si>
    <t>B07P3HRXK4</t>
  </si>
  <si>
    <t>B0CLFG8QLY</t>
  </si>
  <si>
    <t>B0B43XFX6P</t>
  </si>
  <si>
    <t>B0CG2L2N1J</t>
  </si>
  <si>
    <t>B0BSP1W5JW</t>
  </si>
  <si>
    <t>B0BSP38B2S</t>
  </si>
  <si>
    <t>B076B63VJC</t>
  </si>
  <si>
    <t>B0C88PXW63</t>
  </si>
  <si>
    <t>B0C2SCGYD4</t>
  </si>
  <si>
    <t>B09WXLZZRX</t>
  </si>
  <si>
    <t>B07R8FQG58</t>
  </si>
  <si>
    <t>B0C2SH4J85</t>
  </si>
  <si>
    <t>B087CMLT8J</t>
  </si>
  <si>
    <t>B086M6FBG4</t>
  </si>
  <si>
    <t>B076XMGV8M</t>
  </si>
  <si>
    <t>B0CFPQWQNC</t>
  </si>
  <si>
    <t>B07W8XG27G</t>
  </si>
  <si>
    <t>B092373KF3</t>
  </si>
  <si>
    <t>B0872L4YZS</t>
  </si>
  <si>
    <t>B07Y8Y19GR</t>
  </si>
  <si>
    <t>B08QDRP99J</t>
  </si>
  <si>
    <t>B08QDZLP2G</t>
  </si>
  <si>
    <t>B07G8GGRNT</t>
  </si>
  <si>
    <t>B0B9HVBQ4F</t>
  </si>
  <si>
    <t>B085WGL72X</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</si>
  <si>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</si>
  <si>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</si>
  <si>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</si>
  <si>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</si>
  <si>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</si>
  <si>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</si>
  <si>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</si>
  <si>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</si>
  <si>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</si>
  <si>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</si>
  <si>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</si>
  <si>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</si>
  <si>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</si>
  <si>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</si>
  <si>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</si>
  <si>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</si>
  <si>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</si>
  <si>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</si>
  <si>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</si>
  <si>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</si>
  <si>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</si>
  <si>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</si>
  <si>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</si>
  <si>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</si>
  <si>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</si>
  <si>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</si>
  <si>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</si>
  <si>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</si>
  <si>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</si>
  <si>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</si>
  <si>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</si>
  <si>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</si>
  <si>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Sum of Units Ordered (2/1-2/28)</t>
  </si>
  <si>
    <t>Sum of Session (2/1-2/28)</t>
  </si>
  <si>
    <t>Sum of Units Ordered (3/1-3/31)</t>
  </si>
  <si>
    <t>Sum of Session (3/1-3/31)</t>
  </si>
  <si>
    <t>Sum of Units Ordered (4/1-4/28)</t>
  </si>
  <si>
    <t>Sum of Session (4/1-4/28)</t>
  </si>
  <si>
    <t>B07G7YPJSJ</t>
  </si>
  <si>
    <t>B07WTXS4BL</t>
  </si>
  <si>
    <t>B081NWFC6W</t>
  </si>
  <si>
    <t>B085176YLP</t>
  </si>
  <si>
    <t>B08C4NZQYY</t>
  </si>
  <si>
    <t>B08WHGBYD3</t>
  </si>
  <si>
    <t>B08WHPNJTT</t>
  </si>
  <si>
    <t>B0BWH9Y7PZ</t>
  </si>
  <si>
    <t>B0C2SKQBDB</t>
  </si>
  <si>
    <t>B0C2W734WL</t>
  </si>
  <si>
    <t>B0C6VXPZTS</t>
  </si>
  <si>
    <t>B0C6W3MPRS</t>
  </si>
  <si>
    <t>B0C6WK3P6H</t>
  </si>
  <si>
    <t>B0C6WRVJQV</t>
  </si>
  <si>
    <t>B0C6WZJ2K6</t>
  </si>
  <si>
    <t>B0C8LWRXVV</t>
  </si>
  <si>
    <t>B0C8LXD8F2</t>
  </si>
  <si>
    <t>B0C8M8MQMR</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</si>
  <si>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</si>
  <si>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</si>
  <si>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</si>
  <si>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</si>
  <si>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</si>
  <si>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</si>
  <si>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</si>
  <si>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</si>
  <si>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</si>
  <si>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</si>
  <si>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</si>
  <si>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</si>
  <si>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</si>
  <si>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</si>
  <si>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</si>
  <si>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</si>
  <si>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</si>
  <si>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</si>
  <si>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</si>
  <si>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</si>
  <si>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</si>
  <si>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</si>
  <si>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</si>
  <si>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</si>
  <si>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</si>
  <si>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</si>
  <si>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</si>
  <si>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</si>
  <si>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</si>
  <si>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</si>
  <si>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</si>
  <si>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</si>
  <si>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</si>
  <si>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</si>
  <si>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</si>
  <si>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</si>
  <si>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</si>
  <si>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</si>
  <si>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</si>
  <si>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</si>
  <si>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</si>
  <si>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</si>
  <si>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</si>
  <si>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</si>
  <si>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</si>
  <si>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</si>
  <si>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</si>
  <si>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</si>
  <si>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</si>
  <si>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</si>
  <si>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</si>
  <si>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</si>
  <si>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</si>
  <si>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Jan</t>
  </si>
  <si>
    <t>Feb</t>
  </si>
  <si>
    <t>Mar</t>
  </si>
  <si>
    <t>Apr</t>
  </si>
  <si>
    <t>May</t>
  </si>
  <si>
    <t>June</t>
  </si>
  <si>
    <t>July</t>
  </si>
  <si>
    <t>August</t>
  </si>
  <si>
    <t>September</t>
  </si>
  <si>
    <t>October</t>
  </si>
  <si>
    <t>December</t>
  </si>
  <si>
    <t>B0BFJXC2JN</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</si>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</sst>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s>
  <fonts count="14">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theme="1"/>
      <name val="Calibri"/>
      <charset val="1"/>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7">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64">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1" xfId="0" applyFont="1" applyFill="1" applyBorder="1"/>
    <xf numFmtId="8" fontId="9" fillId="10" borderId="12" xfId="0" applyNumberFormat="1" applyFont="1" applyFill="1" applyBorder="1"/>
    <xf numFmtId="0" fontId="8" fillId="11" borderId="13" xfId="0" applyFont="1" applyFill="1" applyBorder="1"/>
    <xf numFmtId="8" fontId="9" fillId="11" borderId="14"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2" xfId="0" applyFont="1" applyFill="1" applyBorder="1"/>
    <xf numFmtId="0" fontId="9" fillId="11" borderId="14" xfId="0" applyFont="1" applyFill="1" applyBorder="1"/>
    <xf numFmtId="0" fontId="8" fillId="10" borderId="15" xfId="0" applyFont="1" applyFill="1" applyBorder="1"/>
    <xf numFmtId="10" fontId="9" fillId="10" borderId="7" xfId="0" applyNumberFormat="1" applyFont="1" applyFill="1" applyBorder="1"/>
    <xf numFmtId="0" fontId="8" fillId="0" borderId="16" xfId="0" applyFont="1" applyBorder="1"/>
    <xf numFmtId="10" fontId="9" fillId="0" borderId="10" xfId="0" applyNumberFormat="1" applyFont="1" applyBorder="1"/>
    <xf numFmtId="0" fontId="8" fillId="10" borderId="17" xfId="0" applyFont="1" applyFill="1" applyBorder="1"/>
    <xf numFmtId="10" fontId="9" fillId="10" borderId="12" xfId="0" applyNumberFormat="1" applyFont="1" applyFill="1" applyBorder="1"/>
    <xf numFmtId="0" fontId="8" fillId="11" borderId="18" xfId="0" applyFont="1" applyFill="1" applyBorder="1"/>
    <xf numFmtId="10" fontId="9" fillId="11"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19" xfId="0" applyFont="1" applyFill="1" applyBorder="1"/>
    <xf numFmtId="3" fontId="9" fillId="10" borderId="20" xfId="0" applyNumberFormat="1" applyFont="1" applyFill="1" applyBorder="1"/>
    <xf numFmtId="0" fontId="8" fillId="0" borderId="21" xfId="0" applyFont="1" applyBorder="1"/>
    <xf numFmtId="3" fontId="9" fillId="0" borderId="22" xfId="0" applyNumberFormat="1" applyFont="1" applyBorder="1"/>
    <xf numFmtId="0" fontId="8" fillId="10" borderId="21" xfId="0" applyFont="1" applyFill="1" applyBorder="1"/>
    <xf numFmtId="3" fontId="9" fillId="10" borderId="22" xfId="0" applyNumberFormat="1" applyFont="1" applyFill="1" applyBorder="1"/>
    <xf numFmtId="0" fontId="8" fillId="11" borderId="21" xfId="0" applyFont="1" applyFill="1" applyBorder="1"/>
    <xf numFmtId="3" fontId="9" fillId="11"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10" borderId="2" xfId="0" applyNumberFormat="1" applyFont="1" applyFill="1" applyBorder="1"/>
    <xf numFmtId="8" fontId="9" fillId="0" borderId="9" xfId="0" applyNumberFormat="1" applyFont="1" applyBorder="1"/>
    <xf numFmtId="8" fontId="9" fillId="10" borderId="11" xfId="0" applyNumberFormat="1" applyFont="1" applyFill="1" applyBorder="1"/>
    <xf numFmtId="8" fontId="9" fillId="11" borderId="13" xfId="0" applyNumberFormat="1" applyFont="1" applyFill="1" applyBorder="1"/>
    <xf numFmtId="10" fontId="9" fillId="10" borderId="2" xfId="0" applyNumberFormat="1" applyFont="1" applyFill="1" applyBorder="1"/>
    <xf numFmtId="10" fontId="9" fillId="0" borderId="9" xfId="0" applyNumberFormat="1" applyFont="1" applyBorder="1"/>
    <xf numFmtId="10" fontId="9" fillId="10" borderId="11" xfId="0" applyNumberFormat="1" applyFont="1" applyFill="1" applyBorder="1"/>
    <xf numFmtId="10" fontId="9" fillId="11" borderId="13" xfId="0" applyNumberFormat="1" applyFont="1" applyFill="1" applyBorder="1"/>
    <xf numFmtId="3" fontId="9" fillId="10" borderId="25" xfId="0" applyNumberFormat="1" applyFont="1" applyFill="1" applyBorder="1"/>
    <xf numFmtId="3" fontId="9" fillId="0" borderId="26" xfId="0" applyNumberFormat="1" applyFont="1" applyBorder="1"/>
    <xf numFmtId="3" fontId="9" fillId="10" borderId="26" xfId="0" applyNumberFormat="1" applyFont="1" applyFill="1" applyBorder="1"/>
    <xf numFmtId="3" fontId="9" fillId="11" borderId="26" xfId="0" applyNumberFormat="1" applyFont="1" applyFill="1" applyBorder="1"/>
    <xf numFmtId="9" fontId="7" fillId="0" borderId="27" xfId="0" applyNumberFormat="1" applyFont="1" applyBorder="1"/>
    <xf numFmtId="3" fontId="9" fillId="10" borderId="28" xfId="0" applyNumberFormat="1" applyFont="1" applyFill="1" applyBorder="1"/>
    <xf numFmtId="3" fontId="9" fillId="10" borderId="29" xfId="0" applyNumberFormat="1" applyFont="1" applyFill="1" applyBorder="1"/>
    <xf numFmtId="3" fontId="9" fillId="0" borderId="30" xfId="0" applyNumberFormat="1" applyFont="1" applyBorder="1"/>
    <xf numFmtId="3" fontId="9" fillId="10" borderId="30" xfId="0" applyNumberFormat="1" applyFont="1" applyFill="1" applyBorder="1"/>
    <xf numFmtId="3" fontId="9" fillId="11"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1" fillId="0" borderId="0" xfId="2" applyNumberFormat="1" applyFont="1"/>
    <xf numFmtId="0" fontId="2" fillId="3" borderId="0" xfId="0" applyFont="1" applyFill="1"/>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10" borderId="7" xfId="3" applyFont="1" applyFill="1" applyBorder="1"/>
    <xf numFmtId="43" fontId="9" fillId="0" borderId="10" xfId="3" applyFont="1" applyBorder="1"/>
    <xf numFmtId="43" fontId="9" fillId="10"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12" borderId="0" xfId="0" applyFill="1"/>
    <xf numFmtId="0" fontId="7" fillId="12" borderId="0" xfId="0" applyFont="1" applyFill="1"/>
    <xf numFmtId="0" fontId="7" fillId="12" borderId="0" xfId="0" applyFont="1" applyFill="1" applyAlignment="1">
      <alignment horizontal="left" vertical="justify"/>
    </xf>
    <xf numFmtId="43" fontId="9" fillId="11" borderId="14" xfId="0" applyNumberFormat="1" applyFont="1" applyFill="1" applyBorder="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xf numFmtId="0" fontId="13" fillId="0" borderId="34" xfId="0" applyFont="1" applyBorder="1" applyAlignment="1">
      <alignment readingOrder="1"/>
    </xf>
    <xf numFmtId="0" fontId="13" fillId="0" borderId="35" xfId="0" applyFont="1" applyBorder="1" applyAlignment="1">
      <alignment readingOrder="1"/>
    </xf>
    <xf numFmtId="0" fontId="13" fillId="0" borderId="36" xfId="0" applyFont="1" applyBorder="1" applyAlignment="1">
      <alignment readingOrder="1"/>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TCOS'!$B$37:$AG$37</c:f>
              <c:numCache>
                <c:formatCode>#,##0</c:formatCode>
                <c:ptCount val="32"/>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TCOS'!$B$38:$AG$38</c:f>
              <c:numCache>
                <c:formatCode>#,##0</c:formatCode>
                <c:ptCount val="32"/>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TCOS'!$B$39:$AG$39</c:f>
              <c:numCache>
                <c:formatCode>#,##0</c:formatCode>
                <c:ptCount val="32"/>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TCOS'!$B$40:$AG$40</c:f>
              <c:numCache>
                <c:formatCode>#,##0</c:formatCode>
                <c:ptCount val="32"/>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CVR!$A$432:$X$432</c:f>
              <c:strCache>
                <c:ptCount val="24"/>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pt idx="18">
                  <c:v>July</c:v>
                </c:pt>
                <c:pt idx="19">
                  <c:v>August</c:v>
                </c:pt>
                <c:pt idx="20">
                  <c:v>September</c:v>
                </c:pt>
                <c:pt idx="21">
                  <c:v>October</c:v>
                </c:pt>
                <c:pt idx="22">
                  <c:v>November</c:v>
                </c:pt>
                <c:pt idx="23">
                  <c:v>December</c:v>
                </c:pt>
              </c:strCache>
            </c:strRef>
          </c:cat>
          <c:val>
            <c:numRef>
              <c:f>CVR!$A$433:$X$433</c:f>
              <c:numCache>
                <c:formatCode>0.00%</c:formatCode>
                <c:ptCount val="24"/>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pt idx="18">
                  <c:v>0.28406653769105228</c:v>
                </c:pt>
                <c:pt idx="19">
                  <c:v>0.26958061467591166</c:v>
                </c:pt>
                <c:pt idx="20">
                  <c:v>0.2873</c:v>
                </c:pt>
                <c:pt idx="21">
                  <c:v>0.30430000000000001</c:v>
                </c:pt>
                <c:pt idx="22">
                  <c:v>0.30509589003028526</c:v>
                </c:pt>
                <c:pt idx="23">
                  <c:v>0.30727363623889636</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23</xdr:col>
      <xdr:colOff>537883</xdr:colOff>
      <xdr:row>99</xdr:row>
      <xdr:rowOff>0</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1335238</xdr:colOff>
      <xdr:row>440</xdr:row>
      <xdr:rowOff>36024</xdr:rowOff>
    </xdr:from>
    <xdr:to>
      <xdr:col>11</xdr:col>
      <xdr:colOff>1027206</xdr:colOff>
      <xdr:row>472</xdr:row>
      <xdr:rowOff>124552</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10"/>
  <sheetViews>
    <sheetView zoomScaleNormal="100" workbookViewId="0">
      <pane xSplit="2" ySplit="2" topLeftCell="U3" activePane="bottomRight" state="frozen"/>
      <selection pane="bottomRight" activeCell="AC3" sqref="AC3"/>
      <selection pane="bottomLeft" activeCell="A3" sqref="A3"/>
      <selection pane="topRight" activeCell="C1" sqref="C1"/>
    </sheetView>
  </sheetViews>
  <sheetFormatPr defaultRowHeight="15" customHeight="1"/>
  <cols>
    <col min="1" max="1" width="65.57031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27" customWidth="1"/>
    <col min="22" max="22" width="10.28515625" customWidth="1"/>
    <col min="23" max="23" width="15.85546875" customWidth="1"/>
    <col min="24" max="24" width="15.42578125" customWidth="1"/>
    <col min="25" max="25" width="9.7109375" customWidth="1"/>
  </cols>
  <sheetData>
    <row r="1" spans="1:29" ht="14.45" customHeight="1">
      <c r="B1" s="158">
        <v>45962</v>
      </c>
      <c r="C1" s="157"/>
      <c r="E1" s="158">
        <v>45992</v>
      </c>
      <c r="F1" s="157"/>
      <c r="J1" s="159"/>
      <c r="K1" s="159"/>
      <c r="M1" s="160" t="s">
        <v>0</v>
      </c>
      <c r="N1" s="160"/>
      <c r="O1" s="1"/>
      <c r="Q1" s="10" t="s">
        <v>1</v>
      </c>
      <c r="R1" s="1"/>
      <c r="U1" s="157" t="s">
        <v>2</v>
      </c>
      <c r="V1" s="157"/>
      <c r="W1" s="157" t="s">
        <v>3</v>
      </c>
      <c r="X1" s="157"/>
    </row>
    <row r="2" spans="1:29">
      <c r="A2" s="3" t="s">
        <v>4</v>
      </c>
      <c r="B2" s="3" t="s">
        <v>5</v>
      </c>
      <c r="C2" s="3" t="s">
        <v>6</v>
      </c>
      <c r="E2" s="3" t="s">
        <v>5</v>
      </c>
      <c r="F2" s="3" t="s">
        <v>6</v>
      </c>
      <c r="G2" t="s">
        <v>7</v>
      </c>
      <c r="J2" t="s">
        <v>8</v>
      </c>
      <c r="K2" t="s">
        <v>9</v>
      </c>
      <c r="M2" t="s">
        <v>10</v>
      </c>
      <c r="N2" t="s">
        <v>11</v>
      </c>
      <c r="Q2" s="5" t="s">
        <v>12</v>
      </c>
      <c r="U2" s="127" t="s">
        <v>13</v>
      </c>
      <c r="V2" t="s">
        <v>9</v>
      </c>
      <c r="W2" t="s">
        <v>14</v>
      </c>
      <c r="X2" t="s">
        <v>15</v>
      </c>
      <c r="Y2" t="s">
        <v>9</v>
      </c>
      <c r="Z2" t="s">
        <v>16</v>
      </c>
      <c r="AA2" t="s">
        <v>17</v>
      </c>
      <c r="AB2" t="s">
        <v>18</v>
      </c>
      <c r="AC2" t="s">
        <v>19</v>
      </c>
    </row>
    <row r="3" spans="1:29" ht="13.9" customHeight="1">
      <c r="A3" t="s">
        <v>20</v>
      </c>
      <c r="B3" t="s">
        <v>21</v>
      </c>
      <c r="C3" s="28">
        <v>30502</v>
      </c>
      <c r="E3" t="s">
        <v>21</v>
      </c>
      <c r="F3" s="28">
        <v>45231</v>
      </c>
      <c r="G3" t="b">
        <f>IF(B3=E3,TRUE,FALSE)</f>
        <v>1</v>
      </c>
      <c r="J3" s="25">
        <f>F3-C3</f>
        <v>14729</v>
      </c>
      <c r="K3" s="4">
        <f>F3/C3-1</f>
        <v>0.48288636810700947</v>
      </c>
      <c r="M3" s="5">
        <v>49158.46</v>
      </c>
      <c r="N3" s="5">
        <v>70406.539999999994</v>
      </c>
      <c r="Q3" s="139">
        <v>432556.33</v>
      </c>
      <c r="U3" s="127">
        <f>N3-M3</f>
        <v>21248.079999999994</v>
      </c>
      <c r="V3" s="4">
        <f>IF(M3=0,0,N3/M3-1)</f>
        <v>0.4322364858459764</v>
      </c>
      <c r="W3" s="18">
        <v>997240.75</v>
      </c>
      <c r="X3" s="18">
        <v>1348884.37</v>
      </c>
      <c r="Y3" s="4">
        <f>X3/W3-1</f>
        <v>0.35261657729089002</v>
      </c>
    </row>
    <row r="4" spans="1:29" ht="13.9" customHeight="1">
      <c r="A4" t="s">
        <v>22</v>
      </c>
      <c r="B4" t="s">
        <v>23</v>
      </c>
      <c r="C4" s="28">
        <v>54557</v>
      </c>
      <c r="E4" t="s">
        <v>23</v>
      </c>
      <c r="F4" s="28">
        <v>44290</v>
      </c>
      <c r="G4" t="b">
        <f>IF(B4=E4,TRUE,FALSE)</f>
        <v>1</v>
      </c>
      <c r="J4" s="25">
        <f>F4-C4</f>
        <v>-10267</v>
      </c>
      <c r="K4" s="4">
        <f>F4/C4-1</f>
        <v>-0.18818850010081201</v>
      </c>
      <c r="M4" s="5">
        <v>65747.56</v>
      </c>
      <c r="N4" s="5">
        <v>54763.47</v>
      </c>
      <c r="Q4" s="139">
        <v>400984.50999999995</v>
      </c>
      <c r="U4" s="127">
        <f>N4-M4</f>
        <v>-10984.089999999997</v>
      </c>
      <c r="V4" s="4">
        <f>IF(M4=0,0,N4/M4-1)</f>
        <v>-0.16706460285370284</v>
      </c>
      <c r="W4" s="18">
        <v>1689399.81</v>
      </c>
      <c r="X4" s="18">
        <v>1517317.62</v>
      </c>
      <c r="Y4" s="4">
        <f>X4/W4-1</f>
        <v>-0.10185995581472207</v>
      </c>
      <c r="Z4" t="s">
        <v>24</v>
      </c>
    </row>
    <row r="5" spans="1:29">
      <c r="A5" s="37" t="s">
        <v>25</v>
      </c>
      <c r="B5" s="37" t="s">
        <v>26</v>
      </c>
      <c r="C5" s="28">
        <v>31468</v>
      </c>
      <c r="E5" s="37" t="s">
        <v>26</v>
      </c>
      <c r="F5" s="28">
        <v>37319</v>
      </c>
      <c r="G5" t="b">
        <f>IF(B5=E5,TRUE,FALSE)</f>
        <v>1</v>
      </c>
      <c r="J5" s="25">
        <f>F5-C5</f>
        <v>5851</v>
      </c>
      <c r="K5" s="4">
        <f>F5/C5-1</f>
        <v>0.18593491801194872</v>
      </c>
      <c r="M5" s="5">
        <v>33434.769999999997</v>
      </c>
      <c r="N5" s="5">
        <v>44355.740000000005</v>
      </c>
      <c r="Q5" s="138">
        <v>307854.30000000005</v>
      </c>
      <c r="U5" s="127">
        <f>N5-M5</f>
        <v>10920.970000000008</v>
      </c>
      <c r="V5" s="4">
        <f>IF(M5=0,0,N5/M5-1)</f>
        <v>0.32663511667644229</v>
      </c>
      <c r="W5" s="18">
        <v>705213.38</v>
      </c>
      <c r="X5" s="18">
        <v>919333.08</v>
      </c>
      <c r="Y5" s="4">
        <f>X5/W5-1</f>
        <v>0.30362398966395099</v>
      </c>
    </row>
    <row r="6" spans="1:29" ht="13.9" customHeight="1">
      <c r="A6" t="s">
        <v>27</v>
      </c>
      <c r="B6" t="s">
        <v>28</v>
      </c>
      <c r="C6" s="28">
        <v>17138</v>
      </c>
      <c r="E6" t="s">
        <v>28</v>
      </c>
      <c r="F6" s="28">
        <v>28031</v>
      </c>
      <c r="G6" t="b">
        <f>IF(B6=E6,TRUE,FALSE)</f>
        <v>1</v>
      </c>
      <c r="J6" s="25">
        <f>F6-C6</f>
        <v>10893</v>
      </c>
      <c r="K6" s="4">
        <f>F6/C6-1</f>
        <v>0.6356050881082973</v>
      </c>
      <c r="M6" s="5">
        <v>18976.759999999998</v>
      </c>
      <c r="N6" s="5">
        <v>27518.240000000002</v>
      </c>
      <c r="Q6" s="139">
        <v>283425.03000000003</v>
      </c>
      <c r="U6" s="127">
        <f>N6-M6</f>
        <v>8541.4800000000032</v>
      </c>
      <c r="V6" s="4">
        <f>IF(M6=0,0,N6/M6-1)</f>
        <v>0.45010212491489621</v>
      </c>
      <c r="W6" s="18">
        <v>546707</v>
      </c>
      <c r="X6" s="18">
        <v>969577.2</v>
      </c>
      <c r="Y6" s="4">
        <f>X6/W6-1</f>
        <v>0.77348598060752827</v>
      </c>
      <c r="Z6" t="s">
        <v>29</v>
      </c>
    </row>
    <row r="7" spans="1:29" ht="14.45" customHeight="1">
      <c r="A7" t="s">
        <v>30</v>
      </c>
      <c r="B7" t="s">
        <v>31</v>
      </c>
      <c r="C7" s="28">
        <v>27178</v>
      </c>
      <c r="E7" t="s">
        <v>31</v>
      </c>
      <c r="F7" s="28">
        <v>19403</v>
      </c>
      <c r="G7" t="b">
        <f>IF(B7=E7,TRUE,FALSE)</f>
        <v>1</v>
      </c>
      <c r="J7" s="25">
        <f>F7-C7</f>
        <v>-7775</v>
      </c>
      <c r="K7" s="4">
        <f>F7/C7-1</f>
        <v>-0.28607697402310694</v>
      </c>
      <c r="M7" s="5">
        <v>27560.63</v>
      </c>
      <c r="N7" s="5">
        <v>17429.87</v>
      </c>
      <c r="Q7" s="139">
        <v>103041.86</v>
      </c>
      <c r="U7" s="127">
        <f>N7-M7</f>
        <v>-10130.760000000002</v>
      </c>
      <c r="V7" s="4">
        <f>IF(M7=0,0,N7/M7-1)</f>
        <v>-0.36758085718650124</v>
      </c>
      <c r="W7" s="18">
        <v>1207934.52</v>
      </c>
      <c r="X7" s="18">
        <v>948347.32</v>
      </c>
      <c r="Y7" s="4">
        <f>X7/W7-1</f>
        <v>-0.21490171503667277</v>
      </c>
      <c r="Z7" t="s">
        <v>32</v>
      </c>
    </row>
    <row r="8" spans="1:29" ht="13.9" customHeight="1">
      <c r="A8" t="s">
        <v>33</v>
      </c>
      <c r="B8" t="s">
        <v>34</v>
      </c>
      <c r="C8" s="28">
        <v>16575</v>
      </c>
      <c r="E8" t="s">
        <v>34</v>
      </c>
      <c r="F8" s="28">
        <v>19267</v>
      </c>
      <c r="G8" t="b">
        <f>IF(B8=E8,TRUE,FALSE)</f>
        <v>1</v>
      </c>
      <c r="J8" s="25">
        <f>F8-C8</f>
        <v>2692</v>
      </c>
      <c r="K8" s="4">
        <f>F8/C8-1</f>
        <v>0.16241327300150821</v>
      </c>
      <c r="M8" s="5">
        <v>13219.11</v>
      </c>
      <c r="N8" s="5">
        <v>14033.66</v>
      </c>
      <c r="Q8" s="139">
        <v>173045.57</v>
      </c>
      <c r="U8" s="127">
        <f>N8-M8</f>
        <v>814.54999999999927</v>
      </c>
      <c r="V8" s="4">
        <f>IF(M8=0,0,N8/M8-1)</f>
        <v>6.1619125644615913E-2</v>
      </c>
      <c r="W8" s="18">
        <v>546790.53</v>
      </c>
      <c r="X8" s="18">
        <v>672901.09</v>
      </c>
      <c r="Y8" s="4">
        <f>X8/W8-1</f>
        <v>0.23063779103855353</v>
      </c>
    </row>
    <row r="9" spans="1:29" ht="13.9" customHeight="1">
      <c r="A9" t="s">
        <v>35</v>
      </c>
      <c r="B9" t="s">
        <v>36</v>
      </c>
      <c r="C9" s="28">
        <v>20656</v>
      </c>
      <c r="E9" t="s">
        <v>36</v>
      </c>
      <c r="F9" s="28">
        <v>19097</v>
      </c>
      <c r="G9" t="b">
        <f>IF(B9=E9,TRUE,FALSE)</f>
        <v>1</v>
      </c>
      <c r="J9" s="25">
        <f>F9-C9</f>
        <v>-1559</v>
      </c>
      <c r="K9" s="4">
        <f>F9/C9-1</f>
        <v>-7.5474438419829593E-2</v>
      </c>
      <c r="M9" s="5">
        <v>37188.15</v>
      </c>
      <c r="N9" s="5">
        <v>30133.62</v>
      </c>
      <c r="Q9" s="139">
        <v>176784.04</v>
      </c>
      <c r="U9" s="127">
        <f>N9-M9</f>
        <v>-7054.5300000000025</v>
      </c>
      <c r="V9" s="4">
        <f>IF(M9=0,0,N9/M9-1)</f>
        <v>-0.18969833132328451</v>
      </c>
      <c r="W9" s="18">
        <v>571653.25</v>
      </c>
      <c r="X9" s="18">
        <v>562011.77</v>
      </c>
      <c r="Y9" s="4">
        <f>X9/W9-1</f>
        <v>-1.6865958515935975E-2</v>
      </c>
    </row>
    <row r="10" spans="1:29" ht="13.9" customHeight="1">
      <c r="A10" t="s">
        <v>37</v>
      </c>
      <c r="B10" t="s">
        <v>38</v>
      </c>
      <c r="C10" s="28">
        <v>16417</v>
      </c>
      <c r="E10" t="s">
        <v>38</v>
      </c>
      <c r="F10" s="28">
        <v>14458</v>
      </c>
      <c r="G10" t="b">
        <f>IF(B10=E10,TRUE,FALSE)</f>
        <v>1</v>
      </c>
      <c r="J10" s="25">
        <f>F10-C10</f>
        <v>-1959</v>
      </c>
      <c r="K10" s="4">
        <f>F10/C10-1</f>
        <v>-0.11932752634464272</v>
      </c>
      <c r="M10" s="5">
        <v>14701.22</v>
      </c>
      <c r="N10" s="5">
        <v>12138.01</v>
      </c>
      <c r="Q10" s="139">
        <v>69448.850000000006</v>
      </c>
      <c r="U10" s="127">
        <f>N10-M10</f>
        <v>-2563.2099999999991</v>
      </c>
      <c r="V10" s="4">
        <f>IF(M10=0,0,N10/M10-1)</f>
        <v>-0.17435355705172761</v>
      </c>
      <c r="W10" s="18">
        <v>390889.17</v>
      </c>
      <c r="X10" s="18">
        <v>359936.32</v>
      </c>
      <c r="Y10" s="4">
        <f>X10/W10-1</f>
        <v>-7.9185744644703182E-2</v>
      </c>
    </row>
    <row r="11" spans="1:29" ht="13.9" customHeight="1">
      <c r="A11" t="s">
        <v>39</v>
      </c>
      <c r="B11" t="s">
        <v>40</v>
      </c>
      <c r="C11" s="28">
        <v>15604</v>
      </c>
      <c r="E11" t="s">
        <v>40</v>
      </c>
      <c r="F11" s="28">
        <v>14036</v>
      </c>
      <c r="G11" t="b">
        <f>IF(B11=E11,TRUE,FALSE)</f>
        <v>1</v>
      </c>
      <c r="J11" s="25">
        <f>F11-C11</f>
        <v>-1568</v>
      </c>
      <c r="K11" s="4">
        <f>F11/C11-1</f>
        <v>-0.1004870546013843</v>
      </c>
      <c r="M11" s="5">
        <v>19763.84</v>
      </c>
      <c r="N11" s="5">
        <v>16588.150000000001</v>
      </c>
      <c r="Q11" s="139">
        <v>106498.83</v>
      </c>
      <c r="U11" s="127">
        <f>N11-M11</f>
        <v>-3175.6899999999987</v>
      </c>
      <c r="V11" s="4">
        <f>IF(M11=0,0,N11/M11-1)</f>
        <v>-0.16068183106117018</v>
      </c>
      <c r="W11" s="18">
        <v>480520.33999999997</v>
      </c>
      <c r="X11" s="18">
        <v>476385.6</v>
      </c>
      <c r="Y11" s="4">
        <f>X11/W11-1</f>
        <v>-8.6047137983794597E-3</v>
      </c>
    </row>
    <row r="12" spans="1:29" ht="13.9" customHeight="1">
      <c r="A12" t="s">
        <v>41</v>
      </c>
      <c r="B12" t="s">
        <v>42</v>
      </c>
      <c r="C12" s="28">
        <v>12784</v>
      </c>
      <c r="E12" t="s">
        <v>42</v>
      </c>
      <c r="F12" s="28">
        <v>10959</v>
      </c>
      <c r="G12" t="b">
        <f>IF(B12=E12,TRUE,FALSE)</f>
        <v>1</v>
      </c>
      <c r="J12" s="25">
        <f>F12-C12</f>
        <v>-1825</v>
      </c>
      <c r="K12" s="4">
        <f>F12/C12-1</f>
        <v>-0.14275657071339176</v>
      </c>
      <c r="M12" s="5">
        <v>13262.56</v>
      </c>
      <c r="N12" s="5">
        <v>7898.32</v>
      </c>
      <c r="Q12" s="139">
        <v>66508.639999999999</v>
      </c>
      <c r="U12" s="127">
        <f>N12-M12</f>
        <v>-5364.24</v>
      </c>
      <c r="V12" s="4">
        <f>IF(M12=0,0,N12/M12-1)</f>
        <v>-0.40446489968754151</v>
      </c>
      <c r="W12" s="18">
        <v>424596.69</v>
      </c>
      <c r="X12" s="18">
        <v>382892.65</v>
      </c>
      <c r="Y12" s="4">
        <f>X12/W12-1</f>
        <v>-9.8220360596781853E-2</v>
      </c>
    </row>
    <row r="13" spans="1:29" ht="13.9" customHeight="1">
      <c r="A13" t="s">
        <v>43</v>
      </c>
      <c r="B13" t="s">
        <v>44</v>
      </c>
      <c r="C13" s="28">
        <v>12369</v>
      </c>
      <c r="E13" t="s">
        <v>44</v>
      </c>
      <c r="F13" s="28">
        <v>10872</v>
      </c>
      <c r="G13" t="b">
        <f>IF(B13=E13,TRUE,FALSE)</f>
        <v>1</v>
      </c>
      <c r="J13" s="25">
        <f>F13-C13</f>
        <v>-1497</v>
      </c>
      <c r="K13" s="4">
        <f>F13/C13-1</f>
        <v>-0.12102837739510064</v>
      </c>
      <c r="M13" s="5">
        <v>9806.2000000000007</v>
      </c>
      <c r="N13" s="5">
        <v>7767.42</v>
      </c>
      <c r="Q13" s="139">
        <v>58111.74</v>
      </c>
      <c r="U13" s="127">
        <f>N13-M13</f>
        <v>-2038.7800000000007</v>
      </c>
      <c r="V13" s="4">
        <f>IF(M13=0,0,N13/M13-1)</f>
        <v>-0.2079072423568763</v>
      </c>
      <c r="W13" s="18">
        <v>357559.12</v>
      </c>
      <c r="X13" s="18">
        <v>325395.74</v>
      </c>
      <c r="Y13" s="4">
        <f>X13/W13-1</f>
        <v>-8.9952620981951226E-2</v>
      </c>
    </row>
    <row r="14" spans="1:29" ht="13.9" customHeight="1">
      <c r="A14" s="54" t="s">
        <v>45</v>
      </c>
      <c r="B14" s="37" t="s">
        <v>46</v>
      </c>
      <c r="C14" s="28">
        <v>13831</v>
      </c>
      <c r="E14" s="37" t="s">
        <v>46</v>
      </c>
      <c r="F14" s="28">
        <v>9506</v>
      </c>
      <c r="G14" t="b">
        <f>IF(B14=E14,TRUE,FALSE)</f>
        <v>1</v>
      </c>
      <c r="J14" s="25">
        <f>F14-C14</f>
        <v>-4325</v>
      </c>
      <c r="K14" s="4">
        <f>F14/C14-1</f>
        <v>-0.31270334755259921</v>
      </c>
      <c r="M14" s="5">
        <v>17965.689999999999</v>
      </c>
      <c r="N14" s="5">
        <v>10114.459999999999</v>
      </c>
      <c r="Q14" s="138">
        <v>79212.98</v>
      </c>
      <c r="U14" s="127">
        <f>N14-M14</f>
        <v>-7851.23</v>
      </c>
      <c r="V14" s="4">
        <f>IF(M14=0,0,N14/M14-1)</f>
        <v>-0.43701243870956252</v>
      </c>
      <c r="W14" s="18">
        <v>323201.27</v>
      </c>
      <c r="X14" s="18">
        <v>256571.48</v>
      </c>
      <c r="Y14" s="4">
        <f>X14/W14-1</f>
        <v>-0.20615571838563629</v>
      </c>
    </row>
    <row r="15" spans="1:29" ht="13.9" customHeight="1">
      <c r="A15" t="s">
        <v>47</v>
      </c>
      <c r="B15" t="s">
        <v>48</v>
      </c>
      <c r="C15" s="28">
        <v>8524</v>
      </c>
      <c r="E15" t="s">
        <v>48</v>
      </c>
      <c r="F15" s="28">
        <v>7409</v>
      </c>
      <c r="G15" t="b">
        <f>IF(B15=E15,TRUE,FALSE)</f>
        <v>1</v>
      </c>
      <c r="J15" s="25">
        <f>F15-C15</f>
        <v>-1115</v>
      </c>
      <c r="K15" s="4">
        <f>F15/C15-1</f>
        <v>-0.13080713280150169</v>
      </c>
      <c r="M15" s="5">
        <v>13172.97</v>
      </c>
      <c r="N15" s="5">
        <v>13315.49</v>
      </c>
      <c r="Q15" s="139">
        <v>89723.56</v>
      </c>
      <c r="U15" s="127">
        <f>N15-M15</f>
        <v>142.52000000000044</v>
      </c>
      <c r="V15" s="4">
        <f>IF(M15=0,0,N15/M15-1)</f>
        <v>1.0819124312892336E-2</v>
      </c>
      <c r="W15" s="18">
        <v>296970.2</v>
      </c>
      <c r="X15" s="18">
        <v>258735.95</v>
      </c>
      <c r="Y15" s="4">
        <f>X15/W15-1</f>
        <v>-0.12874776661092591</v>
      </c>
    </row>
    <row r="16" spans="1:29" ht="14.25" customHeight="1">
      <c r="A16" t="s">
        <v>49</v>
      </c>
      <c r="B16" t="s">
        <v>50</v>
      </c>
      <c r="C16" s="28">
        <v>8108</v>
      </c>
      <c r="E16" t="s">
        <v>50</v>
      </c>
      <c r="F16" s="28">
        <v>7220</v>
      </c>
      <c r="G16" t="b">
        <f>IF(B16=E16,TRUE,FALSE)</f>
        <v>1</v>
      </c>
      <c r="J16" s="25">
        <f>F16-C16</f>
        <v>-888</v>
      </c>
      <c r="K16" s="4">
        <f>F16/C16-1</f>
        <v>-0.10952146028613718</v>
      </c>
      <c r="M16" s="5">
        <v>8903.26</v>
      </c>
      <c r="N16" s="5">
        <v>6293.82</v>
      </c>
      <c r="Q16" s="139">
        <v>56979.62</v>
      </c>
      <c r="U16" s="127">
        <f>N16-M16</f>
        <v>-2609.4400000000005</v>
      </c>
      <c r="V16" s="4">
        <f>IF(M16=0,0,N16/M16-1)</f>
        <v>-0.29308814973391772</v>
      </c>
      <c r="W16" s="18">
        <v>218484.32</v>
      </c>
      <c r="X16" s="18">
        <v>194557.21</v>
      </c>
      <c r="Y16" s="4">
        <f>X16/W16-1</f>
        <v>-0.10951408320743572</v>
      </c>
    </row>
    <row r="17" spans="1:25" ht="13.9" customHeight="1">
      <c r="A17" t="s">
        <v>51</v>
      </c>
      <c r="B17" t="s">
        <v>52</v>
      </c>
      <c r="C17" s="28">
        <v>7740</v>
      </c>
      <c r="E17" t="s">
        <v>52</v>
      </c>
      <c r="F17" s="28">
        <v>6741</v>
      </c>
      <c r="G17" t="b">
        <f>IF(B17=E17,TRUE,FALSE)</f>
        <v>1</v>
      </c>
      <c r="J17" s="25">
        <f>F17-C17</f>
        <v>-999</v>
      </c>
      <c r="K17" s="4">
        <f>F17/C17-1</f>
        <v>-0.12906976744186049</v>
      </c>
      <c r="M17" s="5">
        <v>11318.28</v>
      </c>
      <c r="N17" s="5">
        <v>8686.35</v>
      </c>
      <c r="Q17" s="139">
        <v>51038.95</v>
      </c>
      <c r="U17" s="127">
        <f>N17-M17</f>
        <v>-2631.9300000000003</v>
      </c>
      <c r="V17" s="4">
        <f>IF(M17=0,0,N17/M17-1)</f>
        <v>-0.23253798280304072</v>
      </c>
      <c r="W17" s="18">
        <v>216070.33999999997</v>
      </c>
      <c r="X17" s="18">
        <v>194789.48</v>
      </c>
      <c r="Y17" s="4">
        <f>X17/W17-1</f>
        <v>-9.8490426774910267E-2</v>
      </c>
    </row>
    <row r="18" spans="1:25" ht="13.9" customHeight="1">
      <c r="A18" s="54" t="s">
        <v>53</v>
      </c>
      <c r="B18" s="37" t="s">
        <v>54</v>
      </c>
      <c r="C18" s="19">
        <v>8012</v>
      </c>
      <c r="E18" s="37" t="s">
        <v>54</v>
      </c>
      <c r="F18" s="19">
        <v>6556</v>
      </c>
      <c r="G18" t="b">
        <f>IF(B18=E18,TRUE,FALSE)</f>
        <v>1</v>
      </c>
      <c r="J18" s="25">
        <f>F18-C18</f>
        <v>-1456</v>
      </c>
      <c r="K18" s="4">
        <f>F18/C18-1</f>
        <v>-0.18172740888667005</v>
      </c>
      <c r="M18" s="5">
        <v>5966.26</v>
      </c>
      <c r="N18" s="5">
        <v>7910.14</v>
      </c>
      <c r="Q18" s="138">
        <v>50501.55</v>
      </c>
      <c r="U18" s="127">
        <f>N18-M18</f>
        <v>1943.88</v>
      </c>
      <c r="V18" s="4">
        <f>IF(M18=0,0,N18/M18-1)</f>
        <v>0.32581215032532951</v>
      </c>
      <c r="W18">
        <v>179062.25</v>
      </c>
      <c r="X18">
        <v>159026.79</v>
      </c>
      <c r="Y18" s="4">
        <f>X18/W18-1</f>
        <v>-0.11189103230859654</v>
      </c>
    </row>
    <row r="19" spans="1:25" ht="13.9" customHeight="1">
      <c r="A19" t="s">
        <v>55</v>
      </c>
      <c r="B19" t="s">
        <v>56</v>
      </c>
      <c r="C19" s="28">
        <v>7838</v>
      </c>
      <c r="E19" t="s">
        <v>56</v>
      </c>
      <c r="F19" s="28">
        <v>6218</v>
      </c>
      <c r="G19" t="b">
        <f>IF(B19=E19,TRUE,FALSE)</f>
        <v>1</v>
      </c>
      <c r="J19" s="25">
        <f>F19-C19</f>
        <v>-1620</v>
      </c>
      <c r="K19" s="4">
        <f>F19/C19-1</f>
        <v>-0.20668537892319472</v>
      </c>
      <c r="M19" s="5">
        <v>11824.06</v>
      </c>
      <c r="N19" s="5">
        <v>8884.27</v>
      </c>
      <c r="Q19" s="139">
        <v>78484.23</v>
      </c>
      <c r="U19" s="127">
        <f>N19-M19</f>
        <v>-2939.7899999999991</v>
      </c>
      <c r="V19" s="4">
        <f>IF(M19=0,0,N19/M19-1)</f>
        <v>-0.24862779789683065</v>
      </c>
      <c r="W19" s="18">
        <v>234718.7</v>
      </c>
      <c r="X19" s="18">
        <v>186105.05</v>
      </c>
      <c r="Y19" s="4">
        <f>X19/W19-1</f>
        <v>-0.20711451622729682</v>
      </c>
    </row>
    <row r="20" spans="1:25" ht="13.9" customHeight="1">
      <c r="A20" s="54" t="s">
        <v>57</v>
      </c>
      <c r="B20" s="37" t="s">
        <v>58</v>
      </c>
      <c r="C20" s="19">
        <v>6277</v>
      </c>
      <c r="E20" s="37" t="s">
        <v>58</v>
      </c>
      <c r="F20" s="19">
        <v>6157</v>
      </c>
      <c r="G20" t="b">
        <f>IF(B20=E20,TRUE,FALSE)</f>
        <v>1</v>
      </c>
      <c r="J20" s="25">
        <f>F20-C20</f>
        <v>-120</v>
      </c>
      <c r="K20" s="4">
        <f>F20/C20-1</f>
        <v>-1.9117412776804232E-2</v>
      </c>
      <c r="M20" s="5">
        <v>5452.02</v>
      </c>
      <c r="N20" s="5">
        <v>7976.37</v>
      </c>
      <c r="Q20" s="138">
        <v>73821.09</v>
      </c>
      <c r="U20" s="127">
        <f>N20-M20</f>
        <v>2524.3499999999995</v>
      </c>
      <c r="V20" s="4">
        <f>IF(M20=0,0,N20/M20-1)</f>
        <v>0.46301187449789238</v>
      </c>
      <c r="W20">
        <v>156786.60999999999</v>
      </c>
      <c r="X20">
        <v>153739.25</v>
      </c>
      <c r="Y20" s="4">
        <f>X20/W20-1</f>
        <v>-1.9436353652904304E-2</v>
      </c>
    </row>
    <row r="21" spans="1:25" ht="13.9" customHeight="1">
      <c r="A21" t="s">
        <v>59</v>
      </c>
      <c r="B21" t="s">
        <v>60</v>
      </c>
      <c r="C21" s="28">
        <v>5994</v>
      </c>
      <c r="E21" t="s">
        <v>60</v>
      </c>
      <c r="F21" s="28">
        <v>5932</v>
      </c>
      <c r="G21" t="b">
        <f>IF(B21=E21,TRUE,FALSE)</f>
        <v>1</v>
      </c>
      <c r="J21" s="25">
        <f>F21-C21</f>
        <v>-62</v>
      </c>
      <c r="K21" s="4">
        <f>F21/C21-1</f>
        <v>-1.0343677010343666E-2</v>
      </c>
      <c r="M21" s="5">
        <v>8176.97</v>
      </c>
      <c r="N21" s="5">
        <v>9421.5499999999993</v>
      </c>
      <c r="Q21" s="139">
        <v>63823.64</v>
      </c>
      <c r="U21" s="127">
        <f>N21-M21</f>
        <v>1244.579999999999</v>
      </c>
      <c r="V21" s="4">
        <f>IF(M21=0,0,N21/M21-1)</f>
        <v>0.15220552356190598</v>
      </c>
      <c r="W21" s="18">
        <v>197386.52</v>
      </c>
      <c r="X21" s="18">
        <v>207206.27</v>
      </c>
      <c r="Y21" s="4">
        <f>X21/W21-1</f>
        <v>4.9748837965226889E-2</v>
      </c>
    </row>
    <row r="22" spans="1:25" ht="13.9" customHeight="1">
      <c r="A22" s="37" t="s">
        <v>61</v>
      </c>
      <c r="B22" s="37" t="s">
        <v>62</v>
      </c>
      <c r="C22" s="28">
        <v>4801</v>
      </c>
      <c r="E22" s="37" t="s">
        <v>62</v>
      </c>
      <c r="F22" s="28">
        <v>5735</v>
      </c>
      <c r="G22" t="b">
        <f>IF(B22=E22,TRUE,FALSE)</f>
        <v>1</v>
      </c>
      <c r="J22" s="25">
        <f>F22-C22</f>
        <v>934</v>
      </c>
      <c r="K22" s="4">
        <f>F22/C22-1</f>
        <v>0.19454280358258691</v>
      </c>
      <c r="M22" s="5">
        <v>7390.4</v>
      </c>
      <c r="N22" s="5">
        <v>9966.93</v>
      </c>
      <c r="Q22" s="139">
        <v>48818.92</v>
      </c>
      <c r="U22" s="127">
        <f>N22-M22</f>
        <v>2576.5300000000007</v>
      </c>
      <c r="V22" s="4">
        <f>IF(M22=0,0,N22/M22-1)</f>
        <v>0.34863200909287739</v>
      </c>
      <c r="W22" s="18">
        <v>129118.97</v>
      </c>
      <c r="X22" s="18">
        <v>154242.14000000001</v>
      </c>
      <c r="Y22" s="4">
        <f>X22/W22-1</f>
        <v>0.19457381049430622</v>
      </c>
    </row>
    <row r="23" spans="1:25" ht="13.9" customHeight="1">
      <c r="A23" t="s">
        <v>63</v>
      </c>
      <c r="B23" t="s">
        <v>64</v>
      </c>
      <c r="C23" s="28">
        <v>6350</v>
      </c>
      <c r="E23" t="s">
        <v>64</v>
      </c>
      <c r="F23" s="28">
        <v>5729</v>
      </c>
      <c r="G23" t="b">
        <f>IF(B23=E23,TRUE,FALSE)</f>
        <v>1</v>
      </c>
      <c r="J23" s="25">
        <f>F23-C23</f>
        <v>-621</v>
      </c>
      <c r="K23" s="4">
        <f>F23/C23-1</f>
        <v>-9.7795275590551234E-2</v>
      </c>
      <c r="M23" s="5">
        <v>8292.6200000000008</v>
      </c>
      <c r="N23" s="5">
        <v>9543.24</v>
      </c>
      <c r="Q23" s="139">
        <v>54489.74</v>
      </c>
      <c r="U23" s="127">
        <f>N23-M23</f>
        <v>1250.619999999999</v>
      </c>
      <c r="V23" s="4">
        <f>IF(M23=0,0,N23/M23-1)</f>
        <v>0.15081120321442421</v>
      </c>
      <c r="W23" s="18">
        <v>141917.49</v>
      </c>
      <c r="X23" s="18">
        <v>142816.54999999999</v>
      </c>
      <c r="Y23" s="4">
        <f>X23/W23-1</f>
        <v>6.335089494607038E-3</v>
      </c>
    </row>
    <row r="24" spans="1:25" ht="13.9" customHeight="1">
      <c r="A24" t="s">
        <v>65</v>
      </c>
      <c r="B24" t="s">
        <v>66</v>
      </c>
      <c r="C24" s="28">
        <v>5131</v>
      </c>
      <c r="E24" t="s">
        <v>66</v>
      </c>
      <c r="F24" s="28">
        <v>5476</v>
      </c>
      <c r="G24" t="b">
        <f>IF(B24=E24,TRUE,FALSE)</f>
        <v>1</v>
      </c>
      <c r="J24" s="25">
        <f>F24-C24</f>
        <v>345</v>
      </c>
      <c r="K24" s="4">
        <f>F24/C24-1</f>
        <v>6.7238355096472358E-2</v>
      </c>
      <c r="M24" s="5">
        <v>5535.69</v>
      </c>
      <c r="N24" s="5">
        <v>4344.22</v>
      </c>
      <c r="Q24" s="139">
        <v>33772.69</v>
      </c>
      <c r="U24" s="127">
        <f>N24-M24</f>
        <v>-1191.4699999999993</v>
      </c>
      <c r="V24" s="4">
        <f>IF(M24=0,0,N24/M24-1)</f>
        <v>-0.21523423457599677</v>
      </c>
      <c r="W24" s="18">
        <v>199824.76</v>
      </c>
      <c r="X24" s="18">
        <v>213199.38</v>
      </c>
      <c r="Y24" s="4">
        <f>X24/W24-1</f>
        <v>6.6931745595490755E-2</v>
      </c>
    </row>
    <row r="25" spans="1:25" ht="13.9" customHeight="1">
      <c r="A25" t="s">
        <v>67</v>
      </c>
      <c r="B25" t="s">
        <v>68</v>
      </c>
      <c r="C25" s="28">
        <v>5314</v>
      </c>
      <c r="E25" t="s">
        <v>68</v>
      </c>
      <c r="F25" s="28">
        <v>5468</v>
      </c>
      <c r="G25" t="b">
        <f>IF(B25=E25,TRUE,FALSE)</f>
        <v>1</v>
      </c>
      <c r="J25" s="25">
        <f>F25-C25</f>
        <v>154</v>
      </c>
      <c r="K25" s="4">
        <f>F25/C25-1</f>
        <v>2.8980052691004898E-2</v>
      </c>
      <c r="M25" s="5">
        <v>3440.8</v>
      </c>
      <c r="N25" s="5">
        <v>3342.52</v>
      </c>
      <c r="Q25" s="139">
        <v>26650.86</v>
      </c>
      <c r="U25" s="127">
        <f>N25-M25</f>
        <v>-98.2800000000002</v>
      </c>
      <c r="V25" s="4">
        <f>IF(M25=0,0,N25/M25-1)</f>
        <v>-2.856312485468504E-2</v>
      </c>
      <c r="W25" s="18">
        <v>152651.97</v>
      </c>
      <c r="X25" s="18">
        <v>163633.85999999999</v>
      </c>
      <c r="Y25" s="4">
        <f>X25/W25-1</f>
        <v>7.1940702763285458E-2</v>
      </c>
    </row>
    <row r="26" spans="1:25" ht="13.9" customHeight="1">
      <c r="A26" s="54" t="s">
        <v>69</v>
      </c>
      <c r="B26" s="37" t="s">
        <v>70</v>
      </c>
      <c r="C26" s="28">
        <v>5101</v>
      </c>
      <c r="E26" s="37" t="s">
        <v>70</v>
      </c>
      <c r="F26" s="28">
        <v>5113</v>
      </c>
      <c r="G26" t="b">
        <f>IF(B26=E26,TRUE,FALSE)</f>
        <v>1</v>
      </c>
      <c r="J26" s="25">
        <f>F26-C26</f>
        <v>12</v>
      </c>
      <c r="K26" s="4">
        <f>F26/C26-1</f>
        <v>2.3524799059007062E-3</v>
      </c>
      <c r="M26" s="5">
        <v>5144.93</v>
      </c>
      <c r="N26" s="5">
        <v>5756.9</v>
      </c>
      <c r="Q26" s="139">
        <v>30467.14</v>
      </c>
      <c r="U26" s="127">
        <f>N26-M26</f>
        <v>611.96999999999935</v>
      </c>
      <c r="V26" s="4">
        <f>IF(M26=0,0,N26/M26-1)</f>
        <v>0.11894622472997685</v>
      </c>
      <c r="W26" s="18">
        <v>121790.14</v>
      </c>
      <c r="X26" s="18">
        <v>134736.28</v>
      </c>
      <c r="Y26" s="4">
        <f>X26/W26-1</f>
        <v>0.10629875292039248</v>
      </c>
    </row>
    <row r="27" spans="1:25" ht="13.9" customHeight="1">
      <c r="A27" t="s">
        <v>71</v>
      </c>
      <c r="B27" t="s">
        <v>72</v>
      </c>
      <c r="C27" s="28">
        <v>5243</v>
      </c>
      <c r="E27" t="s">
        <v>72</v>
      </c>
      <c r="F27" s="28">
        <v>5047</v>
      </c>
      <c r="G27" t="b">
        <f>IF(B27=E27,TRUE,FALSE)</f>
        <v>1</v>
      </c>
      <c r="J27" s="25">
        <f>F27-C27</f>
        <v>-196</v>
      </c>
      <c r="K27" s="4">
        <f>F27/C27-1</f>
        <v>-3.7383177570093462E-2</v>
      </c>
      <c r="M27" s="5">
        <v>6121.85</v>
      </c>
      <c r="N27" s="5">
        <v>5154.9799999999996</v>
      </c>
      <c r="Q27" s="139">
        <v>57100.84</v>
      </c>
      <c r="U27" s="127">
        <f>N27-M27</f>
        <v>-966.8700000000008</v>
      </c>
      <c r="V27" s="4">
        <f>IF(M27=0,0,N27/M27-1)</f>
        <v>-0.15793755155712741</v>
      </c>
      <c r="W27" s="18">
        <v>150363.65</v>
      </c>
      <c r="X27" s="18">
        <v>151133.95000000001</v>
      </c>
      <c r="Y27" s="4">
        <f>X27/W27-1</f>
        <v>5.1229136829280542E-3</v>
      </c>
    </row>
    <row r="28" spans="1:25" ht="13.9" customHeight="1">
      <c r="A28" t="s">
        <v>73</v>
      </c>
      <c r="B28" t="s">
        <v>74</v>
      </c>
      <c r="C28" s="28">
        <v>4912</v>
      </c>
      <c r="E28" t="s">
        <v>74</v>
      </c>
      <c r="F28" s="28">
        <v>4999</v>
      </c>
      <c r="G28" t="b">
        <f>IF(B28=E28,TRUE,FALSE)</f>
        <v>1</v>
      </c>
      <c r="J28" s="25">
        <f>F28-C28</f>
        <v>87</v>
      </c>
      <c r="K28" s="4">
        <f>F28/C28-1</f>
        <v>1.7711726384364912E-2</v>
      </c>
      <c r="M28" s="5">
        <v>4940.9799999999996</v>
      </c>
      <c r="N28" s="5">
        <v>4708.91</v>
      </c>
      <c r="Q28" s="139">
        <v>40352.629999999997</v>
      </c>
      <c r="U28" s="127">
        <f>N28-M28</f>
        <v>-232.06999999999971</v>
      </c>
      <c r="V28" s="4">
        <f>IF(M28=0,0,N28/M28-1)</f>
        <v>-4.6968415172698452E-2</v>
      </c>
      <c r="W28" s="18">
        <v>181478.05</v>
      </c>
      <c r="X28" s="18">
        <v>184615.47</v>
      </c>
      <c r="Y28" s="4">
        <f>X28/W28-1</f>
        <v>1.7288151376984695E-2</v>
      </c>
    </row>
    <row r="29" spans="1:25" ht="13.9" customHeight="1">
      <c r="A29" t="s">
        <v>75</v>
      </c>
      <c r="B29" t="s">
        <v>76</v>
      </c>
      <c r="C29" s="28">
        <v>4847</v>
      </c>
      <c r="E29" t="s">
        <v>76</v>
      </c>
      <c r="F29" s="28">
        <v>4920</v>
      </c>
      <c r="G29" t="b">
        <f>IF(B29=E29,TRUE,FALSE)</f>
        <v>1</v>
      </c>
      <c r="J29" s="25">
        <f>F29-C29</f>
        <v>73</v>
      </c>
      <c r="K29" s="4">
        <f>F29/C29-1</f>
        <v>1.5060862389106644E-2</v>
      </c>
      <c r="M29" s="5">
        <v>9075.77</v>
      </c>
      <c r="N29" s="5">
        <v>8589.69</v>
      </c>
      <c r="Q29" s="139">
        <v>54904.83</v>
      </c>
      <c r="U29" s="127">
        <f>N29-M29</f>
        <v>-486.07999999999993</v>
      </c>
      <c r="V29" s="4">
        <f>IF(M29=0,0,N29/M29-1)</f>
        <v>-5.3557990120948418E-2</v>
      </c>
      <c r="W29" s="18">
        <v>145077.75</v>
      </c>
      <c r="X29" s="18">
        <v>147348.85</v>
      </c>
      <c r="Y29" s="4">
        <f>X29/W29-1</f>
        <v>1.5654364642407215E-2</v>
      </c>
    </row>
    <row r="30" spans="1:25" ht="13.9" customHeight="1">
      <c r="A30" t="s">
        <v>77</v>
      </c>
      <c r="B30" t="s">
        <v>78</v>
      </c>
      <c r="C30" s="28">
        <v>4930</v>
      </c>
      <c r="E30" t="s">
        <v>78</v>
      </c>
      <c r="F30" s="28">
        <v>4768</v>
      </c>
      <c r="G30" t="b">
        <f>IF(B30=E30,TRUE,FALSE)</f>
        <v>1</v>
      </c>
      <c r="J30" s="25">
        <f>F30-C30</f>
        <v>-162</v>
      </c>
      <c r="K30" s="4">
        <f>F30/C30-1</f>
        <v>-3.2860040567951332E-2</v>
      </c>
      <c r="M30" s="5">
        <v>8443.7900000000009</v>
      </c>
      <c r="N30" s="5">
        <v>7917.13</v>
      </c>
      <c r="Q30" s="139">
        <v>33862.730000000003</v>
      </c>
      <c r="U30" s="127">
        <f>N30-M30</f>
        <v>-526.66000000000076</v>
      </c>
      <c r="V30" s="4">
        <f>IF(M30=0,0,N30/M30-1)</f>
        <v>-6.2372465445019398E-2</v>
      </c>
      <c r="W30" s="18">
        <v>127922.32</v>
      </c>
      <c r="X30" s="18">
        <v>123713.22</v>
      </c>
      <c r="Y30" s="4">
        <f>X30/W30-1</f>
        <v>-3.2903562099249051E-2</v>
      </c>
    </row>
    <row r="31" spans="1:25" ht="13.9" customHeight="1">
      <c r="A31" t="s">
        <v>79</v>
      </c>
      <c r="B31" t="s">
        <v>80</v>
      </c>
      <c r="C31" s="28">
        <v>2363</v>
      </c>
      <c r="E31" t="s">
        <v>80</v>
      </c>
      <c r="F31" s="28">
        <v>4331</v>
      </c>
      <c r="G31" t="b">
        <f>IF(B31=E31,TRUE,FALSE)</f>
        <v>1</v>
      </c>
      <c r="J31" s="25">
        <f>F31-C31</f>
        <v>1968</v>
      </c>
      <c r="K31" s="4">
        <f>F31/C31-1</f>
        <v>0.83283961066440959</v>
      </c>
      <c r="M31" s="5">
        <v>4949.4299999999994</v>
      </c>
      <c r="N31" s="5">
        <v>5669.93</v>
      </c>
      <c r="Q31" s="139">
        <v>56299.63</v>
      </c>
      <c r="U31" s="127">
        <f>N31-M31</f>
        <v>720.50000000000091</v>
      </c>
      <c r="V31" s="4">
        <f>IF(M31=0,0,N31/M31-1)</f>
        <v>0.14557231842858687</v>
      </c>
      <c r="W31" s="18">
        <v>70613.23</v>
      </c>
      <c r="X31" s="18">
        <v>129978.71</v>
      </c>
      <c r="Y31" s="4">
        <f>X31/W31-1</f>
        <v>0.84071327710118937</v>
      </c>
    </row>
    <row r="32" spans="1:25" ht="13.9" customHeight="1">
      <c r="A32" s="55" t="s">
        <v>81</v>
      </c>
      <c r="B32" s="37" t="s">
        <v>82</v>
      </c>
      <c r="C32" s="28">
        <v>3717</v>
      </c>
      <c r="E32" s="37" t="s">
        <v>82</v>
      </c>
      <c r="F32" s="28">
        <v>3821</v>
      </c>
      <c r="G32" t="b">
        <f>IF(B32=E32,TRUE,FALSE)</f>
        <v>1</v>
      </c>
      <c r="J32" s="25">
        <f>F32-C32</f>
        <v>104</v>
      </c>
      <c r="K32" s="4">
        <f>F32/C32-1</f>
        <v>2.7979553403282287E-2</v>
      </c>
      <c r="M32" s="5">
        <v>6111.42</v>
      </c>
      <c r="N32" s="5">
        <v>7184.69</v>
      </c>
      <c r="Q32" s="139">
        <v>44409.99</v>
      </c>
      <c r="U32" s="127">
        <f>N32-M32</f>
        <v>1073.2699999999995</v>
      </c>
      <c r="V32" s="4">
        <f>IF(M32=0,0,N32/M32-1)</f>
        <v>0.17561712335267399</v>
      </c>
      <c r="W32" s="18">
        <v>78409.78</v>
      </c>
      <c r="X32" s="18">
        <v>84015.65</v>
      </c>
      <c r="Y32" s="4">
        <f>X32/W32-1</f>
        <v>7.1494525300287659E-2</v>
      </c>
    </row>
    <row r="33" spans="1:25" ht="13.9" customHeight="1">
      <c r="A33" t="s">
        <v>83</v>
      </c>
      <c r="B33" t="s">
        <v>84</v>
      </c>
      <c r="C33" s="28">
        <v>0</v>
      </c>
      <c r="E33" t="s">
        <v>84</v>
      </c>
      <c r="F33" s="28">
        <v>3644</v>
      </c>
      <c r="G33" t="b">
        <f>IF(B33=E33,TRUE,FALSE)</f>
        <v>1</v>
      </c>
      <c r="J33" s="25">
        <f>F33-C33</f>
        <v>3644</v>
      </c>
      <c r="K33" s="4" t="e">
        <f>F33/C33-1</f>
        <v>#DIV/0!</v>
      </c>
      <c r="M33" s="5">
        <v>0</v>
      </c>
      <c r="N33" s="5">
        <v>2239.85</v>
      </c>
      <c r="Q33" s="139">
        <v>31596.94</v>
      </c>
      <c r="V33" s="4"/>
      <c r="W33" s="18">
        <v>0</v>
      </c>
      <c r="X33" s="18">
        <v>91054.81</v>
      </c>
      <c r="Y33" s="4" t="e">
        <f>X33/W33-1</f>
        <v>#DIV/0!</v>
      </c>
    </row>
    <row r="34" spans="1:25" ht="13.9" customHeight="1">
      <c r="A34" t="s">
        <v>85</v>
      </c>
      <c r="B34" t="s">
        <v>86</v>
      </c>
      <c r="C34" s="28">
        <v>3542</v>
      </c>
      <c r="E34" t="s">
        <v>86</v>
      </c>
      <c r="F34" s="28">
        <v>3550</v>
      </c>
      <c r="G34" t="b">
        <f>IF(B34=E34,TRUE,FALSE)</f>
        <v>1</v>
      </c>
      <c r="J34" s="25">
        <f>F34-C34</f>
        <v>8</v>
      </c>
      <c r="K34" s="4">
        <f>F34/C34-1</f>
        <v>2.2586109542630517E-3</v>
      </c>
      <c r="M34" s="5">
        <v>3267.99</v>
      </c>
      <c r="N34" s="5">
        <v>5180.68</v>
      </c>
      <c r="Q34" s="139">
        <v>22821.73</v>
      </c>
      <c r="U34" s="127">
        <f>N34-M34</f>
        <v>1912.6900000000005</v>
      </c>
      <c r="V34" s="4">
        <f>IF(M34=0,0,N34/M34-1)</f>
        <v>0.58528024871557149</v>
      </c>
      <c r="W34" s="18">
        <v>95447.18</v>
      </c>
      <c r="X34" s="18">
        <v>95661.7</v>
      </c>
      <c r="Y34" s="4">
        <f>X34/W34-1</f>
        <v>2.2475258043244128E-3</v>
      </c>
    </row>
    <row r="35" spans="1:25" ht="13.9" customHeight="1">
      <c r="A35" t="s">
        <v>87</v>
      </c>
      <c r="B35" t="s">
        <v>88</v>
      </c>
      <c r="C35" s="28">
        <v>3777</v>
      </c>
      <c r="E35" t="s">
        <v>88</v>
      </c>
      <c r="F35" s="28">
        <v>3367</v>
      </c>
      <c r="G35" t="b">
        <f>IF(B35=E35,TRUE,FALSE)</f>
        <v>1</v>
      </c>
      <c r="J35" s="25">
        <f>F35-C35</f>
        <v>-410</v>
      </c>
      <c r="K35" s="4">
        <f>F35/C35-1</f>
        <v>-0.10855176065660577</v>
      </c>
      <c r="M35" s="5">
        <v>3744.41</v>
      </c>
      <c r="N35" s="5">
        <v>3817.39</v>
      </c>
      <c r="Q35" s="139">
        <v>24937.06</v>
      </c>
      <c r="U35" s="127">
        <f>N35-M35</f>
        <v>72.980000000000018</v>
      </c>
      <c r="V35" s="4">
        <f>IF(M35=0,0,N35/M35-1)</f>
        <v>1.9490387003559873E-2</v>
      </c>
      <c r="W35" s="18">
        <v>98996.66</v>
      </c>
      <c r="X35" s="18">
        <v>94102.33</v>
      </c>
      <c r="Y35" s="4">
        <f>X35/W35-1</f>
        <v>-4.9439344721326939E-2</v>
      </c>
    </row>
    <row r="36" spans="1:25" ht="13.9" customHeight="1">
      <c r="A36" t="s">
        <v>89</v>
      </c>
      <c r="B36" t="s">
        <v>90</v>
      </c>
      <c r="C36" s="28">
        <v>3923</v>
      </c>
      <c r="E36" t="s">
        <v>90</v>
      </c>
      <c r="F36" s="28">
        <v>3366</v>
      </c>
      <c r="G36" t="b">
        <f>IF(B36=E36,TRUE,FALSE)</f>
        <v>1</v>
      </c>
      <c r="J36" s="25">
        <f>F36-C36</f>
        <v>-557</v>
      </c>
      <c r="K36" s="4">
        <f>F36/C36-1</f>
        <v>-0.14198317614070866</v>
      </c>
      <c r="M36" s="5">
        <v>5804.09</v>
      </c>
      <c r="N36" s="5">
        <v>6572.1</v>
      </c>
      <c r="Q36" s="139">
        <v>39370.01</v>
      </c>
      <c r="U36" s="127">
        <f>N36-M36</f>
        <v>768.01000000000022</v>
      </c>
      <c r="V36" s="4">
        <f>IF(M36=0,0,N36/M36-1)</f>
        <v>0.13232220727107946</v>
      </c>
      <c r="W36" s="18">
        <v>102838.87</v>
      </c>
      <c r="X36" s="18">
        <v>98267.05</v>
      </c>
      <c r="Y36" s="4">
        <f>X36/W36-1</f>
        <v>-4.4456147758138442E-2</v>
      </c>
    </row>
    <row r="37" spans="1:25" ht="13.9" customHeight="1">
      <c r="A37" s="54" t="s">
        <v>91</v>
      </c>
      <c r="B37" s="37" t="s">
        <v>92</v>
      </c>
      <c r="C37" s="28">
        <v>3035</v>
      </c>
      <c r="E37" s="37" t="s">
        <v>92</v>
      </c>
      <c r="F37" s="28">
        <v>3358</v>
      </c>
      <c r="G37" t="b">
        <f>IF(B37=E37,TRUE,FALSE)</f>
        <v>1</v>
      </c>
      <c r="J37" s="25">
        <f>F37-C37</f>
        <v>323</v>
      </c>
      <c r="K37" s="4">
        <f>F37/C37-1</f>
        <v>0.10642504118616136</v>
      </c>
      <c r="M37" s="5">
        <v>3675.22</v>
      </c>
      <c r="N37" s="5">
        <v>5986.86</v>
      </c>
      <c r="Q37" s="138">
        <v>36052.97</v>
      </c>
      <c r="U37" s="127">
        <f>N37-M37</f>
        <v>2311.64</v>
      </c>
      <c r="V37" s="4">
        <f>IF(M37=0,0,N37/M37-1)</f>
        <v>0.6289800338483138</v>
      </c>
      <c r="W37" s="18">
        <v>63688.47</v>
      </c>
      <c r="X37" s="18">
        <v>73839.12</v>
      </c>
      <c r="Y37" s="4">
        <f>X37/W37-1</f>
        <v>0.15937971190075673</v>
      </c>
    </row>
    <row r="38" spans="1:25" ht="13.9" customHeight="1">
      <c r="A38" s="143" t="s">
        <v>93</v>
      </c>
      <c r="B38" s="143" t="s">
        <v>92</v>
      </c>
      <c r="C38" s="28">
        <v>3035</v>
      </c>
      <c r="E38" s="143" t="s">
        <v>92</v>
      </c>
      <c r="F38" s="28">
        <v>3358</v>
      </c>
      <c r="G38" t="b">
        <f>IF(B38=E38,TRUE,FALSE)</f>
        <v>1</v>
      </c>
      <c r="J38" s="25">
        <f>F38-C38</f>
        <v>323</v>
      </c>
      <c r="K38" s="4">
        <f>F38/C38-1</f>
        <v>0.10642504118616136</v>
      </c>
      <c r="M38" s="5">
        <v>3675.22</v>
      </c>
      <c r="N38" s="5">
        <v>5986.86</v>
      </c>
      <c r="Q38" s="138">
        <v>36052.97</v>
      </c>
      <c r="U38" s="127">
        <f>N38-M38</f>
        <v>2311.64</v>
      </c>
      <c r="V38" s="4">
        <f>IF(M38=0,0,N38/M38-1)</f>
        <v>0.6289800338483138</v>
      </c>
      <c r="W38" s="18">
        <v>63688.47</v>
      </c>
      <c r="X38" s="18">
        <v>73839.12</v>
      </c>
      <c r="Y38" s="4">
        <f>X38/W38-1</f>
        <v>0.15937971190075673</v>
      </c>
    </row>
    <row r="39" spans="1:25" ht="13.9" customHeight="1">
      <c r="A39" t="s">
        <v>94</v>
      </c>
      <c r="B39" t="s">
        <v>95</v>
      </c>
      <c r="C39" s="28">
        <v>3711</v>
      </c>
      <c r="E39" t="s">
        <v>95</v>
      </c>
      <c r="F39" s="28">
        <v>3353</v>
      </c>
      <c r="G39" t="b">
        <f>IF(B39=E39,TRUE,FALSE)</f>
        <v>1</v>
      </c>
      <c r="J39" s="25">
        <f>F39-C39</f>
        <v>-358</v>
      </c>
      <c r="K39" s="4">
        <f>F39/C39-1</f>
        <v>-9.6469954190245177E-2</v>
      </c>
      <c r="M39" s="5">
        <v>7788.44</v>
      </c>
      <c r="N39" s="5">
        <v>6897.94</v>
      </c>
      <c r="Q39" s="139">
        <v>51682.17</v>
      </c>
      <c r="U39" s="127">
        <f>N39-M39</f>
        <v>-890.5</v>
      </c>
      <c r="V39" s="4">
        <f>IF(M39=0,0,N39/M39-1)</f>
        <v>-0.11433611865790838</v>
      </c>
      <c r="W39" s="18">
        <v>100138.83</v>
      </c>
      <c r="X39" s="18">
        <v>90460.479999999996</v>
      </c>
      <c r="Y39" s="4">
        <f>X39/W39-1</f>
        <v>-9.6649321746619221E-2</v>
      </c>
    </row>
    <row r="40" spans="1:25" ht="13.9" customHeight="1">
      <c r="A40" s="54" t="s">
        <v>96</v>
      </c>
      <c r="B40" s="37" t="s">
        <v>97</v>
      </c>
      <c r="C40" s="28">
        <v>6011</v>
      </c>
      <c r="E40" s="37" t="s">
        <v>97</v>
      </c>
      <c r="F40" s="28">
        <v>3353</v>
      </c>
      <c r="G40" t="b">
        <f>IF(B40=E40,TRUE,FALSE)</f>
        <v>1</v>
      </c>
      <c r="J40" s="25">
        <f>F40-C40</f>
        <v>-2658</v>
      </c>
      <c r="K40" s="4">
        <f>F40/C40-1</f>
        <v>-0.44218931958076857</v>
      </c>
      <c r="M40" s="5">
        <v>10780.58</v>
      </c>
      <c r="N40" s="5">
        <v>3510.39</v>
      </c>
      <c r="Q40" s="138">
        <v>33514.339999999997</v>
      </c>
      <c r="U40" s="127">
        <f>N40-M40</f>
        <v>-7270.1900000000005</v>
      </c>
      <c r="V40" s="4">
        <f>IF(M40=0,0,N40/M40-1)</f>
        <v>-0.67437837296323577</v>
      </c>
      <c r="W40" s="18">
        <v>162216.1</v>
      </c>
      <c r="X40" s="18">
        <v>90486.399999999994</v>
      </c>
      <c r="Y40" s="4">
        <f>X40/W40-1</f>
        <v>-0.44218607154283707</v>
      </c>
    </row>
    <row r="41" spans="1:25" ht="13.9" customHeight="1">
      <c r="A41" t="s">
        <v>98</v>
      </c>
      <c r="B41" t="s">
        <v>99</v>
      </c>
      <c r="C41" s="28">
        <v>3158</v>
      </c>
      <c r="E41" t="s">
        <v>99</v>
      </c>
      <c r="F41" s="28">
        <v>3286</v>
      </c>
      <c r="G41" t="b">
        <f>IF(B41=E41,TRUE,FALSE)</f>
        <v>1</v>
      </c>
      <c r="J41" s="25">
        <f>F41-C41</f>
        <v>128</v>
      </c>
      <c r="K41" s="4">
        <f>F41/C41-1</f>
        <v>4.0531982267257849E-2</v>
      </c>
      <c r="M41" s="5">
        <v>4475.8599999999997</v>
      </c>
      <c r="N41" s="5">
        <v>4783.6899999999996</v>
      </c>
      <c r="Q41" s="139">
        <v>36089.839999999997</v>
      </c>
      <c r="U41" s="127">
        <f>N41-M41</f>
        <v>307.82999999999993</v>
      </c>
      <c r="V41" s="4">
        <f>IF(M41=0,0,N41/M41-1)</f>
        <v>6.8775609603517474E-2</v>
      </c>
      <c r="W41" s="18">
        <v>109586.88</v>
      </c>
      <c r="X41" s="18">
        <v>127566.29</v>
      </c>
      <c r="Y41" s="4">
        <f>X41/W41-1</f>
        <v>0.16406535161873381</v>
      </c>
    </row>
    <row r="42" spans="1:25" ht="13.9" customHeight="1">
      <c r="A42" t="s">
        <v>100</v>
      </c>
      <c r="B42" t="s">
        <v>101</v>
      </c>
      <c r="C42" s="28">
        <v>3610</v>
      </c>
      <c r="E42" t="s">
        <v>101</v>
      </c>
      <c r="F42" s="28">
        <v>3221</v>
      </c>
      <c r="G42" t="b">
        <f>IF(B42=E42,TRUE,FALSE)</f>
        <v>1</v>
      </c>
      <c r="J42" s="25">
        <f>F42-C42</f>
        <v>-389</v>
      </c>
      <c r="K42" s="4">
        <f>F42/C42-1</f>
        <v>-0.10775623268698065</v>
      </c>
      <c r="M42" s="5">
        <v>3997.73</v>
      </c>
      <c r="N42" s="5">
        <v>3841.18</v>
      </c>
      <c r="Q42" s="139">
        <v>19229.84</v>
      </c>
      <c r="U42" s="127">
        <f>N42-M42</f>
        <v>-156.55000000000018</v>
      </c>
      <c r="V42" s="4">
        <f>IF(M42=0,0,N42/M42-1)</f>
        <v>-3.9159723142883629E-2</v>
      </c>
      <c r="W42" s="18">
        <v>76010.12</v>
      </c>
      <c r="X42" s="18">
        <v>70657.820000000007</v>
      </c>
      <c r="Y42" s="4">
        <f>X42/W42-1</f>
        <v>-7.0415623603804156E-2</v>
      </c>
    </row>
    <row r="43" spans="1:25" ht="13.9" customHeight="1">
      <c r="A43" t="s">
        <v>102</v>
      </c>
      <c r="B43" t="s">
        <v>103</v>
      </c>
      <c r="C43" s="28">
        <v>3147</v>
      </c>
      <c r="E43" t="s">
        <v>103</v>
      </c>
      <c r="F43" s="28">
        <v>3199</v>
      </c>
      <c r="G43" t="b">
        <f>IF(B43=E43,TRUE,FALSE)</f>
        <v>1</v>
      </c>
      <c r="J43" s="25">
        <f>F43-C43</f>
        <v>52</v>
      </c>
      <c r="K43" s="4">
        <f>F43/C43-1</f>
        <v>1.6523673339688516E-2</v>
      </c>
      <c r="M43" s="5">
        <v>6023.05</v>
      </c>
      <c r="N43" s="5">
        <v>5302.99</v>
      </c>
      <c r="Q43" s="139">
        <v>37719.15</v>
      </c>
      <c r="U43" s="127">
        <f>N43-M43</f>
        <v>-720.0600000000004</v>
      </c>
      <c r="V43" s="4">
        <f>IF(M43=0,0,N43/M43-1)</f>
        <v>-0.1195507259610995</v>
      </c>
      <c r="W43" s="18">
        <v>100129.74</v>
      </c>
      <c r="X43" s="18">
        <v>101897.60000000001</v>
      </c>
      <c r="Y43" s="4">
        <f>X43/W43-1</f>
        <v>1.7655693503248804E-2</v>
      </c>
    </row>
    <row r="44" spans="1:25">
      <c r="A44" t="s">
        <v>104</v>
      </c>
      <c r="B44" t="s">
        <v>105</v>
      </c>
      <c r="C44" s="28">
        <v>3277</v>
      </c>
      <c r="E44" t="s">
        <v>105</v>
      </c>
      <c r="F44" s="28">
        <v>3165</v>
      </c>
      <c r="G44" t="b">
        <f>IF(B44=E44,TRUE,FALSE)</f>
        <v>1</v>
      </c>
      <c r="J44" s="25">
        <f>F44-C44</f>
        <v>-112</v>
      </c>
      <c r="K44" s="4">
        <f>F44/C44-1</f>
        <v>-3.4177601464754348E-2</v>
      </c>
      <c r="M44" s="5">
        <v>3089.78</v>
      </c>
      <c r="N44" s="5">
        <v>2441.23</v>
      </c>
      <c r="Q44" s="139">
        <v>13873.15</v>
      </c>
      <c r="U44" s="127">
        <f>N44-M44</f>
        <v>-648.55000000000018</v>
      </c>
      <c r="V44" s="4">
        <f>IF(M44=0,0,N44/M44-1)</f>
        <v>-0.20990167584747144</v>
      </c>
      <c r="W44" s="18">
        <v>98272.43</v>
      </c>
      <c r="X44" s="18">
        <v>94821.18</v>
      </c>
      <c r="Y44" s="4">
        <f>X44/W44-1</f>
        <v>-3.5119208917495981E-2</v>
      </c>
    </row>
    <row r="45" spans="1:25">
      <c r="A45" t="s">
        <v>106</v>
      </c>
      <c r="B45" t="s">
        <v>107</v>
      </c>
      <c r="C45" s="28">
        <v>4740</v>
      </c>
      <c r="E45" t="s">
        <v>107</v>
      </c>
      <c r="F45" s="28">
        <v>3162</v>
      </c>
      <c r="G45" t="b">
        <f>IF(B45=E45,TRUE,FALSE)</f>
        <v>1</v>
      </c>
      <c r="J45" s="25">
        <f>F45-C45</f>
        <v>-1578</v>
      </c>
      <c r="K45" s="4">
        <f>F45/C45-1</f>
        <v>-0.33291139240506329</v>
      </c>
      <c r="M45" s="5">
        <v>3492.28</v>
      </c>
      <c r="N45" s="5">
        <v>2446.33</v>
      </c>
      <c r="Q45" s="139">
        <v>27479.07</v>
      </c>
      <c r="U45" s="127">
        <f>N45-M45</f>
        <v>-1045.9500000000003</v>
      </c>
      <c r="V45" s="4">
        <f>IF(M45=0,0,N45/M45-1)</f>
        <v>-0.29950347623901874</v>
      </c>
      <c r="W45" s="18">
        <v>160411.17000000001</v>
      </c>
      <c r="X45" s="18">
        <v>120151.14</v>
      </c>
      <c r="Y45" s="4">
        <f>X45/W45-1</f>
        <v>-0.2509802154051991</v>
      </c>
    </row>
    <row r="46" spans="1:25">
      <c r="A46" s="54" t="s">
        <v>108</v>
      </c>
      <c r="B46" s="37" t="s">
        <v>109</v>
      </c>
      <c r="C46" s="28">
        <v>2748</v>
      </c>
      <c r="E46" s="37" t="s">
        <v>109</v>
      </c>
      <c r="F46" s="28">
        <v>3135</v>
      </c>
      <c r="G46" t="b">
        <f>IF(B46=E46,TRUE,FALSE)</f>
        <v>1</v>
      </c>
      <c r="J46" s="25">
        <f>F46-C46</f>
        <v>387</v>
      </c>
      <c r="K46" s="4">
        <f>F46/C46-1</f>
        <v>0.14082969432314418</v>
      </c>
      <c r="M46" s="5">
        <v>3774.34</v>
      </c>
      <c r="N46" s="5">
        <v>4052.96</v>
      </c>
      <c r="Q46" s="139">
        <v>30981.34</v>
      </c>
      <c r="U46" s="127">
        <f>N46-M46</f>
        <v>278.61999999999989</v>
      </c>
      <c r="V46" s="4">
        <f>IF(M46=0,0,N46/M46-1)</f>
        <v>7.3819528712304683E-2</v>
      </c>
      <c r="W46" s="18">
        <v>64756.67</v>
      </c>
      <c r="X46" s="18">
        <v>78130.22</v>
      </c>
      <c r="Y46" s="4">
        <f>X46/W46-1</f>
        <v>0.20652003878519398</v>
      </c>
    </row>
    <row r="47" spans="1:25" ht="13.5" customHeight="1">
      <c r="A47" t="s">
        <v>110</v>
      </c>
      <c r="B47" s="27" t="s">
        <v>111</v>
      </c>
      <c r="C47" s="28">
        <v>2822</v>
      </c>
      <c r="D47" s="19"/>
      <c r="E47" s="27" t="s">
        <v>111</v>
      </c>
      <c r="F47" s="28">
        <v>3073</v>
      </c>
      <c r="G47" t="b">
        <f>IF(B47=E47,TRUE,FALSE)</f>
        <v>1</v>
      </c>
      <c r="H47" s="19"/>
      <c r="I47" s="19"/>
      <c r="J47" s="25">
        <f>F47-C47</f>
        <v>251</v>
      </c>
      <c r="K47" s="4">
        <f>F47/C47-1</f>
        <v>8.8944011339475493E-2</v>
      </c>
      <c r="M47" s="5">
        <v>3372.02</v>
      </c>
      <c r="N47" s="5">
        <v>2614.14</v>
      </c>
      <c r="Q47" s="139">
        <v>16601.849999999999</v>
      </c>
      <c r="U47" s="127">
        <f>N47-M47</f>
        <v>-757.88000000000011</v>
      </c>
      <c r="V47" s="4">
        <f>IF(M47=0,0,N47/M47-1)</f>
        <v>-0.22475548780849464</v>
      </c>
      <c r="W47" s="18">
        <v>67672.429999999993</v>
      </c>
      <c r="X47" s="18">
        <v>73716.95</v>
      </c>
      <c r="Y47" s="4">
        <f>X47/W47-1</f>
        <v>8.9320274150049173E-2</v>
      </c>
    </row>
    <row r="48" spans="1:25">
      <c r="A48" t="s">
        <v>112</v>
      </c>
      <c r="B48" t="s">
        <v>113</v>
      </c>
      <c r="C48" s="28">
        <v>3393</v>
      </c>
      <c r="E48" t="s">
        <v>113</v>
      </c>
      <c r="F48" s="28">
        <v>3067</v>
      </c>
      <c r="G48" t="b">
        <f>IF(B48=E48,TRUE,FALSE)</f>
        <v>1</v>
      </c>
      <c r="J48" s="25">
        <f>F48-C48</f>
        <v>-326</v>
      </c>
      <c r="K48" s="4">
        <f>F48/C48-1</f>
        <v>-9.6080165045682286E-2</v>
      </c>
      <c r="M48" s="5">
        <v>3498.23</v>
      </c>
      <c r="N48" s="5">
        <v>3786.18</v>
      </c>
      <c r="Q48" s="139">
        <v>24521.7</v>
      </c>
      <c r="U48" s="127">
        <f>N48-M48</f>
        <v>287.94999999999982</v>
      </c>
      <c r="V48" s="4">
        <f>IF(M48=0,0,N48/M48-1)</f>
        <v>8.2313055459475093E-2</v>
      </c>
      <c r="W48" s="18">
        <v>98335.02</v>
      </c>
      <c r="X48" s="18">
        <v>88871.64</v>
      </c>
      <c r="Y48" s="4">
        <f>X48/W48-1</f>
        <v>-9.6236112017875297E-2</v>
      </c>
    </row>
    <row r="49" spans="1:25">
      <c r="A49" t="s">
        <v>114</v>
      </c>
      <c r="B49" t="s">
        <v>115</v>
      </c>
      <c r="C49" s="28">
        <v>3698</v>
      </c>
      <c r="E49" t="s">
        <v>115</v>
      </c>
      <c r="F49" s="28">
        <v>2999</v>
      </c>
      <c r="G49" t="b">
        <f>IF(B49=E49,TRUE,FALSE)</f>
        <v>1</v>
      </c>
      <c r="J49" s="25">
        <f>F49-C49</f>
        <v>-699</v>
      </c>
      <c r="K49" s="4">
        <f>F49/C49-1</f>
        <v>-0.18902109248242294</v>
      </c>
      <c r="M49" s="5">
        <v>2351.31</v>
      </c>
      <c r="N49" s="5">
        <v>2333.2399999999998</v>
      </c>
      <c r="Q49" s="139">
        <v>19907.98</v>
      </c>
      <c r="U49" s="127">
        <f>N49-M49</f>
        <v>-18.070000000000164</v>
      </c>
      <c r="V49" s="4">
        <f>IF(M49=0,0,N49/M49-1)</f>
        <v>-7.6850776801018483E-3</v>
      </c>
      <c r="W49" s="18">
        <v>113110.22</v>
      </c>
      <c r="X49" s="18">
        <v>98813.42</v>
      </c>
      <c r="Y49" s="4">
        <f>X49/W49-1</f>
        <v>-0.12639706650734128</v>
      </c>
    </row>
    <row r="50" spans="1:25">
      <c r="A50" t="s">
        <v>116</v>
      </c>
      <c r="B50" t="s">
        <v>117</v>
      </c>
      <c r="C50" s="28">
        <v>2117</v>
      </c>
      <c r="E50" t="s">
        <v>117</v>
      </c>
      <c r="F50" s="28">
        <v>2942</v>
      </c>
      <c r="G50" t="b">
        <f>IF(B50=E50,TRUE,FALSE)</f>
        <v>1</v>
      </c>
      <c r="J50" s="25">
        <f>F50-C50</f>
        <v>825</v>
      </c>
      <c r="K50" s="4">
        <f>F50/C50-1</f>
        <v>0.38970240906943787</v>
      </c>
      <c r="M50" s="5">
        <v>2852.03</v>
      </c>
      <c r="N50" s="5">
        <v>4452.76</v>
      </c>
      <c r="Q50" s="139">
        <v>16869.53</v>
      </c>
      <c r="U50" s="127">
        <f>N50-M50</f>
        <v>1600.73</v>
      </c>
      <c r="V50" s="4">
        <f>IF(M50=0,0,N50/M50-1)</f>
        <v>0.56125987454549908</v>
      </c>
      <c r="W50" s="18">
        <v>63393.95</v>
      </c>
      <c r="X50" s="18">
        <v>88109.3</v>
      </c>
      <c r="Y50" s="4">
        <f>X50/W50-1</f>
        <v>0.38986922253622014</v>
      </c>
    </row>
    <row r="51" spans="1:25">
      <c r="A51" t="s">
        <v>118</v>
      </c>
      <c r="B51" t="s">
        <v>119</v>
      </c>
      <c r="C51" s="28">
        <v>2638</v>
      </c>
      <c r="E51" t="s">
        <v>119</v>
      </c>
      <c r="F51" s="28">
        <v>2931</v>
      </c>
      <c r="G51" t="b">
        <f>IF(B51=E51,TRUE,FALSE)</f>
        <v>1</v>
      </c>
      <c r="J51" s="25">
        <f>F51-C51</f>
        <v>293</v>
      </c>
      <c r="K51" s="4">
        <f>F51/C51-1</f>
        <v>0.11106899166034867</v>
      </c>
      <c r="M51" s="5">
        <v>4268.57</v>
      </c>
      <c r="N51" s="5">
        <v>4160.45</v>
      </c>
      <c r="Q51" s="139">
        <v>38916.9</v>
      </c>
      <c r="U51" s="127">
        <f>N51-M51</f>
        <v>-108.11999999999989</v>
      </c>
      <c r="V51" s="4">
        <f>IF(M51=0,0,N51/M51-1)</f>
        <v>-2.5329325746092923E-2</v>
      </c>
      <c r="W51" s="18">
        <v>76035.320000000007</v>
      </c>
      <c r="X51" s="18">
        <v>87886.59</v>
      </c>
      <c r="Y51" s="4">
        <f>X51/W51-1</f>
        <v>0.1558653267981247</v>
      </c>
    </row>
    <row r="52" spans="1:25">
      <c r="A52" t="s">
        <v>120</v>
      </c>
      <c r="B52" t="s">
        <v>121</v>
      </c>
      <c r="C52" s="28">
        <v>2973</v>
      </c>
      <c r="E52" t="s">
        <v>121</v>
      </c>
      <c r="F52" s="28">
        <v>2783</v>
      </c>
      <c r="G52" t="b">
        <f>IF(B52=E52,TRUE,FALSE)</f>
        <v>1</v>
      </c>
      <c r="J52" s="25">
        <f>F52-C52</f>
        <v>-190</v>
      </c>
      <c r="K52" s="4">
        <f>F52/C52-1</f>
        <v>-6.390850992263708E-2</v>
      </c>
      <c r="M52" s="5">
        <v>2823.11</v>
      </c>
      <c r="N52" s="5">
        <v>2620.79</v>
      </c>
      <c r="Q52" s="139">
        <v>22553.88</v>
      </c>
      <c r="U52" s="127">
        <f>N52-M52</f>
        <v>-202.32000000000016</v>
      </c>
      <c r="V52" s="4">
        <f>IF(M52=0,0,N52/M52-1)</f>
        <v>-7.1665645334400785E-2</v>
      </c>
      <c r="W52" s="18">
        <v>85395.22</v>
      </c>
      <c r="X52" s="18">
        <v>83215.63</v>
      </c>
      <c r="Y52" s="4">
        <f>X52/W52-1</f>
        <v>-2.5523559749597191E-2</v>
      </c>
    </row>
    <row r="53" spans="1:25">
      <c r="A53" s="54" t="s">
        <v>122</v>
      </c>
      <c r="B53" s="37" t="s">
        <v>123</v>
      </c>
      <c r="C53" s="28">
        <v>2842</v>
      </c>
      <c r="E53" s="37" t="s">
        <v>123</v>
      </c>
      <c r="F53" s="28">
        <v>2780</v>
      </c>
      <c r="G53" t="b">
        <f>IF(B53=E53,TRUE,FALSE)</f>
        <v>1</v>
      </c>
      <c r="J53" s="25">
        <f>F53-C53</f>
        <v>-62</v>
      </c>
      <c r="K53" s="4">
        <f>F53/C53-1</f>
        <v>-2.1815622800844481E-2</v>
      </c>
      <c r="M53" s="5">
        <v>4554.5600000000004</v>
      </c>
      <c r="N53" s="5">
        <v>3450.76</v>
      </c>
      <c r="Q53" s="139">
        <v>24262.44</v>
      </c>
      <c r="U53" s="127">
        <f>N53-M53</f>
        <v>-1103.8000000000002</v>
      </c>
      <c r="V53" s="4">
        <f>IF(M53=0,0,N53/M53-1)</f>
        <v>-0.24235052343146213</v>
      </c>
      <c r="W53" s="18">
        <v>76487.42</v>
      </c>
      <c r="X53" s="18">
        <v>74799.17</v>
      </c>
      <c r="Y53" s="4">
        <f>X53/W53-1</f>
        <v>-2.2072257111038662E-2</v>
      </c>
    </row>
    <row r="54" spans="1:25">
      <c r="A54" t="s">
        <v>124</v>
      </c>
      <c r="B54" t="s">
        <v>125</v>
      </c>
      <c r="C54" s="28">
        <v>3124</v>
      </c>
      <c r="E54" t="s">
        <v>125</v>
      </c>
      <c r="F54" s="28">
        <v>2772</v>
      </c>
      <c r="G54" t="b">
        <f>IF(B54=E54,TRUE,FALSE)</f>
        <v>1</v>
      </c>
      <c r="J54" s="25">
        <f>F54-C54</f>
        <v>-352</v>
      </c>
      <c r="K54" s="4">
        <f>F54/C54-1</f>
        <v>-0.11267605633802813</v>
      </c>
      <c r="M54" s="5">
        <v>4521.25</v>
      </c>
      <c r="N54" s="5">
        <v>4480.6099999999997</v>
      </c>
      <c r="Q54" s="139">
        <v>26782.69</v>
      </c>
      <c r="U54" s="127">
        <f>N54-M54</f>
        <v>-40.640000000000327</v>
      </c>
      <c r="V54" s="4">
        <f>IF(M54=0,0,N54/M54-1)</f>
        <v>-8.9886646392037806E-3</v>
      </c>
      <c r="W54" s="18">
        <v>74707.77</v>
      </c>
      <c r="X54" s="18">
        <v>69151.649999999994</v>
      </c>
      <c r="Y54" s="4">
        <f>X54/W54-1</f>
        <v>-7.4371380647555219E-2</v>
      </c>
    </row>
    <row r="55" spans="1:25">
      <c r="A55" t="s">
        <v>126</v>
      </c>
      <c r="B55" t="s">
        <v>127</v>
      </c>
      <c r="C55" s="28">
        <v>3602</v>
      </c>
      <c r="E55" t="s">
        <v>127</v>
      </c>
      <c r="F55" s="28">
        <v>2751</v>
      </c>
      <c r="G55" t="b">
        <f>IF(B55=E55,TRUE,FALSE)</f>
        <v>1</v>
      </c>
      <c r="J55" s="25">
        <f>F55-C55</f>
        <v>-851</v>
      </c>
      <c r="K55" s="4">
        <f>F55/C55-1</f>
        <v>-0.23625763464741811</v>
      </c>
      <c r="M55" s="5">
        <v>5954.87</v>
      </c>
      <c r="N55" s="5">
        <v>4243.88</v>
      </c>
      <c r="Q55" s="139">
        <v>35499.879999999997</v>
      </c>
      <c r="U55" s="127">
        <f>N55-M55</f>
        <v>-1710.9899999999998</v>
      </c>
      <c r="V55" s="4">
        <f>IF(M55=0,0,N55/M55-1)</f>
        <v>-0.28732617168804686</v>
      </c>
      <c r="W55" s="18">
        <v>89971.99</v>
      </c>
      <c r="X55" s="18">
        <v>68729.990000000005</v>
      </c>
      <c r="Y55" s="4">
        <f>X55/W55-1</f>
        <v>-0.23609570045077366</v>
      </c>
    </row>
    <row r="56" spans="1:25">
      <c r="A56" t="s">
        <v>128</v>
      </c>
      <c r="B56" t="s">
        <v>129</v>
      </c>
      <c r="C56" s="28">
        <v>3416</v>
      </c>
      <c r="E56" t="s">
        <v>129</v>
      </c>
      <c r="F56" s="28">
        <v>2746</v>
      </c>
      <c r="G56" t="b">
        <f>IF(B56=E56,TRUE,FALSE)</f>
        <v>1</v>
      </c>
      <c r="J56" s="25">
        <f>F56-C56</f>
        <v>-670</v>
      </c>
      <c r="K56" s="4">
        <f>F56/C56-1</f>
        <v>-0.19613583138173307</v>
      </c>
      <c r="M56" s="5">
        <v>1603.35</v>
      </c>
      <c r="N56" s="5">
        <v>1065.21</v>
      </c>
      <c r="Q56" s="139">
        <v>8798.2900000000009</v>
      </c>
      <c r="U56" s="127">
        <f>N56-M56</f>
        <v>-538.13999999999987</v>
      </c>
      <c r="V56" s="4">
        <f>IF(M56=0,0,N56/M56-1)</f>
        <v>-0.33563476471138542</v>
      </c>
      <c r="W56" s="18">
        <v>139418.71000000002</v>
      </c>
      <c r="X56" s="18">
        <v>117959.38</v>
      </c>
      <c r="Y56" s="4">
        <f>X56/W56-1</f>
        <v>-0.15392001546994671</v>
      </c>
    </row>
    <row r="57" spans="1:25">
      <c r="A57" t="s">
        <v>130</v>
      </c>
      <c r="B57" t="s">
        <v>131</v>
      </c>
      <c r="C57" s="28">
        <v>3124</v>
      </c>
      <c r="E57" t="s">
        <v>131</v>
      </c>
      <c r="F57" s="28">
        <v>2739</v>
      </c>
      <c r="G57" t="b">
        <f>IF(B57=E57,TRUE,FALSE)</f>
        <v>1</v>
      </c>
      <c r="J57" s="25">
        <f>F57-C57</f>
        <v>-385</v>
      </c>
      <c r="K57" s="4">
        <f>F57/C57-1</f>
        <v>-0.12323943661971826</v>
      </c>
      <c r="M57" s="5">
        <v>3637.81</v>
      </c>
      <c r="N57" s="5">
        <v>2627.36</v>
      </c>
      <c r="Q57" s="139">
        <v>15463.58</v>
      </c>
      <c r="U57" s="127">
        <f>N57-M57</f>
        <v>-1010.4499999999998</v>
      </c>
      <c r="V57" s="4">
        <f>IF(M57=0,0,N57/M57-1)</f>
        <v>-0.27776326965949294</v>
      </c>
      <c r="W57" s="18">
        <v>89482.2</v>
      </c>
      <c r="X57" s="18">
        <v>82024.649999999994</v>
      </c>
      <c r="Y57" s="4">
        <f>X57/W57-1</f>
        <v>-8.3341156118200033E-2</v>
      </c>
    </row>
    <row r="58" spans="1:25">
      <c r="A58" t="s">
        <v>132</v>
      </c>
      <c r="B58" t="s">
        <v>133</v>
      </c>
      <c r="C58" s="28">
        <v>2751</v>
      </c>
      <c r="E58" t="s">
        <v>133</v>
      </c>
      <c r="F58" s="28">
        <v>2714</v>
      </c>
      <c r="G58" t="b">
        <f>IF(B58=E58,TRUE,FALSE)</f>
        <v>1</v>
      </c>
      <c r="J58" s="25">
        <f>F58-C58</f>
        <v>-37</v>
      </c>
      <c r="K58" s="4">
        <f>F58/C58-1</f>
        <v>-1.3449654671028766E-2</v>
      </c>
      <c r="M58" s="5">
        <v>5183.92</v>
      </c>
      <c r="N58" s="5">
        <v>5063.22</v>
      </c>
      <c r="Q58" s="139">
        <v>30360.28</v>
      </c>
      <c r="U58" s="127">
        <f>N58-M58</f>
        <v>-120.69999999999982</v>
      </c>
      <c r="V58" s="4">
        <f>IF(M58=0,0,N58/M58-1)</f>
        <v>-2.3283538326208664E-2</v>
      </c>
      <c r="W58" s="18">
        <v>82034.490000000005</v>
      </c>
      <c r="X58" s="18">
        <v>81381.460000000006</v>
      </c>
      <c r="Y58" s="4">
        <f>X58/W58-1</f>
        <v>-7.9604322523367799E-3</v>
      </c>
    </row>
    <row r="59" spans="1:25">
      <c r="A59" t="s">
        <v>134</v>
      </c>
      <c r="B59" t="s">
        <v>135</v>
      </c>
      <c r="C59" s="28">
        <v>3828</v>
      </c>
      <c r="E59" t="s">
        <v>135</v>
      </c>
      <c r="F59" s="28">
        <v>2714</v>
      </c>
      <c r="G59" t="b">
        <f>IF(B59=E59,TRUE,FALSE)</f>
        <v>1</v>
      </c>
      <c r="J59" s="25">
        <f>F59-C59</f>
        <v>-1114</v>
      </c>
      <c r="K59" s="4">
        <f>F59/C59-1</f>
        <v>-0.29101358411703238</v>
      </c>
      <c r="M59" s="5">
        <v>2936.94</v>
      </c>
      <c r="N59" s="5">
        <v>2026.55</v>
      </c>
      <c r="Q59" s="139">
        <v>13414.41</v>
      </c>
      <c r="U59" s="127">
        <f>N59-M59</f>
        <v>-910.3900000000001</v>
      </c>
      <c r="V59" s="4">
        <f>IF(M59=0,0,N59/M59-1)</f>
        <v>-0.30997909388683464</v>
      </c>
      <c r="W59" s="18">
        <v>108093.75</v>
      </c>
      <c r="X59" s="18">
        <v>93604.18</v>
      </c>
      <c r="Y59" s="4">
        <f>X59/W59-1</f>
        <v>-0.1340463255276092</v>
      </c>
    </row>
    <row r="60" spans="1:25">
      <c r="A60" t="s">
        <v>136</v>
      </c>
      <c r="B60" t="s">
        <v>137</v>
      </c>
      <c r="C60" s="28">
        <v>3063</v>
      </c>
      <c r="E60" t="s">
        <v>137</v>
      </c>
      <c r="F60" s="28">
        <v>2677</v>
      </c>
      <c r="G60" t="b">
        <f>IF(B60=E60,TRUE,FALSE)</f>
        <v>1</v>
      </c>
      <c r="J60" s="25">
        <f>F60-C60</f>
        <v>-386</v>
      </c>
      <c r="K60" s="4">
        <f>F60/C60-1</f>
        <v>-0.12602024159320924</v>
      </c>
      <c r="M60" s="5">
        <v>1002.38</v>
      </c>
      <c r="N60" s="5">
        <v>523.46</v>
      </c>
      <c r="Q60" s="139">
        <v>6802.17</v>
      </c>
      <c r="U60" s="127">
        <f>N60-M60</f>
        <v>-478.91999999999996</v>
      </c>
      <c r="V60" s="4">
        <f>IF(M60=0,0,N60/M60-1)</f>
        <v>-0.47778287675332709</v>
      </c>
      <c r="W60" s="18">
        <v>111267.39</v>
      </c>
      <c r="X60" s="18">
        <v>107003.24</v>
      </c>
      <c r="Y60" s="4">
        <f>X60/W60-1</f>
        <v>-3.8323447687592882E-2</v>
      </c>
    </row>
    <row r="61" spans="1:25" ht="30.75">
      <c r="A61" s="54" t="s">
        <v>138</v>
      </c>
      <c r="B61" s="37" t="s">
        <v>139</v>
      </c>
      <c r="C61" s="28">
        <v>3875</v>
      </c>
      <c r="E61" s="37" t="s">
        <v>139</v>
      </c>
      <c r="F61" s="28">
        <v>2539</v>
      </c>
      <c r="G61" t="b">
        <f>IF(B61=E61,TRUE,FALSE)</f>
        <v>1</v>
      </c>
      <c r="J61" s="25">
        <f>F61-C61</f>
        <v>-1336</v>
      </c>
      <c r="K61" s="4">
        <f>F61/C61-1</f>
        <v>-0.34477419354838712</v>
      </c>
      <c r="M61" s="5">
        <v>5068.88</v>
      </c>
      <c r="N61" s="5">
        <v>5376.81</v>
      </c>
      <c r="Q61" s="138">
        <v>48764.97</v>
      </c>
      <c r="U61" s="127">
        <f>N61-M61</f>
        <v>307.93000000000029</v>
      </c>
      <c r="V61" s="4">
        <f>IF(M61=0,0,N61/M61-1)</f>
        <v>6.0749120121210254E-2</v>
      </c>
      <c r="W61" s="18">
        <v>82257.84</v>
      </c>
      <c r="X61" s="18">
        <v>63340.3</v>
      </c>
      <c r="Y61" s="4">
        <f>X61/W61-1</f>
        <v>-0.22997856496110269</v>
      </c>
    </row>
    <row r="62" spans="1:25">
      <c r="A62" t="s">
        <v>140</v>
      </c>
      <c r="B62" t="s">
        <v>141</v>
      </c>
      <c r="C62" s="28">
        <v>2493</v>
      </c>
      <c r="E62" t="s">
        <v>141</v>
      </c>
      <c r="F62" s="28">
        <v>2536</v>
      </c>
      <c r="G62" t="b">
        <f>IF(B62=E62,TRUE,FALSE)</f>
        <v>1</v>
      </c>
      <c r="J62" s="25">
        <f>F62-C62</f>
        <v>43</v>
      </c>
      <c r="K62" s="4">
        <f>F62/C62-1</f>
        <v>1.7248295226634625E-2</v>
      </c>
      <c r="M62" s="5">
        <v>4349.5</v>
      </c>
      <c r="N62" s="5">
        <v>3095.45</v>
      </c>
      <c r="Q62" s="139">
        <v>23023.84</v>
      </c>
      <c r="U62" s="127">
        <f>N62-M62</f>
        <v>-1254.0500000000002</v>
      </c>
      <c r="V62" s="4">
        <f>IF(M62=0,0,N62/M62-1)</f>
        <v>-0.28832049660880565</v>
      </c>
      <c r="W62" s="18">
        <v>67275.539999999994</v>
      </c>
      <c r="X62" s="18">
        <v>68431.520000000004</v>
      </c>
      <c r="Y62" s="4">
        <f>X62/W62-1</f>
        <v>1.7182768061022147E-2</v>
      </c>
    </row>
    <row r="63" spans="1:25">
      <c r="A63" t="s">
        <v>142</v>
      </c>
      <c r="B63" t="s">
        <v>143</v>
      </c>
      <c r="C63" s="28">
        <v>2677</v>
      </c>
      <c r="E63" t="s">
        <v>143</v>
      </c>
      <c r="F63" s="28">
        <v>2533</v>
      </c>
      <c r="G63" t="b">
        <f>IF(B63=E63,TRUE,FALSE)</f>
        <v>1</v>
      </c>
      <c r="J63" s="25">
        <f>F63-C63</f>
        <v>-144</v>
      </c>
      <c r="K63" s="4">
        <f>F63/C63-1</f>
        <v>-5.3791557713858795E-2</v>
      </c>
      <c r="M63" s="5">
        <v>3265.84</v>
      </c>
      <c r="N63" s="5">
        <v>2430.31</v>
      </c>
      <c r="Q63" s="139">
        <v>12180.4</v>
      </c>
      <c r="U63" s="127">
        <f>N63-M63</f>
        <v>-835.5300000000002</v>
      </c>
      <c r="V63" s="4">
        <f>IF(M63=0,0,N63/M63-1)</f>
        <v>-0.25583923278543963</v>
      </c>
      <c r="W63" s="18">
        <v>59064.740000000005</v>
      </c>
      <c r="X63" s="18">
        <v>60653.35</v>
      </c>
      <c r="Y63" s="4">
        <f>X63/W63-1</f>
        <v>2.6896080470344863E-2</v>
      </c>
    </row>
    <row r="64" spans="1:25">
      <c r="A64" t="s">
        <v>144</v>
      </c>
      <c r="B64" t="s">
        <v>145</v>
      </c>
      <c r="C64" s="28">
        <v>2298</v>
      </c>
      <c r="E64" t="s">
        <v>145</v>
      </c>
      <c r="F64" s="28">
        <v>2477</v>
      </c>
      <c r="G64" t="b">
        <f>IF(B64=E64,TRUE,FALSE)</f>
        <v>1</v>
      </c>
      <c r="J64" s="25">
        <f>F64-C64</f>
        <v>179</v>
      </c>
      <c r="K64" s="4">
        <f>F64/C64-1</f>
        <v>7.789382071366413E-2</v>
      </c>
      <c r="M64" s="5">
        <v>2298.0500000000002</v>
      </c>
      <c r="N64" s="5">
        <v>1640.77</v>
      </c>
      <c r="Q64" s="139">
        <v>9778.07</v>
      </c>
      <c r="U64" s="127">
        <f>N64-M64</f>
        <v>-657.2800000000002</v>
      </c>
      <c r="V64" s="4">
        <f>IF(M64=0,0,N64/M64-1)</f>
        <v>-0.28601640521311555</v>
      </c>
      <c r="W64" s="18">
        <v>59496.7</v>
      </c>
      <c r="X64" s="18">
        <v>64201.03</v>
      </c>
      <c r="Y64" s="4">
        <f>X64/W64-1</f>
        <v>7.9068755073810948E-2</v>
      </c>
    </row>
    <row r="65" spans="1:25">
      <c r="A65" t="s">
        <v>146</v>
      </c>
      <c r="B65" t="s">
        <v>147</v>
      </c>
      <c r="C65" s="28">
        <v>2407</v>
      </c>
      <c r="E65" t="s">
        <v>147</v>
      </c>
      <c r="F65" s="28">
        <v>2476</v>
      </c>
      <c r="G65" t="b">
        <f>IF(B65=E65,TRUE,FALSE)</f>
        <v>1</v>
      </c>
      <c r="J65" s="25">
        <f>F65-C65</f>
        <v>69</v>
      </c>
      <c r="K65" s="4">
        <f>F65/C65-1</f>
        <v>2.8666389696717864E-2</v>
      </c>
      <c r="M65" s="5">
        <v>2770.04</v>
      </c>
      <c r="N65" s="5">
        <v>2201.6</v>
      </c>
      <c r="Q65" s="139">
        <v>21056.66</v>
      </c>
      <c r="U65" s="127">
        <f>N65-M65</f>
        <v>-568.44000000000005</v>
      </c>
      <c r="V65" s="4">
        <f>IF(M65=0,0,N65/M65-1)</f>
        <v>-0.20521003306811458</v>
      </c>
      <c r="W65" s="18">
        <v>88678.99</v>
      </c>
      <c r="X65" s="18">
        <v>91324.09</v>
      </c>
      <c r="Y65" s="4">
        <f>X65/W65-1</f>
        <v>2.9827809270267958E-2</v>
      </c>
    </row>
    <row r="66" spans="1:25">
      <c r="A66" s="143" t="s">
        <v>148</v>
      </c>
      <c r="B66" s="37" t="s">
        <v>149</v>
      </c>
      <c r="C66" s="28">
        <v>2039</v>
      </c>
      <c r="E66" s="37" t="s">
        <v>149</v>
      </c>
      <c r="F66" s="28">
        <v>2475</v>
      </c>
      <c r="G66" t="b">
        <f>IF(B66=E66,TRUE,FALSE)</f>
        <v>1</v>
      </c>
      <c r="J66" s="25">
        <f>F66-C66</f>
        <v>436</v>
      </c>
      <c r="K66" s="4">
        <f>F66/C66-1</f>
        <v>0.21383030897498778</v>
      </c>
      <c r="M66" s="5">
        <v>2079.9699999999998</v>
      </c>
      <c r="N66" s="5">
        <v>3219.59</v>
      </c>
      <c r="Q66" s="138">
        <v>25020.23</v>
      </c>
      <c r="U66" s="127">
        <f>N66-M66</f>
        <v>1139.6200000000003</v>
      </c>
      <c r="V66" s="4">
        <f>IF(M66=0,0,N66/M66-1)</f>
        <v>0.54790213320384451</v>
      </c>
      <c r="W66" s="18">
        <v>56540.41</v>
      </c>
      <c r="X66" s="18">
        <v>74152.37</v>
      </c>
      <c r="Y66" s="4"/>
    </row>
    <row r="67" spans="1:25">
      <c r="A67" t="s">
        <v>150</v>
      </c>
      <c r="B67" t="s">
        <v>151</v>
      </c>
      <c r="C67" s="28">
        <v>3306</v>
      </c>
      <c r="E67" t="s">
        <v>151</v>
      </c>
      <c r="F67" s="28">
        <v>2465</v>
      </c>
      <c r="G67" t="b">
        <f>IF(B67=E67,TRUE,FALSE)</f>
        <v>1</v>
      </c>
      <c r="J67" s="25">
        <f>F67-C67</f>
        <v>-841</v>
      </c>
      <c r="K67" s="4">
        <f>F67/C67-1</f>
        <v>-0.25438596491228072</v>
      </c>
      <c r="M67" s="5">
        <v>3478.52</v>
      </c>
      <c r="N67" s="5">
        <v>3417.68</v>
      </c>
      <c r="Q67" s="139">
        <v>27477.86</v>
      </c>
      <c r="U67" s="127">
        <f>N67-M67</f>
        <v>-60.840000000000146</v>
      </c>
      <c r="V67" s="4">
        <f>IF(M67=0,0,N67/M67-1)</f>
        <v>-1.7490196980325057E-2</v>
      </c>
      <c r="W67" s="18">
        <v>68564.39</v>
      </c>
      <c r="X67" s="18">
        <v>61496.31</v>
      </c>
      <c r="Y67" s="4">
        <f>X67/W67-1</f>
        <v>-0.10308674809183016</v>
      </c>
    </row>
    <row r="68" spans="1:25">
      <c r="A68" t="s">
        <v>152</v>
      </c>
      <c r="B68" t="s">
        <v>153</v>
      </c>
      <c r="C68" s="28">
        <v>2520</v>
      </c>
      <c r="E68" t="s">
        <v>153</v>
      </c>
      <c r="F68" s="28">
        <v>2457</v>
      </c>
      <c r="G68" t="b">
        <f>IF(B68=E68,TRUE,FALSE)</f>
        <v>1</v>
      </c>
      <c r="J68" s="25">
        <f>F68-C68</f>
        <v>-63</v>
      </c>
      <c r="K68" s="4">
        <f>F68/C68-1</f>
        <v>-2.5000000000000022E-2</v>
      </c>
      <c r="M68" s="5">
        <v>1996.77</v>
      </c>
      <c r="N68" s="5">
        <v>2084.63</v>
      </c>
      <c r="Q68" s="139">
        <v>21730.53</v>
      </c>
      <c r="U68" s="127">
        <f>N68-M68</f>
        <v>87.860000000000127</v>
      </c>
      <c r="V68" s="4">
        <f>IF(M68=0,0,N68/M68-1)</f>
        <v>4.4001061714669332E-2</v>
      </c>
      <c r="W68" s="18">
        <v>72294.8</v>
      </c>
      <c r="X68" s="18">
        <v>73582.05</v>
      </c>
      <c r="Y68" s="4">
        <f>X68/W68-1</f>
        <v>1.7805568311967113E-2</v>
      </c>
    </row>
    <row r="69" spans="1:25">
      <c r="A69" t="s">
        <v>154</v>
      </c>
      <c r="B69" t="s">
        <v>155</v>
      </c>
      <c r="C69" s="28">
        <v>2445</v>
      </c>
      <c r="E69" t="s">
        <v>155</v>
      </c>
      <c r="F69" s="28">
        <v>2440</v>
      </c>
      <c r="G69" t="b">
        <f>IF(B69=E69,TRUE,FALSE)</f>
        <v>1</v>
      </c>
      <c r="J69" s="25">
        <f>F69-C69</f>
        <v>-5</v>
      </c>
      <c r="K69" s="4">
        <f>F69/C69-1</f>
        <v>-2.0449897750510759E-3</v>
      </c>
      <c r="M69" s="5">
        <v>4156.45</v>
      </c>
      <c r="N69" s="5">
        <v>3703.9</v>
      </c>
      <c r="Q69" s="139">
        <v>22570.7</v>
      </c>
      <c r="U69" s="127">
        <f>N69-M69</f>
        <v>-452.54999999999973</v>
      </c>
      <c r="V69" s="4">
        <f>IF(M69=0,0,N69/M69-1)</f>
        <v>-0.10887897123747425</v>
      </c>
      <c r="W69" s="18">
        <v>63190.12</v>
      </c>
      <c r="X69" s="18">
        <v>65749.899999999994</v>
      </c>
      <c r="Y69" s="4">
        <f>X69/W69-1</f>
        <v>4.0509180865616168E-2</v>
      </c>
    </row>
    <row r="70" spans="1:25">
      <c r="A70" t="s">
        <v>156</v>
      </c>
      <c r="B70" t="s">
        <v>157</v>
      </c>
      <c r="C70" s="28">
        <v>2652</v>
      </c>
      <c r="E70" t="s">
        <v>157</v>
      </c>
      <c r="F70" s="28">
        <v>2415</v>
      </c>
      <c r="G70" t="b">
        <f>IF(B70=E70,TRUE,FALSE)</f>
        <v>1</v>
      </c>
      <c r="J70" s="25">
        <f>F70-C70</f>
        <v>-237</v>
      </c>
      <c r="K70" s="4">
        <f>F70/C70-1</f>
        <v>-8.9366515837104088E-2</v>
      </c>
      <c r="M70" s="5">
        <v>2236.75</v>
      </c>
      <c r="N70" s="5">
        <v>2131.06</v>
      </c>
      <c r="Q70" s="139">
        <v>13418.71</v>
      </c>
      <c r="U70" s="127">
        <f>N70-M70</f>
        <v>-105.69000000000005</v>
      </c>
      <c r="V70" s="4">
        <f>IF(M70=0,0,N70/M70-1)</f>
        <v>-4.7251592712641122E-2</v>
      </c>
      <c r="W70" s="18">
        <v>74504.509999999995</v>
      </c>
      <c r="X70" s="18">
        <v>72324.75</v>
      </c>
      <c r="Y70" s="4">
        <f>X70/W70-1</f>
        <v>-2.9256752376466855E-2</v>
      </c>
    </row>
    <row r="71" spans="1:25">
      <c r="A71" t="s">
        <v>158</v>
      </c>
      <c r="B71" t="s">
        <v>159</v>
      </c>
      <c r="C71" s="28">
        <v>2450</v>
      </c>
      <c r="E71" t="s">
        <v>159</v>
      </c>
      <c r="F71" s="28">
        <v>2410</v>
      </c>
      <c r="G71" t="b">
        <f>IF(B71=E71,TRUE,FALSE)</f>
        <v>1</v>
      </c>
      <c r="J71" s="25">
        <f>F71-C71</f>
        <v>-40</v>
      </c>
      <c r="K71" s="4">
        <f>F71/C71-1</f>
        <v>-1.6326530612244872E-2</v>
      </c>
      <c r="M71" s="5">
        <v>3738</v>
      </c>
      <c r="N71" s="5">
        <v>3586.03</v>
      </c>
      <c r="Q71" s="139">
        <v>24249.15</v>
      </c>
      <c r="U71" s="127">
        <f>N71-M71</f>
        <v>-151.9699999999998</v>
      </c>
      <c r="V71" s="4">
        <f>IF(M71=0,0,N71/M71-1)</f>
        <v>-4.0655430711610485E-2</v>
      </c>
      <c r="W71" s="18">
        <v>66110.38</v>
      </c>
      <c r="X71" s="18">
        <v>65033.48</v>
      </c>
      <c r="Y71" s="4">
        <f>X71/W71-1</f>
        <v>-1.6289423839342621E-2</v>
      </c>
    </row>
    <row r="72" spans="1:25">
      <c r="A72" t="s">
        <v>160</v>
      </c>
      <c r="B72" t="s">
        <v>161</v>
      </c>
      <c r="C72" s="28">
        <v>2297</v>
      </c>
      <c r="E72" t="s">
        <v>161</v>
      </c>
      <c r="F72" s="28">
        <v>2389</v>
      </c>
      <c r="G72" t="b">
        <f>IF(B72=E72,TRUE,FALSE)</f>
        <v>1</v>
      </c>
      <c r="J72" s="25">
        <f>F72-C72</f>
        <v>92</v>
      </c>
      <c r="K72" s="4">
        <f>F72/C72-1</f>
        <v>4.0052242054854137E-2</v>
      </c>
      <c r="M72" s="5">
        <v>1996.26</v>
      </c>
      <c r="N72" s="5">
        <v>2187.46</v>
      </c>
      <c r="Q72" s="139">
        <v>17236.810000000001</v>
      </c>
      <c r="U72" s="127">
        <f>N72-M72</f>
        <v>191.20000000000005</v>
      </c>
      <c r="V72" s="4">
        <f>IF(M72=0,0,N72/M72-1)</f>
        <v>9.5779106929958946E-2</v>
      </c>
      <c r="W72" s="18">
        <v>68694.009999999995</v>
      </c>
      <c r="X72" s="18">
        <v>71463.789999999994</v>
      </c>
      <c r="Y72" s="4">
        <f>X72/W72-1</f>
        <v>4.0320546143688407E-2</v>
      </c>
    </row>
    <row r="73" spans="1:25">
      <c r="A73" s="54" t="s">
        <v>162</v>
      </c>
      <c r="B73" s="37" t="s">
        <v>163</v>
      </c>
      <c r="C73" s="19">
        <v>2887</v>
      </c>
      <c r="E73" s="37" t="s">
        <v>163</v>
      </c>
      <c r="F73" s="19">
        <v>2370</v>
      </c>
      <c r="G73" t="b">
        <f>IF(B73=E73,TRUE,FALSE)</f>
        <v>1</v>
      </c>
      <c r="J73" s="25">
        <f>F73-C73</f>
        <v>-517</v>
      </c>
      <c r="K73" s="4">
        <f>F73/C73-1</f>
        <v>-0.17907862833391064</v>
      </c>
      <c r="M73" s="5">
        <v>1894.36</v>
      </c>
      <c r="N73" s="5">
        <v>934.33</v>
      </c>
      <c r="Q73" s="138">
        <v>9008.1200000000008</v>
      </c>
      <c r="U73" s="127">
        <f>N73-M73</f>
        <v>-960.02999999999986</v>
      </c>
      <c r="V73" s="4">
        <f>IF(M73=0,0,N73/M73-1)</f>
        <v>-0.50678329356616481</v>
      </c>
      <c r="W73">
        <v>109633.13</v>
      </c>
      <c r="X73">
        <v>94679.92</v>
      </c>
      <c r="Y73" s="4">
        <f>X73/W73-1</f>
        <v>-0.13639316874379126</v>
      </c>
    </row>
    <row r="74" spans="1:25">
      <c r="A74" t="s">
        <v>164</v>
      </c>
      <c r="B74" t="s">
        <v>165</v>
      </c>
      <c r="C74" s="28">
        <v>1940</v>
      </c>
      <c r="E74" t="s">
        <v>165</v>
      </c>
      <c r="F74" s="28">
        <v>2367</v>
      </c>
      <c r="G74" t="b">
        <f>IF(B74=E74,TRUE,FALSE)</f>
        <v>1</v>
      </c>
      <c r="J74" s="25">
        <f>F74-C74</f>
        <v>427</v>
      </c>
      <c r="K74" s="4">
        <f>F74/C74-1</f>
        <v>0.22010309278350526</v>
      </c>
      <c r="M74" s="5">
        <v>5211.49</v>
      </c>
      <c r="N74" s="5">
        <v>5462.96</v>
      </c>
      <c r="Q74" s="139">
        <v>36063.410000000003</v>
      </c>
      <c r="U74" s="127">
        <f>N74-M74</f>
        <v>251.47000000000025</v>
      </c>
      <c r="V74" s="4">
        <f>IF(M74=0,0,N74/M74-1)</f>
        <v>4.8252994824896644E-2</v>
      </c>
      <c r="W74" s="18">
        <v>58185.14</v>
      </c>
      <c r="X74" s="18">
        <v>70971.929999999993</v>
      </c>
      <c r="Y74" s="4">
        <f>X74/W74-1</f>
        <v>0.2197604061793097</v>
      </c>
    </row>
    <row r="75" spans="1:25">
      <c r="A75" t="s">
        <v>166</v>
      </c>
      <c r="B75" t="s">
        <v>167</v>
      </c>
      <c r="C75" s="28">
        <v>2596</v>
      </c>
      <c r="E75" t="s">
        <v>167</v>
      </c>
      <c r="F75" s="28">
        <v>2364</v>
      </c>
      <c r="G75" t="b">
        <f>IF(B75=E75,TRUE,FALSE)</f>
        <v>1</v>
      </c>
      <c r="J75" s="25">
        <f>F75-C75</f>
        <v>-232</v>
      </c>
      <c r="K75" s="4">
        <f>F75/C75-1</f>
        <v>-8.9368258859784278E-2</v>
      </c>
      <c r="M75" s="5">
        <v>5237.88</v>
      </c>
      <c r="N75" s="5">
        <v>4986.3500000000004</v>
      </c>
      <c r="Q75" s="139">
        <v>30243.61</v>
      </c>
      <c r="U75" s="127">
        <f>N75-M75</f>
        <v>-251.52999999999975</v>
      </c>
      <c r="V75" s="4">
        <f>IF(M75=0,0,N75/M75-1)</f>
        <v>-4.8021336876751586E-2</v>
      </c>
      <c r="W75" s="18">
        <v>77844.740000000005</v>
      </c>
      <c r="X75" s="18">
        <v>70887.06</v>
      </c>
      <c r="Y75" s="4">
        <f>X75/W75-1</f>
        <v>-8.9378935558138028E-2</v>
      </c>
    </row>
    <row r="76" spans="1:25">
      <c r="A76" t="s">
        <v>168</v>
      </c>
      <c r="B76" t="s">
        <v>169</v>
      </c>
      <c r="C76" s="28">
        <v>2530</v>
      </c>
      <c r="E76" t="s">
        <v>169</v>
      </c>
      <c r="F76" s="28">
        <v>2357</v>
      </c>
      <c r="G76" t="b">
        <f>IF(B76=E76,TRUE,FALSE)</f>
        <v>1</v>
      </c>
      <c r="J76" s="25">
        <f>F76-C76</f>
        <v>-173</v>
      </c>
      <c r="K76" s="4">
        <f>F76/C76-1</f>
        <v>-6.8379446640316255E-2</v>
      </c>
      <c r="M76" s="5">
        <v>2239.14</v>
      </c>
      <c r="N76" s="5">
        <v>1910.73</v>
      </c>
      <c r="Q76" s="139">
        <v>14574.82</v>
      </c>
      <c r="U76" s="127">
        <f>N76-M76</f>
        <v>-328.40999999999985</v>
      </c>
      <c r="V76" s="4">
        <f>IF(M76=0,0,N76/M76-1)</f>
        <v>-0.14666791714676164</v>
      </c>
      <c r="W76" s="18">
        <v>72379.34</v>
      </c>
      <c r="X76" s="18">
        <v>68035.22</v>
      </c>
      <c r="Y76" s="4">
        <f>X76/W76-1</f>
        <v>-6.001878436581487E-2</v>
      </c>
    </row>
    <row r="77" spans="1:25">
      <c r="A77" t="s">
        <v>170</v>
      </c>
      <c r="B77" t="s">
        <v>171</v>
      </c>
      <c r="C77" s="28">
        <v>2100</v>
      </c>
      <c r="E77" t="s">
        <v>171</v>
      </c>
      <c r="F77" s="28">
        <v>2346</v>
      </c>
      <c r="G77" t="b">
        <f>IF(B77=E77,TRUE,FALSE)</f>
        <v>1</v>
      </c>
      <c r="J77" s="25">
        <f>F77-C77</f>
        <v>246</v>
      </c>
      <c r="K77" s="4">
        <f>F77/C77-1</f>
        <v>0.11714285714285722</v>
      </c>
      <c r="M77" s="5">
        <v>1541.27</v>
      </c>
      <c r="N77" s="5">
        <v>2479.91</v>
      </c>
      <c r="Q77" s="139">
        <v>14207.32</v>
      </c>
      <c r="U77" s="127">
        <f>N77-M77</f>
        <v>938.63999999999987</v>
      </c>
      <c r="V77" s="4">
        <f>IF(M77=0,0,N77/M77-1)</f>
        <v>0.60900426271840757</v>
      </c>
      <c r="W77" s="18">
        <v>58677.64</v>
      </c>
      <c r="X77" s="18">
        <v>65556.7</v>
      </c>
      <c r="Y77" s="4">
        <f>X77/W77-1</f>
        <v>0.11723477631343049</v>
      </c>
    </row>
    <row r="78" spans="1:25">
      <c r="A78" t="s">
        <v>172</v>
      </c>
      <c r="B78" t="s">
        <v>173</v>
      </c>
      <c r="C78" s="28">
        <v>2522</v>
      </c>
      <c r="E78" t="s">
        <v>173</v>
      </c>
      <c r="F78" s="28">
        <v>2293</v>
      </c>
      <c r="G78" t="b">
        <f>IF(B78=E78,TRUE,FALSE)</f>
        <v>1</v>
      </c>
      <c r="J78" s="25">
        <f>F78-C78</f>
        <v>-229</v>
      </c>
      <c r="K78" s="4">
        <f>F78/C78-1</f>
        <v>-9.0800951625693904E-2</v>
      </c>
      <c r="M78" s="5">
        <v>2515.4699999999998</v>
      </c>
      <c r="N78" s="5">
        <v>2431.2199999999998</v>
      </c>
      <c r="Q78" s="139">
        <v>16099.99</v>
      </c>
      <c r="U78" s="127">
        <f>N78-M78</f>
        <v>-84.25</v>
      </c>
      <c r="V78" s="4">
        <f>IF(M78=0,0,N78/M78-1)</f>
        <v>-3.3492746882292423E-2</v>
      </c>
      <c r="W78" s="18">
        <v>52080.73</v>
      </c>
      <c r="X78" s="18">
        <v>52546.15</v>
      </c>
      <c r="Y78" s="4">
        <f>X78/W78-1</f>
        <v>8.9365106825498586E-3</v>
      </c>
    </row>
    <row r="79" spans="1:25">
      <c r="A79" s="27" t="s">
        <v>174</v>
      </c>
      <c r="B79" s="27" t="s">
        <v>175</v>
      </c>
      <c r="C79" s="28">
        <v>3013</v>
      </c>
      <c r="D79" s="19"/>
      <c r="E79" s="27" t="s">
        <v>175</v>
      </c>
      <c r="F79" s="28">
        <v>2285</v>
      </c>
      <c r="G79" t="b">
        <f>IF(B79=E79,TRUE,FALSE)</f>
        <v>1</v>
      </c>
      <c r="H79" s="19"/>
      <c r="I79" s="19"/>
      <c r="J79" s="25">
        <f>F79-C79</f>
        <v>-728</v>
      </c>
      <c r="K79" s="4">
        <f>F79/C79-1</f>
        <v>-0.24161964819117154</v>
      </c>
      <c r="M79" s="18">
        <v>3040.19</v>
      </c>
      <c r="N79" s="18">
        <v>2020.11</v>
      </c>
      <c r="O79" s="18"/>
      <c r="P79" s="18"/>
      <c r="Q79" s="139">
        <v>13639.34</v>
      </c>
      <c r="U79" s="127">
        <f>N79-M79</f>
        <v>-1020.0800000000002</v>
      </c>
      <c r="V79" s="4">
        <f>IF(M79=0,0,N79/M79-1)</f>
        <v>-0.3355316608501443</v>
      </c>
      <c r="W79" s="18">
        <v>62658.18</v>
      </c>
      <c r="X79" s="18">
        <v>54722.39</v>
      </c>
      <c r="Y79" s="4">
        <f>X79/W79-1</f>
        <v>-0.12665209873635019</v>
      </c>
    </row>
    <row r="80" spans="1:25">
      <c r="A80" t="s">
        <v>176</v>
      </c>
      <c r="B80" t="s">
        <v>177</v>
      </c>
      <c r="C80" s="28">
        <v>2113</v>
      </c>
      <c r="E80" t="s">
        <v>177</v>
      </c>
      <c r="F80" s="28">
        <v>2267</v>
      </c>
      <c r="G80" t="b">
        <f>IF(B80=E80,TRUE,FALSE)</f>
        <v>1</v>
      </c>
      <c r="J80" s="25">
        <f>F80-C80</f>
        <v>154</v>
      </c>
      <c r="K80" s="4">
        <f>F80/C80-1</f>
        <v>7.2882158069096148E-2</v>
      </c>
      <c r="M80" s="5">
        <v>1794.94</v>
      </c>
      <c r="N80" s="5">
        <v>1755.92</v>
      </c>
      <c r="Q80" s="139">
        <v>11170.11</v>
      </c>
      <c r="U80" s="127">
        <f>N80-M80</f>
        <v>-39.019999999999982</v>
      </c>
      <c r="V80" s="4">
        <f>IF(M80=0,0,N80/M80-1)</f>
        <v>-2.1738888207962326E-2</v>
      </c>
      <c r="W80" s="18">
        <v>50602.27</v>
      </c>
      <c r="X80" s="18">
        <v>54289.61</v>
      </c>
      <c r="Y80" s="4">
        <f>X80/W80-1</f>
        <v>7.2869062988676347E-2</v>
      </c>
    </row>
    <row r="81" spans="1:27">
      <c r="A81" s="55" t="s">
        <v>178</v>
      </c>
      <c r="B81" s="37" t="s">
        <v>179</v>
      </c>
      <c r="C81" s="28">
        <v>2298</v>
      </c>
      <c r="E81" s="37" t="s">
        <v>179</v>
      </c>
      <c r="F81" s="28">
        <v>2252</v>
      </c>
      <c r="G81" t="b">
        <f>IF(B81=E81,TRUE,FALSE)</f>
        <v>1</v>
      </c>
      <c r="J81" s="25">
        <f>F81-C81</f>
        <v>-46</v>
      </c>
      <c r="K81" s="4">
        <f>F81/C81-1</f>
        <v>-2.0017406440382968E-2</v>
      </c>
      <c r="M81" s="5">
        <v>3619.5</v>
      </c>
      <c r="N81" s="5">
        <v>4340.08</v>
      </c>
      <c r="Q81" s="139">
        <v>32242.86</v>
      </c>
      <c r="U81" s="127">
        <f>N81-M81</f>
        <v>720.57999999999993</v>
      </c>
      <c r="V81" s="4">
        <f>IF(M81=0,0,N81/M81-1)</f>
        <v>0.19908274623566791</v>
      </c>
      <c r="W81" s="18">
        <v>43469.7</v>
      </c>
      <c r="X81" s="18">
        <v>47996.88</v>
      </c>
      <c r="Y81" s="4">
        <f>X81/W81-1</f>
        <v>0.10414564627775214</v>
      </c>
    </row>
    <row r="82" spans="1:27">
      <c r="A82" t="s">
        <v>180</v>
      </c>
      <c r="B82" t="s">
        <v>181</v>
      </c>
      <c r="C82" s="28">
        <v>1729</v>
      </c>
      <c r="E82" t="s">
        <v>181</v>
      </c>
      <c r="F82" s="28">
        <v>2227</v>
      </c>
      <c r="G82" t="b">
        <f>IF(B82=E82,TRUE,FALSE)</f>
        <v>1</v>
      </c>
      <c r="J82" s="25">
        <f>F82-C82</f>
        <v>498</v>
      </c>
      <c r="K82" s="4">
        <f>F82/C82-1</f>
        <v>0.2880277617119722</v>
      </c>
      <c r="M82" s="5">
        <v>3426.58</v>
      </c>
      <c r="N82" s="5">
        <v>3893.45</v>
      </c>
      <c r="Q82" s="139">
        <v>37173.9</v>
      </c>
      <c r="U82" s="127">
        <f>N82-M82</f>
        <v>466.86999999999989</v>
      </c>
      <c r="V82" s="4">
        <f>IF(M82=0,0,N82/M82-1)</f>
        <v>0.13624955494983326</v>
      </c>
      <c r="W82" s="18">
        <v>53192.21</v>
      </c>
      <c r="X82" s="18">
        <v>66776.33</v>
      </c>
      <c r="Y82" s="4">
        <f>X82/W82-1</f>
        <v>0.25537799613890844</v>
      </c>
      <c r="AA82" t="s">
        <v>182</v>
      </c>
    </row>
    <row r="83" spans="1:27">
      <c r="A83" t="s">
        <v>183</v>
      </c>
      <c r="B83" t="s">
        <v>184</v>
      </c>
      <c r="C83" s="28">
        <v>2127</v>
      </c>
      <c r="E83" t="s">
        <v>184</v>
      </c>
      <c r="F83" s="28">
        <v>2225</v>
      </c>
      <c r="G83" t="b">
        <f>IF(B83=E83,TRUE,FALSE)</f>
        <v>1</v>
      </c>
      <c r="J83" s="25">
        <f>F83-C83</f>
        <v>98</v>
      </c>
      <c r="K83" s="4">
        <f>F83/C83-1</f>
        <v>4.6074283027738527E-2</v>
      </c>
      <c r="M83" s="5">
        <v>2775.3</v>
      </c>
      <c r="N83" s="5">
        <v>3535.64</v>
      </c>
      <c r="Q83" s="139">
        <v>25135.27</v>
      </c>
      <c r="U83" s="127">
        <f>N83-M83</f>
        <v>760.33999999999969</v>
      </c>
      <c r="V83" s="4">
        <f>IF(M83=0,0,N83/M83-1)</f>
        <v>0.27396677836630268</v>
      </c>
      <c r="W83" s="18">
        <v>54555.28</v>
      </c>
      <c r="X83" s="18">
        <v>59959.97</v>
      </c>
      <c r="Y83" s="4">
        <f>X83/W83-1</f>
        <v>9.906813785943358E-2</v>
      </c>
    </row>
    <row r="84" spans="1:27">
      <c r="A84" t="s">
        <v>185</v>
      </c>
      <c r="B84" t="s">
        <v>186</v>
      </c>
      <c r="C84" s="28">
        <v>2280</v>
      </c>
      <c r="E84" t="s">
        <v>186</v>
      </c>
      <c r="F84" s="28">
        <v>2206</v>
      </c>
      <c r="G84" t="b">
        <f>IF(B84=E84,TRUE,FALSE)</f>
        <v>1</v>
      </c>
      <c r="J84" s="25">
        <f>F84-C84</f>
        <v>-74</v>
      </c>
      <c r="K84" s="4">
        <f>F84/C84-1</f>
        <v>-3.2456140350877183E-2</v>
      </c>
      <c r="L84" s="5"/>
      <c r="M84" s="5">
        <v>3510.47</v>
      </c>
      <c r="N84" s="5">
        <v>2600.87</v>
      </c>
      <c r="O84" s="5"/>
      <c r="P84" s="5"/>
      <c r="Q84" s="139">
        <v>21454.65</v>
      </c>
      <c r="R84" s="5"/>
      <c r="S84" s="5"/>
      <c r="T84" s="5"/>
      <c r="U84" s="127">
        <f>N84-M84</f>
        <v>-909.59999999999991</v>
      </c>
      <c r="V84" s="4">
        <f>IF(M84=0,0,N84/M84-1)</f>
        <v>-0.25911060342347325</v>
      </c>
      <c r="W84" s="18">
        <v>61441.95</v>
      </c>
      <c r="X84" s="18">
        <v>59471.63</v>
      </c>
      <c r="Y84" s="4">
        <f>X84/W84-1</f>
        <v>-3.2067992633697306E-2</v>
      </c>
    </row>
    <row r="85" spans="1:27">
      <c r="A85" t="s">
        <v>187</v>
      </c>
      <c r="B85" t="s">
        <v>188</v>
      </c>
      <c r="C85" s="28">
        <v>2779</v>
      </c>
      <c r="E85" t="s">
        <v>188</v>
      </c>
      <c r="F85" s="28">
        <v>2188</v>
      </c>
      <c r="G85" t="b">
        <f>IF(B85=E85,TRUE,FALSE)</f>
        <v>1</v>
      </c>
      <c r="J85" s="25">
        <f>F85-C85</f>
        <v>-591</v>
      </c>
      <c r="K85" s="4">
        <f>F85/C85-1</f>
        <v>-0.21266642677222025</v>
      </c>
      <c r="M85" s="5">
        <v>1906.26</v>
      </c>
      <c r="N85" s="5">
        <v>1738.93</v>
      </c>
      <c r="Q85" s="139">
        <v>9719.41</v>
      </c>
      <c r="U85" s="127">
        <f>N85-M85</f>
        <v>-167.32999999999993</v>
      </c>
      <c r="V85" s="4">
        <f>IF(M85=0,0,N85/M85-1)</f>
        <v>-8.7779211650037214E-2</v>
      </c>
      <c r="W85" s="18">
        <v>78849.41</v>
      </c>
      <c r="X85" s="18">
        <v>65586.31</v>
      </c>
      <c r="Y85" s="4">
        <f>X85/W85-1</f>
        <v>-0.16820798024994743</v>
      </c>
    </row>
    <row r="86" spans="1:27">
      <c r="A86" t="s">
        <v>189</v>
      </c>
      <c r="B86" t="s">
        <v>190</v>
      </c>
      <c r="C86" s="28">
        <v>2353</v>
      </c>
      <c r="E86" t="s">
        <v>190</v>
      </c>
      <c r="F86" s="28">
        <v>2124</v>
      </c>
      <c r="G86" t="b">
        <f>IF(B86=E86,TRUE,FALSE)</f>
        <v>1</v>
      </c>
      <c r="J86" s="25">
        <f>F86-C86</f>
        <v>-229</v>
      </c>
      <c r="K86" s="4">
        <f>F86/C86-1</f>
        <v>-9.7322566935826638E-2</v>
      </c>
      <c r="M86" s="5">
        <v>2223.17</v>
      </c>
      <c r="N86" s="5">
        <v>1594.76</v>
      </c>
      <c r="Q86" s="139">
        <v>8189.51</v>
      </c>
      <c r="U86" s="127">
        <f>N86-M86</f>
        <v>-628.41000000000008</v>
      </c>
      <c r="V86" s="4">
        <f>IF(M86=0,0,N86/M86-1)</f>
        <v>-0.28266394382795745</v>
      </c>
      <c r="W86" s="18">
        <v>67589.95</v>
      </c>
      <c r="X86" s="18">
        <v>63577.55</v>
      </c>
      <c r="Y86" s="4">
        <f>X86/W86-1</f>
        <v>-5.9363855129349719E-2</v>
      </c>
    </row>
    <row r="87" spans="1:27">
      <c r="A87" s="54" t="s">
        <v>191</v>
      </c>
      <c r="B87" s="37" t="s">
        <v>192</v>
      </c>
      <c r="C87" s="28">
        <v>1422</v>
      </c>
      <c r="E87" s="37" t="s">
        <v>192</v>
      </c>
      <c r="F87" s="28">
        <v>2080</v>
      </c>
      <c r="G87" t="b">
        <f>IF(B87=E87,TRUE,FALSE)</f>
        <v>1</v>
      </c>
      <c r="J87" s="25">
        <f>F87-C87</f>
        <v>658</v>
      </c>
      <c r="K87" s="4">
        <f>F87/C87-1</f>
        <v>0.46272855133614632</v>
      </c>
      <c r="M87" s="5">
        <v>4194.75</v>
      </c>
      <c r="N87" s="5">
        <v>4815.33</v>
      </c>
      <c r="Q87" s="139">
        <v>32202.95</v>
      </c>
      <c r="U87" s="127">
        <f>N87-M87</f>
        <v>620.57999999999993</v>
      </c>
      <c r="V87" s="4">
        <f>IF(M87=0,0,N87/M87-1)</f>
        <v>0.14794207044519925</v>
      </c>
      <c r="W87" s="18">
        <v>30442.14</v>
      </c>
      <c r="X87" s="18">
        <v>55987.59</v>
      </c>
      <c r="Y87" s="4">
        <f>X87/W87-1</f>
        <v>0.83914764205144565</v>
      </c>
    </row>
    <row r="88" spans="1:27">
      <c r="A88" s="37" t="s">
        <v>193</v>
      </c>
      <c r="B88" s="27" t="s">
        <v>194</v>
      </c>
      <c r="C88" s="28">
        <v>2472</v>
      </c>
      <c r="E88" s="27" t="s">
        <v>194</v>
      </c>
      <c r="F88" s="28">
        <v>2016</v>
      </c>
      <c r="G88" t="b">
        <f>IF(B88=E88,TRUE,FALSE)</f>
        <v>1</v>
      </c>
      <c r="J88" s="25">
        <f>F88-C88</f>
        <v>-456</v>
      </c>
      <c r="K88" s="4">
        <f>F88/C88-1</f>
        <v>-0.18446601941747576</v>
      </c>
      <c r="M88" s="5">
        <v>3972.24</v>
      </c>
      <c r="N88" s="5">
        <v>3087.29</v>
      </c>
      <c r="Q88" s="138">
        <v>17049.14</v>
      </c>
      <c r="U88" s="127">
        <f>N88-M88</f>
        <v>-884.94999999999982</v>
      </c>
      <c r="V88" s="4">
        <f>IF(M88=0,0,N88/M88-1)</f>
        <v>-0.22278361831107885</v>
      </c>
      <c r="W88" s="18">
        <v>61745.54</v>
      </c>
      <c r="X88" s="18">
        <v>50349.35</v>
      </c>
      <c r="Y88" s="4">
        <f>X88/W88-1</f>
        <v>-0.18456701488075089</v>
      </c>
    </row>
    <row r="89" spans="1:27">
      <c r="A89" t="s">
        <v>195</v>
      </c>
      <c r="B89" t="s">
        <v>196</v>
      </c>
      <c r="C89" s="28">
        <v>2245</v>
      </c>
      <c r="E89" t="s">
        <v>196</v>
      </c>
      <c r="F89" s="28">
        <v>2007</v>
      </c>
      <c r="G89" t="b">
        <f>IF(B89=E89,TRUE,FALSE)</f>
        <v>1</v>
      </c>
      <c r="J89" s="25">
        <f>F89-C89</f>
        <v>-238</v>
      </c>
      <c r="K89" s="4">
        <f>F89/C89-1</f>
        <v>-0.10601336302895326</v>
      </c>
      <c r="M89" s="5">
        <v>3517.63</v>
      </c>
      <c r="N89" s="5">
        <v>2982.77</v>
      </c>
      <c r="Q89" s="139">
        <v>17836.599999999999</v>
      </c>
      <c r="U89" s="127">
        <f>N89-M89</f>
        <v>-534.86000000000013</v>
      </c>
      <c r="V89" s="4">
        <f>IF(M89=0,0,N89/M89-1)</f>
        <v>-0.15205123904447027</v>
      </c>
      <c r="W89" s="18">
        <v>58234.61</v>
      </c>
      <c r="X89" s="18">
        <v>52056.17</v>
      </c>
      <c r="Y89" s="4">
        <f>X89/W89-1</f>
        <v>-0.10609567059863545</v>
      </c>
    </row>
    <row r="90" spans="1:27">
      <c r="A90" t="s">
        <v>197</v>
      </c>
      <c r="B90" t="s">
        <v>198</v>
      </c>
      <c r="C90" s="28">
        <v>3004</v>
      </c>
      <c r="E90" t="s">
        <v>198</v>
      </c>
      <c r="F90" s="28">
        <v>2005</v>
      </c>
      <c r="G90" t="b">
        <f>IF(B90=E90,TRUE,FALSE)</f>
        <v>1</v>
      </c>
      <c r="J90" s="25">
        <f>F90-C90</f>
        <v>-999</v>
      </c>
      <c r="K90" s="4">
        <f>F90/C90-1</f>
        <v>-0.33255659121171766</v>
      </c>
      <c r="M90" s="5">
        <v>6373.06</v>
      </c>
      <c r="N90" s="5">
        <v>5094.05</v>
      </c>
      <c r="Q90" s="139">
        <v>34330.04</v>
      </c>
      <c r="U90" s="127">
        <f>N90-M90</f>
        <v>-1279.0100000000002</v>
      </c>
      <c r="V90" s="4">
        <f>IF(M90=0,0,N90/M90-1)</f>
        <v>-0.20069009235751745</v>
      </c>
      <c r="W90" s="18">
        <v>81070.13</v>
      </c>
      <c r="X90" s="18">
        <v>54106.04</v>
      </c>
      <c r="Y90" s="4">
        <f>X90/W90-1</f>
        <v>-0.33260203233916119</v>
      </c>
      <c r="AA90" t="s">
        <v>199</v>
      </c>
    </row>
    <row r="91" spans="1:27">
      <c r="A91" s="143" t="s">
        <v>200</v>
      </c>
      <c r="B91" s="143" t="s">
        <v>201</v>
      </c>
      <c r="C91" s="28">
        <v>660</v>
      </c>
      <c r="E91" s="143" t="s">
        <v>201</v>
      </c>
      <c r="F91" s="28">
        <v>2003</v>
      </c>
      <c r="G91" t="b">
        <f>IF(B91=E91,TRUE,FALSE)</f>
        <v>1</v>
      </c>
      <c r="J91" s="25">
        <f>F91-C91</f>
        <v>1343</v>
      </c>
      <c r="K91" s="4">
        <f>F91/C91-1</f>
        <v>2.0348484848484847</v>
      </c>
      <c r="M91" s="5">
        <v>620.62</v>
      </c>
      <c r="N91" s="5">
        <v>2500.86</v>
      </c>
      <c r="Q91" s="138">
        <v>24602.95</v>
      </c>
      <c r="U91" s="127">
        <f>N91-M91</f>
        <v>1880.2400000000002</v>
      </c>
      <c r="V91" s="4">
        <f>IF(M91=0,0,N91/M91-1)</f>
        <v>3.0296155457445781</v>
      </c>
      <c r="W91" s="18">
        <v>14456.45</v>
      </c>
      <c r="X91" s="18">
        <v>73005</v>
      </c>
      <c r="Y91" s="4">
        <f>X91/W91-1</f>
        <v>4.049994984937519</v>
      </c>
    </row>
    <row r="92" spans="1:27">
      <c r="A92" t="s">
        <v>202</v>
      </c>
      <c r="B92" t="s">
        <v>203</v>
      </c>
      <c r="C92" s="28">
        <v>2283</v>
      </c>
      <c r="E92" t="s">
        <v>203</v>
      </c>
      <c r="F92" s="28">
        <v>1979</v>
      </c>
      <c r="G92" t="b">
        <f>IF(B92=E92,TRUE,FALSE)</f>
        <v>1</v>
      </c>
      <c r="J92" s="25">
        <f>F92-C92</f>
        <v>-304</v>
      </c>
      <c r="K92" s="4">
        <f>F92/C92-1</f>
        <v>-0.13315812527376258</v>
      </c>
      <c r="M92" s="5">
        <v>2211.6799999999998</v>
      </c>
      <c r="N92" s="5">
        <v>2026.12</v>
      </c>
      <c r="Q92" s="139">
        <v>17277.849999999999</v>
      </c>
      <c r="U92" s="127">
        <f>N92-M92</f>
        <v>-185.55999999999995</v>
      </c>
      <c r="V92" s="4">
        <f>IF(M92=0,0,N92/M92-1)</f>
        <v>-8.3900021702958849E-2</v>
      </c>
      <c r="W92" s="18">
        <v>65033.08</v>
      </c>
      <c r="X92" s="18">
        <v>59231.15</v>
      </c>
      <c r="Y92" s="4">
        <f>X92/W92-1</f>
        <v>-8.9215057936668507E-2</v>
      </c>
    </row>
    <row r="93" spans="1:27">
      <c r="A93" s="27" t="s">
        <v>204</v>
      </c>
      <c r="B93" t="s">
        <v>205</v>
      </c>
      <c r="C93" s="28">
        <v>1979</v>
      </c>
      <c r="E93" t="s">
        <v>205</v>
      </c>
      <c r="F93" s="28">
        <v>1974</v>
      </c>
      <c r="G93" t="b">
        <f>IF(B93=E93,TRUE,FALSE)</f>
        <v>1</v>
      </c>
      <c r="J93" s="25">
        <f>F93-C93</f>
        <v>-5</v>
      </c>
      <c r="K93" s="4">
        <f>F93/C93-1</f>
        <v>-2.5265285497726442E-3</v>
      </c>
      <c r="M93" s="5">
        <v>2432.17</v>
      </c>
      <c r="N93" s="5">
        <v>1635.21</v>
      </c>
      <c r="Q93" s="139">
        <v>9963.51</v>
      </c>
      <c r="U93" s="127">
        <f>N93-M93</f>
        <v>-796.96</v>
      </c>
      <c r="V93" s="4">
        <f>IF(M93=0,0,N93/M93-1)</f>
        <v>-0.32767446354490026</v>
      </c>
      <c r="W93" s="18">
        <v>59014.239999999998</v>
      </c>
      <c r="X93" s="18">
        <v>58913.200000000004</v>
      </c>
      <c r="Y93" s="4">
        <f>X93/W93-1</f>
        <v>-1.7121291403565664E-3</v>
      </c>
    </row>
    <row r="94" spans="1:27">
      <c r="A94" t="s">
        <v>206</v>
      </c>
      <c r="B94" t="s">
        <v>207</v>
      </c>
      <c r="C94" s="28">
        <v>2241</v>
      </c>
      <c r="E94" t="s">
        <v>207</v>
      </c>
      <c r="F94" s="28">
        <v>1943</v>
      </c>
      <c r="G94" t="b">
        <f>IF(B94=E94,TRUE,FALSE)</f>
        <v>1</v>
      </c>
      <c r="J94" s="25">
        <f>F94-C94</f>
        <v>-298</v>
      </c>
      <c r="K94" s="4">
        <f>F94/C94-1</f>
        <v>-0.13297634984381967</v>
      </c>
      <c r="M94" s="5">
        <v>3288.05</v>
      </c>
      <c r="N94" s="5">
        <v>2440.9299999999998</v>
      </c>
      <c r="Q94" s="139">
        <v>17614.87</v>
      </c>
      <c r="U94" s="127">
        <f>N94-M94</f>
        <v>-847.12000000000035</v>
      </c>
      <c r="V94" s="4">
        <f>IF(M94=0,0,N94/M94-1)</f>
        <v>-0.25763598485424499</v>
      </c>
      <c r="W94" s="18">
        <v>62868.83</v>
      </c>
      <c r="X94" s="18">
        <v>58186.55</v>
      </c>
      <c r="Y94" s="4">
        <f>X94/W94-1</f>
        <v>-7.4476970543272403E-2</v>
      </c>
    </row>
    <row r="95" spans="1:27">
      <c r="A95" s="54" t="s">
        <v>208</v>
      </c>
      <c r="B95" s="37" t="s">
        <v>209</v>
      </c>
      <c r="C95" s="28">
        <v>1640</v>
      </c>
      <c r="E95" s="37" t="s">
        <v>209</v>
      </c>
      <c r="F95" s="28">
        <v>1918</v>
      </c>
      <c r="G95" t="b">
        <f>IF(B95=E95,TRUE,FALSE)</f>
        <v>1</v>
      </c>
      <c r="J95" s="25">
        <f>F95-C95</f>
        <v>278</v>
      </c>
      <c r="K95" s="4">
        <f>F95/C95-1</f>
        <v>0.16951219512195115</v>
      </c>
      <c r="M95" s="5">
        <v>2995.03</v>
      </c>
      <c r="N95" s="5">
        <v>3458.7</v>
      </c>
      <c r="Q95" s="139">
        <v>14547.93</v>
      </c>
      <c r="U95" s="127">
        <f>N95-M95</f>
        <v>463.66999999999962</v>
      </c>
      <c r="V95" s="4">
        <f>IF(M95=0,0,N95/M95-1)</f>
        <v>0.15481314043598893</v>
      </c>
      <c r="W95" s="18">
        <v>44233.37</v>
      </c>
      <c r="X95" s="18">
        <v>51762.5</v>
      </c>
      <c r="Y95" s="4">
        <f>X95/W95-1</f>
        <v>0.17021380012420484</v>
      </c>
    </row>
    <row r="96" spans="1:27" ht="15.75" customHeight="1">
      <c r="A96" t="s">
        <v>210</v>
      </c>
      <c r="B96" s="27" t="s">
        <v>211</v>
      </c>
      <c r="C96" s="28">
        <v>2185</v>
      </c>
      <c r="E96" s="27" t="s">
        <v>211</v>
      </c>
      <c r="F96" s="28">
        <v>1890</v>
      </c>
      <c r="G96" t="b">
        <f>IF(B96=E96,TRUE,FALSE)</f>
        <v>1</v>
      </c>
      <c r="J96" s="25">
        <f>F96-C96</f>
        <v>-295</v>
      </c>
      <c r="K96" s="4">
        <f>F96/C96-1</f>
        <v>-0.13501144164759726</v>
      </c>
      <c r="M96" s="5">
        <v>2892.82</v>
      </c>
      <c r="N96" s="5">
        <v>2315.33</v>
      </c>
      <c r="Q96" s="139">
        <v>19572.02</v>
      </c>
      <c r="U96" s="127">
        <f>N96-M96</f>
        <v>-577.49000000000024</v>
      </c>
      <c r="V96" s="4">
        <f>IF(M96=0,0,N96/M96-1)</f>
        <v>-0.19962873597389408</v>
      </c>
      <c r="W96" s="18">
        <v>74230.080000000002</v>
      </c>
      <c r="X96" s="18">
        <v>72620.350000000006</v>
      </c>
      <c r="Y96" s="4">
        <f>X96/W96-1</f>
        <v>-2.1685683216291829E-2</v>
      </c>
    </row>
    <row r="97" spans="1:25">
      <c r="A97" t="s">
        <v>212</v>
      </c>
      <c r="B97" t="s">
        <v>213</v>
      </c>
      <c r="C97" s="28">
        <v>2022</v>
      </c>
      <c r="E97" t="s">
        <v>213</v>
      </c>
      <c r="F97" s="28">
        <v>1871</v>
      </c>
      <c r="G97" t="b">
        <f>IF(B97=E97,TRUE,FALSE)</f>
        <v>1</v>
      </c>
      <c r="J97" s="25">
        <f>F97-C97</f>
        <v>-151</v>
      </c>
      <c r="K97" s="4">
        <f>F97/C97-1</f>
        <v>-7.4678536102868454E-2</v>
      </c>
      <c r="M97" s="5">
        <v>2455.79</v>
      </c>
      <c r="N97" s="5">
        <v>1565.68</v>
      </c>
      <c r="Q97" s="139">
        <v>10764.72</v>
      </c>
      <c r="U97" s="127">
        <f>N97-M97</f>
        <v>-890.1099999999999</v>
      </c>
      <c r="V97" s="4">
        <f>IF(M97=0,0,N97/M97-1)</f>
        <v>-0.36245362999279251</v>
      </c>
      <c r="W97" s="18">
        <v>54569.46</v>
      </c>
      <c r="X97" s="18">
        <v>50492.62</v>
      </c>
      <c r="Y97" s="4">
        <f>X97/W97-1</f>
        <v>-7.4709187153400358E-2</v>
      </c>
    </row>
    <row r="98" spans="1:25">
      <c r="A98" t="s">
        <v>214</v>
      </c>
      <c r="B98" t="s">
        <v>215</v>
      </c>
      <c r="C98" s="28">
        <v>2008</v>
      </c>
      <c r="E98" t="s">
        <v>215</v>
      </c>
      <c r="F98" s="28">
        <v>1862</v>
      </c>
      <c r="G98" t="b">
        <f>IF(B98=E98,TRUE,FALSE)</f>
        <v>1</v>
      </c>
      <c r="J98" s="25">
        <f>F98-C98</f>
        <v>-146</v>
      </c>
      <c r="K98" s="4">
        <f>F98/C98-1</f>
        <v>-7.2709163346613592E-2</v>
      </c>
      <c r="M98" s="5">
        <v>1502.87</v>
      </c>
      <c r="N98" s="5">
        <v>1500.37</v>
      </c>
      <c r="Q98" s="139">
        <v>14327.05</v>
      </c>
      <c r="U98" s="127">
        <f>N98-M98</f>
        <v>-2.5</v>
      </c>
      <c r="V98" s="4">
        <f>IF(M98=0,0,N98/M98-1)</f>
        <v>-1.6634838675334551E-3</v>
      </c>
      <c r="W98" s="18">
        <v>57563.89</v>
      </c>
      <c r="X98" s="18">
        <v>55758.2</v>
      </c>
      <c r="Y98" s="4">
        <f>X98/W98-1</f>
        <v>-3.1368449908440899E-2</v>
      </c>
    </row>
    <row r="99" spans="1:25">
      <c r="A99" s="143" t="s">
        <v>216</v>
      </c>
      <c r="B99" s="143" t="s">
        <v>217</v>
      </c>
      <c r="C99" s="28">
        <v>994</v>
      </c>
      <c r="E99" s="143" t="s">
        <v>217</v>
      </c>
      <c r="F99" s="28">
        <v>1857</v>
      </c>
      <c r="G99" t="b">
        <f>IF(B99=E99,TRUE,FALSE)</f>
        <v>1</v>
      </c>
      <c r="J99" s="25">
        <f>F99-C99</f>
        <v>863</v>
      </c>
      <c r="K99" s="4">
        <f>F99/C99-1</f>
        <v>0.86820925553319928</v>
      </c>
      <c r="M99" s="5">
        <v>2358.4699999999998</v>
      </c>
      <c r="N99" s="5">
        <v>2909</v>
      </c>
      <c r="Q99" s="138">
        <v>12966.42</v>
      </c>
      <c r="U99" s="127">
        <f>N99-M99</f>
        <v>550.5300000000002</v>
      </c>
      <c r="V99" s="4">
        <f>IF(M99=0,0,N99/M99-1)</f>
        <v>0.23342675548130787</v>
      </c>
      <c r="W99" s="18">
        <v>9929.2599999999984</v>
      </c>
      <c r="X99" s="18">
        <v>18549.03</v>
      </c>
      <c r="Y99" s="4">
        <f>X99/W99-1</f>
        <v>0.86811806720742557</v>
      </c>
    </row>
    <row r="100" spans="1:25">
      <c r="A100" s="37" t="s">
        <v>218</v>
      </c>
      <c r="B100" s="37" t="s">
        <v>219</v>
      </c>
      <c r="C100" s="28">
        <v>2601</v>
      </c>
      <c r="E100" s="37" t="s">
        <v>219</v>
      </c>
      <c r="F100" s="28">
        <v>1842</v>
      </c>
      <c r="G100" t="b">
        <f>IF(B100=E100,TRUE,FALSE)</f>
        <v>1</v>
      </c>
      <c r="J100" s="25">
        <f>F100-C100</f>
        <v>-759</v>
      </c>
      <c r="K100" s="4">
        <f>F100/C100-1</f>
        <v>-0.29181084198385232</v>
      </c>
      <c r="M100" s="5">
        <v>3915.36</v>
      </c>
      <c r="N100" s="5">
        <v>3291.33</v>
      </c>
      <c r="Q100" s="139">
        <v>25204.5</v>
      </c>
      <c r="U100" s="127">
        <f>N100-M100</f>
        <v>-624.0300000000002</v>
      </c>
      <c r="V100" s="4">
        <f>IF(M100=0,0,N100/M100-1)</f>
        <v>-0.1593799803849455</v>
      </c>
      <c r="W100" s="18">
        <v>57119.05</v>
      </c>
      <c r="X100" s="18">
        <v>45978.3</v>
      </c>
      <c r="Y100" s="4">
        <f>X100/W100-1</f>
        <v>-0.19504438536705349</v>
      </c>
    </row>
    <row r="101" spans="1:25">
      <c r="A101" t="s">
        <v>220</v>
      </c>
      <c r="B101" t="s">
        <v>221</v>
      </c>
      <c r="C101" s="28">
        <v>2108</v>
      </c>
      <c r="E101" t="s">
        <v>221</v>
      </c>
      <c r="F101" s="28">
        <v>1813</v>
      </c>
      <c r="G101" t="b">
        <f>IF(B101=E101,TRUE,FALSE)</f>
        <v>1</v>
      </c>
      <c r="J101" s="25">
        <f>F101-C101</f>
        <v>-295</v>
      </c>
      <c r="K101" s="4">
        <f>F101/C101-1</f>
        <v>-0.13994307400379502</v>
      </c>
      <c r="M101" s="5">
        <v>1818.78</v>
      </c>
      <c r="N101" s="5">
        <v>1517.72</v>
      </c>
      <c r="Q101" s="139">
        <v>7792</v>
      </c>
      <c r="U101" s="127">
        <f>N101-M101</f>
        <v>-301.05999999999995</v>
      </c>
      <c r="V101" s="4">
        <f>IF(M101=0,0,N101/M101-1)</f>
        <v>-0.16552854110997484</v>
      </c>
      <c r="W101" s="18">
        <v>39677.339999999997</v>
      </c>
      <c r="X101" s="18">
        <v>36164.75</v>
      </c>
      <c r="Y101" s="4">
        <f>X101/W101-1</f>
        <v>-8.8528868114646664E-2</v>
      </c>
    </row>
    <row r="102" spans="1:25">
      <c r="A102" t="s">
        <v>222</v>
      </c>
      <c r="B102" t="s">
        <v>223</v>
      </c>
      <c r="C102" s="28">
        <v>2520</v>
      </c>
      <c r="E102" t="s">
        <v>223</v>
      </c>
      <c r="F102" s="28">
        <v>1792</v>
      </c>
      <c r="G102" t="b">
        <f>IF(B102=E102,TRUE,FALSE)</f>
        <v>1</v>
      </c>
      <c r="J102" s="25">
        <f>F102-C102</f>
        <v>-728</v>
      </c>
      <c r="K102" s="4">
        <f>F102/C102-1</f>
        <v>-0.28888888888888886</v>
      </c>
      <c r="M102" s="5">
        <v>6174.51</v>
      </c>
      <c r="N102" s="5">
        <v>352.05</v>
      </c>
      <c r="Q102" s="139">
        <v>1926.39</v>
      </c>
      <c r="V102" s="4"/>
      <c r="W102" s="18">
        <v>65726.929999999993</v>
      </c>
      <c r="X102" s="18">
        <v>42894.45</v>
      </c>
      <c r="Y102" s="4">
        <f>X102/W102-1</f>
        <v>-0.34738394140727402</v>
      </c>
    </row>
    <row r="103" spans="1:25">
      <c r="A103" t="s">
        <v>224</v>
      </c>
      <c r="B103" t="s">
        <v>225</v>
      </c>
      <c r="C103" s="28">
        <v>2985</v>
      </c>
      <c r="E103" t="s">
        <v>225</v>
      </c>
      <c r="F103" s="28">
        <v>1780</v>
      </c>
      <c r="G103" t="b">
        <f>IF(B103=E103,TRUE,FALSE)</f>
        <v>1</v>
      </c>
      <c r="J103" s="25">
        <f>F103-C103</f>
        <v>-1205</v>
      </c>
      <c r="K103" s="4">
        <f>F103/C103-1</f>
        <v>-0.40368509212730319</v>
      </c>
      <c r="M103" s="5">
        <v>2111.7800000000002</v>
      </c>
      <c r="N103" s="5">
        <v>1849.63</v>
      </c>
      <c r="Q103" s="139">
        <v>10274.76</v>
      </c>
      <c r="U103" s="127">
        <f>N103-M103</f>
        <v>-262.15000000000009</v>
      </c>
      <c r="V103" s="4">
        <f>IF(M103=0,0,N103/M103-1)</f>
        <v>-0.12413698396613282</v>
      </c>
      <c r="W103" s="18">
        <v>92567.77</v>
      </c>
      <c r="X103" s="18">
        <v>67109.990000000005</v>
      </c>
      <c r="Y103" s="4">
        <f>X103/W103-1</f>
        <v>-0.27501775185898936</v>
      </c>
    </row>
    <row r="104" spans="1:25">
      <c r="A104" t="s">
        <v>226</v>
      </c>
      <c r="B104" t="s">
        <v>227</v>
      </c>
      <c r="C104" s="28">
        <v>2055</v>
      </c>
      <c r="E104" t="s">
        <v>227</v>
      </c>
      <c r="F104" s="28">
        <v>1774</v>
      </c>
      <c r="G104" t="b">
        <f>IF(B104=E104,TRUE,FALSE)</f>
        <v>1</v>
      </c>
      <c r="J104" s="25">
        <f>F104-C104</f>
        <v>-281</v>
      </c>
      <c r="K104" s="4">
        <f>F104/C104-1</f>
        <v>-0.13673965936739663</v>
      </c>
      <c r="M104" s="5">
        <v>3116.44</v>
      </c>
      <c r="N104" s="5">
        <v>2407.3200000000002</v>
      </c>
      <c r="Q104" s="139">
        <v>14422.98</v>
      </c>
      <c r="U104" s="127">
        <f>N104-M104</f>
        <v>-709.11999999999989</v>
      </c>
      <c r="V104" s="4">
        <f>IF(M104=0,0,N104/M104-1)</f>
        <v>-0.22754168217581594</v>
      </c>
      <c r="W104" s="18">
        <v>58991.3</v>
      </c>
      <c r="X104" s="18">
        <v>53112.1</v>
      </c>
      <c r="Y104" s="4">
        <f>X104/W104-1</f>
        <v>-9.9662153571797973E-2</v>
      </c>
    </row>
    <row r="105" spans="1:25">
      <c r="A105" s="54" t="s">
        <v>228</v>
      </c>
      <c r="B105" s="37" t="s">
        <v>229</v>
      </c>
      <c r="C105" s="28">
        <v>1158</v>
      </c>
      <c r="E105" s="37" t="s">
        <v>229</v>
      </c>
      <c r="F105" s="28">
        <v>1753</v>
      </c>
      <c r="G105" t="b">
        <f>IF(B105=E105,TRUE,FALSE)</f>
        <v>1</v>
      </c>
      <c r="J105" s="25">
        <f>F105-C105</f>
        <v>595</v>
      </c>
      <c r="K105" s="4">
        <f>F105/C105-1</f>
        <v>0.51381692573402415</v>
      </c>
      <c r="M105" s="5">
        <v>777.4</v>
      </c>
      <c r="N105" s="5">
        <v>3027.01</v>
      </c>
      <c r="Q105" s="138">
        <v>27491.48</v>
      </c>
      <c r="U105" s="127">
        <f>N105-M105</f>
        <v>2249.61</v>
      </c>
      <c r="V105" s="4">
        <f>IF(M105=0,0,N105/M105-1)</f>
        <v>2.8937612554669414</v>
      </c>
      <c r="W105" s="18">
        <v>34725.120000000003</v>
      </c>
      <c r="X105" s="18">
        <v>52562.57</v>
      </c>
      <c r="Y105" s="4">
        <f>X105/W105-1</f>
        <v>0.51367569068155827</v>
      </c>
    </row>
    <row r="106" spans="1:25">
      <c r="A106" t="s">
        <v>230</v>
      </c>
      <c r="B106" t="s">
        <v>231</v>
      </c>
      <c r="C106" s="28">
        <v>1823</v>
      </c>
      <c r="E106" t="s">
        <v>231</v>
      </c>
      <c r="F106" s="28">
        <v>1750</v>
      </c>
      <c r="G106" t="b">
        <f>IF(B106=E106,TRUE,FALSE)</f>
        <v>1</v>
      </c>
      <c r="J106" s="25">
        <f>F106-C106</f>
        <v>-73</v>
      </c>
      <c r="K106" s="4">
        <f>F106/C106-1</f>
        <v>-4.0043883708173356E-2</v>
      </c>
      <c r="L106" s="5"/>
      <c r="M106" s="5">
        <v>2944.34</v>
      </c>
      <c r="N106" s="5">
        <v>2165.52</v>
      </c>
      <c r="O106" s="5"/>
      <c r="P106" s="5"/>
      <c r="Q106" s="139">
        <v>13118.59</v>
      </c>
      <c r="R106" s="5"/>
      <c r="S106" s="5"/>
      <c r="T106" s="5"/>
      <c r="U106" s="127">
        <f>N106-M106</f>
        <v>-778.82000000000016</v>
      </c>
      <c r="V106" s="4">
        <f>IF(M106=0,0,N106/M106-1)</f>
        <v>-0.26451428843136326</v>
      </c>
      <c r="W106" s="18">
        <v>52817.77</v>
      </c>
      <c r="X106" s="18">
        <v>52459.16</v>
      </c>
      <c r="Y106" s="4">
        <f>X106/W106-1</f>
        <v>-6.7895710099080686E-3</v>
      </c>
    </row>
    <row r="107" spans="1:25">
      <c r="A107" t="s">
        <v>232</v>
      </c>
      <c r="B107" t="s">
        <v>233</v>
      </c>
      <c r="C107" s="28">
        <v>0</v>
      </c>
      <c r="E107" t="s">
        <v>233</v>
      </c>
      <c r="F107" s="28">
        <v>1739</v>
      </c>
      <c r="G107" t="b">
        <f>IF(B107=E107,TRUE,FALSE)</f>
        <v>1</v>
      </c>
      <c r="J107" s="25">
        <f>F107-C107</f>
        <v>1739</v>
      </c>
      <c r="K107" s="4" t="e">
        <f>F107/C107-1</f>
        <v>#DIV/0!</v>
      </c>
      <c r="M107" s="5">
        <v>0</v>
      </c>
      <c r="N107" s="5">
        <v>1445.44</v>
      </c>
      <c r="Q107" s="139">
        <v>16031.04</v>
      </c>
      <c r="V107" s="4"/>
      <c r="W107" s="18">
        <v>0</v>
      </c>
      <c r="X107" s="18">
        <v>51405.46</v>
      </c>
      <c r="Y107" s="4" t="e">
        <f>X107/W107-1</f>
        <v>#DIV/0!</v>
      </c>
    </row>
    <row r="108" spans="1:25">
      <c r="A108" t="s">
        <v>234</v>
      </c>
      <c r="B108" t="s">
        <v>235</v>
      </c>
      <c r="C108" s="28">
        <v>1272</v>
      </c>
      <c r="E108" t="s">
        <v>235</v>
      </c>
      <c r="F108" s="28">
        <v>1736</v>
      </c>
      <c r="G108" t="b">
        <f>IF(B108=E108,TRUE,FALSE)</f>
        <v>1</v>
      </c>
      <c r="J108" s="25">
        <f>F108-C108</f>
        <v>464</v>
      </c>
      <c r="K108" s="4">
        <f>F108/C108-1</f>
        <v>0.3647798742138364</v>
      </c>
      <c r="M108" s="5">
        <v>572.97</v>
      </c>
      <c r="N108" s="5">
        <v>696.69</v>
      </c>
      <c r="Q108" s="139">
        <v>6018.71</v>
      </c>
      <c r="U108" s="127">
        <f>N108-M108</f>
        <v>123.72000000000003</v>
      </c>
      <c r="V108" s="4">
        <f>IF(M108=0,0,N108/M108-1)</f>
        <v>0.21592753547306143</v>
      </c>
      <c r="W108" s="18">
        <v>36806.879999999997</v>
      </c>
      <c r="X108" s="18">
        <v>52057.84</v>
      </c>
      <c r="Y108" s="4">
        <f>X108/W108-1</f>
        <v>0.41435079528609875</v>
      </c>
    </row>
    <row r="109" spans="1:25">
      <c r="A109" t="s">
        <v>236</v>
      </c>
      <c r="B109" t="s">
        <v>237</v>
      </c>
      <c r="C109" s="28">
        <v>0</v>
      </c>
      <c r="E109" t="s">
        <v>237</v>
      </c>
      <c r="F109" s="28">
        <v>1731</v>
      </c>
      <c r="G109" t="b">
        <f>IF(B109=E109,TRUE,FALSE)</f>
        <v>1</v>
      </c>
      <c r="J109" s="25">
        <f>F109-C109</f>
        <v>1731</v>
      </c>
      <c r="K109" s="4" t="e">
        <f>F109/C109-1</f>
        <v>#DIV/0!</v>
      </c>
      <c r="M109" s="5">
        <v>0</v>
      </c>
      <c r="N109" s="5">
        <v>595.22</v>
      </c>
      <c r="Q109" s="139">
        <v>3401.97</v>
      </c>
      <c r="V109" s="4"/>
      <c r="W109" s="18">
        <v>0</v>
      </c>
      <c r="X109" s="18">
        <v>34597.29</v>
      </c>
      <c r="Y109" s="4" t="e">
        <f>X109/W109-1</f>
        <v>#DIV/0!</v>
      </c>
    </row>
    <row r="110" spans="1:25">
      <c r="A110" s="54" t="s">
        <v>238</v>
      </c>
      <c r="B110" s="37" t="s">
        <v>239</v>
      </c>
      <c r="C110" s="28">
        <v>1905</v>
      </c>
      <c r="E110" s="37" t="s">
        <v>239</v>
      </c>
      <c r="F110" s="28">
        <v>1713</v>
      </c>
      <c r="G110" t="b">
        <f>IF(B110=E110,TRUE,FALSE)</f>
        <v>1</v>
      </c>
      <c r="J110" s="25">
        <f>F110-C110</f>
        <v>-192</v>
      </c>
      <c r="K110" s="4">
        <f>F110/C110-1</f>
        <v>-0.10078740157480315</v>
      </c>
      <c r="M110" s="5">
        <v>2449.37</v>
      </c>
      <c r="N110" s="5">
        <v>3315.32</v>
      </c>
      <c r="Q110" s="138">
        <v>19507.34</v>
      </c>
      <c r="U110" s="127">
        <f>N110-M110</f>
        <v>865.95000000000027</v>
      </c>
      <c r="V110" s="4">
        <f>IF(M110=0,0,N110/M110-1)</f>
        <v>0.35353988984922657</v>
      </c>
      <c r="W110" s="18">
        <v>44841.95</v>
      </c>
      <c r="X110" s="18">
        <v>42804.62</v>
      </c>
      <c r="Y110" s="4">
        <f>X110/W110-1</f>
        <v>-4.5433572804037148E-2</v>
      </c>
    </row>
    <row r="111" spans="1:25">
      <c r="A111" t="s">
        <v>240</v>
      </c>
      <c r="B111" t="s">
        <v>241</v>
      </c>
      <c r="C111" s="28">
        <v>1531</v>
      </c>
      <c r="E111" t="s">
        <v>241</v>
      </c>
      <c r="F111" s="28">
        <v>1712</v>
      </c>
      <c r="G111" t="b">
        <f>IF(B111=E111,TRUE,FALSE)</f>
        <v>1</v>
      </c>
      <c r="J111" s="25">
        <f>F111-C111</f>
        <v>181</v>
      </c>
      <c r="K111" s="4">
        <f>F111/C111-1</f>
        <v>0.11822338340953631</v>
      </c>
      <c r="M111" s="5">
        <v>2304.9299999999998</v>
      </c>
      <c r="N111" s="5">
        <v>2937.39</v>
      </c>
      <c r="Q111" s="139">
        <v>19098.43</v>
      </c>
      <c r="U111" s="127">
        <f>N111-M111</f>
        <v>632.46</v>
      </c>
      <c r="V111" s="4">
        <f>IF(M111=0,0,N111/M111-1)</f>
        <v>0.27439445015683783</v>
      </c>
      <c r="W111" s="18">
        <v>53496.2</v>
      </c>
      <c r="X111" s="18">
        <v>59815.5</v>
      </c>
      <c r="Y111" s="4">
        <f>X111/W111-1</f>
        <v>0.11812614727775061</v>
      </c>
    </row>
    <row r="112" spans="1:25">
      <c r="A112" t="s">
        <v>242</v>
      </c>
      <c r="B112" t="s">
        <v>243</v>
      </c>
      <c r="C112" s="28">
        <v>1941</v>
      </c>
      <c r="E112" t="s">
        <v>243</v>
      </c>
      <c r="F112" s="28">
        <v>1688</v>
      </c>
      <c r="G112" t="b">
        <f>IF(B112=E112,TRUE,FALSE)</f>
        <v>1</v>
      </c>
      <c r="J112" s="25">
        <f>F112-C112</f>
        <v>-253</v>
      </c>
      <c r="K112" s="4">
        <f>F112/C112-1</f>
        <v>-0.13034518289541475</v>
      </c>
      <c r="M112" s="5">
        <v>3329.0099999999998</v>
      </c>
      <c r="N112" s="5">
        <v>3162.84</v>
      </c>
      <c r="Q112" s="139">
        <v>23044.53</v>
      </c>
      <c r="U112" s="127">
        <f>N112-M112</f>
        <v>-166.16999999999962</v>
      </c>
      <c r="V112" s="4">
        <f>IF(M112=0,0,N112/M112-1)</f>
        <v>-4.9915740715708146E-2</v>
      </c>
      <c r="W112" s="18">
        <v>33882.83</v>
      </c>
      <c r="X112" s="18">
        <v>32726.52</v>
      </c>
      <c r="Y112" s="4">
        <f>X112/W112-1</f>
        <v>-3.4126724361571936E-2</v>
      </c>
    </row>
    <row r="113" spans="1:27">
      <c r="A113" t="s">
        <v>244</v>
      </c>
      <c r="B113" t="s">
        <v>245</v>
      </c>
      <c r="C113" s="28">
        <v>2598</v>
      </c>
      <c r="E113" t="s">
        <v>245</v>
      </c>
      <c r="F113" s="28">
        <v>1688</v>
      </c>
      <c r="G113" t="b">
        <f>IF(B113=E113,TRUE,FALSE)</f>
        <v>1</v>
      </c>
      <c r="J113" s="25">
        <f>F113-C113</f>
        <v>-910</v>
      </c>
      <c r="K113" s="4">
        <f>F113/C113-1</f>
        <v>-0.35026943802925325</v>
      </c>
      <c r="M113" s="5">
        <v>3061.01</v>
      </c>
      <c r="N113" s="5">
        <v>2852.32</v>
      </c>
      <c r="Q113" s="139">
        <v>22389.29</v>
      </c>
      <c r="U113" s="127">
        <f>N113-M113</f>
        <v>-208.69000000000005</v>
      </c>
      <c r="V113" s="4">
        <f>IF(M113=0,0,N113/M113-1)</f>
        <v>-6.8176843590840974E-2</v>
      </c>
      <c r="W113" s="18">
        <v>54973.33</v>
      </c>
      <c r="X113" s="18">
        <v>42109.85</v>
      </c>
      <c r="Y113" s="4">
        <f>X113/W113-1</f>
        <v>-0.23399492080978179</v>
      </c>
    </row>
    <row r="114" spans="1:27">
      <c r="A114" t="s">
        <v>246</v>
      </c>
      <c r="B114" t="s">
        <v>247</v>
      </c>
      <c r="C114" s="28">
        <v>1965</v>
      </c>
      <c r="E114" t="s">
        <v>247</v>
      </c>
      <c r="F114" s="28">
        <v>1680</v>
      </c>
      <c r="G114" t="b">
        <f>IF(B114=E114,TRUE,FALSE)</f>
        <v>1</v>
      </c>
      <c r="J114" s="25">
        <f>F114-C114</f>
        <v>-285</v>
      </c>
      <c r="K114" s="4">
        <f>F114/C114-1</f>
        <v>-0.14503816793893132</v>
      </c>
      <c r="M114" s="5">
        <v>803.5</v>
      </c>
      <c r="N114" s="5">
        <v>628.65</v>
      </c>
      <c r="Q114" s="139">
        <v>3832.39</v>
      </c>
      <c r="U114" s="127">
        <f>N114-M114</f>
        <v>-174.85000000000002</v>
      </c>
      <c r="V114" s="4">
        <f>IF(M114=0,0,N114/M114-1)</f>
        <v>-0.21761045426260117</v>
      </c>
      <c r="W114" s="18">
        <v>51826.25</v>
      </c>
      <c r="X114" s="18">
        <v>50310.9</v>
      </c>
      <c r="Y114" s="4">
        <f>X114/W114-1</f>
        <v>-2.9239043920793018E-2</v>
      </c>
    </row>
    <row r="115" spans="1:27">
      <c r="A115" t="s">
        <v>248</v>
      </c>
      <c r="B115" t="s">
        <v>249</v>
      </c>
      <c r="C115" s="28">
        <v>1556</v>
      </c>
      <c r="E115" t="s">
        <v>249</v>
      </c>
      <c r="F115" s="28">
        <v>1674</v>
      </c>
      <c r="G115" t="b">
        <f>IF(B115=E115,TRUE,FALSE)</f>
        <v>1</v>
      </c>
      <c r="J115" s="25">
        <f>F115-C115</f>
        <v>118</v>
      </c>
      <c r="K115" s="4">
        <f>F115/C115-1</f>
        <v>7.5835475578406086E-2</v>
      </c>
      <c r="M115" s="5">
        <v>2039.43</v>
      </c>
      <c r="N115" s="5">
        <v>1076.8800000000001</v>
      </c>
      <c r="Q115" s="139">
        <v>9038.75</v>
      </c>
      <c r="U115" s="127">
        <f>N115-M115</f>
        <v>-962.55</v>
      </c>
      <c r="V115" s="4">
        <f>IF(M115=0,0,N115/M115-1)</f>
        <v>-0.47197010929524419</v>
      </c>
      <c r="W115" s="18">
        <v>38364.699999999997</v>
      </c>
      <c r="X115" s="18">
        <v>41666.550000000003</v>
      </c>
      <c r="Y115" s="4">
        <f>X115/W115-1</f>
        <v>8.6064793938177786E-2</v>
      </c>
    </row>
    <row r="116" spans="1:27">
      <c r="A116" t="s">
        <v>250</v>
      </c>
      <c r="B116" t="s">
        <v>251</v>
      </c>
      <c r="C116" s="28">
        <v>1490</v>
      </c>
      <c r="E116" t="s">
        <v>251</v>
      </c>
      <c r="F116" s="28">
        <v>1645</v>
      </c>
      <c r="G116" t="b">
        <f>IF(B116=E116,TRUE,FALSE)</f>
        <v>1</v>
      </c>
      <c r="J116" s="25">
        <f>F116-C116</f>
        <v>155</v>
      </c>
      <c r="K116" s="4">
        <f>F116/C116-1</f>
        <v>0.10402684563758391</v>
      </c>
      <c r="M116" s="5">
        <v>2534.88</v>
      </c>
      <c r="N116" s="5">
        <v>2647.17</v>
      </c>
      <c r="Q116" s="139">
        <v>20899.240000000002</v>
      </c>
      <c r="U116" s="127">
        <f>N116-M116</f>
        <v>112.28999999999996</v>
      </c>
      <c r="V116" s="4">
        <f>IF(M116=0,0,N116/M116-1)</f>
        <v>4.4297954932777772E-2</v>
      </c>
      <c r="W116" s="18">
        <v>40207.81</v>
      </c>
      <c r="X116" s="18">
        <v>44390.720000000001</v>
      </c>
      <c r="Y116" s="4">
        <f>X116/W116-1</f>
        <v>0.10403227631646694</v>
      </c>
    </row>
    <row r="117" spans="1:27">
      <c r="A117" s="37" t="s">
        <v>252</v>
      </c>
      <c r="B117" s="37" t="s">
        <v>253</v>
      </c>
      <c r="C117" s="28">
        <v>1649</v>
      </c>
      <c r="E117" s="37" t="s">
        <v>253</v>
      </c>
      <c r="F117" s="28">
        <v>1608</v>
      </c>
      <c r="G117" t="b">
        <f>IF(B117=E117,TRUE,FALSE)</f>
        <v>1</v>
      </c>
      <c r="J117" s="25">
        <f>F117-C117</f>
        <v>-41</v>
      </c>
      <c r="K117" s="4">
        <f>F117/C117-1</f>
        <v>-2.4863553668890259E-2</v>
      </c>
      <c r="M117" s="5">
        <v>2533.1799999999998</v>
      </c>
      <c r="N117" s="5">
        <v>2894.97</v>
      </c>
      <c r="Q117" s="139">
        <v>18264.060000000001</v>
      </c>
      <c r="U117" s="127">
        <f>N117-M117</f>
        <v>361.78999999999996</v>
      </c>
      <c r="V117" s="4">
        <f>IF(M117=0,0,N117/M117-1)</f>
        <v>0.14282048650313039</v>
      </c>
      <c r="W117" s="18">
        <v>34755.17</v>
      </c>
      <c r="X117" s="18">
        <v>35357.06</v>
      </c>
      <c r="Y117" s="4">
        <f>X117/W117-1</f>
        <v>1.7317999020001862E-2</v>
      </c>
    </row>
    <row r="118" spans="1:27">
      <c r="A118" s="37" t="s">
        <v>252</v>
      </c>
      <c r="B118" s="37" t="s">
        <v>253</v>
      </c>
      <c r="C118" s="28">
        <v>1649</v>
      </c>
      <c r="E118" s="37" t="s">
        <v>253</v>
      </c>
      <c r="F118" s="28">
        <v>1608</v>
      </c>
      <c r="G118" t="b">
        <f>IF(B118=E118,TRUE,FALSE)</f>
        <v>1</v>
      </c>
      <c r="J118" s="25">
        <f>F118-C118</f>
        <v>-41</v>
      </c>
      <c r="K118" s="4">
        <f>F118/C118-1</f>
        <v>-2.4863553668890259E-2</v>
      </c>
      <c r="M118" s="5">
        <v>2533.1799999999998</v>
      </c>
      <c r="N118" s="5">
        <v>2894.97</v>
      </c>
      <c r="Q118" s="139">
        <v>18264.060000000001</v>
      </c>
      <c r="U118" s="127">
        <f>N118-M118</f>
        <v>361.78999999999996</v>
      </c>
      <c r="V118" s="4">
        <f>IF(M118=0,0,N118/M118-1)</f>
        <v>0.14282048650313039</v>
      </c>
      <c r="W118" s="18">
        <v>34755.17</v>
      </c>
      <c r="X118" s="18">
        <v>35357.06</v>
      </c>
      <c r="Y118" s="4">
        <f>X118/W118-1</f>
        <v>1.7317999020001862E-2</v>
      </c>
    </row>
    <row r="119" spans="1:27">
      <c r="A119" s="54" t="s">
        <v>254</v>
      </c>
      <c r="B119" s="37" t="s">
        <v>255</v>
      </c>
      <c r="C119" s="28">
        <v>1504</v>
      </c>
      <c r="E119" s="37" t="s">
        <v>255</v>
      </c>
      <c r="F119" s="28">
        <v>1605</v>
      </c>
      <c r="G119" t="b">
        <f>IF(B119=E119,TRUE,FALSE)</f>
        <v>1</v>
      </c>
      <c r="J119" s="25">
        <f>F119-C119</f>
        <v>101</v>
      </c>
      <c r="K119" s="4">
        <f>F119/C119-1</f>
        <v>6.715425531914887E-2</v>
      </c>
      <c r="M119" s="5">
        <v>2405.37</v>
      </c>
      <c r="N119" s="5">
        <v>2765.8</v>
      </c>
      <c r="Q119" s="138">
        <v>26183.59</v>
      </c>
      <c r="U119" s="127">
        <f>N119-M119</f>
        <v>360.43000000000029</v>
      </c>
      <c r="V119" s="4">
        <f>IF(M119=0,0,N119/M119-1)</f>
        <v>0.14984389096064232</v>
      </c>
      <c r="W119" s="18">
        <v>43565.3</v>
      </c>
      <c r="X119" s="18">
        <v>46517.35</v>
      </c>
      <c r="Y119" s="4">
        <f>X119/W119-1</f>
        <v>6.7761498256639907E-2</v>
      </c>
    </row>
    <row r="120" spans="1:27">
      <c r="A120" s="54" t="s">
        <v>256</v>
      </c>
      <c r="B120" s="37" t="s">
        <v>257</v>
      </c>
      <c r="C120" s="19">
        <v>1857</v>
      </c>
      <c r="E120" s="37" t="s">
        <v>257</v>
      </c>
      <c r="F120" s="19">
        <v>1600</v>
      </c>
      <c r="G120" t="b">
        <f>IF(B120=E120,TRUE,FALSE)</f>
        <v>1</v>
      </c>
      <c r="J120" s="25">
        <f>F120-C120</f>
        <v>-257</v>
      </c>
      <c r="K120" s="4">
        <f>F120/C120-1</f>
        <v>-0.13839526117393641</v>
      </c>
      <c r="M120" s="5">
        <v>3582.61</v>
      </c>
      <c r="N120" s="5">
        <v>3018.95</v>
      </c>
      <c r="Q120" s="138">
        <v>21494.44</v>
      </c>
      <c r="U120" s="127">
        <f>N120-M120</f>
        <v>-563.66000000000031</v>
      </c>
      <c r="V120" s="4">
        <f>IF(M120=0,0,N120/M120-1)</f>
        <v>-0.15733222427224858</v>
      </c>
      <c r="W120">
        <v>41257.65</v>
      </c>
      <c r="X120">
        <v>43068.78</v>
      </c>
      <c r="Y120" s="4">
        <f>X120/W120-1</f>
        <v>4.3898040726992438E-2</v>
      </c>
    </row>
    <row r="121" spans="1:27">
      <c r="A121" t="s">
        <v>258</v>
      </c>
      <c r="B121" t="s">
        <v>259</v>
      </c>
      <c r="C121" s="28">
        <v>1826</v>
      </c>
      <c r="E121" t="s">
        <v>259</v>
      </c>
      <c r="F121" s="28">
        <v>1581</v>
      </c>
      <c r="G121" t="b">
        <f>IF(B121=E121,TRUE,FALSE)</f>
        <v>1</v>
      </c>
      <c r="J121" s="25">
        <f>F121-C121</f>
        <v>-245</v>
      </c>
      <c r="K121" s="4">
        <f>F121/C121-1</f>
        <v>-0.13417305585980288</v>
      </c>
      <c r="M121" s="5">
        <v>2718.81</v>
      </c>
      <c r="N121" s="5">
        <v>2987.58</v>
      </c>
      <c r="Q121" s="139">
        <v>17935.28</v>
      </c>
      <c r="U121" s="127">
        <f>N121-M121</f>
        <v>268.77</v>
      </c>
      <c r="V121" s="4">
        <f>IF(M121=0,0,N121/M121-1)</f>
        <v>9.885574939035835E-2</v>
      </c>
      <c r="W121" s="18">
        <v>32848.480000000003</v>
      </c>
      <c r="X121" s="18">
        <v>28437.15</v>
      </c>
      <c r="Y121" s="4">
        <f>X121/W121-1</f>
        <v>-0.13429327627945042</v>
      </c>
    </row>
    <row r="122" spans="1:27">
      <c r="A122" t="s">
        <v>260</v>
      </c>
      <c r="B122" t="s">
        <v>261</v>
      </c>
      <c r="C122" s="28">
        <v>1919</v>
      </c>
      <c r="E122" t="s">
        <v>261</v>
      </c>
      <c r="F122" s="28">
        <v>1577</v>
      </c>
      <c r="G122" t="b">
        <f>IF(B122=E122,TRUE,FALSE)</f>
        <v>1</v>
      </c>
      <c r="J122" s="25">
        <f>F122-C122</f>
        <v>-342</v>
      </c>
      <c r="K122" s="4">
        <f>F122/C122-1</f>
        <v>-0.17821782178217827</v>
      </c>
      <c r="M122" s="5">
        <v>3462.97</v>
      </c>
      <c r="N122" s="5">
        <v>2228.3200000000002</v>
      </c>
      <c r="Q122" s="139">
        <v>14439.64</v>
      </c>
      <c r="U122" s="127">
        <f>N122-M122</f>
        <v>-1234.6499999999996</v>
      </c>
      <c r="V122" s="4">
        <f>IF(M122=0,0,N122/M122-1)</f>
        <v>-0.35652922202617976</v>
      </c>
      <c r="W122" s="18">
        <v>57465.05</v>
      </c>
      <c r="X122" s="18">
        <v>47223.95</v>
      </c>
      <c r="Y122" s="4">
        <f>X122/W122-1</f>
        <v>-0.1782144103241885</v>
      </c>
    </row>
    <row r="123" spans="1:27">
      <c r="A123" t="s">
        <v>262</v>
      </c>
      <c r="B123" t="s">
        <v>263</v>
      </c>
      <c r="C123" s="28">
        <v>1117</v>
      </c>
      <c r="E123" t="s">
        <v>263</v>
      </c>
      <c r="F123" s="28">
        <v>1566</v>
      </c>
      <c r="G123" t="b">
        <f>IF(B123=E123,TRUE,FALSE)</f>
        <v>1</v>
      </c>
      <c r="J123" s="25">
        <f>F123-C123</f>
        <v>449</v>
      </c>
      <c r="K123" s="4">
        <f>F123/C123-1</f>
        <v>0.40196956132497763</v>
      </c>
      <c r="M123" s="5">
        <v>2702.76</v>
      </c>
      <c r="N123" s="5">
        <v>958.25</v>
      </c>
      <c r="Q123" s="139">
        <v>6889.59</v>
      </c>
      <c r="U123" s="127">
        <f>N123-M123</f>
        <v>-1744.5100000000002</v>
      </c>
      <c r="V123" s="4">
        <f>IF(M123=0,0,N123/M123-1)</f>
        <v>-0.64545501635365332</v>
      </c>
      <c r="W123" s="18">
        <v>30090.53</v>
      </c>
      <c r="X123" s="18">
        <v>42179.02</v>
      </c>
      <c r="Y123" s="4">
        <f>X123/W123-1</f>
        <v>0.40173735723498383</v>
      </c>
      <c r="AA123" t="s">
        <v>264</v>
      </c>
    </row>
    <row r="124" spans="1:27">
      <c r="A124" s="54" t="s">
        <v>265</v>
      </c>
      <c r="B124" s="37" t="s">
        <v>266</v>
      </c>
      <c r="C124" s="19">
        <v>1288</v>
      </c>
      <c r="E124" s="37" t="s">
        <v>266</v>
      </c>
      <c r="F124" s="19">
        <v>1527</v>
      </c>
      <c r="G124" t="b">
        <f>IF(B124=E124,TRUE,FALSE)</f>
        <v>1</v>
      </c>
      <c r="J124" s="25">
        <f>F124-C124</f>
        <v>239</v>
      </c>
      <c r="K124" s="4">
        <f>F124/C124-1</f>
        <v>0.18555900621118004</v>
      </c>
      <c r="M124" s="5">
        <v>2530.9499999999998</v>
      </c>
      <c r="N124" s="5">
        <v>2792.36</v>
      </c>
      <c r="Q124" s="138">
        <v>21319.91</v>
      </c>
      <c r="U124" s="127">
        <f>N124-M124</f>
        <v>261.41000000000031</v>
      </c>
      <c r="V124" s="4">
        <f>IF(M124=0,0,N124/M124-1)</f>
        <v>0.10328532764377019</v>
      </c>
      <c r="W124">
        <v>37611.72</v>
      </c>
      <c r="X124">
        <v>44658.59</v>
      </c>
      <c r="Y124" s="4">
        <f>X124/W124-1</f>
        <v>0.18735835532116041</v>
      </c>
    </row>
    <row r="125" spans="1:27">
      <c r="A125" s="37" t="s">
        <v>267</v>
      </c>
      <c r="B125" s="37" t="s">
        <v>268</v>
      </c>
      <c r="C125" s="28">
        <v>2648</v>
      </c>
      <c r="E125" s="37" t="s">
        <v>268</v>
      </c>
      <c r="F125" s="28">
        <v>1526</v>
      </c>
      <c r="G125" t="b">
        <f>IF(B125=E125,TRUE,FALSE)</f>
        <v>1</v>
      </c>
      <c r="J125" s="25">
        <f>F125-C125</f>
        <v>-1122</v>
      </c>
      <c r="K125" s="4">
        <f>F125/C125-1</f>
        <v>-0.4237160120845922</v>
      </c>
      <c r="M125" s="5">
        <v>4819.6499999999996</v>
      </c>
      <c r="N125" s="5">
        <v>1486.11</v>
      </c>
      <c r="Q125" s="139">
        <v>17173.07</v>
      </c>
      <c r="U125" s="127">
        <f>N125-M125</f>
        <v>-3333.54</v>
      </c>
      <c r="V125" s="4">
        <f>IF(M125=0,0,N125/M125-1)</f>
        <v>-0.69165603311443768</v>
      </c>
      <c r="W125" s="18">
        <v>62391.66</v>
      </c>
      <c r="X125" s="18">
        <v>37096.050000000003</v>
      </c>
      <c r="Y125" s="4">
        <f>X125/W125-1</f>
        <v>-0.4054325530046804</v>
      </c>
    </row>
    <row r="126" spans="1:27">
      <c r="A126" t="s">
        <v>269</v>
      </c>
      <c r="B126" t="s">
        <v>270</v>
      </c>
      <c r="C126" s="28">
        <v>1497</v>
      </c>
      <c r="E126" t="s">
        <v>270</v>
      </c>
      <c r="F126" s="28">
        <v>1514</v>
      </c>
      <c r="G126" t="b">
        <f>IF(B126=E126,TRUE,FALSE)</f>
        <v>1</v>
      </c>
      <c r="J126" s="25">
        <f>F126-C126</f>
        <v>17</v>
      </c>
      <c r="K126" s="4">
        <f>F126/C126-1</f>
        <v>1.1356045424181671E-2</v>
      </c>
      <c r="M126" s="5">
        <v>3082.38</v>
      </c>
      <c r="N126" s="5">
        <v>3537.1</v>
      </c>
      <c r="Q126" s="139">
        <v>22090.92</v>
      </c>
      <c r="U126" s="127">
        <f>N126-M126</f>
        <v>454.7199999999998</v>
      </c>
      <c r="V126" s="4">
        <f>IF(M126=0,0,N126/M126-1)</f>
        <v>0.1475223690784393</v>
      </c>
      <c r="W126" s="18">
        <v>29555.52</v>
      </c>
      <c r="X126" s="18">
        <v>30201.1</v>
      </c>
      <c r="Y126" s="4">
        <f>X126/W126-1</f>
        <v>2.1842958608070395E-2</v>
      </c>
    </row>
    <row r="127" spans="1:27">
      <c r="A127" t="s">
        <v>271</v>
      </c>
      <c r="B127" t="s">
        <v>272</v>
      </c>
      <c r="C127" s="28">
        <v>2156</v>
      </c>
      <c r="E127" t="s">
        <v>272</v>
      </c>
      <c r="F127" s="28">
        <v>1490</v>
      </c>
      <c r="G127" t="b">
        <f>IF(B127=E127,TRUE,FALSE)</f>
        <v>1</v>
      </c>
      <c r="J127" s="25">
        <f>F127-C127</f>
        <v>-666</v>
      </c>
      <c r="K127" s="4">
        <f>F127/C127-1</f>
        <v>-0.30890538033395176</v>
      </c>
      <c r="M127" s="5">
        <v>4882.87</v>
      </c>
      <c r="N127" s="5">
        <v>3129.62</v>
      </c>
      <c r="Q127" s="139">
        <v>16853.29</v>
      </c>
      <c r="U127" s="127">
        <f>N127-M127</f>
        <v>-1753.25</v>
      </c>
      <c r="V127" s="4">
        <f>IF(M127=0,0,N127/M127-1)</f>
        <v>-0.359061371693287</v>
      </c>
      <c r="W127" s="18">
        <v>61738.02</v>
      </c>
      <c r="X127" s="18">
        <v>44620.1</v>
      </c>
      <c r="Y127" s="4">
        <f>X127/W127-1</f>
        <v>-0.27726707140915763</v>
      </c>
    </row>
    <row r="128" spans="1:27">
      <c r="A128" s="54" t="s">
        <v>273</v>
      </c>
      <c r="B128" s="37" t="s">
        <v>274</v>
      </c>
      <c r="C128" s="28">
        <v>1563</v>
      </c>
      <c r="E128" s="37" t="s">
        <v>274</v>
      </c>
      <c r="F128" s="28">
        <v>1471</v>
      </c>
      <c r="G128" t="b">
        <f>IF(B128=E128,TRUE,FALSE)</f>
        <v>1</v>
      </c>
      <c r="J128" s="25">
        <f>F128-C128</f>
        <v>-92</v>
      </c>
      <c r="K128" s="4">
        <f>F128/C128-1</f>
        <v>-5.8861164427383206E-2</v>
      </c>
      <c r="M128" s="5">
        <v>3100.93</v>
      </c>
      <c r="N128" s="5">
        <v>3125.37</v>
      </c>
      <c r="Q128" s="138">
        <v>19365.11</v>
      </c>
      <c r="U128" s="127">
        <f>N128-M128</f>
        <v>24.440000000000055</v>
      </c>
      <c r="V128" s="4">
        <f>IF(M128=0,0,N128/M128-1)</f>
        <v>7.8815065157871178E-3</v>
      </c>
      <c r="W128" s="18">
        <v>26887.37</v>
      </c>
      <c r="X128" s="18">
        <v>28490.89</v>
      </c>
      <c r="Y128" s="4">
        <f>X128/W128-1</f>
        <v>5.9638410153168619E-2</v>
      </c>
    </row>
    <row r="129" spans="1:28">
      <c r="A129" t="s">
        <v>275</v>
      </c>
      <c r="B129" s="27" t="s">
        <v>276</v>
      </c>
      <c r="C129" s="28">
        <v>1424</v>
      </c>
      <c r="E129" s="27" t="s">
        <v>276</v>
      </c>
      <c r="F129" s="28">
        <v>1466</v>
      </c>
      <c r="G129" t="b">
        <f>IF(B129=E129,TRUE,FALSE)</f>
        <v>1</v>
      </c>
      <c r="J129" s="25">
        <f>F129-C129</f>
        <v>42</v>
      </c>
      <c r="K129" s="4">
        <f>F129/C129-1</f>
        <v>2.949438202247201E-2</v>
      </c>
      <c r="M129" s="5">
        <v>2501.65</v>
      </c>
      <c r="N129" s="5">
        <v>2406.5</v>
      </c>
      <c r="Q129" s="139">
        <v>14306.78</v>
      </c>
      <c r="U129" s="127">
        <f>N129-M129</f>
        <v>-95.150000000000091</v>
      </c>
      <c r="V129" s="4">
        <f>IF(M129=0,0,N129/M129-1)</f>
        <v>-3.8034896968001108E-2</v>
      </c>
      <c r="W129" s="18">
        <v>41275.67</v>
      </c>
      <c r="X129" s="18">
        <v>42492.67</v>
      </c>
      <c r="Y129" s="4">
        <f>X129/W129-1</f>
        <v>2.9484681896138731E-2</v>
      </c>
    </row>
    <row r="130" spans="1:28">
      <c r="A130" t="s">
        <v>277</v>
      </c>
      <c r="B130" t="s">
        <v>278</v>
      </c>
      <c r="C130" s="28">
        <v>2445</v>
      </c>
      <c r="E130" t="s">
        <v>278</v>
      </c>
      <c r="F130" s="28">
        <v>1461</v>
      </c>
      <c r="G130" t="b">
        <f>IF(B130=E130,TRUE,FALSE)</f>
        <v>1</v>
      </c>
      <c r="J130" s="25">
        <f>F130-C130</f>
        <v>-984</v>
      </c>
      <c r="K130" s="4">
        <f>F130/C130-1</f>
        <v>-0.40245398773006136</v>
      </c>
      <c r="M130" s="5">
        <v>3395.79</v>
      </c>
      <c r="N130" s="5">
        <v>1320.7</v>
      </c>
      <c r="Q130" s="139">
        <v>7140.58</v>
      </c>
      <c r="U130" s="127">
        <f>N130-M130</f>
        <v>-2075.09</v>
      </c>
      <c r="V130" s="4">
        <f>IF(M130=0,0,N130/M130-1)</f>
        <v>-0.61107724564828803</v>
      </c>
      <c r="W130" s="18">
        <v>73311.45</v>
      </c>
      <c r="X130" s="18">
        <v>43809.99</v>
      </c>
      <c r="Y130" s="4">
        <f>X130/W130-1</f>
        <v>-0.40241271997757511</v>
      </c>
      <c r="AB130" t="s">
        <v>279</v>
      </c>
    </row>
    <row r="131" spans="1:28">
      <c r="A131" s="37" t="s">
        <v>280</v>
      </c>
      <c r="B131" s="37" t="s">
        <v>281</v>
      </c>
      <c r="C131" s="28">
        <v>1994</v>
      </c>
      <c r="E131" s="37" t="s">
        <v>281</v>
      </c>
      <c r="F131" s="28">
        <v>1440</v>
      </c>
      <c r="G131" t="b">
        <f>IF(B131=E131,TRUE,FALSE)</f>
        <v>1</v>
      </c>
      <c r="J131" s="25">
        <f>F131-C131</f>
        <v>-554</v>
      </c>
      <c r="K131" s="4">
        <f>F131/C131-1</f>
        <v>-0.27783350050150446</v>
      </c>
      <c r="M131" s="5">
        <v>2777.43</v>
      </c>
      <c r="N131" s="5">
        <v>1968.64</v>
      </c>
      <c r="Q131" s="139">
        <v>11639.25</v>
      </c>
      <c r="U131" s="127">
        <f>N131-M131</f>
        <v>-808.78999999999974</v>
      </c>
      <c r="V131" s="4">
        <f>IF(M131=0,0,N131/M131-1)</f>
        <v>-0.29120085834746501</v>
      </c>
      <c r="W131" s="18">
        <v>36972.720000000001</v>
      </c>
      <c r="X131" s="18">
        <v>30813.5</v>
      </c>
      <c r="Y131" s="4">
        <f>X131/W131-1</f>
        <v>-0.16658823045748328</v>
      </c>
    </row>
    <row r="132" spans="1:28">
      <c r="A132" s="54" t="s">
        <v>282</v>
      </c>
      <c r="B132" s="37" t="s">
        <v>283</v>
      </c>
      <c r="C132" s="28">
        <v>889</v>
      </c>
      <c r="E132" s="37" t="s">
        <v>283</v>
      </c>
      <c r="F132" s="28">
        <v>1434</v>
      </c>
      <c r="G132" t="b">
        <f>IF(B132=E132,TRUE,FALSE)</f>
        <v>1</v>
      </c>
      <c r="J132" s="25">
        <f>F132-C132</f>
        <v>545</v>
      </c>
      <c r="K132" s="4">
        <f>F132/C132-1</f>
        <v>0.61304836895388082</v>
      </c>
      <c r="M132" s="5">
        <v>1241.4100000000001</v>
      </c>
      <c r="N132" s="5">
        <v>1884.57</v>
      </c>
      <c r="Q132" s="138">
        <v>10843.7</v>
      </c>
      <c r="U132" s="127">
        <f>N132-M132</f>
        <v>643.15999999999985</v>
      </c>
      <c r="V132" s="4">
        <f>IF(M132=0,0,N132/M132-1)</f>
        <v>0.51808830281695806</v>
      </c>
      <c r="W132" s="18">
        <v>11614.11</v>
      </c>
      <c r="X132" s="18">
        <v>25835.86</v>
      </c>
      <c r="Y132" s="4">
        <f>X132/W132-1</f>
        <v>1.2245234460496759</v>
      </c>
    </row>
    <row r="133" spans="1:28">
      <c r="A133" s="54" t="s">
        <v>284</v>
      </c>
      <c r="B133" s="37" t="s">
        <v>285</v>
      </c>
      <c r="C133" s="19">
        <v>1233</v>
      </c>
      <c r="E133" s="37" t="s">
        <v>285</v>
      </c>
      <c r="F133" s="19">
        <v>1427</v>
      </c>
      <c r="G133" t="b">
        <f>IF(B133=E133,TRUE,FALSE)</f>
        <v>1</v>
      </c>
      <c r="J133" s="25">
        <f>F133-C133</f>
        <v>194</v>
      </c>
      <c r="K133" s="4">
        <f>F133/C133-1</f>
        <v>0.15733982157339832</v>
      </c>
      <c r="M133" s="5">
        <v>3191.61</v>
      </c>
      <c r="N133" s="5">
        <v>3130.51</v>
      </c>
      <c r="Q133" s="138">
        <v>19840.25</v>
      </c>
      <c r="U133" s="127">
        <f>N133-M133</f>
        <v>-61.099999999999909</v>
      </c>
      <c r="V133" s="4">
        <f>IF(M133=0,0,N133/M133-1)</f>
        <v>-1.914394302562028E-2</v>
      </c>
      <c r="W133">
        <v>29575.59</v>
      </c>
      <c r="X133">
        <v>34229.65</v>
      </c>
      <c r="Y133" s="4">
        <f>X133/W133-1</f>
        <v>0.15736152685373317</v>
      </c>
    </row>
    <row r="134" spans="1:28">
      <c r="A134" s="37" t="s">
        <v>286</v>
      </c>
      <c r="B134" s="37" t="s">
        <v>287</v>
      </c>
      <c r="C134" s="28">
        <v>1392</v>
      </c>
      <c r="E134" s="37" t="s">
        <v>287</v>
      </c>
      <c r="F134" s="28">
        <v>1403</v>
      </c>
      <c r="G134" t="b">
        <f>IF(B134=E134,TRUE,FALSE)</f>
        <v>1</v>
      </c>
      <c r="J134" s="25">
        <f>F134-C134</f>
        <v>11</v>
      </c>
      <c r="K134" s="4">
        <f>F134/C134-1</f>
        <v>7.9022988505748071E-3</v>
      </c>
      <c r="M134" s="5">
        <v>2926.76</v>
      </c>
      <c r="N134" s="5">
        <v>2037.94</v>
      </c>
      <c r="Q134" s="139">
        <v>12986.57</v>
      </c>
      <c r="U134" s="127">
        <f>N134-M134</f>
        <v>-888.82000000000016</v>
      </c>
      <c r="V134" s="4">
        <f>IF(M134=0,0,N134/M134-1)</f>
        <v>-0.30368735393404311</v>
      </c>
      <c r="W134" s="18">
        <v>25828.080000000002</v>
      </c>
      <c r="X134" s="18">
        <v>28044.77</v>
      </c>
      <c r="Y134" s="4">
        <f>X134/W134-1</f>
        <v>8.5824807728642538E-2</v>
      </c>
    </row>
    <row r="135" spans="1:28">
      <c r="A135" t="s">
        <v>288</v>
      </c>
      <c r="B135" t="s">
        <v>289</v>
      </c>
      <c r="C135" s="28">
        <v>1400</v>
      </c>
      <c r="E135" t="s">
        <v>289</v>
      </c>
      <c r="F135" s="28">
        <v>1393</v>
      </c>
      <c r="G135" t="b">
        <f>IF(B135=E135,TRUE,FALSE)</f>
        <v>1</v>
      </c>
      <c r="J135" s="25">
        <f>F135-C135</f>
        <v>-7</v>
      </c>
      <c r="K135" s="4">
        <f>F135/C135-1</f>
        <v>-5.0000000000000044E-3</v>
      </c>
      <c r="M135" s="5">
        <v>2206.4899999999998</v>
      </c>
      <c r="N135" s="5">
        <v>1937.17</v>
      </c>
      <c r="Q135" s="139">
        <v>11997.6</v>
      </c>
      <c r="U135" s="127">
        <f>N135-M135</f>
        <v>-269.31999999999971</v>
      </c>
      <c r="V135" s="4">
        <f>IF(M135=0,0,N135/M135-1)</f>
        <v>-0.12205811039252379</v>
      </c>
      <c r="W135" s="18">
        <v>27926.6</v>
      </c>
      <c r="X135" s="18">
        <v>27783.15</v>
      </c>
      <c r="Y135" s="4">
        <f>X135/W135-1</f>
        <v>-5.1366797247067719E-3</v>
      </c>
    </row>
    <row r="136" spans="1:28">
      <c r="A136" t="s">
        <v>290</v>
      </c>
      <c r="B136" t="s">
        <v>291</v>
      </c>
      <c r="C136" s="28">
        <v>1436</v>
      </c>
      <c r="E136" t="s">
        <v>291</v>
      </c>
      <c r="F136" s="28">
        <v>1366</v>
      </c>
      <c r="G136" t="b">
        <f>IF(B136=E136,TRUE,FALSE)</f>
        <v>1</v>
      </c>
      <c r="J136" s="25">
        <f>F136-C136</f>
        <v>-70</v>
      </c>
      <c r="K136" s="4">
        <f>F136/C136-1</f>
        <v>-4.8746518105849623E-2</v>
      </c>
      <c r="M136" s="5">
        <v>1001.15</v>
      </c>
      <c r="N136" s="5">
        <v>1201.6400000000001</v>
      </c>
      <c r="Q136" s="139">
        <v>9289.1299999999992</v>
      </c>
      <c r="U136" s="127">
        <f>N136-M136</f>
        <v>200.49000000000012</v>
      </c>
      <c r="V136" s="4">
        <f>IF(M136=0,0,N136/M136-1)</f>
        <v>0.20025970134345505</v>
      </c>
      <c r="W136" s="18">
        <v>41177.050000000003</v>
      </c>
      <c r="X136" s="18">
        <v>40907.5</v>
      </c>
      <c r="Y136" s="4">
        <f>X136/W136-1</f>
        <v>-6.546122172423785E-3</v>
      </c>
    </row>
    <row r="137" spans="1:28">
      <c r="A137" s="37" t="s">
        <v>292</v>
      </c>
      <c r="B137" s="37" t="s">
        <v>293</v>
      </c>
      <c r="C137" s="28">
        <v>1272</v>
      </c>
      <c r="E137" s="37" t="s">
        <v>293</v>
      </c>
      <c r="F137" s="28">
        <v>1356</v>
      </c>
      <c r="G137" t="b">
        <f>IF(B137=E137,TRUE,FALSE)</f>
        <v>1</v>
      </c>
      <c r="J137" s="25">
        <f>F137-C137</f>
        <v>84</v>
      </c>
      <c r="K137" s="4">
        <f>F137/C137-1</f>
        <v>6.60377358490567E-2</v>
      </c>
      <c r="M137" s="5">
        <v>1374.63</v>
      </c>
      <c r="N137" s="5">
        <v>1191.68</v>
      </c>
      <c r="Q137" s="139">
        <v>6806.89</v>
      </c>
      <c r="U137" s="127">
        <f>N137-M137</f>
        <v>-182.95000000000005</v>
      </c>
      <c r="V137" s="4">
        <f>IF(M137=0,0,N137/M137-1)</f>
        <v>-0.13309035886020237</v>
      </c>
      <c r="W137" s="18">
        <v>32944.81</v>
      </c>
      <c r="X137" s="18">
        <v>36530.769999999997</v>
      </c>
      <c r="Y137" s="4">
        <f>X137/W137-1</f>
        <v>0.1088474937327002</v>
      </c>
    </row>
    <row r="138" spans="1:28">
      <c r="A138" t="s">
        <v>294</v>
      </c>
      <c r="B138" t="s">
        <v>295</v>
      </c>
      <c r="C138" s="28">
        <v>1305</v>
      </c>
      <c r="E138" t="s">
        <v>295</v>
      </c>
      <c r="F138" s="28">
        <v>1352</v>
      </c>
      <c r="G138" t="b">
        <f>IF(B138=E138,TRUE,FALSE)</f>
        <v>1</v>
      </c>
      <c r="J138" s="25">
        <f>F138-C138</f>
        <v>47</v>
      </c>
      <c r="K138" s="4">
        <f>F138/C138-1</f>
        <v>3.6015325670498033E-2</v>
      </c>
      <c r="M138" s="5">
        <v>1500.85</v>
      </c>
      <c r="N138" s="5">
        <v>1072.6300000000001</v>
      </c>
      <c r="Q138" s="139">
        <v>9688.07</v>
      </c>
      <c r="U138" s="127">
        <f>N138-M138</f>
        <v>-428.2199999999998</v>
      </c>
      <c r="V138" s="4">
        <f>IF(M138=0,0,N138/M138-1)</f>
        <v>-0.28531831961888254</v>
      </c>
      <c r="W138" s="18">
        <v>41728.71</v>
      </c>
      <c r="X138" s="18">
        <v>43224.88</v>
      </c>
      <c r="Y138" s="4">
        <f>X138/W138-1</f>
        <v>3.5854690931016009E-2</v>
      </c>
    </row>
    <row r="139" spans="1:28">
      <c r="A139" t="s">
        <v>296</v>
      </c>
      <c r="B139" t="s">
        <v>297</v>
      </c>
      <c r="C139" s="28">
        <v>1289</v>
      </c>
      <c r="E139" t="s">
        <v>297</v>
      </c>
      <c r="F139" s="28">
        <v>1351</v>
      </c>
      <c r="G139" t="b">
        <f>IF(B139=E139,TRUE,FALSE)</f>
        <v>1</v>
      </c>
      <c r="J139" s="25">
        <f>F139-C139</f>
        <v>62</v>
      </c>
      <c r="K139" s="4">
        <f>F139/C139-1</f>
        <v>4.8099301784328974E-2</v>
      </c>
      <c r="M139" s="5">
        <v>1880.75</v>
      </c>
      <c r="N139" s="5">
        <v>1837.16</v>
      </c>
      <c r="Q139" s="139">
        <v>13595.58</v>
      </c>
      <c r="U139" s="127">
        <f>N139-M139</f>
        <v>-43.589999999999918</v>
      </c>
      <c r="V139" s="4">
        <f>IF(M139=0,0,N139/M139-1)</f>
        <v>-2.3176924099428398E-2</v>
      </c>
      <c r="W139" s="18">
        <v>51447.6</v>
      </c>
      <c r="X139" s="18">
        <v>53968.85</v>
      </c>
      <c r="Y139" s="4">
        <f>X139/W139-1</f>
        <v>4.9006173271445075E-2</v>
      </c>
    </row>
    <row r="140" spans="1:28">
      <c r="A140" t="s">
        <v>298</v>
      </c>
      <c r="B140" t="s">
        <v>299</v>
      </c>
      <c r="C140" s="28">
        <v>1381</v>
      </c>
      <c r="E140" t="s">
        <v>299</v>
      </c>
      <c r="F140" s="28">
        <v>1341</v>
      </c>
      <c r="G140" t="b">
        <f>IF(B140=E140,TRUE,FALSE)</f>
        <v>1</v>
      </c>
      <c r="J140" s="25">
        <f>F140-C140</f>
        <v>-40</v>
      </c>
      <c r="K140" s="4">
        <f>F140/C140-1</f>
        <v>-2.8964518464880573E-2</v>
      </c>
      <c r="M140" s="5">
        <v>2377.21</v>
      </c>
      <c r="N140" s="5">
        <v>2516.9</v>
      </c>
      <c r="Q140" s="139">
        <v>12020.83</v>
      </c>
      <c r="U140" s="127">
        <f>N140-M140</f>
        <v>139.69000000000005</v>
      </c>
      <c r="V140" s="4">
        <f>IF(M140=0,0,N140/M140-1)</f>
        <v>5.8762162366808202E-2</v>
      </c>
      <c r="W140" s="18">
        <v>37749.74</v>
      </c>
      <c r="X140" s="18">
        <v>38856.089999999997</v>
      </c>
      <c r="Y140" s="4">
        <f>X140/W140-1</f>
        <v>2.9307486621099832E-2</v>
      </c>
    </row>
    <row r="141" spans="1:28">
      <c r="A141" t="s">
        <v>300</v>
      </c>
      <c r="B141" t="s">
        <v>301</v>
      </c>
      <c r="C141" s="28">
        <v>1819</v>
      </c>
      <c r="E141" t="s">
        <v>301</v>
      </c>
      <c r="F141" s="28">
        <v>1298</v>
      </c>
      <c r="G141" t="b">
        <f>IF(B141=E141,TRUE,FALSE)</f>
        <v>1</v>
      </c>
      <c r="J141" s="25">
        <f>F141-C141</f>
        <v>-521</v>
      </c>
      <c r="K141" s="4">
        <f>F141/C141-1</f>
        <v>-0.28642111050027486</v>
      </c>
      <c r="M141" s="5">
        <v>1473.39</v>
      </c>
      <c r="N141" s="5">
        <v>872.8</v>
      </c>
      <c r="Q141" s="139">
        <v>7829.36</v>
      </c>
      <c r="U141" s="127">
        <f>N141-M141</f>
        <v>-600.59000000000015</v>
      </c>
      <c r="V141" s="4">
        <f>IF(M141=0,0,N141/M141-1)</f>
        <v>-0.4076245936242272</v>
      </c>
      <c r="W141" s="18">
        <v>31918.54</v>
      </c>
      <c r="X141" s="18">
        <v>24957.3</v>
      </c>
      <c r="Y141" s="4">
        <f>X141/W141-1</f>
        <v>-0.21809393537423705</v>
      </c>
    </row>
    <row r="142" spans="1:28">
      <c r="A142" t="s">
        <v>302</v>
      </c>
      <c r="B142" t="s">
        <v>303</v>
      </c>
      <c r="C142" s="28">
        <v>1039</v>
      </c>
      <c r="E142" t="s">
        <v>303</v>
      </c>
      <c r="F142" s="28">
        <v>1284</v>
      </c>
      <c r="G142" t="b">
        <f>IF(B142=E142,TRUE,FALSE)</f>
        <v>1</v>
      </c>
      <c r="J142" s="25">
        <f>F142-C142</f>
        <v>245</v>
      </c>
      <c r="K142" s="4">
        <f>F142/C142-1</f>
        <v>0.23580365736284881</v>
      </c>
      <c r="M142" s="5">
        <v>2132.15</v>
      </c>
      <c r="N142" s="5">
        <v>2591.89</v>
      </c>
      <c r="Q142" s="139">
        <v>18256.22</v>
      </c>
      <c r="U142" s="127">
        <f>N142-M142</f>
        <v>459.73999999999978</v>
      </c>
      <c r="V142" s="4">
        <f>IF(M142=0,0,N142/M142-1)</f>
        <v>0.21562272823206619</v>
      </c>
      <c r="W142" s="18">
        <v>28031.27</v>
      </c>
      <c r="X142" s="18">
        <v>34643.550000000003</v>
      </c>
      <c r="Y142" s="4">
        <f>X142/W142-1</f>
        <v>0.23588941920933304</v>
      </c>
    </row>
    <row r="143" spans="1:28">
      <c r="A143" s="54" t="s">
        <v>304</v>
      </c>
      <c r="B143" s="37" t="s">
        <v>305</v>
      </c>
      <c r="C143" s="28">
        <v>1491</v>
      </c>
      <c r="E143" s="37" t="s">
        <v>305</v>
      </c>
      <c r="F143" s="28">
        <v>1272</v>
      </c>
      <c r="G143" t="b">
        <f>IF(B143=E143,TRUE,FALSE)</f>
        <v>1</v>
      </c>
      <c r="J143" s="25">
        <f>F143-C143</f>
        <v>-219</v>
      </c>
      <c r="K143" s="4">
        <f>F143/C143-1</f>
        <v>-0.14688128772635811</v>
      </c>
      <c r="M143" s="5">
        <v>2419.9899999999998</v>
      </c>
      <c r="N143" s="5">
        <v>2328.4100000000003</v>
      </c>
      <c r="Q143" s="138">
        <v>13395.359999999999</v>
      </c>
      <c r="U143" s="127">
        <f>N143-M143</f>
        <v>-91.579999999999472</v>
      </c>
      <c r="V143" s="4">
        <f>IF(M143=0,0,N143/M143-1)</f>
        <v>-3.7843131583188194E-2</v>
      </c>
      <c r="W143" s="18">
        <v>33878.49</v>
      </c>
      <c r="X143" s="18">
        <v>30510.44</v>
      </c>
      <c r="Y143" s="4">
        <f>X143/W143-1</f>
        <v>-9.9415587884820078E-2</v>
      </c>
    </row>
    <row r="144" spans="1:28">
      <c r="A144" t="s">
        <v>306</v>
      </c>
      <c r="B144" t="s">
        <v>307</v>
      </c>
      <c r="C144" s="28">
        <v>1833</v>
      </c>
      <c r="E144" t="s">
        <v>307</v>
      </c>
      <c r="F144" s="28">
        <v>1259</v>
      </c>
      <c r="G144" t="b">
        <f>IF(B144=E144,TRUE,FALSE)</f>
        <v>1</v>
      </c>
      <c r="J144" s="25">
        <f>F144-C144</f>
        <v>-574</v>
      </c>
      <c r="K144" s="4">
        <f>F144/C144-1</f>
        <v>-0.31314784506273863</v>
      </c>
      <c r="M144" s="5">
        <v>3207.75</v>
      </c>
      <c r="N144" s="5">
        <v>2087.88</v>
      </c>
      <c r="Q144" s="139">
        <v>11010.02</v>
      </c>
      <c r="U144" s="127">
        <f>N144-M144</f>
        <v>-1119.8699999999999</v>
      </c>
      <c r="V144" s="4">
        <f>IF(M144=0,0,N144/M144-1)</f>
        <v>-0.34911386485854567</v>
      </c>
      <c r="W144" s="18">
        <v>35990.79</v>
      </c>
      <c r="X144" s="18">
        <v>29294.38</v>
      </c>
      <c r="Y144" s="4">
        <f>X144/W144-1</f>
        <v>-0.18605898898023632</v>
      </c>
      <c r="AA144" t="s">
        <v>308</v>
      </c>
    </row>
    <row r="145" spans="1:25">
      <c r="A145" t="s">
        <v>309</v>
      </c>
      <c r="B145" t="s">
        <v>310</v>
      </c>
      <c r="C145" s="28">
        <v>1746</v>
      </c>
      <c r="E145" t="s">
        <v>310</v>
      </c>
      <c r="F145" s="28">
        <v>1248</v>
      </c>
      <c r="G145" t="b">
        <f>IF(B145=E145,TRUE,FALSE)</f>
        <v>1</v>
      </c>
      <c r="J145" s="25">
        <f>F145-C145</f>
        <v>-498</v>
      </c>
      <c r="K145" s="4">
        <f>F145/C145-1</f>
        <v>-0.28522336769759449</v>
      </c>
      <c r="M145" s="5">
        <v>2246.92</v>
      </c>
      <c r="N145" s="5">
        <v>1195.5</v>
      </c>
      <c r="Q145" s="139">
        <v>7999.2</v>
      </c>
      <c r="U145" s="127">
        <f>N145-M145</f>
        <v>-1051.42</v>
      </c>
      <c r="V145" s="4">
        <f>IF(M145=0,0,N145/M145-1)</f>
        <v>-0.46793833336300361</v>
      </c>
      <c r="W145" s="18">
        <v>45869.32</v>
      </c>
      <c r="X145" s="18">
        <v>37368.53</v>
      </c>
      <c r="Y145" s="4">
        <f>X145/W145-1</f>
        <v>-0.18532627036982452</v>
      </c>
    </row>
    <row r="146" spans="1:25">
      <c r="A146" t="s">
        <v>311</v>
      </c>
      <c r="B146" t="s">
        <v>312</v>
      </c>
      <c r="C146" s="28">
        <v>1549</v>
      </c>
      <c r="E146" t="s">
        <v>312</v>
      </c>
      <c r="F146" s="28">
        <v>1242</v>
      </c>
      <c r="G146" t="b">
        <f>IF(B146=E146,TRUE,FALSE)</f>
        <v>1</v>
      </c>
      <c r="J146" s="25">
        <f>F146-C146</f>
        <v>-307</v>
      </c>
      <c r="K146" s="4">
        <f>F146/C146-1</f>
        <v>-0.19819238218205293</v>
      </c>
      <c r="M146" s="5">
        <v>1807.8</v>
      </c>
      <c r="N146" s="5">
        <v>1651.81</v>
      </c>
      <c r="Q146" s="139">
        <v>13492.69</v>
      </c>
      <c r="U146" s="127">
        <f>N146-M146</f>
        <v>-155.99</v>
      </c>
      <c r="V146" s="4">
        <f>IF(M146=0,0,N146/M146-1)</f>
        <v>-8.6287199911494694E-2</v>
      </c>
      <c r="W146" s="18">
        <v>42953.599999999999</v>
      </c>
      <c r="X146" s="18">
        <v>37183.5</v>
      </c>
      <c r="Y146" s="4">
        <f>X146/W146-1</f>
        <v>-0.13433332712508383</v>
      </c>
    </row>
    <row r="147" spans="1:25">
      <c r="A147" t="s">
        <v>313</v>
      </c>
      <c r="B147" t="s">
        <v>314</v>
      </c>
      <c r="C147" s="28">
        <v>1605</v>
      </c>
      <c r="E147" t="s">
        <v>314</v>
      </c>
      <c r="F147" s="28">
        <v>1239</v>
      </c>
      <c r="G147" t="b">
        <f>IF(B147=E147,TRUE,FALSE)</f>
        <v>1</v>
      </c>
      <c r="J147" s="25">
        <f>F147-C147</f>
        <v>-366</v>
      </c>
      <c r="K147" s="4">
        <f>F147/C147-1</f>
        <v>-0.22803738317757005</v>
      </c>
      <c r="M147" s="5">
        <v>1822.65</v>
      </c>
      <c r="N147" s="5">
        <v>1326.54</v>
      </c>
      <c r="Q147" s="139">
        <v>9016.1</v>
      </c>
      <c r="U147" s="127">
        <f>N147-M147</f>
        <v>-496.11000000000013</v>
      </c>
      <c r="V147" s="4">
        <f>IF(M147=0,0,N147/M147-1)</f>
        <v>-0.27219158916961572</v>
      </c>
      <c r="W147" s="18">
        <v>44929.229999999996</v>
      </c>
      <c r="X147" s="18">
        <v>35871.629999999997</v>
      </c>
      <c r="Y147" s="4">
        <f>X147/W147-1</f>
        <v>-0.20159704495269559</v>
      </c>
    </row>
    <row r="148" spans="1:25">
      <c r="A148" t="s">
        <v>315</v>
      </c>
      <c r="B148" t="s">
        <v>316</v>
      </c>
      <c r="C148" s="28">
        <v>1389</v>
      </c>
      <c r="E148" t="s">
        <v>316</v>
      </c>
      <c r="F148" s="28">
        <v>1210</v>
      </c>
      <c r="G148" t="b">
        <f>IF(B148=E148,TRUE,FALSE)</f>
        <v>1</v>
      </c>
      <c r="J148" s="25">
        <f>F148-C148</f>
        <v>-179</v>
      </c>
      <c r="K148" s="4">
        <f>F148/C148-1</f>
        <v>-0.12886969042476604</v>
      </c>
      <c r="M148" s="5">
        <v>1551.77</v>
      </c>
      <c r="N148" s="5">
        <v>1319</v>
      </c>
      <c r="Q148" s="139">
        <v>10061.24</v>
      </c>
      <c r="U148" s="127">
        <f>N148-M148</f>
        <v>-232.76999999999998</v>
      </c>
      <c r="V148" s="4">
        <f>IF(M148=0,0,N148/M148-1)</f>
        <v>-0.15000289991429139</v>
      </c>
      <c r="W148" s="18">
        <v>54147.360000000001</v>
      </c>
      <c r="X148" s="18">
        <v>47171.66</v>
      </c>
      <c r="Y148" s="4">
        <f>X148/W148-1</f>
        <v>-0.12882807213500336</v>
      </c>
    </row>
    <row r="149" spans="1:25">
      <c r="A149" t="s">
        <v>317</v>
      </c>
      <c r="B149" t="s">
        <v>318</v>
      </c>
      <c r="C149" s="28">
        <v>1505</v>
      </c>
      <c r="E149" t="s">
        <v>318</v>
      </c>
      <c r="F149" s="28">
        <v>1206</v>
      </c>
      <c r="G149" t="b">
        <f>IF(B149=E149,TRUE,FALSE)</f>
        <v>1</v>
      </c>
      <c r="J149" s="25">
        <f>F149-C149</f>
        <v>-299</v>
      </c>
      <c r="K149" s="4">
        <f>F149/C149-1</f>
        <v>-0.19867109634551494</v>
      </c>
      <c r="M149" s="5">
        <v>2167.29</v>
      </c>
      <c r="N149" s="5">
        <v>1576.95</v>
      </c>
      <c r="Q149" s="139">
        <v>12688.34</v>
      </c>
      <c r="U149" s="127">
        <f>N149-M149</f>
        <v>-590.33999999999992</v>
      </c>
      <c r="V149" s="4">
        <f>IF(M149=0,0,N149/M149-1)</f>
        <v>-0.27238625195520672</v>
      </c>
      <c r="W149" s="18">
        <v>40551.919999999998</v>
      </c>
      <c r="X149" s="18">
        <v>32486.58</v>
      </c>
      <c r="Y149" s="4">
        <f>X149/W149-1</f>
        <v>-0.19888922645339602</v>
      </c>
    </row>
    <row r="150" spans="1:25">
      <c r="A150" t="s">
        <v>319</v>
      </c>
      <c r="B150" t="s">
        <v>320</v>
      </c>
      <c r="C150" s="28">
        <v>1226</v>
      </c>
      <c r="E150" t="s">
        <v>320</v>
      </c>
      <c r="F150" s="28">
        <v>1184</v>
      </c>
      <c r="G150" t="b">
        <f>IF(B150=E150,TRUE,FALSE)</f>
        <v>1</v>
      </c>
      <c r="J150" s="25">
        <f>F150-C150</f>
        <v>-42</v>
      </c>
      <c r="K150" s="4">
        <f>F150/C150-1</f>
        <v>-3.4257748776509001E-2</v>
      </c>
      <c r="M150" s="5">
        <v>1690.91</v>
      </c>
      <c r="N150" s="5">
        <v>973.08</v>
      </c>
      <c r="Q150" s="139">
        <v>5318.77</v>
      </c>
      <c r="U150" s="127">
        <f>N150-M150</f>
        <v>-717.83</v>
      </c>
      <c r="V150" s="4">
        <f>IF(M150=0,0,N150/M150-1)</f>
        <v>-0.42452289004145694</v>
      </c>
      <c r="W150" s="18">
        <v>30487.65</v>
      </c>
      <c r="X150" s="18">
        <v>29461.45</v>
      </c>
      <c r="Y150" s="4">
        <f>X150/W150-1</f>
        <v>-3.3659530990417408E-2</v>
      </c>
    </row>
    <row r="151" spans="1:25">
      <c r="A151" t="s">
        <v>321</v>
      </c>
      <c r="B151" t="s">
        <v>322</v>
      </c>
      <c r="C151" s="28">
        <v>1110</v>
      </c>
      <c r="E151" t="s">
        <v>322</v>
      </c>
      <c r="F151" s="28">
        <v>1176</v>
      </c>
      <c r="G151" t="b">
        <f>IF(B151=E151,TRUE,FALSE)</f>
        <v>1</v>
      </c>
      <c r="J151" s="25">
        <f>F151-C151</f>
        <v>66</v>
      </c>
      <c r="K151" s="4">
        <f>F151/C151-1</f>
        <v>5.9459459459459518E-2</v>
      </c>
      <c r="M151" s="5">
        <v>2303.02</v>
      </c>
      <c r="N151" s="5">
        <v>2262.2800000000002</v>
      </c>
      <c r="Q151" s="139">
        <v>15404</v>
      </c>
      <c r="U151" s="127">
        <f>N151-M151</f>
        <v>-40.739999999999782</v>
      </c>
      <c r="V151" s="4">
        <f>IF(M151=0,0,N151/M151-1)</f>
        <v>-1.7689815980755585E-2</v>
      </c>
      <c r="W151" s="18">
        <v>27687.25</v>
      </c>
      <c r="X151" s="18">
        <v>29335.200000000001</v>
      </c>
      <c r="Y151" s="4">
        <f>X151/W151-1</f>
        <v>5.9520176254413082E-2</v>
      </c>
    </row>
    <row r="152" spans="1:25">
      <c r="A152" t="s">
        <v>323</v>
      </c>
      <c r="B152" t="s">
        <v>324</v>
      </c>
      <c r="C152" s="28">
        <v>1288</v>
      </c>
      <c r="E152" t="s">
        <v>324</v>
      </c>
      <c r="F152" s="28">
        <v>1166</v>
      </c>
      <c r="G152" t="b">
        <f>IF(B152=E152,TRUE,FALSE)</f>
        <v>1</v>
      </c>
      <c r="J152" s="25">
        <f>F152-C152</f>
        <v>-122</v>
      </c>
      <c r="K152" s="4">
        <f>F152/C152-1</f>
        <v>-9.4720496894409978E-2</v>
      </c>
      <c r="M152" s="5">
        <v>1427.72</v>
      </c>
      <c r="N152" s="5">
        <v>1201.21</v>
      </c>
      <c r="Q152" s="139">
        <v>8935.9599999999991</v>
      </c>
      <c r="U152" s="127">
        <f>N152-M152</f>
        <v>-226.51</v>
      </c>
      <c r="V152" s="4">
        <f>IF(M152=0,0,N152/M152-1)</f>
        <v>-0.15865155632757122</v>
      </c>
      <c r="W152" s="18">
        <v>30847.759999999998</v>
      </c>
      <c r="X152" s="18">
        <v>27934.66</v>
      </c>
      <c r="Y152" s="4">
        <f>X152/W152-1</f>
        <v>-9.4434733672720483E-2</v>
      </c>
    </row>
    <row r="153" spans="1:25">
      <c r="A153" t="s">
        <v>325</v>
      </c>
      <c r="B153" t="s">
        <v>326</v>
      </c>
      <c r="C153" s="28">
        <v>1120</v>
      </c>
      <c r="E153" t="s">
        <v>326</v>
      </c>
      <c r="F153" s="28">
        <v>1163</v>
      </c>
      <c r="G153" t="b">
        <f>IF(B153=E153,TRUE,FALSE)</f>
        <v>1</v>
      </c>
      <c r="J153" s="25">
        <f>F153-C153</f>
        <v>43</v>
      </c>
      <c r="K153" s="4">
        <f>F153/C153-1</f>
        <v>3.8392857142857117E-2</v>
      </c>
      <c r="M153" s="5">
        <v>1943.75</v>
      </c>
      <c r="N153" s="5">
        <v>1795.62</v>
      </c>
      <c r="Q153" s="139">
        <v>13953.33</v>
      </c>
      <c r="U153" s="127">
        <f>N153-M153</f>
        <v>-148.13000000000011</v>
      </c>
      <c r="V153" s="4">
        <f>IF(M153=0,0,N153/M153-1)</f>
        <v>-7.6208360128617425E-2</v>
      </c>
      <c r="W153" s="18">
        <v>27936.5</v>
      </c>
      <c r="X153" s="18">
        <v>29007.85</v>
      </c>
      <c r="Y153" s="4">
        <f>X153/W153-1</f>
        <v>3.8349471122008705E-2</v>
      </c>
    </row>
    <row r="154" spans="1:25">
      <c r="A154" s="54" t="s">
        <v>327</v>
      </c>
      <c r="B154" s="37" t="s">
        <v>328</v>
      </c>
      <c r="C154" s="28">
        <v>2320</v>
      </c>
      <c r="E154" s="37" t="s">
        <v>328</v>
      </c>
      <c r="F154" s="28">
        <v>1147</v>
      </c>
      <c r="G154" t="b">
        <f>IF(B154=E154,TRUE,FALSE)</f>
        <v>1</v>
      </c>
      <c r="J154" s="25">
        <f>F154-C154</f>
        <v>-1173</v>
      </c>
      <c r="K154" s="4">
        <f>F154/C154-1</f>
        <v>-0.50560344827586201</v>
      </c>
      <c r="M154" s="5">
        <v>2063.9299999999998</v>
      </c>
      <c r="N154" s="5">
        <v>1024.6099999999999</v>
      </c>
      <c r="Q154" s="139">
        <v>4457.46</v>
      </c>
      <c r="U154" s="127">
        <f>N154-M154</f>
        <v>-1039.32</v>
      </c>
      <c r="V154" s="4">
        <f>IF(M154=0,0,N154/M154-1)</f>
        <v>-0.50356358985043093</v>
      </c>
      <c r="W154" s="18">
        <v>39046.71</v>
      </c>
      <c r="X154" s="18">
        <v>27331.09</v>
      </c>
      <c r="Y154" s="4">
        <f>X154/W154-1</f>
        <v>-0.30004115583617674</v>
      </c>
    </row>
    <row r="155" spans="1:25">
      <c r="A155" t="s">
        <v>329</v>
      </c>
      <c r="B155" t="s">
        <v>330</v>
      </c>
      <c r="C155" s="28">
        <v>1591</v>
      </c>
      <c r="E155" t="s">
        <v>330</v>
      </c>
      <c r="F155" s="28">
        <v>1133</v>
      </c>
      <c r="G155" t="b">
        <f>IF(B155=E155,TRUE,FALSE)</f>
        <v>1</v>
      </c>
      <c r="J155" s="25">
        <f>F155-C155</f>
        <v>-458</v>
      </c>
      <c r="K155" s="4">
        <f>F155/C155-1</f>
        <v>-0.28786926461345064</v>
      </c>
      <c r="M155" s="5">
        <v>1946.54</v>
      </c>
      <c r="N155" s="5">
        <v>904.59</v>
      </c>
      <c r="Q155" s="139">
        <v>7296.91</v>
      </c>
      <c r="U155" s="127">
        <f>N155-M155</f>
        <v>-1041.9499999999998</v>
      </c>
      <c r="V155" s="4">
        <f>IF(M155=0,0,N155/M155-1)</f>
        <v>-0.53528311773711301</v>
      </c>
      <c r="W155" s="18">
        <v>47698.19</v>
      </c>
      <c r="X155" s="18">
        <v>33930.080000000002</v>
      </c>
      <c r="Y155" s="4">
        <f>X155/W155-1</f>
        <v>-0.288650575629809</v>
      </c>
    </row>
    <row r="156" spans="1:25">
      <c r="A156" s="27" t="s">
        <v>331</v>
      </c>
      <c r="B156" s="149" t="s">
        <v>332</v>
      </c>
      <c r="C156" s="28">
        <v>1473</v>
      </c>
      <c r="E156" s="149" t="s">
        <v>332</v>
      </c>
      <c r="F156" s="28">
        <v>1131</v>
      </c>
      <c r="G156" t="b">
        <f>IF(B156=E156,TRUE,FALSE)</f>
        <v>1</v>
      </c>
      <c r="J156" s="25">
        <f>F156-C156</f>
        <v>-342</v>
      </c>
      <c r="K156" s="4">
        <f>F156/C156-1</f>
        <v>-0.23217922606924646</v>
      </c>
      <c r="M156" s="5">
        <v>1142.3599999999999</v>
      </c>
      <c r="N156" s="5">
        <v>1389.41</v>
      </c>
      <c r="Q156" s="138">
        <v>8312.73</v>
      </c>
      <c r="U156" s="127">
        <f>N156-M156</f>
        <v>247.05000000000018</v>
      </c>
      <c r="V156" s="4">
        <f>IF(M156=0,0,N156/M156-1)</f>
        <v>0.21626282432858313</v>
      </c>
      <c r="W156" s="18">
        <v>51479.6</v>
      </c>
      <c r="X156" s="18">
        <v>43544.45</v>
      </c>
      <c r="Y156" s="4">
        <f>X156/W156-1</f>
        <v>-0.15414164057218782</v>
      </c>
    </row>
    <row r="157" spans="1:25" ht="13.5" customHeight="1">
      <c r="A157" t="s">
        <v>333</v>
      </c>
      <c r="B157" t="s">
        <v>334</v>
      </c>
      <c r="C157" s="28">
        <v>1300</v>
      </c>
      <c r="E157" t="s">
        <v>334</v>
      </c>
      <c r="F157" s="28">
        <v>1126</v>
      </c>
      <c r="G157" t="b">
        <f>IF(B157=E157,TRUE,FALSE)</f>
        <v>1</v>
      </c>
      <c r="J157" s="25">
        <f>F157-C157</f>
        <v>-174</v>
      </c>
      <c r="K157" s="4">
        <f>F157/C157-1</f>
        <v>-0.13384615384615384</v>
      </c>
      <c r="M157" s="5">
        <v>2121.34</v>
      </c>
      <c r="N157" s="5">
        <v>1491.89</v>
      </c>
      <c r="Q157" s="139">
        <v>9617.69</v>
      </c>
      <c r="U157" s="127">
        <f>N157-M157</f>
        <v>-629.45000000000005</v>
      </c>
      <c r="V157" s="4">
        <f>IF(M157=0,0,N157/M157-1)</f>
        <v>-0.29672282613819567</v>
      </c>
      <c r="W157" s="18">
        <v>54292.13</v>
      </c>
      <c r="X157" s="18">
        <v>47577.99</v>
      </c>
      <c r="Y157" s="4">
        <f>X157/W157-1</f>
        <v>-0.12366691083956372</v>
      </c>
    </row>
    <row r="158" spans="1:25">
      <c r="A158" t="s">
        <v>335</v>
      </c>
      <c r="B158" t="s">
        <v>336</v>
      </c>
      <c r="C158" s="28">
        <v>1401</v>
      </c>
      <c r="E158" t="s">
        <v>336</v>
      </c>
      <c r="F158" s="28">
        <v>1109</v>
      </c>
      <c r="G158" t="b">
        <f>IF(B158=E158,TRUE,FALSE)</f>
        <v>1</v>
      </c>
      <c r="J158" s="25">
        <f>F158-C158</f>
        <v>-292</v>
      </c>
      <c r="K158" s="4">
        <f>F158/C158-1</f>
        <v>-0.20842255531763021</v>
      </c>
      <c r="M158" s="5">
        <v>2845.93</v>
      </c>
      <c r="N158" s="5">
        <v>1960</v>
      </c>
      <c r="Q158" s="139">
        <v>13596.38</v>
      </c>
      <c r="U158" s="127">
        <f>N158-M158</f>
        <v>-885.92999999999984</v>
      </c>
      <c r="V158" s="4">
        <f>IF(M158=0,0,N158/M158-1)</f>
        <v>-0.31129718580569443</v>
      </c>
      <c r="W158" s="18">
        <v>41986.59</v>
      </c>
      <c r="X158" s="18">
        <v>33231.910000000003</v>
      </c>
      <c r="Y158" s="4">
        <f>X158/W158-1</f>
        <v>-0.20851133659580345</v>
      </c>
    </row>
    <row r="159" spans="1:25">
      <c r="A159" s="54" t="s">
        <v>337</v>
      </c>
      <c r="B159" s="37" t="s">
        <v>338</v>
      </c>
      <c r="C159" s="28">
        <v>1248</v>
      </c>
      <c r="E159" s="37" t="s">
        <v>338</v>
      </c>
      <c r="F159" s="28">
        <v>1103</v>
      </c>
      <c r="G159" t="b">
        <f>IF(B159=E159,TRUE,FALSE)</f>
        <v>1</v>
      </c>
      <c r="J159" s="25">
        <f>F159-C159</f>
        <v>-145</v>
      </c>
      <c r="K159" s="4">
        <f>F159/C159-1</f>
        <v>-0.11618589743589747</v>
      </c>
      <c r="M159" s="5">
        <v>2332.5300000000002</v>
      </c>
      <c r="N159" s="5">
        <v>2218.86</v>
      </c>
      <c r="Q159" s="139">
        <v>10851.68</v>
      </c>
      <c r="U159" s="127">
        <f>N159-M159</f>
        <v>-113.67000000000007</v>
      </c>
      <c r="V159" s="4">
        <f>IF(M159=0,0,N159/M159-1)</f>
        <v>-4.8732492186595699E-2</v>
      </c>
      <c r="W159" s="18">
        <v>26056.23</v>
      </c>
      <c r="X159" s="18">
        <v>24271.9</v>
      </c>
      <c r="Y159" s="4">
        <f>X159/W159-1</f>
        <v>-6.8479975806169935E-2</v>
      </c>
    </row>
    <row r="160" spans="1:25">
      <c r="A160" t="s">
        <v>339</v>
      </c>
      <c r="B160" t="s">
        <v>340</v>
      </c>
      <c r="C160" s="28">
        <v>1405</v>
      </c>
      <c r="E160" t="s">
        <v>340</v>
      </c>
      <c r="F160" s="28">
        <v>1102</v>
      </c>
      <c r="G160" t="b">
        <f>IF(B160=E160,TRUE,FALSE)</f>
        <v>1</v>
      </c>
      <c r="J160" s="25">
        <f>F160-C160</f>
        <v>-303</v>
      </c>
      <c r="K160" s="4">
        <f>F160/C160-1</f>
        <v>-0.21565836298932384</v>
      </c>
      <c r="M160" s="5">
        <v>2519.5100000000002</v>
      </c>
      <c r="N160" s="5">
        <v>1535.33</v>
      </c>
      <c r="Q160" s="139">
        <v>10309.4</v>
      </c>
      <c r="U160" s="127">
        <f>N160-M160</f>
        <v>-984.18000000000029</v>
      </c>
      <c r="V160" s="4">
        <f>IF(M160=0,0,N160/M160-1)</f>
        <v>-0.39062357363138078</v>
      </c>
      <c r="W160" s="18">
        <v>33551.01</v>
      </c>
      <c r="X160" s="18">
        <v>32598.97</v>
      </c>
      <c r="Y160" s="4">
        <f>X160/W160-1</f>
        <v>-2.8375896880600604E-2</v>
      </c>
    </row>
    <row r="161" spans="1:27" ht="15" customHeight="1">
      <c r="A161" s="54" t="s">
        <v>341</v>
      </c>
      <c r="B161" s="37" t="s">
        <v>342</v>
      </c>
      <c r="C161" s="28">
        <v>923</v>
      </c>
      <c r="E161" s="37" t="s">
        <v>342</v>
      </c>
      <c r="F161" s="28">
        <v>1100</v>
      </c>
      <c r="G161" t="b">
        <f>IF(B161=E161,TRUE,FALSE)</f>
        <v>1</v>
      </c>
      <c r="J161" s="25">
        <f>F161-C161</f>
        <v>177</v>
      </c>
      <c r="K161" s="4">
        <f>F161/C161-1</f>
        <v>0.1917659804983749</v>
      </c>
      <c r="M161" s="5">
        <v>1308.8</v>
      </c>
      <c r="N161" s="5">
        <v>1794.32</v>
      </c>
      <c r="Q161" s="138">
        <v>7331.81</v>
      </c>
      <c r="U161" s="127">
        <f>N161-M161</f>
        <v>485.52</v>
      </c>
      <c r="V161" s="4">
        <f>IF(M161=0,0,N161/M161-1)</f>
        <v>0.37096577017114907</v>
      </c>
      <c r="W161" s="18">
        <v>16601.53</v>
      </c>
      <c r="X161" s="18">
        <v>19785.04</v>
      </c>
      <c r="Y161" s="4">
        <f>X161/W161-1</f>
        <v>0.19176003657494234</v>
      </c>
    </row>
    <row r="162" spans="1:27" ht="15" customHeight="1">
      <c r="A162" t="s">
        <v>343</v>
      </c>
      <c r="B162" t="s">
        <v>344</v>
      </c>
      <c r="C162" s="28">
        <v>1591</v>
      </c>
      <c r="E162" t="s">
        <v>344</v>
      </c>
      <c r="F162" s="28">
        <v>1099</v>
      </c>
      <c r="G162" t="b">
        <f>IF(B162=E162,TRUE,FALSE)</f>
        <v>1</v>
      </c>
      <c r="J162" s="25">
        <f>F162-C162</f>
        <v>-492</v>
      </c>
      <c r="K162" s="4">
        <f>F162/C162-1</f>
        <v>-0.30923947203016966</v>
      </c>
      <c r="M162" s="5">
        <v>2600.31</v>
      </c>
      <c r="N162" s="5">
        <v>592.96</v>
      </c>
      <c r="Q162" s="139">
        <v>5922.62</v>
      </c>
      <c r="U162" s="127">
        <f>N162-M162</f>
        <v>-2007.35</v>
      </c>
      <c r="V162" s="4">
        <f>IF(M162=0,0,N162/M162-1)</f>
        <v>-0.77196565024939334</v>
      </c>
      <c r="W162" s="18">
        <v>36568.129999999997</v>
      </c>
      <c r="X162" s="18">
        <v>25259.34</v>
      </c>
      <c r="Y162" s="4">
        <f>X162/W162-1</f>
        <v>-0.30925261969917517</v>
      </c>
    </row>
    <row r="163" spans="1:27" ht="15" customHeight="1">
      <c r="A163" s="55" t="s">
        <v>345</v>
      </c>
      <c r="B163" s="37" t="s">
        <v>346</v>
      </c>
      <c r="C163" s="28">
        <v>1667</v>
      </c>
      <c r="E163" s="37" t="s">
        <v>346</v>
      </c>
      <c r="F163" s="28">
        <v>1096</v>
      </c>
      <c r="G163" t="b">
        <f>IF(B163=E163,TRUE,FALSE)</f>
        <v>1</v>
      </c>
      <c r="J163" s="25">
        <f>F163-C163</f>
        <v>-571</v>
      </c>
      <c r="K163" s="4">
        <f>F163/C163-1</f>
        <v>-0.34253149370125979</v>
      </c>
      <c r="M163" s="5">
        <v>2484.1999999999998</v>
      </c>
      <c r="N163" s="5">
        <v>2417.54</v>
      </c>
      <c r="Q163" s="139">
        <v>10763.26</v>
      </c>
      <c r="U163" s="127">
        <f>N163-M163</f>
        <v>-66.659999999999854</v>
      </c>
      <c r="V163" s="4">
        <f>IF(M163=0,0,N163/M163-1)</f>
        <v>-2.6833588277916376E-2</v>
      </c>
      <c r="W163" s="18">
        <v>27989.25</v>
      </c>
      <c r="X163" s="18">
        <v>21855.8</v>
      </c>
      <c r="Y163" s="4">
        <f>X163/W163-1</f>
        <v>-0.21913591825432976</v>
      </c>
    </row>
    <row r="164" spans="1:27" ht="15" customHeight="1">
      <c r="A164" t="s">
        <v>347</v>
      </c>
      <c r="B164" t="s">
        <v>348</v>
      </c>
      <c r="C164" s="28">
        <v>1075</v>
      </c>
      <c r="E164" t="s">
        <v>348</v>
      </c>
      <c r="F164" s="28">
        <v>1090</v>
      </c>
      <c r="G164" t="b">
        <f>IF(B164=E164,TRUE,FALSE)</f>
        <v>1</v>
      </c>
      <c r="J164" s="25">
        <f>F164-C164</f>
        <v>15</v>
      </c>
      <c r="K164" s="4">
        <f>F164/C164-1</f>
        <v>1.3953488372093092E-2</v>
      </c>
      <c r="M164" s="5">
        <v>1648.15</v>
      </c>
      <c r="N164" s="5">
        <v>1479.67</v>
      </c>
      <c r="Q164" s="139">
        <v>8890.26</v>
      </c>
      <c r="U164" s="127">
        <f>N164-M164</f>
        <v>-168.48000000000002</v>
      </c>
      <c r="V164" s="4">
        <f>IF(M164=0,0,N164/M164-1)</f>
        <v>-0.10222370536662317</v>
      </c>
      <c r="W164" s="18">
        <v>19025.84</v>
      </c>
      <c r="X164" s="18">
        <v>20633.13</v>
      </c>
      <c r="Y164" s="4">
        <f>X164/W164-1</f>
        <v>8.4479318652947777E-2</v>
      </c>
    </row>
    <row r="165" spans="1:27" ht="15" customHeight="1">
      <c r="A165" s="143" t="s">
        <v>349</v>
      </c>
      <c r="B165" s="37" t="s">
        <v>350</v>
      </c>
      <c r="C165" s="28">
        <v>1472</v>
      </c>
      <c r="E165" s="37" t="s">
        <v>350</v>
      </c>
      <c r="F165" s="28">
        <v>1078</v>
      </c>
      <c r="G165" t="b">
        <f>IF(B165=E165,TRUE,FALSE)</f>
        <v>1</v>
      </c>
      <c r="J165" s="25">
        <f>F165-C165</f>
        <v>-394</v>
      </c>
      <c r="K165" s="4">
        <f>F165/C165-1</f>
        <v>-0.26766304347826086</v>
      </c>
      <c r="M165" s="5">
        <v>1938.11</v>
      </c>
      <c r="N165" s="5">
        <v>1869.26</v>
      </c>
      <c r="Q165" s="138">
        <v>13594.69</v>
      </c>
      <c r="U165" s="127">
        <f>N165-M165</f>
        <v>-68.849999999999909</v>
      </c>
      <c r="V165" s="4">
        <f>IF(M165=0,0,N165/M165-1)</f>
        <v>-3.5524299446367813E-2</v>
      </c>
      <c r="W165" s="18">
        <v>32806.83</v>
      </c>
      <c r="X165" s="18">
        <v>28028.52</v>
      </c>
      <c r="Y165" s="4">
        <f>X165/W165-1</f>
        <v>-0.1456498540090585</v>
      </c>
      <c r="AA165" t="s">
        <v>351</v>
      </c>
    </row>
    <row r="166" spans="1:27" ht="15" customHeight="1">
      <c r="A166" t="s">
        <v>352</v>
      </c>
      <c r="B166" t="s">
        <v>353</v>
      </c>
      <c r="C166" s="28">
        <v>1225</v>
      </c>
      <c r="E166" t="s">
        <v>353</v>
      </c>
      <c r="F166" s="28">
        <v>1077</v>
      </c>
      <c r="G166" t="b">
        <f>IF(B166=E166,TRUE,FALSE)</f>
        <v>1</v>
      </c>
      <c r="J166" s="25">
        <f>F166-C166</f>
        <v>-148</v>
      </c>
      <c r="K166" s="4">
        <f>F166/C166-1</f>
        <v>-0.12081632653061225</v>
      </c>
      <c r="M166" s="5">
        <v>400.25</v>
      </c>
      <c r="N166" s="5">
        <v>297.7</v>
      </c>
      <c r="Q166" s="139">
        <v>2234.04</v>
      </c>
      <c r="U166" s="127">
        <f>N166-M166</f>
        <v>-102.55000000000001</v>
      </c>
      <c r="V166" s="4">
        <f>IF(M166=0,0,N166/M166-1)</f>
        <v>-0.25621486570893193</v>
      </c>
      <c r="W166" s="18">
        <v>24486.149999999998</v>
      </c>
      <c r="X166" s="18">
        <v>21526.23</v>
      </c>
      <c r="Y166" s="4">
        <f>X166/W166-1</f>
        <v>-0.12088139621786187</v>
      </c>
    </row>
    <row r="167" spans="1:27">
      <c r="A167" t="s">
        <v>354</v>
      </c>
      <c r="B167" t="s">
        <v>355</v>
      </c>
      <c r="C167" s="28">
        <v>1097</v>
      </c>
      <c r="E167" t="s">
        <v>355</v>
      </c>
      <c r="F167" s="28">
        <v>1065</v>
      </c>
      <c r="G167" t="b">
        <f>IF(B167=E167,TRUE,FALSE)</f>
        <v>1</v>
      </c>
      <c r="J167" s="25">
        <f>F167-C167</f>
        <v>-32</v>
      </c>
      <c r="K167" s="4">
        <f>F167/C167-1</f>
        <v>-2.9170464904284432E-2</v>
      </c>
      <c r="M167" s="5">
        <v>1107.6600000000001</v>
      </c>
      <c r="N167" s="5">
        <v>906.31</v>
      </c>
      <c r="Q167" s="139">
        <v>6933.13</v>
      </c>
      <c r="U167" s="127">
        <f>N167-M167</f>
        <v>-201.35000000000014</v>
      </c>
      <c r="V167" s="4">
        <f>IF(M167=0,0,N167/M167-1)</f>
        <v>-0.18177960746077326</v>
      </c>
      <c r="W167" s="18">
        <v>25176.2</v>
      </c>
      <c r="X167" s="18">
        <v>25503.87</v>
      </c>
      <c r="Y167" s="4">
        <f>X167/W167-1</f>
        <v>1.3015069788133271E-2</v>
      </c>
    </row>
    <row r="168" spans="1:27" ht="15" customHeight="1">
      <c r="A168" s="54" t="s">
        <v>356</v>
      </c>
      <c r="B168" s="37" t="s">
        <v>357</v>
      </c>
      <c r="C168" s="28">
        <v>1541</v>
      </c>
      <c r="E168" s="37" t="s">
        <v>357</v>
      </c>
      <c r="F168" s="28">
        <v>1065</v>
      </c>
      <c r="G168" t="b">
        <f>IF(B168=E168,TRUE,FALSE)</f>
        <v>1</v>
      </c>
      <c r="J168" s="25">
        <f>F168-C168</f>
        <v>-476</v>
      </c>
      <c r="K168" s="4">
        <f>F168/C168-1</f>
        <v>-0.30889033095392604</v>
      </c>
      <c r="M168" s="5">
        <v>2210.98</v>
      </c>
      <c r="N168" s="5">
        <v>1817.06</v>
      </c>
      <c r="Q168" s="138">
        <v>8110.48</v>
      </c>
      <c r="U168" s="127">
        <f>N168-M168</f>
        <v>-393.92000000000007</v>
      </c>
      <c r="V168" s="4">
        <f>IF(M168=0,0,N168/M168-1)</f>
        <v>-0.17816533844720439</v>
      </c>
      <c r="W168" s="18">
        <v>24213.69</v>
      </c>
      <c r="X168" s="18">
        <v>19157.189999999999</v>
      </c>
      <c r="Y168" s="4">
        <f>X168/W168-1</f>
        <v>-0.20882814639156611</v>
      </c>
    </row>
    <row r="169" spans="1:27" ht="15" customHeight="1">
      <c r="A169" t="s">
        <v>358</v>
      </c>
      <c r="B169" t="s">
        <v>359</v>
      </c>
      <c r="C169" s="28">
        <v>1064</v>
      </c>
      <c r="E169" t="s">
        <v>359</v>
      </c>
      <c r="F169" s="28">
        <v>1054</v>
      </c>
      <c r="G169" t="b">
        <f>IF(B169=E169,TRUE,FALSE)</f>
        <v>1</v>
      </c>
      <c r="J169" s="25">
        <f>F169-C169</f>
        <v>-10</v>
      </c>
      <c r="K169" s="4">
        <f>F169/C169-1</f>
        <v>-9.3984962406015171E-3</v>
      </c>
      <c r="M169" s="5">
        <v>2808.01</v>
      </c>
      <c r="N169" s="5">
        <v>2405.59</v>
      </c>
      <c r="Q169" s="139">
        <v>15830.35</v>
      </c>
      <c r="U169" s="127">
        <f>N169-M169</f>
        <v>-402.42000000000007</v>
      </c>
      <c r="V169" s="4">
        <f>IF(M169=0,0,N169/M169-1)</f>
        <v>-0.14331145544353474</v>
      </c>
      <c r="W169" s="18">
        <v>39842.339999999997</v>
      </c>
      <c r="X169" s="18">
        <v>41045.89</v>
      </c>
      <c r="Y169" s="4">
        <f>X169/W169-1</f>
        <v>3.0207814099272312E-2</v>
      </c>
    </row>
    <row r="170" spans="1:27" ht="15" customHeight="1">
      <c r="A170" t="s">
        <v>360</v>
      </c>
      <c r="B170" t="s">
        <v>361</v>
      </c>
      <c r="C170" s="28">
        <v>1115</v>
      </c>
      <c r="E170" t="s">
        <v>361</v>
      </c>
      <c r="F170" s="28">
        <v>1039</v>
      </c>
      <c r="G170" t="b">
        <f>IF(B170=E170,TRUE,FALSE)</f>
        <v>1</v>
      </c>
      <c r="J170" s="25">
        <f>F170-C170</f>
        <v>-76</v>
      </c>
      <c r="K170" s="4">
        <f>F170/C170-1</f>
        <v>-6.8161434977578428E-2</v>
      </c>
      <c r="M170" s="5">
        <v>1020.03</v>
      </c>
      <c r="N170" s="5">
        <v>640.91</v>
      </c>
      <c r="Q170" s="139">
        <v>7662.2</v>
      </c>
      <c r="U170" s="127">
        <f>N170-M170</f>
        <v>-379.12</v>
      </c>
      <c r="V170" s="4">
        <f>IF(M170=0,0,N170/M170-1)</f>
        <v>-0.37167534288207216</v>
      </c>
      <c r="W170" s="18">
        <v>32172.25</v>
      </c>
      <c r="X170" s="18">
        <v>31153.61</v>
      </c>
      <c r="Y170" s="4">
        <f>X170/W170-1</f>
        <v>-3.1662069019108063E-2</v>
      </c>
    </row>
    <row r="171" spans="1:27" ht="15" customHeight="1">
      <c r="A171" t="s">
        <v>362</v>
      </c>
      <c r="B171" t="s">
        <v>363</v>
      </c>
      <c r="C171" s="28">
        <v>1194</v>
      </c>
      <c r="E171" t="s">
        <v>363</v>
      </c>
      <c r="F171" s="28">
        <v>1036</v>
      </c>
      <c r="G171" t="b">
        <f>IF(B171=E171,TRUE,FALSE)</f>
        <v>1</v>
      </c>
      <c r="J171" s="25">
        <f>F171-C171</f>
        <v>-158</v>
      </c>
      <c r="K171" s="4">
        <f>F171/C171-1</f>
        <v>-0.13232830820770525</v>
      </c>
      <c r="M171" s="5">
        <v>2045.75</v>
      </c>
      <c r="N171" s="5">
        <v>1801.37</v>
      </c>
      <c r="Q171" s="139">
        <v>10557.66</v>
      </c>
      <c r="U171" s="127">
        <f>N171-M171</f>
        <v>-244.38000000000011</v>
      </c>
      <c r="V171" s="4">
        <f>IF(M171=0,0,N171/M171-1)</f>
        <v>-0.11945741170719792</v>
      </c>
      <c r="W171" s="18">
        <v>28371.89</v>
      </c>
      <c r="X171" s="18">
        <v>25846.2</v>
      </c>
      <c r="Y171" s="4">
        <f>X171/W171-1</f>
        <v>-8.902085832138773E-2</v>
      </c>
    </row>
    <row r="172" spans="1:27" ht="15" customHeight="1">
      <c r="A172" s="54" t="s">
        <v>364</v>
      </c>
      <c r="B172" s="37" t="s">
        <v>365</v>
      </c>
      <c r="C172" s="19">
        <v>1300</v>
      </c>
      <c r="E172" s="37" t="s">
        <v>365</v>
      </c>
      <c r="F172" s="19">
        <v>1009</v>
      </c>
      <c r="G172" t="b">
        <f>IF(B172=E172,TRUE,FALSE)</f>
        <v>1</v>
      </c>
      <c r="J172" s="25">
        <f>F172-C172</f>
        <v>-291</v>
      </c>
      <c r="K172" s="4">
        <f>F172/C172-1</f>
        <v>-0.22384615384615381</v>
      </c>
      <c r="M172" s="5">
        <v>2229.35</v>
      </c>
      <c r="N172" s="5">
        <v>1427.13</v>
      </c>
      <c r="Q172" s="138">
        <v>13925.59</v>
      </c>
      <c r="U172" s="127">
        <f>N172-M172</f>
        <v>-802.2199999999998</v>
      </c>
      <c r="V172" s="4">
        <f>IF(M172=0,0,N172/M172-1)</f>
        <v>-0.35984479781102108</v>
      </c>
      <c r="W172">
        <v>25571.63</v>
      </c>
      <c r="X172">
        <v>24193.64</v>
      </c>
      <c r="Y172" s="4">
        <f>X172/W172-1</f>
        <v>-5.3887452618390008E-2</v>
      </c>
    </row>
    <row r="173" spans="1:27" ht="15" customHeight="1">
      <c r="A173" t="s">
        <v>366</v>
      </c>
      <c r="B173" t="s">
        <v>367</v>
      </c>
      <c r="C173" s="28">
        <v>1193</v>
      </c>
      <c r="E173" t="s">
        <v>367</v>
      </c>
      <c r="F173" s="28">
        <v>1001</v>
      </c>
      <c r="G173" t="b">
        <f>IF(B173=E173,TRUE,FALSE)</f>
        <v>1</v>
      </c>
      <c r="J173" s="25">
        <f>F173-C173</f>
        <v>-192</v>
      </c>
      <c r="K173" s="4">
        <f>F173/C173-1</f>
        <v>-0.16093880972338637</v>
      </c>
      <c r="M173" s="5">
        <v>2120.81</v>
      </c>
      <c r="N173" s="5">
        <v>1730.43</v>
      </c>
      <c r="Q173" s="139">
        <v>10657.57</v>
      </c>
      <c r="U173" s="127">
        <f>N173-M173</f>
        <v>-390.37999999999988</v>
      </c>
      <c r="V173" s="4">
        <f>IF(M173=0,0,N173/M173-1)</f>
        <v>-0.18407118035090364</v>
      </c>
      <c r="W173" s="18">
        <v>25758.55</v>
      </c>
      <c r="X173" s="18">
        <v>24009.91</v>
      </c>
      <c r="Y173" s="4">
        <f>X173/W173-1</f>
        <v>-6.7885808789702851E-2</v>
      </c>
    </row>
    <row r="174" spans="1:27" ht="15" customHeight="1">
      <c r="A174" s="37" t="s">
        <v>368</v>
      </c>
      <c r="B174" s="37" t="s">
        <v>369</v>
      </c>
      <c r="C174" s="28">
        <v>1056</v>
      </c>
      <c r="E174" s="37" t="s">
        <v>369</v>
      </c>
      <c r="F174" s="28">
        <v>993</v>
      </c>
      <c r="G174" t="b">
        <f>IF(B174=E174,TRUE,FALSE)</f>
        <v>1</v>
      </c>
      <c r="J174" s="25">
        <f>F174-C174</f>
        <v>-63</v>
      </c>
      <c r="K174" s="4">
        <f>F174/C174-1</f>
        <v>-5.9659090909090939E-2</v>
      </c>
      <c r="M174" s="5">
        <v>1937.24</v>
      </c>
      <c r="N174" s="5">
        <v>1656.96</v>
      </c>
      <c r="Q174" s="139">
        <v>15200.79</v>
      </c>
      <c r="U174" s="127">
        <f>N174-M174</f>
        <v>-280.27999999999997</v>
      </c>
      <c r="V174" s="4">
        <f>IF(M174=0,0,N174/M174-1)</f>
        <v>-0.14468006029196179</v>
      </c>
      <c r="W174" s="18">
        <v>17940.93</v>
      </c>
      <c r="X174" s="18">
        <v>16869.54</v>
      </c>
      <c r="Y174" s="4">
        <f>X174/W174-1</f>
        <v>-5.9717640055448551E-2</v>
      </c>
    </row>
    <row r="175" spans="1:27" ht="15" customHeight="1">
      <c r="A175" s="54" t="s">
        <v>370</v>
      </c>
      <c r="B175" s="37" t="s">
        <v>371</v>
      </c>
      <c r="C175" s="28">
        <v>1087</v>
      </c>
      <c r="E175" s="37" t="s">
        <v>371</v>
      </c>
      <c r="F175" s="28">
        <v>991</v>
      </c>
      <c r="G175" t="b">
        <f>IF(B175=E175,TRUE,FALSE)</f>
        <v>1</v>
      </c>
      <c r="J175" s="25">
        <f>F175-C175</f>
        <v>-96</v>
      </c>
      <c r="K175" s="4">
        <f>F175/C175-1</f>
        <v>-8.8316467341306382E-2</v>
      </c>
      <c r="M175" s="5">
        <v>2133.29</v>
      </c>
      <c r="N175" s="5">
        <v>1396.96</v>
      </c>
      <c r="Q175" s="138">
        <v>6246.6</v>
      </c>
      <c r="U175" s="127">
        <f>N175-M175</f>
        <v>-736.32999999999993</v>
      </c>
      <c r="V175" s="4">
        <f>IF(M175=0,0,N175/M175-1)</f>
        <v>-0.34516169859700274</v>
      </c>
      <c r="W175" s="18">
        <v>23901.81</v>
      </c>
      <c r="X175" s="18">
        <v>21790.99</v>
      </c>
      <c r="Y175" s="4">
        <f>X175/W175-1</f>
        <v>-8.8312140377653336E-2</v>
      </c>
    </row>
    <row r="176" spans="1:27" ht="15" customHeight="1">
      <c r="A176" s="143" t="s">
        <v>370</v>
      </c>
      <c r="B176" s="143" t="s">
        <v>371</v>
      </c>
      <c r="C176" s="28">
        <v>1087</v>
      </c>
      <c r="E176" s="143" t="s">
        <v>371</v>
      </c>
      <c r="F176" s="28">
        <v>991</v>
      </c>
      <c r="G176" t="b">
        <f>IF(B176=E176,TRUE,FALSE)</f>
        <v>1</v>
      </c>
      <c r="J176" s="25">
        <f>F176-C176</f>
        <v>-96</v>
      </c>
      <c r="K176" s="4">
        <f>F176/C176-1</f>
        <v>-8.8316467341306382E-2</v>
      </c>
      <c r="M176" s="5">
        <v>2133.29</v>
      </c>
      <c r="N176" s="5">
        <v>1396.96</v>
      </c>
      <c r="Q176" s="138">
        <v>6246.6</v>
      </c>
      <c r="U176" s="127">
        <f>N176-M176</f>
        <v>-736.32999999999993</v>
      </c>
      <c r="V176" s="4">
        <f>IF(M176=0,0,N176/M176-1)</f>
        <v>-0.34516169859700274</v>
      </c>
      <c r="W176" s="18">
        <v>23901.81</v>
      </c>
      <c r="X176" s="18">
        <v>21790.99</v>
      </c>
      <c r="Y176" s="4">
        <f>X176/W176-1</f>
        <v>-8.8312140377653336E-2</v>
      </c>
    </row>
    <row r="177" spans="1:27" ht="15" customHeight="1">
      <c r="A177" s="54" t="s">
        <v>372</v>
      </c>
      <c r="B177" s="37" t="s">
        <v>373</v>
      </c>
      <c r="C177" s="28">
        <v>1154</v>
      </c>
      <c r="E177" s="37" t="s">
        <v>373</v>
      </c>
      <c r="F177" s="28">
        <v>972</v>
      </c>
      <c r="G177" t="b">
        <f>IF(B177=E177,TRUE,FALSE)</f>
        <v>1</v>
      </c>
      <c r="J177" s="25">
        <f>F177-C177</f>
        <v>-182</v>
      </c>
      <c r="K177" s="4">
        <f>F177/C177-1</f>
        <v>-0.15771230502599654</v>
      </c>
      <c r="M177" s="5">
        <v>2907.8</v>
      </c>
      <c r="N177" s="5">
        <v>2876.56</v>
      </c>
      <c r="Q177" s="138">
        <v>20326.37</v>
      </c>
      <c r="U177" s="127">
        <f>N177-M177</f>
        <v>-31.240000000000236</v>
      </c>
      <c r="V177" s="4">
        <f>IF(M177=0,0,N177/M177-1)</f>
        <v>-1.0743517435862215E-2</v>
      </c>
      <c r="W177" s="18">
        <v>34530.25</v>
      </c>
      <c r="X177" s="18">
        <v>29110.5</v>
      </c>
      <c r="Y177" s="4"/>
    </row>
    <row r="178" spans="1:27" ht="15" customHeight="1">
      <c r="A178" s="37" t="s">
        <v>374</v>
      </c>
      <c r="B178" s="37" t="s">
        <v>375</v>
      </c>
      <c r="C178" s="28">
        <v>908</v>
      </c>
      <c r="E178" s="37" t="s">
        <v>375</v>
      </c>
      <c r="F178" s="28">
        <v>970</v>
      </c>
      <c r="G178" t="b">
        <f>IF(B178=E178,TRUE,FALSE)</f>
        <v>1</v>
      </c>
      <c r="J178" s="25">
        <f>F178-C178</f>
        <v>62</v>
      </c>
      <c r="K178" s="4">
        <f>F178/C178-1</f>
        <v>6.8281938325991165E-2</v>
      </c>
      <c r="M178" s="5">
        <v>2027.84</v>
      </c>
      <c r="N178" s="5">
        <v>1863.28</v>
      </c>
      <c r="Q178" s="139">
        <v>13348.89</v>
      </c>
      <c r="U178" s="127">
        <f>N178-M178</f>
        <v>-164.55999999999995</v>
      </c>
      <c r="V178" s="4">
        <f>IF(M178=0,0,N178/M178-1)</f>
        <v>-8.1150386618273562E-2</v>
      </c>
      <c r="W178" s="18">
        <v>40849.57</v>
      </c>
      <c r="X178" s="18">
        <v>43636.7</v>
      </c>
      <c r="Y178" s="4">
        <f>X178/W178-1</f>
        <v>6.8229114774035482E-2</v>
      </c>
    </row>
    <row r="179" spans="1:27" ht="15" customHeight="1">
      <c r="A179" s="54" t="s">
        <v>376</v>
      </c>
      <c r="B179" s="37" t="s">
        <v>377</v>
      </c>
      <c r="C179" s="28">
        <v>1271</v>
      </c>
      <c r="E179" s="37" t="s">
        <v>377</v>
      </c>
      <c r="F179" s="28">
        <v>963</v>
      </c>
      <c r="G179" t="b">
        <f>IF(B179=E179,TRUE,FALSE)</f>
        <v>1</v>
      </c>
      <c r="J179" s="25">
        <f>F179-C179</f>
        <v>-308</v>
      </c>
      <c r="K179" s="4">
        <f>F179/C179-1</f>
        <v>-0.24232887490165222</v>
      </c>
      <c r="M179" s="5">
        <v>1878.89</v>
      </c>
      <c r="N179" s="5">
        <v>1872.64</v>
      </c>
      <c r="Q179" s="138">
        <v>11286.14</v>
      </c>
      <c r="U179" s="127">
        <f>N179-M179</f>
        <v>-6.25</v>
      </c>
      <c r="V179" s="4">
        <f>IF(M179=0,0,N179/M179-1)</f>
        <v>-3.3264320955457283E-3</v>
      </c>
      <c r="W179" s="18">
        <v>27032.79</v>
      </c>
      <c r="X179" s="18">
        <v>24060.87</v>
      </c>
      <c r="Y179" s="4">
        <f>X179/W179-1</f>
        <v>-0.10993759800597724</v>
      </c>
    </row>
    <row r="180" spans="1:27" ht="15" customHeight="1">
      <c r="A180" s="55" t="s">
        <v>378</v>
      </c>
      <c r="B180" s="37" t="s">
        <v>379</v>
      </c>
      <c r="C180" s="28">
        <v>1018</v>
      </c>
      <c r="E180" s="37" t="s">
        <v>379</v>
      </c>
      <c r="F180" s="28">
        <v>953</v>
      </c>
      <c r="G180" t="b">
        <f>IF(B180=E180,TRUE,FALSE)</f>
        <v>1</v>
      </c>
      <c r="J180" s="25">
        <f>F180-C180</f>
        <v>-65</v>
      </c>
      <c r="K180" s="4">
        <f>F180/C180-1</f>
        <v>-6.3850687622789781E-2</v>
      </c>
      <c r="M180" s="5">
        <v>2108.19</v>
      </c>
      <c r="N180" s="5">
        <v>2072.29</v>
      </c>
      <c r="Q180" s="139">
        <v>18815.07</v>
      </c>
      <c r="U180" s="127">
        <f>N180-M180</f>
        <v>-35.900000000000091</v>
      </c>
      <c r="V180" s="4">
        <f>IF(M180=0,0,N180/M180-1)</f>
        <v>-1.7028825675105219E-2</v>
      </c>
      <c r="W180" s="18">
        <v>29241.54</v>
      </c>
      <c r="X180" s="18">
        <v>27621.38</v>
      </c>
      <c r="Y180" s="4">
        <f>X180/W180-1</f>
        <v>-5.5406110622080784E-2</v>
      </c>
    </row>
    <row r="181" spans="1:27" ht="15" customHeight="1">
      <c r="A181" t="s">
        <v>380</v>
      </c>
      <c r="B181" t="s">
        <v>381</v>
      </c>
      <c r="C181" s="28">
        <v>1695</v>
      </c>
      <c r="E181" t="s">
        <v>381</v>
      </c>
      <c r="F181" s="28">
        <v>948</v>
      </c>
      <c r="G181" t="b">
        <f>IF(B181=E181,TRUE,FALSE)</f>
        <v>1</v>
      </c>
      <c r="J181" s="25">
        <f>F181-C181</f>
        <v>-747</v>
      </c>
      <c r="K181" s="4">
        <f>F181/C181-1</f>
        <v>-0.44070796460176986</v>
      </c>
      <c r="M181" s="5">
        <v>2423.44</v>
      </c>
      <c r="N181" s="5">
        <v>2034.47</v>
      </c>
      <c r="Q181" s="139">
        <v>14347.88</v>
      </c>
      <c r="U181" s="127">
        <f>N181-M181</f>
        <v>-388.97</v>
      </c>
      <c r="V181" s="4">
        <f>IF(M181=0,0,N181/M181-1)</f>
        <v>-0.16050325157627177</v>
      </c>
      <c r="W181" s="18">
        <v>26967.06</v>
      </c>
      <c r="X181" s="18">
        <v>21879.85</v>
      </c>
      <c r="Y181" s="4">
        <f>X181/W181-1</f>
        <v>-0.18864533249082405</v>
      </c>
    </row>
    <row r="182" spans="1:27" ht="15" customHeight="1">
      <c r="A182" t="s">
        <v>382</v>
      </c>
      <c r="B182" t="s">
        <v>383</v>
      </c>
      <c r="C182" s="28">
        <v>2761</v>
      </c>
      <c r="E182" t="s">
        <v>383</v>
      </c>
      <c r="F182" s="28">
        <v>930</v>
      </c>
      <c r="G182" t="b">
        <f>IF(B182=E182,TRUE,FALSE)</f>
        <v>1</v>
      </c>
      <c r="J182" s="25">
        <f>F182-C182</f>
        <v>-1831</v>
      </c>
      <c r="K182" s="4">
        <f>F182/C182-1</f>
        <v>-0.663165519739225</v>
      </c>
      <c r="M182" s="5">
        <v>4524.25</v>
      </c>
      <c r="N182" s="5">
        <v>2942.27</v>
      </c>
      <c r="Q182" s="139">
        <v>11110.94</v>
      </c>
      <c r="U182" s="127">
        <f>N182-M182</f>
        <v>-1581.98</v>
      </c>
      <c r="V182" s="4">
        <f>IF(M182=0,0,N182/M182-1)</f>
        <v>-0.34966679560148095</v>
      </c>
      <c r="W182" s="18">
        <v>74395.990000000005</v>
      </c>
      <c r="X182" s="18">
        <v>25085.86</v>
      </c>
      <c r="Y182" s="4">
        <f>X182/W182-1</f>
        <v>-0.66280628834968125</v>
      </c>
    </row>
    <row r="183" spans="1:27" ht="15" customHeight="1">
      <c r="A183" s="54" t="s">
        <v>384</v>
      </c>
      <c r="B183" s="37" t="s">
        <v>385</v>
      </c>
      <c r="C183" s="28">
        <v>1140</v>
      </c>
      <c r="E183" s="37" t="s">
        <v>385</v>
      </c>
      <c r="F183" s="28">
        <v>923</v>
      </c>
      <c r="G183" t="b">
        <f>IF(B183=E183,TRUE,FALSE)</f>
        <v>1</v>
      </c>
      <c r="J183" s="25">
        <f>F183-C183</f>
        <v>-217</v>
      </c>
      <c r="K183" s="4">
        <f>F183/C183-1</f>
        <v>-0.19035087719298249</v>
      </c>
      <c r="M183" s="5">
        <v>1775.71</v>
      </c>
      <c r="N183" s="5">
        <v>1483.97</v>
      </c>
      <c r="Q183" s="138">
        <v>10236.66</v>
      </c>
      <c r="U183" s="127">
        <f>N183-M183</f>
        <v>-291.74</v>
      </c>
      <c r="V183" s="4">
        <f>IF(M183=0,0,N183/M183-1)</f>
        <v>-0.16429484544210482</v>
      </c>
      <c r="W183" s="18">
        <v>31821</v>
      </c>
      <c r="X183" s="18">
        <v>27677.17</v>
      </c>
      <c r="Y183" s="4"/>
      <c r="AA183" t="s">
        <v>386</v>
      </c>
    </row>
    <row r="184" spans="1:27" ht="15" customHeight="1">
      <c r="A184" s="54" t="s">
        <v>387</v>
      </c>
      <c r="B184" s="37" t="s">
        <v>388</v>
      </c>
      <c r="C184" s="19">
        <v>1310</v>
      </c>
      <c r="E184" s="37" t="s">
        <v>388</v>
      </c>
      <c r="F184" s="19">
        <v>920</v>
      </c>
      <c r="G184" t="b">
        <f>IF(B184=E184,TRUE,FALSE)</f>
        <v>1</v>
      </c>
      <c r="J184" s="25">
        <f>F184-C184</f>
        <v>-390</v>
      </c>
      <c r="K184" s="4">
        <f>F184/C184-1</f>
        <v>-0.29770992366412219</v>
      </c>
      <c r="M184" s="5">
        <v>2563.4899999999998</v>
      </c>
      <c r="N184" s="5">
        <v>1651.06</v>
      </c>
      <c r="Q184" s="138">
        <v>9144.0300000000007</v>
      </c>
      <c r="U184" s="127">
        <f>N184-M184</f>
        <v>-912.42999999999984</v>
      </c>
      <c r="V184" s="4">
        <f>IF(M184=0,0,N184/M184-1)</f>
        <v>-0.35593273232975353</v>
      </c>
      <c r="W184">
        <v>32679.75</v>
      </c>
      <c r="X184">
        <v>22951.75</v>
      </c>
      <c r="Y184" s="4">
        <f>X184/W184-1</f>
        <v>-0.29767669581315648</v>
      </c>
    </row>
    <row r="185" spans="1:27" ht="15" customHeight="1">
      <c r="A185" t="s">
        <v>389</v>
      </c>
      <c r="B185" t="s">
        <v>390</v>
      </c>
      <c r="C185" s="28">
        <v>1128</v>
      </c>
      <c r="E185" t="s">
        <v>390</v>
      </c>
      <c r="F185" s="28">
        <v>917</v>
      </c>
      <c r="G185" t="b">
        <f>IF(B185=E185,TRUE,FALSE)</f>
        <v>1</v>
      </c>
      <c r="J185" s="25">
        <f>F185-C185</f>
        <v>-211</v>
      </c>
      <c r="K185" s="4">
        <f>F185/C185-1</f>
        <v>-0.18705673758865249</v>
      </c>
      <c r="M185" s="5">
        <v>1344.7</v>
      </c>
      <c r="N185" s="5">
        <v>1010.25</v>
      </c>
      <c r="Q185" s="139">
        <v>7016.83</v>
      </c>
      <c r="U185" s="127">
        <f>N185-M185</f>
        <v>-334.45000000000005</v>
      </c>
      <c r="V185" s="4">
        <f>IF(M185=0,0,N185/M185-1)</f>
        <v>-0.24871718598944004</v>
      </c>
      <c r="W185" s="18">
        <v>31756.84</v>
      </c>
      <c r="X185" s="18">
        <v>27492.65</v>
      </c>
      <c r="Y185" s="4">
        <f>X185/W185-1</f>
        <v>-0.13427626930135361</v>
      </c>
    </row>
    <row r="186" spans="1:27" ht="15" customHeight="1">
      <c r="A186" t="s">
        <v>391</v>
      </c>
      <c r="B186" t="s">
        <v>392</v>
      </c>
      <c r="C186" s="28">
        <v>1105</v>
      </c>
      <c r="E186" t="s">
        <v>392</v>
      </c>
      <c r="F186" s="28">
        <v>908</v>
      </c>
      <c r="G186" t="b">
        <f>IF(B186=E186,TRUE,FALSE)</f>
        <v>1</v>
      </c>
      <c r="J186" s="25">
        <f>F186-C186</f>
        <v>-197</v>
      </c>
      <c r="K186" s="4">
        <f>F186/C186-1</f>
        <v>-0.17828054298642537</v>
      </c>
      <c r="M186" s="5">
        <v>1509.26</v>
      </c>
      <c r="N186" s="5">
        <v>1794.35</v>
      </c>
      <c r="Q186" s="139">
        <v>10897.52</v>
      </c>
      <c r="U186" s="127">
        <f>N186-M186</f>
        <v>285.08999999999992</v>
      </c>
      <c r="V186" s="4">
        <f>IF(M186=0,0,N186/M186-1)</f>
        <v>0.18889389502140119</v>
      </c>
      <c r="W186" s="18">
        <v>23167.73</v>
      </c>
      <c r="X186" s="18">
        <v>21899.08</v>
      </c>
      <c r="Y186" s="4">
        <f>X186/W186-1</f>
        <v>-5.4759357088501881E-2</v>
      </c>
    </row>
    <row r="187" spans="1:27" ht="15" customHeight="1">
      <c r="A187" s="143" t="s">
        <v>393</v>
      </c>
      <c r="B187" s="143" t="s">
        <v>394</v>
      </c>
      <c r="C187" s="28">
        <v>731</v>
      </c>
      <c r="E187" s="143" t="s">
        <v>394</v>
      </c>
      <c r="F187" s="28">
        <v>904</v>
      </c>
      <c r="G187" t="b">
        <f>IF(B187=E187,TRUE,FALSE)</f>
        <v>1</v>
      </c>
      <c r="J187" s="25">
        <f>F187-C187</f>
        <v>173</v>
      </c>
      <c r="K187" s="4">
        <f>F187/C187-1</f>
        <v>0.23666210670314647</v>
      </c>
      <c r="M187" s="5">
        <v>1419.62</v>
      </c>
      <c r="N187" s="5">
        <v>1838.53</v>
      </c>
      <c r="Q187" s="138">
        <v>14047.68</v>
      </c>
      <c r="U187" s="127">
        <f>N187-M187</f>
        <v>418.91000000000008</v>
      </c>
      <c r="V187" s="4">
        <f>IF(M187=0,0,N187/M187-1)</f>
        <v>0.29508600893196779</v>
      </c>
      <c r="W187" s="18">
        <v>8023.96</v>
      </c>
      <c r="X187" s="18">
        <v>19872.05</v>
      </c>
      <c r="Y187" s="4">
        <f>X187/W187-1</f>
        <v>1.476588866345296</v>
      </c>
      <c r="AA187" t="s">
        <v>395</v>
      </c>
    </row>
    <row r="188" spans="1:27" ht="14.25" customHeight="1">
      <c r="A188" t="s">
        <v>396</v>
      </c>
      <c r="B188" t="s">
        <v>397</v>
      </c>
      <c r="C188" s="28">
        <v>958</v>
      </c>
      <c r="E188" t="s">
        <v>397</v>
      </c>
      <c r="F188" s="28">
        <v>902</v>
      </c>
      <c r="G188" t="b">
        <f>IF(B188=E188,TRUE,FALSE)</f>
        <v>1</v>
      </c>
      <c r="J188" s="25">
        <f>F188-C188</f>
        <v>-56</v>
      </c>
      <c r="K188" s="4">
        <f>F188/C188-1</f>
        <v>-5.845511482254695E-2</v>
      </c>
      <c r="M188" s="5">
        <v>3026.73</v>
      </c>
      <c r="N188" s="5">
        <v>2559.46</v>
      </c>
      <c r="Q188" s="139">
        <v>23267.15</v>
      </c>
      <c r="U188" s="127">
        <f>N188-M188</f>
        <v>-467.27</v>
      </c>
      <c r="V188" s="4">
        <f>IF(M188=0,0,N188/M188-1)</f>
        <v>-0.15438113079131599</v>
      </c>
      <c r="W188" s="18">
        <v>22943.62</v>
      </c>
      <c r="X188" s="18">
        <v>21602.66</v>
      </c>
      <c r="Y188" s="4">
        <f>X188/W188-1</f>
        <v>-5.8445877328860862E-2</v>
      </c>
    </row>
    <row r="189" spans="1:27" ht="15" customHeight="1">
      <c r="A189" t="s">
        <v>398</v>
      </c>
      <c r="B189" t="s">
        <v>399</v>
      </c>
      <c r="C189" s="28">
        <v>0</v>
      </c>
      <c r="E189" t="s">
        <v>399</v>
      </c>
      <c r="F189" s="28">
        <v>896</v>
      </c>
      <c r="G189" t="b">
        <f>IF(B189=E189,TRUE,FALSE)</f>
        <v>1</v>
      </c>
      <c r="J189" s="25">
        <f>F189-C189</f>
        <v>896</v>
      </c>
      <c r="K189" s="4" t="e">
        <f>F189/C189-1</f>
        <v>#DIV/0!</v>
      </c>
      <c r="M189" s="5">
        <v>0</v>
      </c>
      <c r="N189" s="5">
        <v>650.66</v>
      </c>
      <c r="Q189" s="139">
        <v>2300.1799999999998</v>
      </c>
      <c r="V189" s="4"/>
      <c r="W189" s="18">
        <v>0</v>
      </c>
      <c r="X189" s="18">
        <v>9266.44</v>
      </c>
      <c r="Y189" s="4" t="e">
        <f>X189/W189-1</f>
        <v>#DIV/0!</v>
      </c>
    </row>
    <row r="190" spans="1:27" ht="15" customHeight="1">
      <c r="A190" t="s">
        <v>400</v>
      </c>
      <c r="B190" t="s">
        <v>401</v>
      </c>
      <c r="C190" s="28">
        <v>728</v>
      </c>
      <c r="E190" t="s">
        <v>401</v>
      </c>
      <c r="F190" s="28">
        <v>893</v>
      </c>
      <c r="G190" t="b">
        <f>IF(B190=E190,TRUE,FALSE)</f>
        <v>1</v>
      </c>
      <c r="J190" s="25">
        <f>F190-C190</f>
        <v>165</v>
      </c>
      <c r="K190" s="4">
        <f>F190/C190-1</f>
        <v>0.22664835164835173</v>
      </c>
      <c r="M190" s="5">
        <v>1225.8599999999999</v>
      </c>
      <c r="N190" s="5">
        <v>1190.75</v>
      </c>
      <c r="Q190" s="139">
        <v>8093.59</v>
      </c>
      <c r="U190" s="127">
        <f>N190-M190</f>
        <v>-35.1099999999999</v>
      </c>
      <c r="V190" s="4">
        <f>IF(M190=0,0,N190/M190-1)</f>
        <v>-2.8641117256456572E-2</v>
      </c>
      <c r="W190" s="18">
        <v>18890.82</v>
      </c>
      <c r="X190" s="18">
        <v>23169.45</v>
      </c>
      <c r="Y190" s="4">
        <f>X190/W190-1</f>
        <v>0.2264925503498525</v>
      </c>
    </row>
    <row r="191" spans="1:27" ht="15" customHeight="1">
      <c r="A191" t="s">
        <v>402</v>
      </c>
      <c r="B191" t="s">
        <v>403</v>
      </c>
      <c r="C191" s="28">
        <v>964</v>
      </c>
      <c r="E191" t="s">
        <v>403</v>
      </c>
      <c r="F191" s="28">
        <v>893</v>
      </c>
      <c r="G191" t="b">
        <f>IF(B191=E191,TRUE,FALSE)</f>
        <v>1</v>
      </c>
      <c r="J191" s="25">
        <f>F191-C191</f>
        <v>-71</v>
      </c>
      <c r="K191" s="4">
        <f>F191/C191-1</f>
        <v>-7.3651452282157637E-2</v>
      </c>
      <c r="M191" s="5">
        <v>1327.03</v>
      </c>
      <c r="N191" s="5">
        <v>1013.06</v>
      </c>
      <c r="Q191" s="139">
        <v>6501.06</v>
      </c>
      <c r="U191" s="127">
        <f>N191-M191</f>
        <v>-313.97000000000003</v>
      </c>
      <c r="V191" s="4">
        <f>IF(M191=0,0,N191/M191-1)</f>
        <v>-0.23659600762605215</v>
      </c>
      <c r="W191" s="18">
        <v>21158.04</v>
      </c>
      <c r="X191" s="18">
        <v>19598.05</v>
      </c>
      <c r="Y191" s="4">
        <f>X191/W191-1</f>
        <v>-7.3730364438293949E-2</v>
      </c>
    </row>
    <row r="192" spans="1:27" ht="15" customHeight="1">
      <c r="A192" s="54" t="s">
        <v>404</v>
      </c>
      <c r="B192" s="37" t="s">
        <v>405</v>
      </c>
      <c r="C192" s="28">
        <v>770</v>
      </c>
      <c r="E192" s="37" t="s">
        <v>405</v>
      </c>
      <c r="F192" s="28">
        <v>889</v>
      </c>
      <c r="G192" t="b">
        <f>IF(B192=E192,TRUE,FALSE)</f>
        <v>1</v>
      </c>
      <c r="J192" s="25">
        <f>F192-C192</f>
        <v>119</v>
      </c>
      <c r="K192" s="4">
        <f>F192/C192-1</f>
        <v>0.15454545454545454</v>
      </c>
      <c r="M192" s="5">
        <v>1384.15</v>
      </c>
      <c r="N192" s="5">
        <v>1292.8599999999999</v>
      </c>
      <c r="Q192" s="138">
        <v>6604.24</v>
      </c>
      <c r="U192" s="127">
        <f>N192-M192</f>
        <v>-91.290000000000191</v>
      </c>
      <c r="V192" s="4">
        <f>IF(M192=0,0,N192/M192-1)</f>
        <v>-6.5953834483256979E-2</v>
      </c>
      <c r="W192" s="18">
        <v>9215.68</v>
      </c>
      <c r="X192" s="18">
        <v>8880.2099999999991</v>
      </c>
      <c r="Y192" s="4">
        <f>X192/W192-1</f>
        <v>-3.6402088614188144E-2</v>
      </c>
    </row>
    <row r="193" spans="1:28" ht="15" customHeight="1">
      <c r="A193" s="37" t="s">
        <v>406</v>
      </c>
      <c r="B193" s="37" t="s">
        <v>407</v>
      </c>
      <c r="C193" s="28">
        <v>712</v>
      </c>
      <c r="E193" s="37" t="s">
        <v>407</v>
      </c>
      <c r="F193" s="28">
        <v>880</v>
      </c>
      <c r="G193" t="b">
        <f>IF(B193=E193,TRUE,FALSE)</f>
        <v>1</v>
      </c>
      <c r="J193" s="25">
        <f>F193-C193</f>
        <v>168</v>
      </c>
      <c r="K193" s="4">
        <f>F193/C193-1</f>
        <v>0.23595505617977519</v>
      </c>
      <c r="M193" s="5">
        <v>1382.94</v>
      </c>
      <c r="N193" s="5">
        <v>1374.25</v>
      </c>
      <c r="Q193" s="139">
        <v>7619.39</v>
      </c>
      <c r="U193" s="127">
        <f>N193-M193</f>
        <v>-8.6900000000000546</v>
      </c>
      <c r="V193" s="4">
        <f>IF(M193=0,0,N193/M193-1)</f>
        <v>-6.2837144055418737E-3</v>
      </c>
      <c r="W193" s="18">
        <v>8354.39</v>
      </c>
      <c r="X193" s="18">
        <v>8732.34</v>
      </c>
      <c r="Y193" s="4">
        <f>X193/W193-1</f>
        <v>4.5239688355463548E-2</v>
      </c>
    </row>
    <row r="194" spans="1:28" ht="15" customHeight="1">
      <c r="A194" s="54" t="s">
        <v>408</v>
      </c>
      <c r="B194" s="37" t="s">
        <v>409</v>
      </c>
      <c r="C194" s="28">
        <v>1447</v>
      </c>
      <c r="E194" s="37" t="s">
        <v>409</v>
      </c>
      <c r="F194" s="28">
        <v>877</v>
      </c>
      <c r="G194" t="b">
        <f>IF(B194=E194,TRUE,FALSE)</f>
        <v>1</v>
      </c>
      <c r="J194" s="25">
        <f>F194-C194</f>
        <v>-570</v>
      </c>
      <c r="K194" s="4">
        <f>F194/C194-1</f>
        <v>-0.3939184519695923</v>
      </c>
      <c r="M194" s="5">
        <v>2539.16</v>
      </c>
      <c r="N194" s="5">
        <v>1962.91</v>
      </c>
      <c r="Q194" s="138">
        <v>10228.209999999999</v>
      </c>
      <c r="U194" s="127">
        <f>N194-M194</f>
        <v>-576.24999999999977</v>
      </c>
      <c r="V194" s="4">
        <f>IF(M194=0,0,N194/M194-1)</f>
        <v>-0.22694513146079798</v>
      </c>
      <c r="W194" s="18">
        <v>29704</v>
      </c>
      <c r="X194" s="18">
        <v>20355.400000000001</v>
      </c>
      <c r="Y194" s="4">
        <f>X194/W194-1</f>
        <v>-0.31472528952329648</v>
      </c>
    </row>
    <row r="195" spans="1:28" ht="15" customHeight="1">
      <c r="A195" s="143" t="s">
        <v>410</v>
      </c>
      <c r="B195" s="143" t="s">
        <v>411</v>
      </c>
      <c r="C195" s="28">
        <v>373</v>
      </c>
      <c r="E195" s="143" t="s">
        <v>411</v>
      </c>
      <c r="F195" s="28">
        <v>875</v>
      </c>
      <c r="G195" t="b">
        <f>IF(B195=E195,TRUE,FALSE)</f>
        <v>1</v>
      </c>
      <c r="J195" s="25">
        <f>F195-C195</f>
        <v>502</v>
      </c>
      <c r="K195" s="4">
        <f>F195/C195-1</f>
        <v>1.3458445040214477</v>
      </c>
      <c r="M195" s="5">
        <v>624.28</v>
      </c>
      <c r="N195" s="5">
        <v>1679.27</v>
      </c>
      <c r="Q195" s="138">
        <v>14149.27</v>
      </c>
      <c r="U195" s="127">
        <f>N195-M195</f>
        <v>1054.99</v>
      </c>
      <c r="V195" s="4">
        <f>IF(M195=0,0,N195/M195-1)</f>
        <v>1.6899308002819247</v>
      </c>
      <c r="W195" s="18">
        <v>11107.52</v>
      </c>
      <c r="X195" s="18">
        <v>24882.07</v>
      </c>
      <c r="Y195" s="4">
        <f>X195/W195-1</f>
        <v>1.2401103036501397</v>
      </c>
      <c r="AA195" t="s">
        <v>412</v>
      </c>
    </row>
    <row r="196" spans="1:28" ht="15" customHeight="1">
      <c r="A196" s="54" t="s">
        <v>413</v>
      </c>
      <c r="B196" s="37" t="s">
        <v>414</v>
      </c>
      <c r="C196" s="28">
        <v>1497</v>
      </c>
      <c r="E196" s="37" t="s">
        <v>414</v>
      </c>
      <c r="F196" s="28">
        <v>872</v>
      </c>
      <c r="G196" t="b">
        <f>IF(B196=E196,TRUE,FALSE)</f>
        <v>1</v>
      </c>
      <c r="J196" s="25">
        <f>F196-C196</f>
        <v>-625</v>
      </c>
      <c r="K196" s="4">
        <f>F196/C196-1</f>
        <v>-0.41750167000668004</v>
      </c>
      <c r="M196" s="5">
        <v>2855.65</v>
      </c>
      <c r="N196" s="5">
        <v>1330.92</v>
      </c>
      <c r="Q196" s="138">
        <v>8005.38</v>
      </c>
      <c r="U196" s="127">
        <f>N196-M196</f>
        <v>-1524.73</v>
      </c>
      <c r="V196" s="4">
        <f>IF(M196=0,0,N196/M196-1)</f>
        <v>-0.53393448076620031</v>
      </c>
      <c r="W196" s="18">
        <v>40478.78</v>
      </c>
      <c r="X196" s="18">
        <v>26095.4</v>
      </c>
      <c r="Y196" s="4">
        <f>X196/W196-1</f>
        <v>-0.35533136127126352</v>
      </c>
    </row>
    <row r="197" spans="1:28" ht="15" customHeight="1">
      <c r="A197" t="s">
        <v>415</v>
      </c>
      <c r="B197" t="s">
        <v>416</v>
      </c>
      <c r="C197" s="28">
        <v>852</v>
      </c>
      <c r="E197" t="s">
        <v>416</v>
      </c>
      <c r="F197" s="28">
        <v>860</v>
      </c>
      <c r="G197" t="b">
        <f>IF(B197=E197,TRUE,FALSE)</f>
        <v>1</v>
      </c>
      <c r="J197" s="25">
        <f>F197-C197</f>
        <v>8</v>
      </c>
      <c r="K197" s="4">
        <f>F197/C197-1</f>
        <v>9.3896713615022609E-3</v>
      </c>
      <c r="M197" s="5">
        <v>1412.69</v>
      </c>
      <c r="N197" s="5">
        <v>1445.77</v>
      </c>
      <c r="Q197" s="139">
        <v>10241.33</v>
      </c>
      <c r="U197" s="127">
        <f>N197-M197</f>
        <v>33.079999999999927</v>
      </c>
      <c r="V197" s="4">
        <f>IF(M197=0,0,N197/M197-1)</f>
        <v>2.3416319220777249E-2</v>
      </c>
      <c r="W197" s="18">
        <v>20437.560000000001</v>
      </c>
      <c r="X197" s="18">
        <v>20628.28</v>
      </c>
      <c r="Y197" s="4">
        <f>X197/W197-1</f>
        <v>9.331838047203167E-3</v>
      </c>
    </row>
    <row r="198" spans="1:28" ht="15" customHeight="1">
      <c r="A198" t="s">
        <v>417</v>
      </c>
      <c r="B198" t="s">
        <v>418</v>
      </c>
      <c r="C198" s="28">
        <v>979</v>
      </c>
      <c r="E198" t="s">
        <v>418</v>
      </c>
      <c r="F198" s="28">
        <v>853</v>
      </c>
      <c r="G198" t="b">
        <f>IF(B198=E198,TRUE,FALSE)</f>
        <v>1</v>
      </c>
      <c r="J198" s="25">
        <f>F198-C198</f>
        <v>-126</v>
      </c>
      <c r="K198" s="4">
        <f>F198/C198-1</f>
        <v>-0.12870275791624108</v>
      </c>
      <c r="M198" s="5">
        <v>1554.52</v>
      </c>
      <c r="N198" s="5">
        <v>1382.39</v>
      </c>
      <c r="Q198" s="139">
        <v>9497.52</v>
      </c>
      <c r="U198" s="127">
        <f>N198-M198</f>
        <v>-172.12999999999988</v>
      </c>
      <c r="V198" s="4">
        <f>IF(M198=0,0,N198/M198-1)</f>
        <v>-0.1107287136865398</v>
      </c>
      <c r="W198" s="18">
        <v>31310.85</v>
      </c>
      <c r="X198" s="18">
        <v>27278.510000000002</v>
      </c>
      <c r="Y198" s="4">
        <f>X198/W198-1</f>
        <v>-0.12878411157793535</v>
      </c>
    </row>
    <row r="199" spans="1:28" ht="15" customHeight="1">
      <c r="A199" t="s">
        <v>419</v>
      </c>
      <c r="B199" t="s">
        <v>420</v>
      </c>
      <c r="C199" s="28">
        <v>857</v>
      </c>
      <c r="E199" t="s">
        <v>420</v>
      </c>
      <c r="F199" s="28">
        <v>820</v>
      </c>
      <c r="G199" t="b">
        <f>IF(B199=E199,TRUE,FALSE)</f>
        <v>1</v>
      </c>
      <c r="J199" s="25">
        <f>F199-C199</f>
        <v>-37</v>
      </c>
      <c r="K199" s="4">
        <f>F199/C199-1</f>
        <v>-4.3173862310385114E-2</v>
      </c>
      <c r="M199" s="5">
        <v>870.45</v>
      </c>
      <c r="N199" s="5">
        <v>575.41999999999996</v>
      </c>
      <c r="Q199" s="139">
        <v>3452.17</v>
      </c>
      <c r="U199" s="127">
        <f>N199-M199</f>
        <v>-295.03000000000009</v>
      </c>
      <c r="V199" s="4">
        <f>IF(M199=0,0,N199/M199-1)</f>
        <v>-0.33893962892756624</v>
      </c>
      <c r="W199" s="18">
        <v>23087.51</v>
      </c>
      <c r="X199" s="18">
        <v>22096.03</v>
      </c>
      <c r="Y199" s="4">
        <f>X199/W199-1</f>
        <v>-4.2944431859477272E-2</v>
      </c>
    </row>
    <row r="200" spans="1:28" ht="15" customHeight="1">
      <c r="A200" t="s">
        <v>421</v>
      </c>
      <c r="B200" t="s">
        <v>422</v>
      </c>
      <c r="C200" s="28">
        <v>0</v>
      </c>
      <c r="E200" t="s">
        <v>422</v>
      </c>
      <c r="F200" s="28">
        <v>818</v>
      </c>
      <c r="G200" t="b">
        <f>IF(B200=E200,TRUE,FALSE)</f>
        <v>1</v>
      </c>
      <c r="J200" s="25">
        <f>F200-C200</f>
        <v>818</v>
      </c>
      <c r="K200" s="4" t="e">
        <f>F200/C200-1</f>
        <v>#DIV/0!</v>
      </c>
      <c r="M200" s="5">
        <v>0</v>
      </c>
      <c r="N200" s="5">
        <v>969.07</v>
      </c>
      <c r="Q200" s="139">
        <v>7995.94</v>
      </c>
      <c r="V200" s="4"/>
      <c r="W200" s="18">
        <v>0</v>
      </c>
      <c r="X200" s="18">
        <v>18087.29</v>
      </c>
      <c r="Y200" s="4" t="e">
        <f>X200/W200-1</f>
        <v>#DIV/0!</v>
      </c>
    </row>
    <row r="201" spans="1:28" ht="15" customHeight="1">
      <c r="A201" t="s">
        <v>423</v>
      </c>
      <c r="B201" t="s">
        <v>424</v>
      </c>
      <c r="C201" s="28">
        <v>1167</v>
      </c>
      <c r="E201" t="s">
        <v>424</v>
      </c>
      <c r="F201" s="28">
        <v>818</v>
      </c>
      <c r="G201" t="b">
        <f>IF(B201=E201,TRUE,FALSE)</f>
        <v>1</v>
      </c>
      <c r="J201" s="25">
        <f>F201-C201</f>
        <v>-349</v>
      </c>
      <c r="K201" s="4">
        <f>F201/C201-1</f>
        <v>-0.29905741216795201</v>
      </c>
      <c r="M201" s="5">
        <v>1915.31</v>
      </c>
      <c r="N201" s="5">
        <v>1112.03</v>
      </c>
      <c r="Q201" s="139">
        <v>6076.19</v>
      </c>
      <c r="U201" s="127">
        <f>N201-M201</f>
        <v>-803.28</v>
      </c>
      <c r="V201" s="4">
        <f>IF(M201=0,0,N201/M201-1)</f>
        <v>-0.41939947058178573</v>
      </c>
      <c r="W201" s="18">
        <v>24917.58</v>
      </c>
      <c r="X201" s="18">
        <v>19192.82</v>
      </c>
      <c r="Y201" s="4">
        <f>X201/W201-1</f>
        <v>-0.22974783265469612</v>
      </c>
      <c r="AB201" t="s">
        <v>425</v>
      </c>
    </row>
    <row r="202" spans="1:28" ht="15" customHeight="1">
      <c r="A202" t="s">
        <v>426</v>
      </c>
      <c r="B202" t="s">
        <v>427</v>
      </c>
      <c r="C202" s="28">
        <v>772</v>
      </c>
      <c r="E202" t="s">
        <v>427</v>
      </c>
      <c r="F202" s="28">
        <v>815</v>
      </c>
      <c r="G202" t="b">
        <f>IF(B202=E202,TRUE,FALSE)</f>
        <v>1</v>
      </c>
      <c r="J202" s="25">
        <f>F202-C202</f>
        <v>43</v>
      </c>
      <c r="K202" s="4">
        <f>F202/C202-1</f>
        <v>5.569948186528495E-2</v>
      </c>
      <c r="M202" s="5">
        <v>1298.68</v>
      </c>
      <c r="N202" s="5">
        <v>1104.93</v>
      </c>
      <c r="Q202" s="139">
        <v>7796.75</v>
      </c>
      <c r="U202" s="127">
        <f>N202-M202</f>
        <v>-193.75</v>
      </c>
      <c r="V202" s="4">
        <f>IF(M202=0,0,N202/M202-1)</f>
        <v>-0.14918994671512609</v>
      </c>
      <c r="W202" s="18">
        <v>23151.08</v>
      </c>
      <c r="X202" s="18">
        <v>24438.85</v>
      </c>
      <c r="Y202" s="4">
        <f>X202/W202-1</f>
        <v>5.5624618808280069E-2</v>
      </c>
    </row>
    <row r="203" spans="1:28" ht="15" customHeight="1">
      <c r="A203" t="s">
        <v>428</v>
      </c>
      <c r="B203" t="s">
        <v>429</v>
      </c>
      <c r="C203" s="28">
        <v>809</v>
      </c>
      <c r="E203" t="s">
        <v>429</v>
      </c>
      <c r="F203" s="28">
        <v>815</v>
      </c>
      <c r="G203" t="b">
        <f>IF(B203=E203,TRUE,FALSE)</f>
        <v>1</v>
      </c>
      <c r="J203" s="25">
        <f>F203-C203</f>
        <v>6</v>
      </c>
      <c r="K203" s="4">
        <f>F203/C203-1</f>
        <v>7.4165636588381378E-3</v>
      </c>
      <c r="M203" s="5">
        <v>576.04999999999995</v>
      </c>
      <c r="N203" s="5">
        <v>489.07</v>
      </c>
      <c r="Q203" s="139">
        <v>4252.7</v>
      </c>
      <c r="U203" s="127">
        <f>N203-M203</f>
        <v>-86.979999999999961</v>
      </c>
      <c r="V203" s="4">
        <f>IF(M203=0,0,N203/M203-1)</f>
        <v>-0.15099383734050853</v>
      </c>
      <c r="W203" s="18">
        <v>24220.55</v>
      </c>
      <c r="X203" s="18">
        <v>24402.35</v>
      </c>
      <c r="Y203" s="4">
        <f>X203/W203-1</f>
        <v>7.5060227781780231E-3</v>
      </c>
    </row>
    <row r="204" spans="1:28" ht="15" customHeight="1">
      <c r="A204" t="s">
        <v>430</v>
      </c>
      <c r="B204" t="s">
        <v>431</v>
      </c>
      <c r="C204" s="28">
        <v>0</v>
      </c>
      <c r="E204" t="s">
        <v>431</v>
      </c>
      <c r="F204" s="28">
        <v>801</v>
      </c>
      <c r="G204" t="b">
        <f>IF(B204=E204,TRUE,FALSE)</f>
        <v>1</v>
      </c>
      <c r="J204" s="25">
        <f>F204-C204</f>
        <v>801</v>
      </c>
      <c r="K204" s="4" t="e">
        <f>F204/C204-1</f>
        <v>#DIV/0!</v>
      </c>
      <c r="M204" s="5">
        <v>0</v>
      </c>
      <c r="N204" s="5">
        <v>524.53</v>
      </c>
      <c r="Q204" s="139">
        <v>3730.22</v>
      </c>
      <c r="V204" s="4"/>
      <c r="W204" s="18">
        <v>0</v>
      </c>
      <c r="X204" s="18">
        <v>32027.59</v>
      </c>
      <c r="Y204" s="4" t="e">
        <f>X204/W204-1</f>
        <v>#DIV/0!</v>
      </c>
    </row>
    <row r="205" spans="1:28" ht="15" customHeight="1">
      <c r="A205" s="54" t="s">
        <v>432</v>
      </c>
      <c r="B205" s="37" t="s">
        <v>433</v>
      </c>
      <c r="C205" s="28">
        <v>1336</v>
      </c>
      <c r="E205" s="37" t="s">
        <v>433</v>
      </c>
      <c r="F205" s="28">
        <v>797</v>
      </c>
      <c r="G205" t="b">
        <f>IF(B205=E205,TRUE,FALSE)</f>
        <v>1</v>
      </c>
      <c r="J205" s="25">
        <f>F205-C205</f>
        <v>-539</v>
      </c>
      <c r="K205" s="4">
        <f>F205/C205-1</f>
        <v>-0.40344311377245512</v>
      </c>
      <c r="M205" s="5">
        <v>1584.5</v>
      </c>
      <c r="N205" s="5">
        <v>1848.16</v>
      </c>
      <c r="Q205" s="138">
        <v>9226.7900000000009</v>
      </c>
      <c r="U205" s="127">
        <f>N205-M205</f>
        <v>263.66000000000008</v>
      </c>
      <c r="V205" s="4">
        <f>IF(M205=0,0,N205/M205-1)</f>
        <v>0.1663994951088672</v>
      </c>
      <c r="W205" s="18">
        <v>27821.34</v>
      </c>
      <c r="X205" s="18">
        <v>19914.78</v>
      </c>
      <c r="Y205" s="4">
        <f>X205/W205-1</f>
        <v>-0.28419048111988854</v>
      </c>
    </row>
    <row r="206" spans="1:28" ht="15" customHeight="1">
      <c r="A206" t="s">
        <v>434</v>
      </c>
      <c r="B206" t="s">
        <v>435</v>
      </c>
      <c r="C206" s="28">
        <v>0</v>
      </c>
      <c r="E206" t="s">
        <v>435</v>
      </c>
      <c r="F206" s="28">
        <v>793</v>
      </c>
      <c r="G206" t="b">
        <f>IF(B206=E206,TRUE,FALSE)</f>
        <v>1</v>
      </c>
      <c r="J206" s="25">
        <f>F206-C206</f>
        <v>793</v>
      </c>
      <c r="K206" s="4" t="e">
        <f>F206/C206-1</f>
        <v>#DIV/0!</v>
      </c>
      <c r="M206" s="5">
        <v>0</v>
      </c>
      <c r="N206" s="5">
        <v>1131.82</v>
      </c>
      <c r="Q206" s="139">
        <v>7329.7</v>
      </c>
      <c r="V206" s="4"/>
      <c r="W206" s="18">
        <v>0</v>
      </c>
      <c r="X206" s="18">
        <v>18996.72</v>
      </c>
      <c r="Y206" s="4" t="e">
        <f>X206/W206-1</f>
        <v>#DIV/0!</v>
      </c>
    </row>
    <row r="207" spans="1:28" ht="15" customHeight="1">
      <c r="A207" t="s">
        <v>436</v>
      </c>
      <c r="B207" t="s">
        <v>437</v>
      </c>
      <c r="C207" s="28">
        <v>925</v>
      </c>
      <c r="E207" t="s">
        <v>437</v>
      </c>
      <c r="F207" s="28">
        <v>791</v>
      </c>
      <c r="G207" t="b">
        <f>IF(B207=E207,TRUE,FALSE)</f>
        <v>1</v>
      </c>
      <c r="J207" s="25">
        <f>F207-C207</f>
        <v>-134</v>
      </c>
      <c r="K207" s="4">
        <f>F207/C207-1</f>
        <v>-0.14486486486486483</v>
      </c>
      <c r="M207" s="5">
        <v>913.15</v>
      </c>
      <c r="N207" s="5">
        <v>670.99</v>
      </c>
      <c r="Q207" s="139">
        <v>5219.91</v>
      </c>
      <c r="U207" s="127">
        <f>N207-M207</f>
        <v>-242.15999999999997</v>
      </c>
      <c r="V207" s="4">
        <f>IF(M207=0,0,N207/M207-1)</f>
        <v>-0.26519191808574716</v>
      </c>
      <c r="W207" s="18">
        <v>26461.72</v>
      </c>
      <c r="X207" s="18">
        <v>23687.45</v>
      </c>
      <c r="Y207" s="4">
        <f>X207/W207-1</f>
        <v>-0.1048408795800122</v>
      </c>
    </row>
    <row r="208" spans="1:28" ht="15" customHeight="1">
      <c r="A208" s="54" t="s">
        <v>438</v>
      </c>
      <c r="B208" s="37" t="s">
        <v>439</v>
      </c>
      <c r="C208" s="19">
        <v>2120</v>
      </c>
      <c r="E208" s="37" t="s">
        <v>439</v>
      </c>
      <c r="F208" s="19">
        <v>790</v>
      </c>
      <c r="G208" t="b">
        <f>IF(B208=E208,TRUE,FALSE)</f>
        <v>1</v>
      </c>
      <c r="J208" s="25">
        <f>F208-C208</f>
        <v>-1330</v>
      </c>
      <c r="K208" s="4">
        <f>F208/C208-1</f>
        <v>-0.62735849056603776</v>
      </c>
      <c r="M208" s="5">
        <v>2911.19</v>
      </c>
      <c r="N208" s="5">
        <v>1492.59</v>
      </c>
      <c r="Q208" s="138">
        <v>8785.36</v>
      </c>
      <c r="U208" s="127">
        <f>N208-M208</f>
        <v>-1418.6000000000001</v>
      </c>
      <c r="V208" s="4">
        <f>IF(M208=0,0,N208/M208-1)</f>
        <v>-0.4872921382664821</v>
      </c>
      <c r="W208">
        <v>29960.799999999999</v>
      </c>
      <c r="X208">
        <v>17223.04</v>
      </c>
      <c r="Y208" s="4">
        <f>X208/W208-1</f>
        <v>-0.42514752610077167</v>
      </c>
    </row>
    <row r="209" spans="1:28" ht="15" customHeight="1">
      <c r="A209" t="s">
        <v>440</v>
      </c>
      <c r="B209" t="s">
        <v>441</v>
      </c>
      <c r="C209" s="28">
        <v>920</v>
      </c>
      <c r="E209" t="s">
        <v>441</v>
      </c>
      <c r="F209" s="28">
        <v>789</v>
      </c>
      <c r="G209" t="b">
        <f>IF(B209=E209,TRUE,FALSE)</f>
        <v>1</v>
      </c>
      <c r="J209" s="25">
        <f>F209-C209</f>
        <v>-131</v>
      </c>
      <c r="K209" s="4">
        <f>F209/C209-1</f>
        <v>-0.1423913043478261</v>
      </c>
      <c r="M209" s="5">
        <v>1182.79</v>
      </c>
      <c r="N209" s="5">
        <v>882.03</v>
      </c>
      <c r="Q209" s="139">
        <v>4822.05</v>
      </c>
      <c r="U209" s="127">
        <f>N209-M209</f>
        <v>-300.76</v>
      </c>
      <c r="V209" s="4">
        <f>IF(M209=0,0,N209/M209-1)</f>
        <v>-0.25428013425882867</v>
      </c>
      <c r="W209" s="18">
        <v>14514.25</v>
      </c>
      <c r="X209" s="18">
        <v>13052.64</v>
      </c>
      <c r="Y209" s="4">
        <f>X209/W209-1</f>
        <v>-0.10070172416762846</v>
      </c>
    </row>
    <row r="210" spans="1:28" ht="15" customHeight="1">
      <c r="A210" s="37" t="s">
        <v>442</v>
      </c>
      <c r="B210" s="37" t="s">
        <v>443</v>
      </c>
      <c r="C210" s="28">
        <v>1543</v>
      </c>
      <c r="E210" s="37" t="s">
        <v>443</v>
      </c>
      <c r="F210" s="28">
        <v>782</v>
      </c>
      <c r="G210" t="b">
        <f>IF(B210=E210,TRUE,FALSE)</f>
        <v>1</v>
      </c>
      <c r="J210" s="25">
        <f>F210-C210</f>
        <v>-761</v>
      </c>
      <c r="K210" s="4">
        <f>F210/C210-1</f>
        <v>-0.49319507453013611</v>
      </c>
      <c r="M210" s="5">
        <v>2166.14</v>
      </c>
      <c r="N210" s="5">
        <v>1723.89</v>
      </c>
      <c r="Q210" s="139">
        <v>9297.89</v>
      </c>
      <c r="U210" s="127">
        <f>N210-M210</f>
        <v>-442.24999999999977</v>
      </c>
      <c r="V210" s="4">
        <f>IF(M210=0,0,N210/M210-1)</f>
        <v>-0.20416501241840312</v>
      </c>
      <c r="W210" s="18">
        <v>26469.37</v>
      </c>
      <c r="X210" s="18">
        <v>15630.98</v>
      </c>
      <c r="Y210" s="4">
        <f>X210/W210-1</f>
        <v>-0.40946913356834713</v>
      </c>
      <c r="AB210" t="s">
        <v>444</v>
      </c>
    </row>
    <row r="211" spans="1:28" ht="15" customHeight="1">
      <c r="A211" s="37" t="s">
        <v>445</v>
      </c>
      <c r="B211" s="37" t="s">
        <v>446</v>
      </c>
      <c r="C211" s="28">
        <v>482</v>
      </c>
      <c r="E211" s="37" t="s">
        <v>446</v>
      </c>
      <c r="F211" s="28">
        <v>774</v>
      </c>
      <c r="G211" t="b">
        <f>IF(B211=E211,TRUE,FALSE)</f>
        <v>1</v>
      </c>
      <c r="J211" s="25">
        <f>F211-C211</f>
        <v>292</v>
      </c>
      <c r="K211" s="4">
        <f>F211/C211-1</f>
        <v>0.60580912863070546</v>
      </c>
      <c r="M211" s="5">
        <v>966.78</v>
      </c>
      <c r="N211" s="5">
        <v>1670.93</v>
      </c>
      <c r="Q211" s="139">
        <v>7081.15</v>
      </c>
      <c r="U211" s="127">
        <f>N211-M211</f>
        <v>704.15000000000009</v>
      </c>
      <c r="V211" s="4">
        <f>IF(M211=0,0,N211/M211-1)</f>
        <v>0.7283456422350485</v>
      </c>
      <c r="W211" s="18">
        <v>6196.6</v>
      </c>
      <c r="X211" s="18">
        <v>7731.76</v>
      </c>
      <c r="Y211" s="4">
        <f>X211/W211-1</f>
        <v>0.24774231029919624</v>
      </c>
    </row>
    <row r="212" spans="1:28" ht="15" customHeight="1">
      <c r="A212" s="54" t="s">
        <v>447</v>
      </c>
      <c r="B212" s="37" t="s">
        <v>448</v>
      </c>
      <c r="C212" s="28">
        <v>762</v>
      </c>
      <c r="E212" s="37" t="s">
        <v>448</v>
      </c>
      <c r="F212" s="28">
        <v>764</v>
      </c>
      <c r="G212" t="b">
        <f>IF(B212=E212,TRUE,FALSE)</f>
        <v>1</v>
      </c>
      <c r="J212" s="25">
        <f>F212-C212</f>
        <v>2</v>
      </c>
      <c r="K212" s="4">
        <f>F212/C212-1</f>
        <v>2.624671916010568E-3</v>
      </c>
      <c r="M212" s="5">
        <v>228.86</v>
      </c>
      <c r="N212" s="5">
        <v>281.48</v>
      </c>
      <c r="Q212" s="138">
        <v>2077.92</v>
      </c>
      <c r="U212" s="127">
        <f>N212-M212</f>
        <v>52.620000000000005</v>
      </c>
      <c r="V212" s="4">
        <f>IF(M212=0,0,N212/M212-1)</f>
        <v>0.22992222319321853</v>
      </c>
      <c r="W212" s="18">
        <v>30471.58</v>
      </c>
      <c r="X212" s="18">
        <v>30549.96</v>
      </c>
      <c r="Y212" s="4"/>
    </row>
    <row r="213" spans="1:28" ht="15" customHeight="1">
      <c r="A213" t="s">
        <v>449</v>
      </c>
      <c r="B213" t="s">
        <v>450</v>
      </c>
      <c r="C213" s="28">
        <v>852</v>
      </c>
      <c r="E213" t="s">
        <v>450</v>
      </c>
      <c r="F213" s="28">
        <v>760</v>
      </c>
      <c r="G213" t="b">
        <f>IF(B213=E213,TRUE,FALSE)</f>
        <v>1</v>
      </c>
      <c r="J213" s="25">
        <f>F213-C213</f>
        <v>-92</v>
      </c>
      <c r="K213" s="4">
        <f>F213/C213-1</f>
        <v>-0.107981220657277</v>
      </c>
      <c r="M213" s="5">
        <v>1415.26</v>
      </c>
      <c r="N213" s="5">
        <v>1522.27</v>
      </c>
      <c r="Q213" s="139">
        <v>10077.1</v>
      </c>
      <c r="U213" s="127">
        <f>N213-M213</f>
        <v>107.00999999999999</v>
      </c>
      <c r="V213" s="4">
        <f>IF(M213=0,0,N213/M213-1)</f>
        <v>7.5611548408066387E-2</v>
      </c>
      <c r="W213" s="18">
        <v>23876.17</v>
      </c>
      <c r="X213" s="18">
        <v>22025.439999999999</v>
      </c>
      <c r="Y213" s="4">
        <f>X213/W213-1</f>
        <v>-7.7513688334435504E-2</v>
      </c>
    </row>
    <row r="214" spans="1:28" ht="15" customHeight="1">
      <c r="A214" t="s">
        <v>451</v>
      </c>
      <c r="B214" t="s">
        <v>452</v>
      </c>
      <c r="C214" s="28">
        <v>2775</v>
      </c>
      <c r="E214" t="s">
        <v>452</v>
      </c>
      <c r="F214" s="28">
        <v>759</v>
      </c>
      <c r="G214" t="b">
        <f>IF(B214=E214,TRUE,FALSE)</f>
        <v>1</v>
      </c>
      <c r="J214" s="25">
        <f>F214-C214</f>
        <v>-2016</v>
      </c>
      <c r="K214" s="4">
        <f>F214/C214-1</f>
        <v>-0.7264864864864865</v>
      </c>
      <c r="M214" s="5">
        <v>689.02</v>
      </c>
      <c r="N214" s="5">
        <v>369.35</v>
      </c>
      <c r="Q214" s="139">
        <v>3975.3</v>
      </c>
      <c r="U214" s="127">
        <f>N214-M214</f>
        <v>-319.66999999999996</v>
      </c>
      <c r="V214" s="4">
        <f>IF(M214=0,0,N214/M214-1)</f>
        <v>-0.46394879684189139</v>
      </c>
      <c r="W214" s="18">
        <v>106215.72</v>
      </c>
      <c r="X214" s="18">
        <v>31019.03</v>
      </c>
      <c r="Y214" s="4">
        <f>X214/W214-1</f>
        <v>-0.70796196645844889</v>
      </c>
    </row>
    <row r="215" spans="1:28" ht="15" customHeight="1">
      <c r="A215" t="s">
        <v>453</v>
      </c>
      <c r="B215" t="s">
        <v>454</v>
      </c>
      <c r="C215" s="28">
        <v>943</v>
      </c>
      <c r="E215" t="s">
        <v>454</v>
      </c>
      <c r="F215" s="28">
        <v>755</v>
      </c>
      <c r="G215" t="b">
        <f>IF(B215=E215,TRUE,FALSE)</f>
        <v>1</v>
      </c>
      <c r="J215" s="25">
        <f>F215-C215</f>
        <v>-188</v>
      </c>
      <c r="K215" s="4">
        <f>F215/C215-1</f>
        <v>-0.19936373276776242</v>
      </c>
      <c r="M215" s="5">
        <v>1572.36</v>
      </c>
      <c r="N215" s="5">
        <v>1970.32</v>
      </c>
      <c r="Q215" s="139">
        <v>10321.23</v>
      </c>
      <c r="U215" s="127">
        <f>N215-M215</f>
        <v>397.96000000000004</v>
      </c>
      <c r="V215" s="4">
        <f>IF(M215=0,0,N215/M215-1)</f>
        <v>0.25309725508153358</v>
      </c>
      <c r="W215" s="18">
        <v>32520.6</v>
      </c>
      <c r="X215" s="18">
        <v>27925.23</v>
      </c>
      <c r="Y215" s="4">
        <f>X215/W215-1</f>
        <v>-0.1413064334606372</v>
      </c>
    </row>
    <row r="216" spans="1:28" ht="15" customHeight="1">
      <c r="A216" s="54" t="s">
        <v>455</v>
      </c>
      <c r="B216" s="37" t="s">
        <v>456</v>
      </c>
      <c r="C216" s="28">
        <v>977</v>
      </c>
      <c r="E216" s="37" t="s">
        <v>456</v>
      </c>
      <c r="F216" s="28">
        <v>751</v>
      </c>
      <c r="G216" t="b">
        <f>IF(B216=E216,TRUE,FALSE)</f>
        <v>1</v>
      </c>
      <c r="J216" s="25">
        <f>F216-C216</f>
        <v>-226</v>
      </c>
      <c r="K216" s="4">
        <f>F216/C216-1</f>
        <v>-0.23132036847492321</v>
      </c>
      <c r="M216" s="5">
        <v>1670.6</v>
      </c>
      <c r="N216" s="5">
        <v>1914.59</v>
      </c>
      <c r="Q216" s="138">
        <v>10742.98</v>
      </c>
      <c r="U216" s="127">
        <f>N216-M216</f>
        <v>243.99</v>
      </c>
      <c r="V216" s="4">
        <f>IF(M216=0,0,N216/M216-1)</f>
        <v>0.14604932359631273</v>
      </c>
      <c r="W216" s="18">
        <v>21061.53</v>
      </c>
      <c r="X216" s="18">
        <v>21768.85</v>
      </c>
      <c r="Y216" s="4"/>
    </row>
    <row r="217" spans="1:28" ht="15" customHeight="1">
      <c r="A217" t="s">
        <v>457</v>
      </c>
      <c r="B217" t="s">
        <v>458</v>
      </c>
      <c r="C217" s="28">
        <v>941</v>
      </c>
      <c r="E217" t="s">
        <v>458</v>
      </c>
      <c r="F217" s="28">
        <v>749</v>
      </c>
      <c r="G217" t="b">
        <f>IF(B217=E217,TRUE,FALSE)</f>
        <v>1</v>
      </c>
      <c r="J217" s="25">
        <f>F217-C217</f>
        <v>-192</v>
      </c>
      <c r="K217" s="4">
        <f>F217/C217-1</f>
        <v>-0.20403825717321999</v>
      </c>
      <c r="M217" s="5">
        <v>1354.41</v>
      </c>
      <c r="N217" s="5">
        <v>977.2</v>
      </c>
      <c r="Q217" s="139">
        <v>7349.31</v>
      </c>
      <c r="U217" s="127">
        <f>N217-M217</f>
        <v>-377.21000000000004</v>
      </c>
      <c r="V217" s="4">
        <f>IF(M217=0,0,N217/M217-1)</f>
        <v>-0.27850503171122487</v>
      </c>
      <c r="W217" s="18">
        <v>28178.75</v>
      </c>
      <c r="X217" s="18">
        <v>22428.05</v>
      </c>
      <c r="Y217" s="4">
        <f>X217/W217-1</f>
        <v>-0.20407931508672317</v>
      </c>
    </row>
    <row r="218" spans="1:28" ht="15" customHeight="1">
      <c r="A218" s="54" t="s">
        <v>459</v>
      </c>
      <c r="B218" s="37" t="s">
        <v>460</v>
      </c>
      <c r="C218" s="19">
        <v>733</v>
      </c>
      <c r="E218" s="37" t="s">
        <v>460</v>
      </c>
      <c r="F218" s="19">
        <v>748</v>
      </c>
      <c r="G218" t="b">
        <f>IF(B218=E218,TRUE,FALSE)</f>
        <v>1</v>
      </c>
      <c r="J218" s="25">
        <f>F218-C218</f>
        <v>15</v>
      </c>
      <c r="K218" s="4">
        <f>F218/C218-1</f>
        <v>2.0463847203274321E-2</v>
      </c>
      <c r="M218" s="5">
        <v>523.13</v>
      </c>
      <c r="N218" s="5">
        <v>1085.7</v>
      </c>
      <c r="Q218" s="138">
        <v>6508.52</v>
      </c>
      <c r="U218" s="127">
        <f>N218-M218</f>
        <v>562.57000000000005</v>
      </c>
      <c r="V218" s="4">
        <f>IF(M218=0,0,N218/M218-1)</f>
        <v>1.075392349893908</v>
      </c>
      <c r="W218">
        <v>13697.27</v>
      </c>
      <c r="X218">
        <v>14934.52</v>
      </c>
      <c r="Y218" s="4">
        <f>X218/W218-1</f>
        <v>9.0328218688833672E-2</v>
      </c>
    </row>
    <row r="219" spans="1:28" ht="15" customHeight="1">
      <c r="A219" t="s">
        <v>461</v>
      </c>
      <c r="B219" t="s">
        <v>462</v>
      </c>
      <c r="C219" s="28">
        <v>756</v>
      </c>
      <c r="E219" t="s">
        <v>462</v>
      </c>
      <c r="F219" s="28">
        <v>744</v>
      </c>
      <c r="G219" t="b">
        <f>IF(B219=E219,TRUE,FALSE)</f>
        <v>1</v>
      </c>
      <c r="J219" s="25">
        <f>F219-C219</f>
        <v>-12</v>
      </c>
      <c r="K219" s="4">
        <f>F219/C219-1</f>
        <v>-1.5873015873015928E-2</v>
      </c>
      <c r="M219" s="5">
        <v>892.13</v>
      </c>
      <c r="N219" s="5">
        <v>730.1</v>
      </c>
      <c r="Q219" s="139">
        <v>5156.4399999999996</v>
      </c>
      <c r="U219" s="127">
        <f>N219-M219</f>
        <v>-162.02999999999997</v>
      </c>
      <c r="V219" s="4">
        <f>IF(M219=0,0,N219/M219-1)</f>
        <v>-0.18162151255982872</v>
      </c>
      <c r="W219" s="18">
        <v>22638.3</v>
      </c>
      <c r="X219" s="18">
        <v>22278.9</v>
      </c>
      <c r="Y219" s="4">
        <f>X219/W219-1</f>
        <v>-1.5875750387617349E-2</v>
      </c>
    </row>
    <row r="220" spans="1:28" ht="15" customHeight="1">
      <c r="A220" s="54" t="s">
        <v>463</v>
      </c>
      <c r="B220" s="37" t="s">
        <v>464</v>
      </c>
      <c r="C220" s="28">
        <v>1942</v>
      </c>
      <c r="E220" s="37" t="s">
        <v>464</v>
      </c>
      <c r="F220" s="28">
        <v>744</v>
      </c>
      <c r="G220" t="b">
        <f>IF(B220=E220,TRUE,FALSE)</f>
        <v>1</v>
      </c>
      <c r="J220" s="25">
        <f>F220-C220</f>
        <v>-1198</v>
      </c>
      <c r="K220" s="4">
        <f>F220/C220-1</f>
        <v>-0.61688980432543772</v>
      </c>
      <c r="M220" s="5">
        <v>2544.54</v>
      </c>
      <c r="N220" s="5">
        <v>1710.47</v>
      </c>
      <c r="Q220" s="138">
        <v>9294.35</v>
      </c>
      <c r="U220" s="127">
        <f>N220-M220</f>
        <v>-834.06999999999994</v>
      </c>
      <c r="V220" s="4">
        <f>IF(M220=0,0,N220/M220-1)</f>
        <v>-0.32778812673410518</v>
      </c>
      <c r="W220" s="18">
        <v>30834.18</v>
      </c>
      <c r="X220" s="18">
        <v>19308.669999999998</v>
      </c>
      <c r="Y220" s="4">
        <f>X220/W220-1</f>
        <v>-0.37379006025131856</v>
      </c>
    </row>
    <row r="221" spans="1:28" ht="15" customHeight="1">
      <c r="A221" s="54" t="s">
        <v>465</v>
      </c>
      <c r="B221" s="37" t="s">
        <v>466</v>
      </c>
      <c r="C221" s="28">
        <v>2685</v>
      </c>
      <c r="E221" s="37" t="s">
        <v>466</v>
      </c>
      <c r="F221" s="28">
        <v>730</v>
      </c>
      <c r="G221" t="b">
        <f>IF(B221=E221,TRUE,FALSE)</f>
        <v>1</v>
      </c>
      <c r="J221" s="25">
        <f>F221-C221</f>
        <v>-1955</v>
      </c>
      <c r="K221" s="4">
        <f>F221/C221-1</f>
        <v>-0.72811918063314707</v>
      </c>
      <c r="M221" s="5">
        <v>3126.43</v>
      </c>
      <c r="N221" s="5">
        <v>1294.94</v>
      </c>
      <c r="Q221" s="139">
        <v>7856.79</v>
      </c>
      <c r="U221" s="127">
        <f>N221-M221</f>
        <v>-1831.4899999999998</v>
      </c>
      <c r="V221" s="4">
        <f>IF(M221=0,0,N221/M221-1)</f>
        <v>-0.58580873392335664</v>
      </c>
      <c r="W221" s="18">
        <v>38908.910000000003</v>
      </c>
      <c r="X221" s="18">
        <v>14566.67</v>
      </c>
      <c r="Y221" s="4">
        <f>X221/W221-1</f>
        <v>-0.62562122660336672</v>
      </c>
    </row>
    <row r="222" spans="1:28" ht="15" customHeight="1">
      <c r="A222" t="s">
        <v>467</v>
      </c>
      <c r="B222" t="s">
        <v>468</v>
      </c>
      <c r="C222" s="28">
        <v>959</v>
      </c>
      <c r="E222" t="s">
        <v>468</v>
      </c>
      <c r="F222" s="28">
        <v>716</v>
      </c>
      <c r="G222" t="b">
        <f>IF(B222=E222,TRUE,FALSE)</f>
        <v>1</v>
      </c>
      <c r="J222" s="25">
        <f>F222-C222</f>
        <v>-243</v>
      </c>
      <c r="K222" s="4">
        <f>F222/C222-1</f>
        <v>-0.25338894681960378</v>
      </c>
      <c r="M222" s="5">
        <v>2096.36</v>
      </c>
      <c r="N222" s="5">
        <v>1318.46</v>
      </c>
      <c r="Q222" s="139">
        <v>9366.0300000000007</v>
      </c>
      <c r="U222" s="127">
        <f>N222-M222</f>
        <v>-777.90000000000009</v>
      </c>
      <c r="V222" s="4">
        <f>IF(M222=0,0,N222/M222-1)</f>
        <v>-0.3710717624835429</v>
      </c>
      <c r="W222" s="18">
        <v>23953.66</v>
      </c>
      <c r="X222" s="18">
        <v>17882.84</v>
      </c>
      <c r="Y222" s="4">
        <f>X222/W222-1</f>
        <v>-0.25344018408877811</v>
      </c>
    </row>
    <row r="223" spans="1:28" ht="15" customHeight="1">
      <c r="A223" s="27" t="s">
        <v>469</v>
      </c>
      <c r="B223" s="37" t="s">
        <v>470</v>
      </c>
      <c r="C223" s="28">
        <v>608</v>
      </c>
      <c r="E223" s="37" t="s">
        <v>470</v>
      </c>
      <c r="F223" s="28">
        <v>712</v>
      </c>
      <c r="G223" t="b">
        <f>IF(B223=E223,TRUE,FALSE)</f>
        <v>1</v>
      </c>
      <c r="J223" s="25">
        <f>F223-C223</f>
        <v>104</v>
      </c>
      <c r="K223" s="4">
        <f>F223/C223-1</f>
        <v>0.17105263157894735</v>
      </c>
      <c r="M223" s="5">
        <v>901.47</v>
      </c>
      <c r="N223" s="5">
        <v>930.55</v>
      </c>
      <c r="Q223" s="139">
        <v>2712.71</v>
      </c>
      <c r="U223" s="127">
        <f>N223-M223</f>
        <v>29.079999999999927</v>
      </c>
      <c r="V223" s="4">
        <f>IF(M223=0,0,N223/M223-1)</f>
        <v>3.2258422354598526E-2</v>
      </c>
      <c r="W223" s="18">
        <v>8490.81</v>
      </c>
      <c r="X223" s="18">
        <v>9944.7900000000009</v>
      </c>
      <c r="Y223" s="4">
        <f>X223/W223-1</f>
        <v>0.17124161299098684</v>
      </c>
    </row>
    <row r="224" spans="1:28" ht="15" customHeight="1">
      <c r="A224" t="s">
        <v>471</v>
      </c>
      <c r="B224" t="s">
        <v>472</v>
      </c>
      <c r="C224" s="28">
        <v>0</v>
      </c>
      <c r="E224" t="s">
        <v>472</v>
      </c>
      <c r="F224" s="28">
        <v>706</v>
      </c>
      <c r="G224" t="b">
        <f>IF(B224=E224,TRUE,FALSE)</f>
        <v>1</v>
      </c>
      <c r="J224" s="25">
        <f>F224-C224</f>
        <v>706</v>
      </c>
      <c r="K224" s="4" t="e">
        <f>F224/C224-1</f>
        <v>#DIV/0!</v>
      </c>
      <c r="M224" s="5">
        <v>0</v>
      </c>
      <c r="N224" s="5">
        <v>1081.83</v>
      </c>
      <c r="Q224" s="139">
        <v>8374.0499999999993</v>
      </c>
      <c r="V224" s="4"/>
      <c r="W224" s="18">
        <v>0</v>
      </c>
      <c r="X224" s="18">
        <v>15733.53</v>
      </c>
      <c r="Y224" s="4" t="e">
        <f>X224/W224-1</f>
        <v>#DIV/0!</v>
      </c>
    </row>
    <row r="225" spans="1:27" ht="15" customHeight="1">
      <c r="A225" t="s">
        <v>473</v>
      </c>
      <c r="B225" t="s">
        <v>474</v>
      </c>
      <c r="C225" s="28">
        <v>590</v>
      </c>
      <c r="E225" t="s">
        <v>474</v>
      </c>
      <c r="F225" s="28">
        <v>706</v>
      </c>
      <c r="G225" t="b">
        <f>IF(B225=E225,TRUE,FALSE)</f>
        <v>1</v>
      </c>
      <c r="J225" s="25">
        <f>F225-C225</f>
        <v>116</v>
      </c>
      <c r="K225" s="4">
        <f>F225/C225-1</f>
        <v>0.19661016949152543</v>
      </c>
      <c r="M225" s="5">
        <v>1025.07</v>
      </c>
      <c r="N225" s="5">
        <v>968.48</v>
      </c>
      <c r="Q225" s="139">
        <v>8385.41</v>
      </c>
      <c r="U225" s="127">
        <f>N225-M225</f>
        <v>-56.589999999999918</v>
      </c>
      <c r="V225" s="4">
        <f>IF(M225=0,0,N225/M225-1)</f>
        <v>-5.52059859326679E-2</v>
      </c>
      <c r="W225" s="18">
        <v>17096.27</v>
      </c>
      <c r="X225" s="18">
        <v>20460.27</v>
      </c>
      <c r="Y225" s="4">
        <f>X225/W225-1</f>
        <v>0.19676806695261595</v>
      </c>
    </row>
    <row r="226" spans="1:27" ht="15" customHeight="1">
      <c r="A226" s="54" t="s">
        <v>475</v>
      </c>
      <c r="B226" s="37" t="s">
        <v>476</v>
      </c>
      <c r="C226" s="28">
        <v>850</v>
      </c>
      <c r="E226" s="37" t="s">
        <v>476</v>
      </c>
      <c r="F226" s="28">
        <v>702</v>
      </c>
      <c r="G226" t="b">
        <f>IF(B226=E226,TRUE,FALSE)</f>
        <v>1</v>
      </c>
      <c r="J226" s="25">
        <f>F226-C226</f>
        <v>-148</v>
      </c>
      <c r="K226" s="4">
        <f>F226/C226-1</f>
        <v>-0.17411764705882349</v>
      </c>
      <c r="M226" s="5">
        <v>1209.27</v>
      </c>
      <c r="N226" s="5">
        <v>932.2</v>
      </c>
      <c r="Q226" s="139">
        <v>4864</v>
      </c>
      <c r="U226" s="127">
        <f>N226-M226</f>
        <v>-277.06999999999994</v>
      </c>
      <c r="V226" s="4">
        <f>IF(M226=0,0,N226/M226-1)</f>
        <v>-0.22912170152240607</v>
      </c>
      <c r="W226" s="18">
        <v>15014.71</v>
      </c>
      <c r="X226" s="18">
        <v>13326.16</v>
      </c>
      <c r="Y226" s="4">
        <f>X226/W226-1</f>
        <v>-0.1124597145066405</v>
      </c>
    </row>
    <row r="227" spans="1:27" ht="15" customHeight="1">
      <c r="A227" s="54" t="s">
        <v>477</v>
      </c>
      <c r="B227" s="37" t="s">
        <v>478</v>
      </c>
      <c r="C227" s="28">
        <v>905</v>
      </c>
      <c r="E227" s="37" t="s">
        <v>478</v>
      </c>
      <c r="F227" s="28">
        <v>702</v>
      </c>
      <c r="G227" t="b">
        <f>IF(B227=E227,TRUE,FALSE)</f>
        <v>1</v>
      </c>
      <c r="J227" s="25">
        <f>F227-C227</f>
        <v>-203</v>
      </c>
      <c r="K227" s="4">
        <f>F227/C227-1</f>
        <v>-0.22430939226519342</v>
      </c>
      <c r="M227" s="5">
        <v>1859.49</v>
      </c>
      <c r="N227" s="5">
        <v>1632.4</v>
      </c>
      <c r="Q227" s="138">
        <v>10879.43</v>
      </c>
      <c r="U227" s="127">
        <f>N227-M227</f>
        <v>-227.08999999999992</v>
      </c>
      <c r="V227" s="4">
        <f>IF(M227=0,0,N227/M227-1)</f>
        <v>-0.12212488370467167</v>
      </c>
      <c r="W227" s="18">
        <v>19305.830000000002</v>
      </c>
      <c r="X227" s="18">
        <v>20692.68</v>
      </c>
      <c r="Y227" s="4"/>
    </row>
    <row r="228" spans="1:27" ht="15" customHeight="1">
      <c r="A228" t="s">
        <v>479</v>
      </c>
      <c r="B228" t="s">
        <v>480</v>
      </c>
      <c r="C228" s="28">
        <v>991</v>
      </c>
      <c r="E228" t="s">
        <v>480</v>
      </c>
      <c r="F228" s="28">
        <v>701</v>
      </c>
      <c r="G228" t="b">
        <f>IF(B228=E228,TRUE,FALSE)</f>
        <v>1</v>
      </c>
      <c r="J228" s="25">
        <f>F228-C228</f>
        <v>-290</v>
      </c>
      <c r="K228" s="4">
        <f>F228/C228-1</f>
        <v>-0.29263370332996974</v>
      </c>
      <c r="M228" s="5">
        <v>898.34</v>
      </c>
      <c r="N228" s="5">
        <v>619.48</v>
      </c>
      <c r="Q228" s="139">
        <v>5965.4</v>
      </c>
      <c r="U228" s="127">
        <f>N228-M228</f>
        <v>-278.86</v>
      </c>
      <c r="V228" s="4">
        <f>IF(M228=0,0,N228/M228-1)</f>
        <v>-0.31041699133958189</v>
      </c>
      <c r="W228" s="18">
        <v>25059.08</v>
      </c>
      <c r="X228" s="18">
        <v>18876.02</v>
      </c>
      <c r="Y228" s="4">
        <f>X228/W228-1</f>
        <v>-0.24673930567283398</v>
      </c>
    </row>
    <row r="229" spans="1:27" ht="15" customHeight="1">
      <c r="A229" s="54" t="s">
        <v>481</v>
      </c>
      <c r="B229" s="37" t="s">
        <v>482</v>
      </c>
      <c r="C229" s="28">
        <v>1757</v>
      </c>
      <c r="E229" s="37" t="s">
        <v>482</v>
      </c>
      <c r="F229" s="28">
        <v>691</v>
      </c>
      <c r="G229" t="b">
        <f>IF(B229=E229,TRUE,FALSE)</f>
        <v>1</v>
      </c>
      <c r="J229" s="25">
        <f>F229-C229</f>
        <v>-1066</v>
      </c>
      <c r="K229" s="4">
        <f>F229/C229-1</f>
        <v>-0.60671599317017644</v>
      </c>
      <c r="M229" s="5">
        <v>3175.04</v>
      </c>
      <c r="N229" s="5">
        <v>2079.58</v>
      </c>
      <c r="Q229" s="139">
        <v>7659.76</v>
      </c>
      <c r="U229" s="127">
        <f>N229-M229</f>
        <v>-1095.46</v>
      </c>
      <c r="V229" s="4">
        <f>IF(M229=0,0,N229/M229-1)</f>
        <v>-0.34502242491433177</v>
      </c>
      <c r="W229" s="18">
        <v>40990.74</v>
      </c>
      <c r="X229" s="18">
        <v>19581.27</v>
      </c>
      <c r="Y229" s="4">
        <f>X229/W229-1</f>
        <v>-0.522300158523608</v>
      </c>
    </row>
    <row r="230" spans="1:27" ht="15" customHeight="1">
      <c r="A230" s="54" t="s">
        <v>483</v>
      </c>
      <c r="B230" s="37" t="s">
        <v>484</v>
      </c>
      <c r="C230" s="28">
        <v>878</v>
      </c>
      <c r="E230" s="37" t="s">
        <v>484</v>
      </c>
      <c r="F230" s="28">
        <v>684</v>
      </c>
      <c r="G230" t="b">
        <f>IF(B230=E230,TRUE,FALSE)</f>
        <v>1</v>
      </c>
      <c r="J230" s="25">
        <f>F230-C230</f>
        <v>-194</v>
      </c>
      <c r="K230" s="4">
        <f>F230/C230-1</f>
        <v>-0.22095671981776766</v>
      </c>
      <c r="M230" s="5">
        <v>2393.9</v>
      </c>
      <c r="N230" s="5">
        <v>2037.61</v>
      </c>
      <c r="Q230" s="138">
        <v>13583.55</v>
      </c>
      <c r="U230" s="127">
        <f>N230-M230</f>
        <v>-356.29000000000019</v>
      </c>
      <c r="V230" s="4">
        <f>IF(M230=0,0,N230/M230-1)</f>
        <v>-0.14883244914156823</v>
      </c>
      <c r="W230" s="18">
        <v>23660.21</v>
      </c>
      <c r="X230" s="18">
        <v>20263.95</v>
      </c>
      <c r="Y230" s="4">
        <f>X230/W230-1</f>
        <v>-0.14354310464700015</v>
      </c>
    </row>
    <row r="231" spans="1:27" ht="15" customHeight="1">
      <c r="A231" s="143" t="s">
        <v>485</v>
      </c>
      <c r="B231" s="37" t="s">
        <v>486</v>
      </c>
      <c r="C231" s="28">
        <v>1007</v>
      </c>
      <c r="E231" s="37" t="s">
        <v>486</v>
      </c>
      <c r="F231" s="28">
        <v>683</v>
      </c>
      <c r="G231" t="b">
        <f>IF(B231=E231,TRUE,FALSE)</f>
        <v>1</v>
      </c>
      <c r="J231" s="25">
        <f>F231-C231</f>
        <v>-324</v>
      </c>
      <c r="K231" s="4">
        <f>F231/C231-1</f>
        <v>-0.32174776564051644</v>
      </c>
      <c r="M231" s="5">
        <v>1836.2</v>
      </c>
      <c r="N231" s="5">
        <v>1491.01</v>
      </c>
      <c r="Q231" s="138">
        <v>9279.18</v>
      </c>
      <c r="U231" s="127">
        <f>N231-M231</f>
        <v>-345.19000000000005</v>
      </c>
      <c r="V231" s="4">
        <f>IF(M231=0,0,N231/M231-1)</f>
        <v>-0.18799150419344302</v>
      </c>
      <c r="W231" s="18">
        <v>21870.73</v>
      </c>
      <c r="X231" s="18">
        <v>18219.55</v>
      </c>
      <c r="Y231" s="4">
        <f>X231/W231-1</f>
        <v>-0.1669436731192786</v>
      </c>
      <c r="AA231" t="s">
        <v>487</v>
      </c>
    </row>
    <row r="232" spans="1:27" ht="15" customHeight="1">
      <c r="A232" s="54" t="s">
        <v>488</v>
      </c>
      <c r="B232" s="37" t="s">
        <v>489</v>
      </c>
      <c r="C232" s="28">
        <v>78</v>
      </c>
      <c r="E232" s="37" t="s">
        <v>489</v>
      </c>
      <c r="F232" s="28">
        <v>676</v>
      </c>
      <c r="G232" t="b">
        <f>IF(B232=E232,TRUE,FALSE)</f>
        <v>1</v>
      </c>
      <c r="J232" s="25">
        <f>F232-C232</f>
        <v>598</v>
      </c>
      <c r="K232" s="4">
        <f>F232/C232-1</f>
        <v>7.6666666666666661</v>
      </c>
      <c r="M232" s="5">
        <v>131.12</v>
      </c>
      <c r="N232" s="5">
        <v>1283.93</v>
      </c>
      <c r="Q232" s="139">
        <v>7156.67</v>
      </c>
      <c r="U232" s="127">
        <f>N232-M232</f>
        <v>1152.81</v>
      </c>
      <c r="V232" s="4">
        <f>IF(M232=0,0,N232/M232-1)</f>
        <v>8.7920225747406953</v>
      </c>
      <c r="W232" s="18">
        <v>2462.91</v>
      </c>
      <c r="X232" s="18">
        <v>20229.599999999999</v>
      </c>
      <c r="Y232" s="4">
        <f>X232/W232-1</f>
        <v>7.2136984299060867</v>
      </c>
    </row>
    <row r="233" spans="1:27" ht="15" customHeight="1">
      <c r="A233" s="54" t="s">
        <v>490</v>
      </c>
      <c r="B233" s="37" t="s">
        <v>491</v>
      </c>
      <c r="C233" s="19">
        <v>1131</v>
      </c>
      <c r="E233" s="37" t="s">
        <v>491</v>
      </c>
      <c r="F233" s="19">
        <v>670</v>
      </c>
      <c r="G233" t="b">
        <f>IF(B233=E233,TRUE,FALSE)</f>
        <v>1</v>
      </c>
      <c r="J233" s="25">
        <f>F233-C233</f>
        <v>-461</v>
      </c>
      <c r="K233" s="4">
        <f>F233/C233-1</f>
        <v>-0.4076038903625111</v>
      </c>
      <c r="M233" s="5">
        <v>1774.69</v>
      </c>
      <c r="N233" s="5">
        <v>918.98</v>
      </c>
      <c r="Q233" s="138">
        <v>4346.17</v>
      </c>
      <c r="U233" s="127">
        <f>N233-M233</f>
        <v>-855.71</v>
      </c>
      <c r="V233" s="4">
        <f>IF(M233=0,0,N233/M233-1)</f>
        <v>-0.48217435157689514</v>
      </c>
      <c r="W233">
        <v>22633.69</v>
      </c>
      <c r="X233">
        <v>16741.8</v>
      </c>
      <c r="Y233" s="4">
        <f>X233/W233-1</f>
        <v>-0.26031504363627844</v>
      </c>
    </row>
    <row r="234" spans="1:27" ht="15" customHeight="1">
      <c r="A234" t="s">
        <v>492</v>
      </c>
      <c r="B234" t="s">
        <v>493</v>
      </c>
      <c r="C234" s="28">
        <v>709</v>
      </c>
      <c r="E234" t="s">
        <v>493</v>
      </c>
      <c r="F234" s="28">
        <v>666</v>
      </c>
      <c r="G234" t="b">
        <f>IF(B234=E234,TRUE,FALSE)</f>
        <v>1</v>
      </c>
      <c r="J234" s="25">
        <f>F234-C234</f>
        <v>-43</v>
      </c>
      <c r="K234" s="4">
        <f>F234/C234-1</f>
        <v>-6.0648801128349805E-2</v>
      </c>
      <c r="M234" s="5">
        <v>393.99</v>
      </c>
      <c r="N234" s="5">
        <v>304.29000000000002</v>
      </c>
      <c r="Q234" s="139">
        <v>3310.05</v>
      </c>
      <c r="U234" s="127">
        <f>N234-M234</f>
        <v>-89.699999999999989</v>
      </c>
      <c r="V234" s="4">
        <f>IF(M234=0,0,N234/M234-1)</f>
        <v>-0.22767075306479856</v>
      </c>
      <c r="W234" s="18">
        <v>16873.93</v>
      </c>
      <c r="X234" s="18">
        <v>16590.25</v>
      </c>
      <c r="Y234" s="4">
        <f>X234/W234-1</f>
        <v>-1.6811732655048317E-2</v>
      </c>
    </row>
    <row r="235" spans="1:27" ht="15" customHeight="1">
      <c r="A235" t="s">
        <v>494</v>
      </c>
      <c r="B235" t="s">
        <v>495</v>
      </c>
      <c r="C235" s="28">
        <v>636</v>
      </c>
      <c r="E235" t="s">
        <v>495</v>
      </c>
      <c r="F235" s="28">
        <v>662</v>
      </c>
      <c r="G235" t="b">
        <f>IF(B235=E235,TRUE,FALSE)</f>
        <v>1</v>
      </c>
      <c r="J235" s="25">
        <f>F235-C235</f>
        <v>26</v>
      </c>
      <c r="K235" s="4">
        <f>F235/C235-1</f>
        <v>4.088050314465419E-2</v>
      </c>
      <c r="M235" s="5">
        <v>1550.5</v>
      </c>
      <c r="N235" s="5">
        <v>1229.4100000000001</v>
      </c>
      <c r="Q235" s="139">
        <v>6772.68</v>
      </c>
      <c r="U235" s="127">
        <f>N235-M235</f>
        <v>-321.08999999999992</v>
      </c>
      <c r="V235" s="4">
        <f>IF(M235=0,0,N235/M235-1)</f>
        <v>-0.20708803611738147</v>
      </c>
      <c r="W235" s="18">
        <v>13981.24</v>
      </c>
      <c r="X235" s="18">
        <v>14553.42</v>
      </c>
      <c r="Y235" s="4">
        <f>X235/W235-1</f>
        <v>4.0924839284641523E-2</v>
      </c>
    </row>
    <row r="236" spans="1:27" ht="15" customHeight="1">
      <c r="A236" t="s">
        <v>496</v>
      </c>
      <c r="B236" t="s">
        <v>497</v>
      </c>
      <c r="C236" s="28">
        <v>795</v>
      </c>
      <c r="E236" t="s">
        <v>497</v>
      </c>
      <c r="F236" s="28">
        <v>659</v>
      </c>
      <c r="G236" t="b">
        <f>IF(B236=E236,TRUE,FALSE)</f>
        <v>1</v>
      </c>
      <c r="J236" s="25">
        <f>F236-C236</f>
        <v>-136</v>
      </c>
      <c r="K236" s="4">
        <f>F236/C236-1</f>
        <v>-0.17106918238993707</v>
      </c>
      <c r="M236" s="5">
        <v>1620.41</v>
      </c>
      <c r="N236" s="5">
        <v>1465.13</v>
      </c>
      <c r="Q236" s="139">
        <v>9108.6</v>
      </c>
      <c r="U236" s="127">
        <f>N236-M236</f>
        <v>-155.27999999999997</v>
      </c>
      <c r="V236" s="4">
        <f>IF(M236=0,0,N236/M236-1)</f>
        <v>-9.582759918785988E-2</v>
      </c>
      <c r="W236" s="18">
        <v>19860.8</v>
      </c>
      <c r="X236" s="18">
        <v>16462.41</v>
      </c>
      <c r="Y236" s="4">
        <f>X236/W236-1</f>
        <v>-0.17111042858293724</v>
      </c>
    </row>
    <row r="237" spans="1:27" ht="15" customHeight="1">
      <c r="A237" t="s">
        <v>498</v>
      </c>
      <c r="B237" t="s">
        <v>499</v>
      </c>
      <c r="C237" s="28">
        <v>735</v>
      </c>
      <c r="E237" t="s">
        <v>499</v>
      </c>
      <c r="F237" s="28">
        <v>653</v>
      </c>
      <c r="G237" t="b">
        <f>IF(B237=E237,TRUE,FALSE)</f>
        <v>1</v>
      </c>
      <c r="J237" s="25">
        <f>F237-C237</f>
        <v>-82</v>
      </c>
      <c r="K237" s="4">
        <f>F237/C237-1</f>
        <v>-0.1115646258503401</v>
      </c>
      <c r="M237" s="5">
        <v>1050.5999999999999</v>
      </c>
      <c r="N237" s="5">
        <v>857.5</v>
      </c>
      <c r="Q237" s="139">
        <v>6978.31</v>
      </c>
      <c r="U237" s="127">
        <f>N237-M237</f>
        <v>-193.09999999999991</v>
      </c>
      <c r="V237" s="4">
        <f>IF(M237=0,0,N237/M237-1)</f>
        <v>-0.18379973348562717</v>
      </c>
      <c r="W237" s="18">
        <v>21606.21</v>
      </c>
      <c r="X237" s="18">
        <v>18274.39</v>
      </c>
      <c r="Y237" s="4">
        <f>X237/W237-1</f>
        <v>-0.1542065915308608</v>
      </c>
    </row>
    <row r="238" spans="1:27" ht="15" customHeight="1">
      <c r="A238" s="143" t="s">
        <v>500</v>
      </c>
      <c r="B238" s="37" t="s">
        <v>501</v>
      </c>
      <c r="C238" s="28">
        <v>735</v>
      </c>
      <c r="E238" s="37" t="s">
        <v>501</v>
      </c>
      <c r="F238" s="28">
        <v>640</v>
      </c>
      <c r="G238" t="b">
        <f>IF(B238=E238,TRUE,FALSE)</f>
        <v>1</v>
      </c>
      <c r="J238" s="25">
        <f>F238-C238</f>
        <v>-95</v>
      </c>
      <c r="K238" s="4">
        <f>F238/C238-1</f>
        <v>-0.12925170068027214</v>
      </c>
      <c r="M238" s="5">
        <v>1281.8900000000001</v>
      </c>
      <c r="N238" s="5">
        <v>1042.71</v>
      </c>
      <c r="Q238" s="138">
        <v>5055.59</v>
      </c>
      <c r="U238" s="127">
        <f>N238-M238</f>
        <v>-239.18000000000006</v>
      </c>
      <c r="V238" s="4">
        <f>IF(M238=0,0,N238/M238-1)</f>
        <v>-0.18658387225112927</v>
      </c>
      <c r="W238" s="18">
        <v>11843.99</v>
      </c>
      <c r="X238" s="18">
        <v>15846.1</v>
      </c>
      <c r="Y238" s="4"/>
    </row>
    <row r="239" spans="1:27" ht="15" customHeight="1">
      <c r="A239" s="143" t="s">
        <v>502</v>
      </c>
      <c r="B239" s="143" t="s">
        <v>503</v>
      </c>
      <c r="C239" s="28">
        <v>256</v>
      </c>
      <c r="E239" s="143" t="s">
        <v>503</v>
      </c>
      <c r="F239" s="28">
        <v>636</v>
      </c>
      <c r="G239" t="b">
        <f>IF(B239=E239,TRUE,FALSE)</f>
        <v>1</v>
      </c>
      <c r="J239" s="25">
        <f>F239-C239</f>
        <v>380</v>
      </c>
      <c r="K239" s="4">
        <f>F239/C239-1</f>
        <v>1.484375</v>
      </c>
      <c r="M239" s="5">
        <v>1008.67</v>
      </c>
      <c r="N239" s="5">
        <v>1158.94</v>
      </c>
      <c r="Q239" s="138">
        <v>10297.959999999999</v>
      </c>
      <c r="U239" s="127">
        <f>N239-M239</f>
        <v>150.2700000000001</v>
      </c>
      <c r="V239" s="4">
        <f>IF(M239=0,0,N239/M239-1)</f>
        <v>0.14897835763926759</v>
      </c>
      <c r="W239" s="18">
        <v>7472.07</v>
      </c>
      <c r="X239" s="18">
        <v>17633.59</v>
      </c>
      <c r="Y239" s="4">
        <f>X239/W239-1</f>
        <v>1.3599337265309348</v>
      </c>
      <c r="AA239" t="s">
        <v>504</v>
      </c>
    </row>
    <row r="240" spans="1:27" ht="15" customHeight="1">
      <c r="A240" s="54" t="s">
        <v>505</v>
      </c>
      <c r="B240" s="37" t="s">
        <v>506</v>
      </c>
      <c r="C240" s="19">
        <v>840</v>
      </c>
      <c r="E240" s="37" t="s">
        <v>506</v>
      </c>
      <c r="F240" s="19">
        <v>628</v>
      </c>
      <c r="G240" t="b">
        <f>IF(B240=E240,TRUE,FALSE)</f>
        <v>1</v>
      </c>
      <c r="J240" s="25">
        <f>F240-C240</f>
        <v>-212</v>
      </c>
      <c r="K240" s="4">
        <f>F240/C240-1</f>
        <v>-0.25238095238095237</v>
      </c>
      <c r="M240" s="5">
        <v>1874.89</v>
      </c>
      <c r="N240" s="5">
        <v>1409.24</v>
      </c>
      <c r="Q240" s="138">
        <v>10348.5</v>
      </c>
      <c r="U240" s="127">
        <f>N240-M240</f>
        <v>-465.65000000000009</v>
      </c>
      <c r="V240" s="4">
        <f>IF(M240=0,0,N240/M240-1)</f>
        <v>-0.24836123719258196</v>
      </c>
      <c r="W240">
        <v>22225</v>
      </c>
      <c r="X240">
        <v>18156.12</v>
      </c>
      <c r="Y240" s="4">
        <f>X240/W240-1</f>
        <v>-0.18307671541057369</v>
      </c>
    </row>
    <row r="241" spans="1:27" ht="15" customHeight="1">
      <c r="A241" t="s">
        <v>507</v>
      </c>
      <c r="B241" t="s">
        <v>508</v>
      </c>
      <c r="C241" s="28">
        <v>688</v>
      </c>
      <c r="E241" t="s">
        <v>508</v>
      </c>
      <c r="F241" s="28">
        <v>621</v>
      </c>
      <c r="G241" t="b">
        <f>IF(B241=E241,TRUE,FALSE)</f>
        <v>1</v>
      </c>
      <c r="J241" s="25">
        <f>F241-C241</f>
        <v>-67</v>
      </c>
      <c r="K241" s="4">
        <f>F241/C241-1</f>
        <v>-9.7383720930232509E-2</v>
      </c>
      <c r="M241" s="5">
        <v>619.89</v>
      </c>
      <c r="N241" s="5">
        <v>412.75</v>
      </c>
      <c r="Q241" s="139">
        <v>2760.79</v>
      </c>
      <c r="U241" s="127">
        <f>N241-M241</f>
        <v>-207.14</v>
      </c>
      <c r="V241" s="4">
        <f>IF(M241=0,0,N241/M241-1)</f>
        <v>-0.33415605994611941</v>
      </c>
      <c r="W241" s="18">
        <v>16475.2</v>
      </c>
      <c r="X241" s="18">
        <v>14868.15</v>
      </c>
      <c r="Y241" s="4">
        <f>X241/W241-1</f>
        <v>-9.7543580654559592E-2</v>
      </c>
    </row>
    <row r="242" spans="1:27" ht="15" customHeight="1">
      <c r="A242" t="s">
        <v>509</v>
      </c>
      <c r="B242" t="s">
        <v>510</v>
      </c>
      <c r="C242" s="28">
        <v>658</v>
      </c>
      <c r="E242" t="s">
        <v>510</v>
      </c>
      <c r="F242" s="28">
        <v>616</v>
      </c>
      <c r="G242" t="b">
        <f>IF(B242=E242,TRUE,FALSE)</f>
        <v>1</v>
      </c>
      <c r="J242" s="25">
        <f>F242-C242</f>
        <v>-42</v>
      </c>
      <c r="K242" s="4">
        <f>F242/C242-1</f>
        <v>-6.3829787234042534E-2</v>
      </c>
      <c r="M242" s="5">
        <v>1179.6099999999999</v>
      </c>
      <c r="N242" s="5">
        <v>1050.58</v>
      </c>
      <c r="Q242" s="139">
        <v>7705.11</v>
      </c>
      <c r="U242" s="127">
        <f>N242-M242</f>
        <v>-129.02999999999997</v>
      </c>
      <c r="V242" s="4">
        <f>IF(M242=0,0,N242/M242-1)</f>
        <v>-0.10938360983714956</v>
      </c>
      <c r="W242" s="18">
        <v>15777.02</v>
      </c>
      <c r="X242" s="18">
        <v>14767.04</v>
      </c>
      <c r="Y242" s="4">
        <f>X242/W242-1</f>
        <v>-6.4015891467463448E-2</v>
      </c>
    </row>
    <row r="243" spans="1:27" ht="15" customHeight="1">
      <c r="A243" s="54" t="s">
        <v>511</v>
      </c>
      <c r="B243" s="37" t="s">
        <v>512</v>
      </c>
      <c r="C243" s="28">
        <v>925</v>
      </c>
      <c r="E243" s="37" t="s">
        <v>512</v>
      </c>
      <c r="F243" s="28">
        <v>609</v>
      </c>
      <c r="G243" t="b">
        <f>IF(B243=E243,TRUE,FALSE)</f>
        <v>1</v>
      </c>
      <c r="J243" s="25">
        <f>F243-C243</f>
        <v>-316</v>
      </c>
      <c r="K243" s="4">
        <f>F243/C243-1</f>
        <v>-0.34162162162162157</v>
      </c>
      <c r="M243" s="5">
        <v>2125.02</v>
      </c>
      <c r="N243" s="5">
        <v>1517.49</v>
      </c>
      <c r="Q243" s="139">
        <v>10139.51</v>
      </c>
      <c r="U243" s="127">
        <f>N243-M243</f>
        <v>-607.53</v>
      </c>
      <c r="V243" s="4">
        <f>IF(M243=0,0,N243/M243-1)</f>
        <v>-0.28589377982324871</v>
      </c>
      <c r="W243" s="18">
        <v>19390.43</v>
      </c>
      <c r="X243" s="18">
        <v>17080.11</v>
      </c>
      <c r="Y243" s="4">
        <f>X243/W243-1</f>
        <v>-0.11914743510071724</v>
      </c>
    </row>
    <row r="244" spans="1:27" ht="15" customHeight="1">
      <c r="A244" t="s">
        <v>513</v>
      </c>
      <c r="B244" t="s">
        <v>514</v>
      </c>
      <c r="C244" s="28">
        <v>1011</v>
      </c>
      <c r="E244" t="s">
        <v>514</v>
      </c>
      <c r="F244" s="28">
        <v>607</v>
      </c>
      <c r="G244" t="b">
        <f>IF(B244=E244,TRUE,FALSE)</f>
        <v>1</v>
      </c>
      <c r="J244" s="25">
        <f>F244-C244</f>
        <v>-404</v>
      </c>
      <c r="K244" s="4">
        <f>F244/C244-1</f>
        <v>-0.39960435212660728</v>
      </c>
      <c r="M244" s="5">
        <v>1475.84</v>
      </c>
      <c r="N244" s="5">
        <v>938.14</v>
      </c>
      <c r="Q244" s="139">
        <v>7360.24</v>
      </c>
      <c r="U244" s="127">
        <f>N244-M244</f>
        <v>-537.69999999999993</v>
      </c>
      <c r="V244" s="4">
        <f>IF(M244=0,0,N244/M244-1)</f>
        <v>-0.36433488725065044</v>
      </c>
      <c r="W244" s="18">
        <v>18530.54</v>
      </c>
      <c r="X244" s="18">
        <v>15078.92</v>
      </c>
      <c r="Y244" s="4">
        <f>X244/W244-1</f>
        <v>-0.18626656319783452</v>
      </c>
    </row>
    <row r="245" spans="1:27" ht="15" customHeight="1">
      <c r="A245" s="54" t="s">
        <v>515</v>
      </c>
      <c r="B245" s="37" t="s">
        <v>516</v>
      </c>
      <c r="C245" s="28">
        <v>1182</v>
      </c>
      <c r="E245" s="37" t="s">
        <v>516</v>
      </c>
      <c r="F245" s="28">
        <v>601</v>
      </c>
      <c r="G245" t="b">
        <f>IF(B245=E245,TRUE,FALSE)</f>
        <v>1</v>
      </c>
      <c r="J245" s="25">
        <f>F245-C245</f>
        <v>-581</v>
      </c>
      <c r="K245" s="4">
        <f>F245/C245-1</f>
        <v>-0.49153976311336722</v>
      </c>
      <c r="M245" s="5">
        <v>1333.7</v>
      </c>
      <c r="N245" s="5">
        <v>839.89</v>
      </c>
      <c r="Q245" s="139">
        <v>4690.3</v>
      </c>
      <c r="U245" s="127">
        <f>N245-M245</f>
        <v>-493.81000000000006</v>
      </c>
      <c r="V245" s="4">
        <f>IF(M245=0,0,N245/M245-1)</f>
        <v>-0.37025567968808581</v>
      </c>
      <c r="W245" s="18">
        <v>14841.84</v>
      </c>
      <c r="X245" s="18">
        <v>11748.59</v>
      </c>
      <c r="Y245" s="4">
        <f>X245/W245-1</f>
        <v>-0.20841418584218663</v>
      </c>
    </row>
    <row r="246" spans="1:27" ht="15" customHeight="1">
      <c r="A246" t="s">
        <v>517</v>
      </c>
      <c r="B246" t="s">
        <v>518</v>
      </c>
      <c r="C246" s="28">
        <v>839</v>
      </c>
      <c r="E246" t="s">
        <v>518</v>
      </c>
      <c r="F246" s="28">
        <v>594</v>
      </c>
      <c r="G246" t="b">
        <f>IF(B246=E246,TRUE,FALSE)</f>
        <v>1</v>
      </c>
      <c r="J246" s="25">
        <f>F246-C246</f>
        <v>-245</v>
      </c>
      <c r="K246" s="4">
        <f>F246/C246-1</f>
        <v>-0.29201430274135876</v>
      </c>
      <c r="M246" s="5">
        <v>444.48</v>
      </c>
      <c r="N246" s="5">
        <v>310.83999999999997</v>
      </c>
      <c r="Q246" s="139">
        <v>2619.85</v>
      </c>
      <c r="U246" s="127">
        <f>N246-M246</f>
        <v>-133.64000000000004</v>
      </c>
      <c r="V246" s="4">
        <f>IF(M246=0,0,N246/M246-1)</f>
        <v>-0.30066594672426217</v>
      </c>
      <c r="W246" s="18">
        <v>19348.490000000002</v>
      </c>
      <c r="X246" s="18">
        <v>15196.4</v>
      </c>
      <c r="Y246" s="4">
        <f>X246/W246-1</f>
        <v>-0.21459504074995006</v>
      </c>
    </row>
    <row r="247" spans="1:27" ht="13.5" customHeight="1">
      <c r="A247" t="s">
        <v>519</v>
      </c>
      <c r="B247" t="s">
        <v>520</v>
      </c>
      <c r="C247" s="28">
        <v>981</v>
      </c>
      <c r="E247" t="s">
        <v>520</v>
      </c>
      <c r="F247" s="28">
        <v>584</v>
      </c>
      <c r="G247" t="b">
        <f>IF(B247=E247,TRUE,FALSE)</f>
        <v>1</v>
      </c>
      <c r="J247" s="25">
        <f>F247-C247</f>
        <v>-397</v>
      </c>
      <c r="K247" s="4">
        <f>F247/C247-1</f>
        <v>-0.40468909276248721</v>
      </c>
      <c r="M247" s="5">
        <v>634.49</v>
      </c>
      <c r="N247" s="5">
        <v>497.9</v>
      </c>
      <c r="Q247" s="139">
        <v>5135.57</v>
      </c>
      <c r="U247" s="127">
        <f>N247-M247</f>
        <v>-136.59000000000003</v>
      </c>
      <c r="V247" s="4">
        <f>IF(M247=0,0,N247/M247-1)</f>
        <v>-0.21527526044539713</v>
      </c>
      <c r="W247" s="18">
        <v>42756.899999999994</v>
      </c>
      <c r="X247" s="18">
        <v>27435.58</v>
      </c>
      <c r="Y247" s="4">
        <f>X247/W247-1</f>
        <v>-0.3583356136670337</v>
      </c>
    </row>
    <row r="248" spans="1:27" ht="17.25" customHeight="1">
      <c r="A248" t="s">
        <v>521</v>
      </c>
      <c r="B248" t="s">
        <v>522</v>
      </c>
      <c r="C248" s="28">
        <v>688</v>
      </c>
      <c r="E248" t="s">
        <v>522</v>
      </c>
      <c r="F248" s="28">
        <v>571</v>
      </c>
      <c r="G248" t="b">
        <f>IF(B248=E248,TRUE,FALSE)</f>
        <v>1</v>
      </c>
      <c r="J248" s="25">
        <f>F248-C248</f>
        <v>-117</v>
      </c>
      <c r="K248" s="4">
        <f>F248/C248-1</f>
        <v>-0.17005813953488369</v>
      </c>
      <c r="M248" s="5">
        <v>1576.88</v>
      </c>
      <c r="N248" s="5">
        <v>1300.3399999999999</v>
      </c>
      <c r="Q248" s="139">
        <v>8042.83</v>
      </c>
      <c r="U248" s="127">
        <f>N248-M248</f>
        <v>-276.54000000000019</v>
      </c>
      <c r="V248" s="4">
        <f>IF(M248=0,0,N248/M248-1)</f>
        <v>-0.17537161990766592</v>
      </c>
      <c r="W248" s="18">
        <v>20601.400000000001</v>
      </c>
      <c r="X248" s="18">
        <v>17097.25</v>
      </c>
      <c r="Y248" s="4">
        <f>X248/W248-1</f>
        <v>-0.17009280922655745</v>
      </c>
    </row>
    <row r="249" spans="1:27" ht="17.25" customHeight="1">
      <c r="A249" t="s">
        <v>523</v>
      </c>
      <c r="B249" t="s">
        <v>524</v>
      </c>
      <c r="C249" s="28">
        <v>7</v>
      </c>
      <c r="E249" t="s">
        <v>524</v>
      </c>
      <c r="F249" s="28">
        <v>567</v>
      </c>
      <c r="G249" t="b">
        <f>IF(B249=E249,TRUE,FALSE)</f>
        <v>1</v>
      </c>
      <c r="J249" s="25">
        <f>F249-C249</f>
        <v>560</v>
      </c>
      <c r="K249" s="4">
        <f>F249/C249-1</f>
        <v>80</v>
      </c>
      <c r="L249" s="5"/>
      <c r="M249" s="5">
        <v>1.1000000000000001</v>
      </c>
      <c r="N249" s="5">
        <v>674.03</v>
      </c>
      <c r="O249" s="5"/>
      <c r="P249" s="5"/>
      <c r="Q249" s="139">
        <v>4408.08</v>
      </c>
      <c r="R249" s="5"/>
      <c r="S249" s="5"/>
      <c r="T249" s="5"/>
      <c r="U249" s="127">
        <f>N249-M249</f>
        <v>672.93</v>
      </c>
      <c r="V249" s="4">
        <f>IF(M249=0,0,N249/M249-1)</f>
        <v>611.75454545454534</v>
      </c>
      <c r="W249" s="18">
        <v>167.65</v>
      </c>
      <c r="X249" s="18">
        <v>13578.21</v>
      </c>
      <c r="Y249" s="4">
        <f>X249/W249-1</f>
        <v>79.991410677005661</v>
      </c>
    </row>
    <row r="250" spans="1:27" ht="17.25" customHeight="1">
      <c r="A250" s="54" t="s">
        <v>525</v>
      </c>
      <c r="B250" s="37" t="s">
        <v>526</v>
      </c>
      <c r="C250" s="28">
        <v>628</v>
      </c>
      <c r="E250" s="37" t="s">
        <v>526</v>
      </c>
      <c r="F250" s="28">
        <v>546</v>
      </c>
      <c r="G250" t="b">
        <f>IF(B250=E250,TRUE,FALSE)</f>
        <v>1</v>
      </c>
      <c r="J250" s="25">
        <f>F250-C250</f>
        <v>-82</v>
      </c>
      <c r="K250" s="4">
        <f>F250/C250-1</f>
        <v>-0.13057324840764328</v>
      </c>
      <c r="M250" s="5">
        <v>1312.38</v>
      </c>
      <c r="N250" s="5">
        <v>1153.6099999999999</v>
      </c>
      <c r="Q250" s="138">
        <v>9019.7099999999991</v>
      </c>
      <c r="U250" s="127">
        <f>N250-M250</f>
        <v>-158.77000000000021</v>
      </c>
      <c r="V250" s="4">
        <f>IF(M250=0,0,N250/M250-1)</f>
        <v>-0.12097867995550082</v>
      </c>
      <c r="W250" s="18">
        <v>12428.72</v>
      </c>
      <c r="X250" s="18">
        <v>10873.76</v>
      </c>
      <c r="Y250" s="4">
        <f>X250/W250-1</f>
        <v>-0.12511022856738263</v>
      </c>
    </row>
    <row r="251" spans="1:27" ht="17.25" customHeight="1">
      <c r="A251" t="s">
        <v>527</v>
      </c>
      <c r="B251" t="s">
        <v>528</v>
      </c>
      <c r="C251" s="28">
        <v>581</v>
      </c>
      <c r="E251" t="s">
        <v>528</v>
      </c>
      <c r="F251" s="28">
        <v>544</v>
      </c>
      <c r="G251" t="b">
        <f>IF(B251=E251,TRUE,FALSE)</f>
        <v>1</v>
      </c>
      <c r="J251" s="25">
        <f>F251-C251</f>
        <v>-37</v>
      </c>
      <c r="K251" s="4">
        <f>F251/C251-1</f>
        <v>-6.3683304647160099E-2</v>
      </c>
      <c r="M251" s="5">
        <v>618.76</v>
      </c>
      <c r="N251" s="5">
        <v>327.7</v>
      </c>
      <c r="Q251" s="139">
        <v>3841.61</v>
      </c>
      <c r="U251" s="127">
        <f>N251-M251</f>
        <v>-291.06</v>
      </c>
      <c r="V251" s="4">
        <f>IF(M251=0,0,N251/M251-1)</f>
        <v>-0.47039239769862307</v>
      </c>
      <c r="W251" s="18">
        <v>13990.18</v>
      </c>
      <c r="X251" s="18">
        <v>14682.02</v>
      </c>
      <c r="Y251" s="4">
        <f>X251/W251-1</f>
        <v>4.945182978346252E-2</v>
      </c>
    </row>
    <row r="252" spans="1:27" ht="17.25" customHeight="1">
      <c r="A252" t="s">
        <v>529</v>
      </c>
      <c r="B252" t="s">
        <v>530</v>
      </c>
      <c r="C252" s="28">
        <v>771</v>
      </c>
      <c r="E252" t="s">
        <v>530</v>
      </c>
      <c r="F252" s="28">
        <v>542</v>
      </c>
      <c r="G252" t="b">
        <f>IF(B252=E252,TRUE,FALSE)</f>
        <v>1</v>
      </c>
      <c r="J252" s="25">
        <f>F252-C252</f>
        <v>-229</v>
      </c>
      <c r="K252" s="4">
        <f>F252/C252-1</f>
        <v>-0.2970168612191959</v>
      </c>
      <c r="M252" s="5">
        <v>330.6</v>
      </c>
      <c r="N252" s="5">
        <v>249.94</v>
      </c>
      <c r="Q252" s="139">
        <v>3798.71</v>
      </c>
      <c r="U252" s="127">
        <f>N252-M252</f>
        <v>-80.660000000000025</v>
      </c>
      <c r="V252" s="4">
        <f>IF(M252=0,0,N252/M252-1)</f>
        <v>-0.24398064125831831</v>
      </c>
      <c r="W252" s="18">
        <v>26173.23</v>
      </c>
      <c r="X252" s="18">
        <v>21101.15</v>
      </c>
      <c r="Y252" s="4">
        <f>X252/W252-1</f>
        <v>-0.19378884455605971</v>
      </c>
    </row>
    <row r="253" spans="1:27" ht="17.25" customHeight="1">
      <c r="A253" t="s">
        <v>531</v>
      </c>
      <c r="B253" t="s">
        <v>532</v>
      </c>
      <c r="C253" s="28">
        <v>396</v>
      </c>
      <c r="E253" t="s">
        <v>532</v>
      </c>
      <c r="F253" s="28">
        <v>540</v>
      </c>
      <c r="G253" t="b">
        <f>IF(B253=E253,TRUE,FALSE)</f>
        <v>1</v>
      </c>
      <c r="J253" s="25">
        <f>F253-C253</f>
        <v>144</v>
      </c>
      <c r="K253" s="4">
        <f>F253/C253-1</f>
        <v>0.36363636363636354</v>
      </c>
      <c r="M253" s="5">
        <v>435.06</v>
      </c>
      <c r="N253" s="5">
        <v>527.48</v>
      </c>
      <c r="Q253" s="139">
        <v>2587</v>
      </c>
      <c r="U253" s="127">
        <f>N253-M253</f>
        <v>92.420000000000016</v>
      </c>
      <c r="V253" s="4">
        <f>IF(M253=0,0,N253/M253-1)</f>
        <v>0.2124304693605481</v>
      </c>
      <c r="W253" s="18">
        <v>6241.0999999999995</v>
      </c>
      <c r="X253" s="18">
        <v>8348.7099999999991</v>
      </c>
      <c r="Y253" s="4">
        <f>X253/W253-1</f>
        <v>0.33769848263927837</v>
      </c>
    </row>
    <row r="254" spans="1:27" ht="13.5" customHeight="1">
      <c r="A254" t="s">
        <v>533</v>
      </c>
      <c r="B254" t="s">
        <v>534</v>
      </c>
      <c r="C254" s="28">
        <v>510</v>
      </c>
      <c r="E254" t="s">
        <v>534</v>
      </c>
      <c r="F254" s="28">
        <v>533</v>
      </c>
      <c r="G254" t="b">
        <f>IF(B254=E254,TRUE,FALSE)</f>
        <v>1</v>
      </c>
      <c r="J254" s="25">
        <f>F254-C254</f>
        <v>23</v>
      </c>
      <c r="K254" s="4">
        <f>F254/C254-1</f>
        <v>4.5098039215686336E-2</v>
      </c>
      <c r="M254" s="5">
        <v>0</v>
      </c>
      <c r="N254" s="5">
        <v>0</v>
      </c>
      <c r="Q254" s="139">
        <v>0</v>
      </c>
      <c r="U254" s="127">
        <f>N254-M254</f>
        <v>0</v>
      </c>
      <c r="V254" s="4">
        <f>IF(M254=0,0,N254/M254-1)</f>
        <v>0</v>
      </c>
      <c r="W254" s="18">
        <v>9504.9</v>
      </c>
      <c r="X254" s="18">
        <v>10652.47</v>
      </c>
      <c r="Y254" s="4">
        <f>X254/W254-1</f>
        <v>0.12073456848572839</v>
      </c>
    </row>
    <row r="255" spans="1:27" ht="15" customHeight="1">
      <c r="A255" s="143" t="s">
        <v>535</v>
      </c>
      <c r="B255" s="143" t="s">
        <v>536</v>
      </c>
      <c r="C255" s="28">
        <v>1011</v>
      </c>
      <c r="E255" s="143" t="s">
        <v>536</v>
      </c>
      <c r="F255" s="28">
        <v>518</v>
      </c>
      <c r="G255" t="b">
        <f>IF(B255=E255,TRUE,FALSE)</f>
        <v>1</v>
      </c>
      <c r="J255" s="25">
        <f>F255-C255</f>
        <v>-493</v>
      </c>
      <c r="K255" s="4">
        <f>F255/C255-1</f>
        <v>-0.48763600395647877</v>
      </c>
      <c r="M255" s="5">
        <v>2512.17</v>
      </c>
      <c r="N255" s="5">
        <v>1584.42</v>
      </c>
      <c r="Q255" s="138">
        <v>9681.75</v>
      </c>
      <c r="U255" s="127">
        <f>N255-M255</f>
        <v>-927.75</v>
      </c>
      <c r="V255" s="4">
        <f>IF(M255=0,0,N255/M255-1)</f>
        <v>-0.36930223671168749</v>
      </c>
      <c r="W255" s="18">
        <v>22178.9</v>
      </c>
      <c r="X255" s="18">
        <v>13614.66</v>
      </c>
      <c r="Y255" s="4">
        <f>X255/W255-1</f>
        <v>-0.38614358692270589</v>
      </c>
      <c r="AA255" t="s">
        <v>537</v>
      </c>
    </row>
    <row r="256" spans="1:27" ht="15" customHeight="1">
      <c r="A256" s="54" t="s">
        <v>538</v>
      </c>
      <c r="B256" s="37" t="s">
        <v>539</v>
      </c>
      <c r="C256" s="28">
        <v>857</v>
      </c>
      <c r="E256" s="37" t="s">
        <v>539</v>
      </c>
      <c r="F256" s="28">
        <v>517</v>
      </c>
      <c r="G256" t="b">
        <f>IF(B256=E256,TRUE,FALSE)</f>
        <v>1</v>
      </c>
      <c r="J256" s="25">
        <f>F256-C256</f>
        <v>-340</v>
      </c>
      <c r="K256" s="4">
        <f>F256/C256-1</f>
        <v>-0.39673278879813301</v>
      </c>
      <c r="M256" s="5">
        <v>2190.34</v>
      </c>
      <c r="N256" s="5">
        <v>1528.72</v>
      </c>
      <c r="Q256" s="138">
        <v>13245.29</v>
      </c>
      <c r="U256" s="127">
        <f>N256-M256</f>
        <v>-661.62000000000012</v>
      </c>
      <c r="V256" s="4">
        <f>IF(M256=0,0,N256/M256-1)</f>
        <v>-0.30206269346311532</v>
      </c>
      <c r="W256" s="18">
        <v>18712.650000000001</v>
      </c>
      <c r="X256" s="18">
        <v>14572.83</v>
      </c>
      <c r="Y256" s="4"/>
    </row>
    <row r="257" spans="1:25" ht="15" customHeight="1">
      <c r="A257" s="142" t="s">
        <v>540</v>
      </c>
      <c r="B257" s="142" t="s">
        <v>541</v>
      </c>
      <c r="C257" s="28">
        <v>1368</v>
      </c>
      <c r="E257" s="142" t="s">
        <v>541</v>
      </c>
      <c r="F257" s="28">
        <v>509</v>
      </c>
      <c r="G257" t="b">
        <f>IF(B257=E257,TRUE,FALSE)</f>
        <v>1</v>
      </c>
      <c r="J257" s="25">
        <f>F257-C257</f>
        <v>-859</v>
      </c>
      <c r="K257" s="4">
        <f>F257/C257-1</f>
        <v>-0.62792397660818722</v>
      </c>
      <c r="M257" s="5">
        <v>3878.77</v>
      </c>
      <c r="N257" s="5">
        <v>817.05</v>
      </c>
      <c r="Q257" s="138">
        <v>5036.28</v>
      </c>
      <c r="U257" s="127">
        <f>N257-M257</f>
        <v>-3061.7200000000003</v>
      </c>
      <c r="V257" s="4">
        <f>IF(M257=0,0,N257/M257-1)</f>
        <v>-0.78935332592548668</v>
      </c>
      <c r="W257" s="18">
        <v>54702.720000000001</v>
      </c>
      <c r="X257" s="18">
        <v>20351.71</v>
      </c>
      <c r="Y257" s="4"/>
    </row>
    <row r="258" spans="1:25" ht="15" customHeight="1">
      <c r="A258" s="54" t="s">
        <v>542</v>
      </c>
      <c r="B258" s="37" t="s">
        <v>543</v>
      </c>
      <c r="C258" s="28">
        <v>1103</v>
      </c>
      <c r="E258" s="37" t="s">
        <v>543</v>
      </c>
      <c r="F258" s="28">
        <v>507</v>
      </c>
      <c r="G258" t="b">
        <f>IF(B258=E258,TRUE,FALSE)</f>
        <v>1</v>
      </c>
      <c r="J258" s="25">
        <f>F258-C258</f>
        <v>-596</v>
      </c>
      <c r="K258" s="4">
        <f>F258/C258-1</f>
        <v>-0.5403445149592021</v>
      </c>
      <c r="M258" s="5">
        <v>1743.49</v>
      </c>
      <c r="N258" s="5">
        <v>1084.56</v>
      </c>
      <c r="Q258" s="138">
        <v>6788.3</v>
      </c>
      <c r="U258" s="127">
        <f>N258-M258</f>
        <v>-658.93000000000006</v>
      </c>
      <c r="V258" s="4">
        <f>IF(M258=0,0,N258/M258-1)</f>
        <v>-0.3779373555340152</v>
      </c>
      <c r="W258" s="18">
        <v>20257.57</v>
      </c>
      <c r="X258" s="18">
        <v>12348.68</v>
      </c>
      <c r="Y258" s="4">
        <f>X258/W258-1</f>
        <v>-0.39041652083640832</v>
      </c>
    </row>
    <row r="259" spans="1:25" ht="15" customHeight="1">
      <c r="A259" t="s">
        <v>544</v>
      </c>
      <c r="B259" t="s">
        <v>545</v>
      </c>
      <c r="C259" s="28">
        <v>664</v>
      </c>
      <c r="E259" t="s">
        <v>545</v>
      </c>
      <c r="F259" s="28">
        <v>503</v>
      </c>
      <c r="G259" t="b">
        <f>IF(B259=E259,TRUE,FALSE)</f>
        <v>1</v>
      </c>
      <c r="J259" s="25">
        <f>F259-C259</f>
        <v>-161</v>
      </c>
      <c r="K259" s="4">
        <f>F259/C259-1</f>
        <v>-0.24246987951807231</v>
      </c>
      <c r="M259" s="5">
        <v>1075.8900000000001</v>
      </c>
      <c r="N259" s="5">
        <v>568.49</v>
      </c>
      <c r="Q259" s="139">
        <v>2865.5</v>
      </c>
      <c r="U259" s="127">
        <f>N259-M259</f>
        <v>-507.40000000000009</v>
      </c>
      <c r="V259" s="4">
        <f>IF(M259=0,0,N259/M259-1)</f>
        <v>-0.47160955116229364</v>
      </c>
      <c r="W259" s="18">
        <v>12522.99</v>
      </c>
      <c r="X259" s="18">
        <v>10033.65</v>
      </c>
      <c r="Y259" s="4">
        <f>X259/W259-1</f>
        <v>-0.19878160087966212</v>
      </c>
    </row>
    <row r="260" spans="1:25" ht="15" customHeight="1">
      <c r="A260" s="54" t="s">
        <v>546</v>
      </c>
      <c r="B260" s="37" t="s">
        <v>547</v>
      </c>
      <c r="C260" s="19">
        <v>927</v>
      </c>
      <c r="E260" s="37" t="s">
        <v>547</v>
      </c>
      <c r="F260" s="19">
        <v>485</v>
      </c>
      <c r="G260" t="b">
        <f>IF(B260=E260,TRUE,FALSE)</f>
        <v>1</v>
      </c>
      <c r="J260" s="25">
        <f>F260-C260</f>
        <v>-442</v>
      </c>
      <c r="K260" s="4">
        <f>F260/C260-1</f>
        <v>-0.47680690399137005</v>
      </c>
      <c r="M260" s="5">
        <v>1327.27</v>
      </c>
      <c r="N260" s="5">
        <v>733.57</v>
      </c>
      <c r="Q260" s="138">
        <v>4275.8500000000004</v>
      </c>
      <c r="U260" s="127">
        <f>N260-M260</f>
        <v>-593.69999999999993</v>
      </c>
      <c r="V260" s="4">
        <f>IF(M260=0,0,N260/M260-1)</f>
        <v>-0.44730913830644858</v>
      </c>
      <c r="W260">
        <v>10744.03</v>
      </c>
      <c r="X260">
        <v>6784.87</v>
      </c>
      <c r="Y260" s="4">
        <f>X260/W260-1</f>
        <v>-0.36849859875670499</v>
      </c>
    </row>
    <row r="261" spans="1:25" ht="15" customHeight="1">
      <c r="A261" s="143" t="s">
        <v>548</v>
      </c>
      <c r="B261" s="143" t="s">
        <v>549</v>
      </c>
      <c r="C261" s="28">
        <v>204</v>
      </c>
      <c r="E261" s="143" t="s">
        <v>549</v>
      </c>
      <c r="F261" s="28">
        <v>484</v>
      </c>
      <c r="G261" t="b">
        <f>IF(B261=E261,TRUE,FALSE)</f>
        <v>1</v>
      </c>
      <c r="J261" s="25">
        <f>F261-C261</f>
        <v>280</v>
      </c>
      <c r="K261" s="4">
        <f>F261/C261-1</f>
        <v>1.3725490196078431</v>
      </c>
      <c r="M261" s="5">
        <v>537.75</v>
      </c>
      <c r="N261" s="5">
        <v>873.32</v>
      </c>
      <c r="Q261" s="138">
        <v>5874.29</v>
      </c>
      <c r="U261" s="127">
        <f>N261-M261</f>
        <v>335.57000000000005</v>
      </c>
      <c r="V261" s="4">
        <f>IF(M261=0,0,N261/M261-1)</f>
        <v>0.62402603440260362</v>
      </c>
      <c r="W261" s="18">
        <v>6042.6500000000005</v>
      </c>
      <c r="X261" s="18">
        <v>13107.28</v>
      </c>
      <c r="Y261" s="4">
        <f>X261/W261-1</f>
        <v>1.1691277833400906</v>
      </c>
    </row>
    <row r="262" spans="1:25" ht="15" customHeight="1">
      <c r="A262" s="142" t="s">
        <v>550</v>
      </c>
      <c r="B262" s="37" t="s">
        <v>551</v>
      </c>
      <c r="C262" s="28">
        <v>1365</v>
      </c>
      <c r="E262" s="37" t="s">
        <v>551</v>
      </c>
      <c r="F262" s="28">
        <v>480</v>
      </c>
      <c r="G262" t="b">
        <f>IF(B262=E262,TRUE,FALSE)</f>
        <v>1</v>
      </c>
      <c r="J262" s="25">
        <f>F262-C262</f>
        <v>-885</v>
      </c>
      <c r="K262" s="4">
        <f>F262/C262-1</f>
        <v>-0.64835164835164827</v>
      </c>
      <c r="M262" s="5">
        <v>1151.92</v>
      </c>
      <c r="N262" s="5">
        <v>560.6</v>
      </c>
      <c r="Q262" s="138">
        <v>2111.5</v>
      </c>
      <c r="U262" s="127">
        <f>N262-M262</f>
        <v>-591.32000000000005</v>
      </c>
      <c r="V262" s="4">
        <f>IF(M262=0,0,N262/M262-1)</f>
        <v>-0.51333425932356413</v>
      </c>
      <c r="W262" s="18">
        <v>14692.11</v>
      </c>
      <c r="X262" s="18">
        <v>8238.9699999999993</v>
      </c>
      <c r="Y262" s="4">
        <f>X262/W262-1</f>
        <v>-0.43922486286857376</v>
      </c>
    </row>
    <row r="263" spans="1:25" ht="15" customHeight="1">
      <c r="A263" s="54" t="s">
        <v>552</v>
      </c>
      <c r="B263" s="37" t="s">
        <v>553</v>
      </c>
      <c r="C263" s="28">
        <v>1503</v>
      </c>
      <c r="E263" s="37" t="s">
        <v>553</v>
      </c>
      <c r="F263" s="28">
        <v>478</v>
      </c>
      <c r="G263" t="b">
        <f>IF(B263=E263,TRUE,FALSE)</f>
        <v>1</v>
      </c>
      <c r="J263" s="25">
        <f>F263-C263</f>
        <v>-1025</v>
      </c>
      <c r="K263" s="4">
        <f>F263/C263-1</f>
        <v>-0.68196939454424488</v>
      </c>
      <c r="M263" s="5">
        <v>1799.65</v>
      </c>
      <c r="N263" s="5">
        <v>624.49</v>
      </c>
      <c r="Q263" s="139">
        <v>3403.27</v>
      </c>
      <c r="U263" s="127">
        <f>N263-M263</f>
        <v>-1175.1600000000001</v>
      </c>
      <c r="V263" s="4">
        <f>IF(M263=0,0,N263/M263-1)</f>
        <v>-0.65299363765176566</v>
      </c>
      <c r="W263" s="18">
        <v>18051.09</v>
      </c>
      <c r="X263" s="18">
        <v>8120.54</v>
      </c>
      <c r="Y263" s="4">
        <f>X263/W263-1</f>
        <v>-0.55013575357499189</v>
      </c>
    </row>
    <row r="264" spans="1:25" ht="15" customHeight="1">
      <c r="A264" s="143" t="s">
        <v>554</v>
      </c>
      <c r="B264" s="143" t="s">
        <v>555</v>
      </c>
      <c r="C264" s="28">
        <v>197</v>
      </c>
      <c r="E264" s="143" t="s">
        <v>555</v>
      </c>
      <c r="F264" s="28">
        <v>477</v>
      </c>
      <c r="G264" t="b">
        <f>IF(B264=E264,TRUE,FALSE)</f>
        <v>1</v>
      </c>
      <c r="J264" s="25">
        <f>F264-C264</f>
        <v>280</v>
      </c>
      <c r="K264" s="4">
        <f>F264/C264-1</f>
        <v>1.4213197969543145</v>
      </c>
      <c r="M264" s="5">
        <v>417.69</v>
      </c>
      <c r="N264" s="5">
        <v>1240.3</v>
      </c>
      <c r="Q264" s="138">
        <v>8665</v>
      </c>
      <c r="U264" s="127">
        <f>N264-M264</f>
        <v>822.6099999999999</v>
      </c>
      <c r="V264" s="4">
        <f>IF(M264=0,0,N264/M264-1)</f>
        <v>1.9694270870741457</v>
      </c>
      <c r="W264" s="18">
        <v>5723.1</v>
      </c>
      <c r="X264" s="18">
        <v>12932.279999999999</v>
      </c>
      <c r="Y264" s="4">
        <f>X264/W264-1</f>
        <v>1.2596634690989146</v>
      </c>
    </row>
    <row r="265" spans="1:25" ht="15" customHeight="1">
      <c r="A265" t="s">
        <v>556</v>
      </c>
      <c r="B265" t="s">
        <v>557</v>
      </c>
      <c r="C265" s="28">
        <v>700</v>
      </c>
      <c r="E265" t="s">
        <v>557</v>
      </c>
      <c r="F265" s="28">
        <v>475</v>
      </c>
      <c r="G265" t="b">
        <f>IF(B265=E265,TRUE,FALSE)</f>
        <v>1</v>
      </c>
      <c r="J265" s="25">
        <f>F265-C265</f>
        <v>-225</v>
      </c>
      <c r="K265" s="4">
        <f>F265/C265-1</f>
        <v>-0.3214285714285714</v>
      </c>
      <c r="M265" s="5">
        <v>892.26</v>
      </c>
      <c r="N265" s="5">
        <v>656.78</v>
      </c>
      <c r="Q265" s="139">
        <v>2476.8000000000002</v>
      </c>
      <c r="U265" s="127">
        <f>N265-M265</f>
        <v>-235.48000000000002</v>
      </c>
      <c r="V265" s="4">
        <f>IF(M265=0,0,N265/M265-1)</f>
        <v>-0.26391410575392826</v>
      </c>
      <c r="W265" s="18">
        <v>10636.03</v>
      </c>
      <c r="X265" s="18">
        <v>10182.98</v>
      </c>
      <c r="Y265" s="4">
        <f>X265/W265-1</f>
        <v>-4.2595780568501662E-2</v>
      </c>
    </row>
    <row r="266" spans="1:25" ht="15" customHeight="1">
      <c r="A266" s="54" t="s">
        <v>558</v>
      </c>
      <c r="B266" s="37" t="s">
        <v>559</v>
      </c>
      <c r="C266" s="28">
        <v>280</v>
      </c>
      <c r="E266" s="37" t="s">
        <v>559</v>
      </c>
      <c r="F266" s="28">
        <v>472</v>
      </c>
      <c r="G266" t="b">
        <f>IF(B266=E266,TRUE,FALSE)</f>
        <v>1</v>
      </c>
      <c r="J266" s="25">
        <f>F266-C266</f>
        <v>192</v>
      </c>
      <c r="K266" s="4">
        <f>F266/C266-1</f>
        <v>0.68571428571428572</v>
      </c>
      <c r="M266" s="5">
        <v>779.7</v>
      </c>
      <c r="N266" s="5">
        <v>1202.57</v>
      </c>
      <c r="Q266" s="138">
        <v>4994.3500000000004</v>
      </c>
      <c r="U266" s="127">
        <f>N266-M266</f>
        <v>422.86999999999989</v>
      </c>
      <c r="V266" s="4">
        <f>IF(M266=0,0,N266/M266-1)</f>
        <v>0.54234962164935219</v>
      </c>
      <c r="W266" s="18">
        <v>3531.8</v>
      </c>
      <c r="X266" s="18">
        <v>4714.9799999999996</v>
      </c>
      <c r="Y266" s="4">
        <f>X266/W266-1</f>
        <v>0.33500764482700029</v>
      </c>
    </row>
    <row r="267" spans="1:25" ht="15" customHeight="1">
      <c r="A267" s="54" t="s">
        <v>560</v>
      </c>
      <c r="B267" s="37" t="s">
        <v>561</v>
      </c>
      <c r="C267" s="28">
        <v>869</v>
      </c>
      <c r="E267" s="37" t="s">
        <v>561</v>
      </c>
      <c r="F267" s="28">
        <v>472</v>
      </c>
      <c r="G267" t="b">
        <f>IF(B267=E267,TRUE,FALSE)</f>
        <v>1</v>
      </c>
      <c r="J267" s="25">
        <f>F267-C267</f>
        <v>-397</v>
      </c>
      <c r="K267" s="4">
        <f>F267/C267-1</f>
        <v>-0.45684695051783664</v>
      </c>
      <c r="M267" s="5">
        <v>1589.45</v>
      </c>
      <c r="N267" s="5">
        <v>1045.97</v>
      </c>
      <c r="Q267" s="138">
        <v>6095.99</v>
      </c>
      <c r="U267" s="127">
        <f>N267-M267</f>
        <v>-543.48</v>
      </c>
      <c r="V267" s="4">
        <f>IF(M267=0,0,N267/M267-1)</f>
        <v>-0.34192959828871627</v>
      </c>
      <c r="W267" s="18">
        <v>14555.12</v>
      </c>
      <c r="X267" s="18">
        <v>11509.28</v>
      </c>
      <c r="Y267" s="4">
        <f>X267/W267-1</f>
        <v>-0.20926244510522762</v>
      </c>
    </row>
    <row r="268" spans="1:25" ht="15" customHeight="1">
      <c r="A268" t="s">
        <v>562</v>
      </c>
      <c r="B268" t="s">
        <v>563</v>
      </c>
      <c r="C268" s="28">
        <v>0</v>
      </c>
      <c r="E268" t="s">
        <v>563</v>
      </c>
      <c r="F268" s="28">
        <v>470</v>
      </c>
      <c r="G268" t="b">
        <f>IF(B268=E268,TRUE,FALSE)</f>
        <v>1</v>
      </c>
      <c r="J268" s="25">
        <f>F268-C268</f>
        <v>470</v>
      </c>
      <c r="K268" s="4" t="e">
        <f>F268/C268-1</f>
        <v>#DIV/0!</v>
      </c>
      <c r="M268" s="5">
        <v>0</v>
      </c>
      <c r="N268" s="5">
        <v>630.1</v>
      </c>
      <c r="Q268" s="139">
        <v>3306.32</v>
      </c>
      <c r="U268" s="127">
        <f>N268-M268</f>
        <v>630.1</v>
      </c>
      <c r="V268" s="4">
        <f>IF(M268=0,0,N268/M268-1)</f>
        <v>0</v>
      </c>
      <c r="W268" s="18">
        <v>0</v>
      </c>
      <c r="X268" s="18">
        <v>9463.18</v>
      </c>
      <c r="Y268" s="4" t="e">
        <f>X268/W268-1</f>
        <v>#DIV/0!</v>
      </c>
    </row>
    <row r="269" spans="1:25" ht="15" customHeight="1">
      <c r="A269" t="s">
        <v>564</v>
      </c>
      <c r="B269" t="s">
        <v>565</v>
      </c>
      <c r="C269" s="28">
        <v>570</v>
      </c>
      <c r="E269" t="s">
        <v>565</v>
      </c>
      <c r="F269" s="28">
        <v>437</v>
      </c>
      <c r="G269" t="b">
        <f>IF(B269=E269,TRUE,FALSE)</f>
        <v>1</v>
      </c>
      <c r="J269" s="25">
        <f>F269-C269</f>
        <v>-133</v>
      </c>
      <c r="K269" s="4">
        <f>F269/C269-1</f>
        <v>-0.23333333333333328</v>
      </c>
      <c r="M269" s="5">
        <v>1286.1500000000001</v>
      </c>
      <c r="N269" s="5">
        <v>988.49</v>
      </c>
      <c r="Q269" s="139">
        <v>4586.55</v>
      </c>
      <c r="U269" s="127">
        <f>N269-M269</f>
        <v>-297.66000000000008</v>
      </c>
      <c r="V269" s="4">
        <f>IF(M269=0,0,N269/M269-1)</f>
        <v>-0.23143490261633559</v>
      </c>
      <c r="W269" s="18">
        <v>11987.9</v>
      </c>
      <c r="X269" s="18">
        <v>10305.4</v>
      </c>
      <c r="Y269" s="4">
        <f>X269/W269-1</f>
        <v>-0.14034985276820799</v>
      </c>
    </row>
    <row r="270" spans="1:25" ht="15" customHeight="1">
      <c r="A270" t="s">
        <v>566</v>
      </c>
      <c r="B270" t="s">
        <v>567</v>
      </c>
      <c r="C270" s="28">
        <v>831</v>
      </c>
      <c r="E270" t="s">
        <v>567</v>
      </c>
      <c r="F270" s="28">
        <v>419</v>
      </c>
      <c r="G270" t="b">
        <f>IF(B270=E270,TRUE,FALSE)</f>
        <v>1</v>
      </c>
      <c r="J270" s="25">
        <f>F270-C270</f>
        <v>-412</v>
      </c>
      <c r="K270" s="4">
        <f>F270/C270-1</f>
        <v>-0.49578820697954273</v>
      </c>
      <c r="M270" s="5">
        <v>696.1</v>
      </c>
      <c r="N270" s="5">
        <v>536.86</v>
      </c>
      <c r="Q270" s="139">
        <v>3209.39</v>
      </c>
      <c r="U270" s="127">
        <f>N270-M270</f>
        <v>-159.24</v>
      </c>
      <c r="V270" s="4">
        <f>IF(M270=0,0,N270/M270-1)</f>
        <v>-0.22876023559833358</v>
      </c>
      <c r="W270" s="18">
        <v>20614.269999999997</v>
      </c>
      <c r="X270" s="18">
        <v>10415.049999999999</v>
      </c>
      <c r="Y270" s="4">
        <f>X270/W270-1</f>
        <v>-0.49476503412441963</v>
      </c>
    </row>
    <row r="271" spans="1:25" ht="15" customHeight="1">
      <c r="A271" s="54" t="s">
        <v>568</v>
      </c>
      <c r="B271" s="37" t="s">
        <v>569</v>
      </c>
      <c r="C271" s="28">
        <v>528</v>
      </c>
      <c r="E271" s="37" t="s">
        <v>569</v>
      </c>
      <c r="F271" s="28">
        <v>413</v>
      </c>
      <c r="G271" t="b">
        <f>IF(B271=E271,TRUE,FALSE)</f>
        <v>1</v>
      </c>
      <c r="J271" s="25">
        <f>F271-C271</f>
        <v>-115</v>
      </c>
      <c r="K271" s="4">
        <f>F271/C271-1</f>
        <v>-0.21780303030303028</v>
      </c>
      <c r="M271" s="5">
        <v>785.12</v>
      </c>
      <c r="N271" s="5">
        <v>457.51</v>
      </c>
      <c r="Q271" s="139">
        <v>3458.67</v>
      </c>
      <c r="U271" s="127">
        <f>N271-M271</f>
        <v>-327.61</v>
      </c>
      <c r="V271" s="4">
        <f>IF(M271=0,0,N271/M271-1)</f>
        <v>-0.41727379254126762</v>
      </c>
      <c r="W271" s="18">
        <v>10554.14</v>
      </c>
      <c r="X271" s="18">
        <v>8255.58</v>
      </c>
      <c r="Y271" s="4">
        <f>X271/W271-1</f>
        <v>-0.21778752224245645</v>
      </c>
    </row>
    <row r="272" spans="1:25" ht="15" customHeight="1">
      <c r="A272" t="s">
        <v>570</v>
      </c>
      <c r="B272" t="s">
        <v>571</v>
      </c>
      <c r="C272" s="28">
        <v>586</v>
      </c>
      <c r="E272" t="s">
        <v>571</v>
      </c>
      <c r="F272" s="28">
        <v>413</v>
      </c>
      <c r="G272" t="b">
        <f>IF(B272=E272,TRUE,FALSE)</f>
        <v>1</v>
      </c>
      <c r="J272" s="25">
        <f>F272-C272</f>
        <v>-173</v>
      </c>
      <c r="K272" s="4">
        <f>F272/C272-1</f>
        <v>-0.29522184300341292</v>
      </c>
      <c r="M272" s="5">
        <v>1257.1500000000001</v>
      </c>
      <c r="N272" s="5">
        <v>804.67</v>
      </c>
      <c r="Q272" s="139">
        <v>3718.1400000000003</v>
      </c>
      <c r="U272" s="127">
        <f>N272-M272</f>
        <v>-452.48000000000013</v>
      </c>
      <c r="V272" s="4">
        <f>IF(M272=0,0,N272/M272-1)</f>
        <v>-0.35992522769756996</v>
      </c>
      <c r="W272" s="18">
        <v>9627.3799999999992</v>
      </c>
      <c r="X272" s="18">
        <v>8039.4</v>
      </c>
      <c r="Y272" s="4">
        <f>X272/W272-1</f>
        <v>-0.16494414887539488</v>
      </c>
    </row>
    <row r="273" spans="1:27" ht="15" customHeight="1">
      <c r="A273" s="143" t="s">
        <v>572</v>
      </c>
      <c r="B273" s="143" t="s">
        <v>573</v>
      </c>
      <c r="C273" s="28">
        <v>546</v>
      </c>
      <c r="E273" s="143" t="s">
        <v>573</v>
      </c>
      <c r="F273" s="28">
        <v>411</v>
      </c>
      <c r="G273" t="b">
        <f>IF(B273=E273,TRUE,FALSE)</f>
        <v>1</v>
      </c>
      <c r="J273" s="25">
        <f>F273-C273</f>
        <v>-135</v>
      </c>
      <c r="K273" s="4">
        <f>F273/C273-1</f>
        <v>-0.24725274725274726</v>
      </c>
      <c r="M273" s="5">
        <v>1384.24</v>
      </c>
      <c r="N273" s="5">
        <v>1248.03</v>
      </c>
      <c r="Q273" s="138">
        <v>7061.69</v>
      </c>
      <c r="U273" s="127">
        <f>N273-M273</f>
        <v>-136.21000000000004</v>
      </c>
      <c r="V273" s="4">
        <f>IF(M273=0,0,N273/M273-1)</f>
        <v>-9.8400566375772991E-2</v>
      </c>
      <c r="W273" s="18">
        <v>8585.56</v>
      </c>
      <c r="X273" s="18">
        <v>9588.9699999999993</v>
      </c>
      <c r="Y273" s="4">
        <f>X273/W273-1</f>
        <v>0.11687181733049434</v>
      </c>
    </row>
    <row r="274" spans="1:27" ht="15" customHeight="1">
      <c r="A274" t="s">
        <v>574</v>
      </c>
      <c r="B274" t="s">
        <v>575</v>
      </c>
      <c r="C274" s="28">
        <v>407</v>
      </c>
      <c r="E274" t="s">
        <v>575</v>
      </c>
      <c r="F274" s="28">
        <v>406</v>
      </c>
      <c r="G274" t="b">
        <f>IF(B274=E274,TRUE,FALSE)</f>
        <v>1</v>
      </c>
      <c r="J274" s="25">
        <f>F274-C274</f>
        <v>-1</v>
      </c>
      <c r="K274" s="4">
        <f>F274/C274-1</f>
        <v>-2.4570024570024218E-3</v>
      </c>
      <c r="M274" s="5">
        <v>1112.4000000000001</v>
      </c>
      <c r="N274" s="5">
        <v>1023.78</v>
      </c>
      <c r="Q274" s="139">
        <v>4258.53</v>
      </c>
      <c r="U274" s="127">
        <f>N274-M274</f>
        <v>-88.620000000000118</v>
      </c>
      <c r="V274" s="4">
        <f>IF(M274=0,0,N274/M274-1)</f>
        <v>-7.9665587918015257E-2</v>
      </c>
      <c r="W274" s="18">
        <v>8135.33</v>
      </c>
      <c r="X274" s="18">
        <v>8115.34</v>
      </c>
      <c r="Y274" s="4">
        <f>X274/W274-1</f>
        <v>-2.4571836667964808E-3</v>
      </c>
    </row>
    <row r="275" spans="1:27" ht="15" customHeight="1">
      <c r="A275" t="s">
        <v>576</v>
      </c>
      <c r="B275" t="s">
        <v>577</v>
      </c>
      <c r="C275" s="28">
        <v>542</v>
      </c>
      <c r="E275" t="s">
        <v>577</v>
      </c>
      <c r="F275" s="28">
        <v>406</v>
      </c>
      <c r="G275" t="b">
        <f>IF(B275=E275,TRUE,FALSE)</f>
        <v>1</v>
      </c>
      <c r="J275" s="25">
        <f>F275-C275</f>
        <v>-136</v>
      </c>
      <c r="K275" s="4">
        <f>F275/C275-1</f>
        <v>-0.25092250922509229</v>
      </c>
      <c r="M275" s="5">
        <v>1113.29</v>
      </c>
      <c r="N275" s="5">
        <v>758.45</v>
      </c>
      <c r="Q275" s="139">
        <v>4922.3900000000003</v>
      </c>
      <c r="U275" s="127">
        <f>N275-M275</f>
        <v>-354.83999999999992</v>
      </c>
      <c r="V275" s="4">
        <f>IF(M275=0,0,N275/M275-1)</f>
        <v>-0.31873096857063288</v>
      </c>
      <c r="W275" s="18">
        <v>9401.2000000000007</v>
      </c>
      <c r="X275" s="18">
        <v>7303.22</v>
      </c>
      <c r="Y275" s="4">
        <f>X275/W275-1</f>
        <v>-0.22316087308003241</v>
      </c>
    </row>
    <row r="276" spans="1:27" ht="15" customHeight="1">
      <c r="A276" s="143" t="s">
        <v>578</v>
      </c>
      <c r="B276" s="143" t="s">
        <v>579</v>
      </c>
      <c r="C276" s="28">
        <v>240</v>
      </c>
      <c r="E276" s="143" t="s">
        <v>579</v>
      </c>
      <c r="F276" s="28">
        <v>404</v>
      </c>
      <c r="G276" t="b">
        <f>IF(B276=E276,TRUE,FALSE)</f>
        <v>1</v>
      </c>
      <c r="J276" s="25">
        <f>F276-C276</f>
        <v>164</v>
      </c>
      <c r="K276" s="4">
        <f>F276/C276-1</f>
        <v>0.68333333333333335</v>
      </c>
      <c r="M276" s="5">
        <v>720.62</v>
      </c>
      <c r="N276" s="5">
        <v>1200.6099999999999</v>
      </c>
      <c r="Q276" s="138">
        <v>7497.8</v>
      </c>
      <c r="U276" s="127">
        <f>N276-M276</f>
        <v>479.9899999999999</v>
      </c>
      <c r="V276" s="4">
        <f>IF(M276=0,0,N276/M276-1)</f>
        <v>0.66607920956953715</v>
      </c>
      <c r="W276" s="18">
        <v>4909.1000000000004</v>
      </c>
      <c r="X276" s="18">
        <v>8175.7</v>
      </c>
      <c r="Y276" s="4">
        <f>X276/W276-1</f>
        <v>0.66541728626428442</v>
      </c>
    </row>
    <row r="277" spans="1:27" ht="15" customHeight="1">
      <c r="A277" s="54" t="s">
        <v>580</v>
      </c>
      <c r="B277" s="37" t="s">
        <v>581</v>
      </c>
      <c r="C277" s="28">
        <v>880</v>
      </c>
      <c r="E277" s="37" t="s">
        <v>581</v>
      </c>
      <c r="F277" s="28">
        <v>394</v>
      </c>
      <c r="G277" t="b">
        <f>IF(B277=E277,TRUE,FALSE)</f>
        <v>1</v>
      </c>
      <c r="J277" s="25">
        <f>F277-C277</f>
        <v>-486</v>
      </c>
      <c r="K277" s="4">
        <f>F277/C277-1</f>
        <v>-0.55227272727272725</v>
      </c>
      <c r="M277" s="5">
        <v>1204.53</v>
      </c>
      <c r="N277" s="5">
        <v>380.91</v>
      </c>
      <c r="Q277" s="138">
        <v>2410.2600000000002</v>
      </c>
      <c r="U277" s="127">
        <f>N277-M277</f>
        <v>-823.61999999999989</v>
      </c>
      <c r="V277" s="4">
        <f>IF(M277=0,0,N277/M277-1)</f>
        <v>-0.68376877288236904</v>
      </c>
      <c r="W277" s="18">
        <v>13421.03</v>
      </c>
      <c r="X277" s="18">
        <v>8534.6200000000008</v>
      </c>
      <c r="Y277" s="4">
        <f>X277/W277-1</f>
        <v>-0.36408606492944284</v>
      </c>
    </row>
    <row r="278" spans="1:27" ht="15" customHeight="1">
      <c r="A278" s="37" t="s">
        <v>582</v>
      </c>
      <c r="B278" s="37" t="s">
        <v>583</v>
      </c>
      <c r="C278" s="28">
        <v>537</v>
      </c>
      <c r="E278" s="37" t="s">
        <v>583</v>
      </c>
      <c r="F278" s="28">
        <v>390</v>
      </c>
      <c r="G278" t="b">
        <f>IF(B278=E278,TRUE,FALSE)</f>
        <v>1</v>
      </c>
      <c r="J278" s="25">
        <f>F278-C278</f>
        <v>-147</v>
      </c>
      <c r="K278" s="4">
        <f>F278/C278-1</f>
        <v>-0.27374301675977653</v>
      </c>
      <c r="M278" s="5">
        <v>711.04</v>
      </c>
      <c r="N278" s="5">
        <v>355.31</v>
      </c>
      <c r="Q278" s="139">
        <v>2263.58</v>
      </c>
      <c r="U278" s="127">
        <f>N278-M278</f>
        <v>-355.72999999999996</v>
      </c>
      <c r="V278" s="4">
        <f>IF(M278=0,0,N278/M278-1)</f>
        <v>-0.50029534203420334</v>
      </c>
      <c r="W278" s="18">
        <v>9123.1200000000008</v>
      </c>
      <c r="X278" s="18">
        <v>6625.76</v>
      </c>
      <c r="Y278" s="4">
        <f>X278/W278-1</f>
        <v>-0.2737396855461729</v>
      </c>
    </row>
    <row r="279" spans="1:27" ht="15" customHeight="1">
      <c r="A279" s="143" t="s">
        <v>584</v>
      </c>
      <c r="B279" s="37" t="s">
        <v>585</v>
      </c>
      <c r="C279" s="28">
        <v>626</v>
      </c>
      <c r="E279" s="37" t="s">
        <v>585</v>
      </c>
      <c r="F279" s="28">
        <v>386</v>
      </c>
      <c r="G279" t="b">
        <f>IF(B279=E279,TRUE,FALSE)</f>
        <v>1</v>
      </c>
      <c r="J279" s="25">
        <f>F279-C279</f>
        <v>-240</v>
      </c>
      <c r="K279" s="4">
        <f>F279/C279-1</f>
        <v>-0.38338658146964855</v>
      </c>
      <c r="M279" s="5">
        <v>854.93</v>
      </c>
      <c r="N279" s="5">
        <v>803</v>
      </c>
      <c r="Q279" s="138">
        <v>3982.65</v>
      </c>
      <c r="U279" s="127">
        <f>N279-M279</f>
        <v>-51.92999999999995</v>
      </c>
      <c r="V279" s="4">
        <f>IF(M279=0,0,N279/M279-1)</f>
        <v>-6.0741815119366493E-2</v>
      </c>
      <c r="W279" s="18">
        <v>9751.08</v>
      </c>
      <c r="X279" s="18">
        <v>7700.3</v>
      </c>
      <c r="Y279" s="4">
        <f>X279/W279-1</f>
        <v>-0.210313114034548</v>
      </c>
    </row>
    <row r="280" spans="1:27" ht="15" customHeight="1">
      <c r="A280" s="54" t="s">
        <v>586</v>
      </c>
      <c r="B280" s="37" t="s">
        <v>587</v>
      </c>
      <c r="C280" s="19">
        <v>1245</v>
      </c>
      <c r="E280" s="37" t="s">
        <v>587</v>
      </c>
      <c r="F280" s="19">
        <v>379</v>
      </c>
      <c r="G280" t="b">
        <f>IF(B280=E280,TRUE,FALSE)</f>
        <v>1</v>
      </c>
      <c r="J280" s="25">
        <f>F280-C280</f>
        <v>-866</v>
      </c>
      <c r="K280" s="4">
        <f>F280/C280-1</f>
        <v>-0.69558232931726915</v>
      </c>
      <c r="M280" s="5">
        <v>1265.8599999999999</v>
      </c>
      <c r="N280" s="5">
        <v>672.92</v>
      </c>
      <c r="Q280" s="138">
        <v>3363.87</v>
      </c>
      <c r="U280" s="127">
        <f>N280-M280</f>
        <v>-592.93999999999994</v>
      </c>
      <c r="V280" s="4">
        <f>IF(M280=0,0,N280/M280-1)</f>
        <v>-0.46840882878043388</v>
      </c>
      <c r="W280">
        <v>19555.25</v>
      </c>
      <c r="X280">
        <v>9810.5300000000007</v>
      </c>
      <c r="Y280" s="4">
        <f>X280/W280-1</f>
        <v>-0.49831733166285264</v>
      </c>
    </row>
    <row r="281" spans="1:27" ht="15" customHeight="1">
      <c r="A281" t="s">
        <v>588</v>
      </c>
      <c r="B281" t="s">
        <v>589</v>
      </c>
      <c r="C281" s="28">
        <v>444</v>
      </c>
      <c r="E281" t="s">
        <v>589</v>
      </c>
      <c r="F281" s="28">
        <v>376</v>
      </c>
      <c r="G281" t="b">
        <f>IF(B281=E281,TRUE,FALSE)</f>
        <v>1</v>
      </c>
      <c r="J281" s="25">
        <f>F281-C281</f>
        <v>-68</v>
      </c>
      <c r="K281" s="4">
        <f>F281/C281-1</f>
        <v>-0.15315315315315314</v>
      </c>
      <c r="M281" s="5">
        <v>628.66999999999996</v>
      </c>
      <c r="N281" s="5">
        <v>412.38</v>
      </c>
      <c r="Q281" s="139">
        <v>3437.86</v>
      </c>
      <c r="U281" s="127">
        <f>N281-M281</f>
        <v>-216.28999999999996</v>
      </c>
      <c r="V281" s="4">
        <f>IF(M281=0,0,N281/M281-1)</f>
        <v>-0.34404377495347316</v>
      </c>
      <c r="W281" s="18">
        <v>9744.92</v>
      </c>
      <c r="X281" s="18">
        <v>8252.98</v>
      </c>
      <c r="Y281" s="4">
        <f>X281/W281-1</f>
        <v>-0.15309925581739003</v>
      </c>
    </row>
    <row r="282" spans="1:27" ht="15" customHeight="1">
      <c r="A282" t="s">
        <v>590</v>
      </c>
      <c r="B282" t="s">
        <v>591</v>
      </c>
      <c r="C282" s="28">
        <v>0</v>
      </c>
      <c r="E282" t="s">
        <v>591</v>
      </c>
      <c r="F282" s="28">
        <v>374</v>
      </c>
      <c r="G282" t="b">
        <f>IF(B282=E282,TRUE,FALSE)</f>
        <v>1</v>
      </c>
      <c r="J282" s="25">
        <f>F282-C282</f>
        <v>374</v>
      </c>
      <c r="K282" s="4" t="e">
        <f>F282/C282-1</f>
        <v>#DIV/0!</v>
      </c>
      <c r="M282" s="5">
        <v>0</v>
      </c>
      <c r="N282" s="5">
        <v>155.16</v>
      </c>
      <c r="Q282" s="139">
        <v>3051.15</v>
      </c>
      <c r="V282" s="4"/>
      <c r="W282" s="18">
        <v>0</v>
      </c>
      <c r="X282" s="18">
        <v>20553.259999999998</v>
      </c>
      <c r="Y282" s="4" t="e">
        <f>X282/W282-1</f>
        <v>#DIV/0!</v>
      </c>
    </row>
    <row r="283" spans="1:27" ht="15" customHeight="1">
      <c r="A283" t="s">
        <v>592</v>
      </c>
      <c r="B283" t="s">
        <v>593</v>
      </c>
      <c r="C283" s="28">
        <v>567</v>
      </c>
      <c r="E283" t="s">
        <v>593</v>
      </c>
      <c r="F283" s="28">
        <v>373</v>
      </c>
      <c r="G283" t="b">
        <f>IF(B283=E283,TRUE,FALSE)</f>
        <v>1</v>
      </c>
      <c r="J283" s="25">
        <f>F283-C283</f>
        <v>-194</v>
      </c>
      <c r="K283" s="4">
        <f>F283/C283-1</f>
        <v>-0.3421516754850088</v>
      </c>
      <c r="M283" s="5">
        <v>746.98</v>
      </c>
      <c r="N283" s="5">
        <v>589.41</v>
      </c>
      <c r="Q283" s="139">
        <v>5115.75</v>
      </c>
      <c r="U283" s="127">
        <f>N283-M283</f>
        <v>-157.57000000000005</v>
      </c>
      <c r="V283" s="4">
        <f>IF(M283=0,0,N283/M283-1)</f>
        <v>-0.2109427293903452</v>
      </c>
      <c r="W283" s="18">
        <v>9912.14</v>
      </c>
      <c r="X283" s="18">
        <v>9547.5400000000009</v>
      </c>
      <c r="Y283" s="4">
        <f>X283/W283-1</f>
        <v>-3.6783176993060884E-2</v>
      </c>
    </row>
    <row r="284" spans="1:27" ht="15" customHeight="1">
      <c r="A284" s="143" t="s">
        <v>594</v>
      </c>
      <c r="B284" s="143" t="s">
        <v>595</v>
      </c>
      <c r="C284" s="28">
        <v>768</v>
      </c>
      <c r="E284" s="143" t="s">
        <v>595</v>
      </c>
      <c r="F284" s="28">
        <v>371</v>
      </c>
      <c r="G284" t="b">
        <f>IF(B284=E284,TRUE,FALSE)</f>
        <v>1</v>
      </c>
      <c r="J284" s="25">
        <f>F284-C284</f>
        <v>-397</v>
      </c>
      <c r="K284" s="4">
        <f>F284/C284-1</f>
        <v>-0.51692708333333326</v>
      </c>
      <c r="M284" s="5">
        <v>1824.24</v>
      </c>
      <c r="N284" s="5">
        <v>349.63</v>
      </c>
      <c r="Q284" s="138">
        <v>1832.89</v>
      </c>
      <c r="U284" s="127">
        <f>N284-M284</f>
        <v>-1474.6100000000001</v>
      </c>
      <c r="V284" s="4">
        <f>IF(M284=0,0,N284/M284-1)</f>
        <v>-0.80834210410910845</v>
      </c>
      <c r="W284" s="18">
        <v>18146.53</v>
      </c>
      <c r="X284" s="18">
        <v>9802.39</v>
      </c>
      <c r="Y284" s="4">
        <f>X284/W284-1</f>
        <v>-0.45982014192245013</v>
      </c>
      <c r="AA284" t="s">
        <v>596</v>
      </c>
    </row>
    <row r="285" spans="1:27" ht="15" customHeight="1">
      <c r="A285" t="s">
        <v>597</v>
      </c>
      <c r="B285" t="s">
        <v>598</v>
      </c>
      <c r="C285" s="28">
        <v>886</v>
      </c>
      <c r="E285" t="s">
        <v>598</v>
      </c>
      <c r="F285" s="28">
        <v>371</v>
      </c>
      <c r="G285" t="b">
        <f>IF(B285=E285,TRUE,FALSE)</f>
        <v>1</v>
      </c>
      <c r="J285" s="25">
        <f>F285-C285</f>
        <v>-515</v>
      </c>
      <c r="K285" s="4">
        <f>F285/C285-1</f>
        <v>-0.58126410835214448</v>
      </c>
      <c r="M285" s="5">
        <v>967.66000000000008</v>
      </c>
      <c r="N285" s="5">
        <v>516.28</v>
      </c>
      <c r="Q285" s="139">
        <v>3281.43</v>
      </c>
      <c r="U285" s="127">
        <f>N285-M285</f>
        <v>-451.38000000000011</v>
      </c>
      <c r="V285" s="4">
        <f>IF(M285=0,0,N285/M285-1)</f>
        <v>-0.46646549407849869</v>
      </c>
      <c r="W285" s="18">
        <v>16823.27</v>
      </c>
      <c r="X285" s="18">
        <v>7044.26</v>
      </c>
      <c r="Y285" s="4">
        <f>X285/W285-1</f>
        <v>-0.5812787882498468</v>
      </c>
    </row>
    <row r="286" spans="1:27" ht="15" customHeight="1">
      <c r="A286" s="54" t="s">
        <v>599</v>
      </c>
      <c r="B286" s="37" t="s">
        <v>600</v>
      </c>
      <c r="C286" s="19">
        <v>841</v>
      </c>
      <c r="E286" s="37" t="s">
        <v>600</v>
      </c>
      <c r="F286" s="19">
        <v>357</v>
      </c>
      <c r="G286" t="b">
        <f>IF(B286=E286,TRUE,FALSE)</f>
        <v>1</v>
      </c>
      <c r="J286" s="25">
        <f>F286-C286</f>
        <v>-484</v>
      </c>
      <c r="K286" s="4">
        <f>F286/C286-1</f>
        <v>-0.57550535077288933</v>
      </c>
      <c r="M286" s="5">
        <v>1268.52</v>
      </c>
      <c r="N286" s="5">
        <v>1004.71</v>
      </c>
      <c r="Q286" s="138">
        <v>5291.62</v>
      </c>
      <c r="U286" s="127">
        <f>N286-M286</f>
        <v>-263.80999999999995</v>
      </c>
      <c r="V286" s="4">
        <f>IF(M286=0,0,N286/M286-1)</f>
        <v>-0.20796676441837725</v>
      </c>
      <c r="W286">
        <v>12453.59</v>
      </c>
      <c r="X286">
        <v>7780.23</v>
      </c>
      <c r="Y286" s="4">
        <f>X286/W286-1</f>
        <v>-0.37526207302472625</v>
      </c>
    </row>
    <row r="287" spans="1:27" ht="15" customHeight="1">
      <c r="A287" s="143" t="s">
        <v>601</v>
      </c>
      <c r="B287" s="143" t="s">
        <v>602</v>
      </c>
      <c r="C287" s="28">
        <v>760</v>
      </c>
      <c r="E287" s="143" t="s">
        <v>602</v>
      </c>
      <c r="F287" s="28">
        <v>354</v>
      </c>
      <c r="G287" t="b">
        <f>IF(B287=E287,TRUE,FALSE)</f>
        <v>1</v>
      </c>
      <c r="J287" s="25">
        <f>F287-C287</f>
        <v>-406</v>
      </c>
      <c r="K287" s="4">
        <f>F287/C287-1</f>
        <v>-0.53421052631578947</v>
      </c>
      <c r="M287" s="5">
        <v>1618.97</v>
      </c>
      <c r="N287" s="5">
        <v>1075.28</v>
      </c>
      <c r="Q287" s="138">
        <v>6323.94</v>
      </c>
      <c r="U287" s="127">
        <f>N287-M287</f>
        <v>-543.69000000000005</v>
      </c>
      <c r="V287" s="4">
        <f>IF(M287=0,0,N287/M287-1)</f>
        <v>-0.33582462923957823</v>
      </c>
      <c r="W287" s="18">
        <v>12471.2</v>
      </c>
      <c r="X287" s="18">
        <v>6661.86</v>
      </c>
      <c r="Y287" s="4">
        <f>X287/W287-1</f>
        <v>-0.46582045031753161</v>
      </c>
    </row>
    <row r="288" spans="1:27" ht="15" customHeight="1">
      <c r="A288" t="s">
        <v>603</v>
      </c>
      <c r="B288" t="s">
        <v>604</v>
      </c>
      <c r="C288" s="28">
        <v>838</v>
      </c>
      <c r="E288" t="s">
        <v>604</v>
      </c>
      <c r="F288" s="28">
        <v>347</v>
      </c>
      <c r="G288" t="b">
        <f>IF(B288=E288,TRUE,FALSE)</f>
        <v>1</v>
      </c>
      <c r="J288" s="25">
        <f>F288-C288</f>
        <v>-491</v>
      </c>
      <c r="K288" s="4">
        <f>F288/C288-1</f>
        <v>-0.58591885441527447</v>
      </c>
      <c r="M288" s="5">
        <v>1677.41</v>
      </c>
      <c r="N288" s="5">
        <v>868.68</v>
      </c>
      <c r="Q288" s="139">
        <v>5385.53</v>
      </c>
      <c r="U288" s="127">
        <f>N288-M288</f>
        <v>-808.73000000000013</v>
      </c>
      <c r="V288" s="4">
        <f>IF(M288=0,0,N288/M288-1)</f>
        <v>-0.48213018880297609</v>
      </c>
      <c r="W288" s="18">
        <v>18536.12</v>
      </c>
      <c r="X288" s="18">
        <v>8670.7800000000007</v>
      </c>
      <c r="Y288" s="4">
        <f>X288/W288-1</f>
        <v>-0.53222249316469683</v>
      </c>
      <c r="AA288" t="s">
        <v>605</v>
      </c>
    </row>
    <row r="289" spans="1:27" ht="15" customHeight="1">
      <c r="A289" t="s">
        <v>606</v>
      </c>
      <c r="B289" t="s">
        <v>607</v>
      </c>
      <c r="C289" s="28">
        <v>907</v>
      </c>
      <c r="E289" t="s">
        <v>607</v>
      </c>
      <c r="F289" s="28">
        <v>346</v>
      </c>
      <c r="G289" t="b">
        <f>IF(B289=E289,TRUE,FALSE)</f>
        <v>1</v>
      </c>
      <c r="J289" s="25">
        <f>F289-C289</f>
        <v>-561</v>
      </c>
      <c r="K289" s="4">
        <f>F289/C289-1</f>
        <v>-0.61852260198456444</v>
      </c>
      <c r="M289" s="5">
        <v>1756.43</v>
      </c>
      <c r="N289" s="5">
        <v>733.87</v>
      </c>
      <c r="Q289" s="139">
        <v>4877.83</v>
      </c>
      <c r="U289" s="127">
        <f>N289-M289</f>
        <v>-1022.5600000000001</v>
      </c>
      <c r="V289" s="4">
        <f>IF(M289=0,0,N289/M289-1)</f>
        <v>-0.58218090103220743</v>
      </c>
      <c r="W289" s="18">
        <v>14226.53</v>
      </c>
      <c r="X289" s="18">
        <v>8441.2900000000009</v>
      </c>
      <c r="Y289" s="4">
        <f>X289/W289-1</f>
        <v>-0.40665151656798948</v>
      </c>
    </row>
    <row r="290" spans="1:27" ht="15" customHeight="1">
      <c r="A290" t="s">
        <v>608</v>
      </c>
      <c r="B290" t="s">
        <v>609</v>
      </c>
      <c r="C290" s="28">
        <v>467</v>
      </c>
      <c r="E290" t="s">
        <v>609</v>
      </c>
      <c r="F290" s="28">
        <v>345</v>
      </c>
      <c r="G290" t="b">
        <f>IF(B290=E290,TRUE,FALSE)</f>
        <v>1</v>
      </c>
      <c r="J290" s="25">
        <f>F290-C290</f>
        <v>-122</v>
      </c>
      <c r="K290" s="4">
        <f>F290/C290-1</f>
        <v>-0.26124197002141325</v>
      </c>
      <c r="M290" s="5">
        <v>1021.72</v>
      </c>
      <c r="N290" s="5">
        <v>620.91</v>
      </c>
      <c r="Q290" s="139">
        <v>3883.51</v>
      </c>
      <c r="U290" s="127">
        <f>N290-M290</f>
        <v>-400.81000000000006</v>
      </c>
      <c r="V290" s="4">
        <f>IF(M290=0,0,N290/M290-1)</f>
        <v>-0.39228947265395608</v>
      </c>
      <c r="W290" s="18">
        <v>11258.63</v>
      </c>
      <c r="X290" s="18">
        <v>9104.52</v>
      </c>
      <c r="Y290" s="4">
        <f>X290/W290-1</f>
        <v>-0.19132967332615058</v>
      </c>
    </row>
    <row r="291" spans="1:27" ht="15" customHeight="1">
      <c r="A291" t="s">
        <v>610</v>
      </c>
      <c r="B291" t="s">
        <v>611</v>
      </c>
      <c r="C291" s="28">
        <v>271</v>
      </c>
      <c r="E291" t="s">
        <v>611</v>
      </c>
      <c r="F291" s="28">
        <v>343</v>
      </c>
      <c r="G291" t="b">
        <f>IF(B291=E291,TRUE,FALSE)</f>
        <v>1</v>
      </c>
      <c r="J291" s="25">
        <f>F291-C291</f>
        <v>72</v>
      </c>
      <c r="K291" s="4">
        <f>F291/C291-1</f>
        <v>0.26568265682656822</v>
      </c>
      <c r="M291" s="5">
        <v>671.68</v>
      </c>
      <c r="N291" s="5">
        <v>993.82</v>
      </c>
      <c r="Q291" s="139">
        <v>6559.67</v>
      </c>
      <c r="U291" s="127">
        <f>N291-M291</f>
        <v>322.1400000000001</v>
      </c>
      <c r="V291" s="4">
        <f>IF(M291=0,0,N291/M291-1)</f>
        <v>0.4796033825631254</v>
      </c>
      <c r="W291" s="18">
        <v>6500.33</v>
      </c>
      <c r="X291" s="18">
        <v>8227.85</v>
      </c>
      <c r="Y291" s="4">
        <f>X291/W291-1</f>
        <v>0.26575881532168366</v>
      </c>
    </row>
    <row r="292" spans="1:27" ht="15" customHeight="1">
      <c r="A292" t="s">
        <v>612</v>
      </c>
      <c r="B292" t="s">
        <v>613</v>
      </c>
      <c r="C292" s="28">
        <v>316</v>
      </c>
      <c r="E292" t="s">
        <v>613</v>
      </c>
      <c r="F292" s="28">
        <v>336</v>
      </c>
      <c r="G292" t="b">
        <f>IF(B292=E292,TRUE,FALSE)</f>
        <v>1</v>
      </c>
      <c r="J292" s="25">
        <f>F292-C292</f>
        <v>20</v>
      </c>
      <c r="K292" s="4">
        <f>F292/C292-1</f>
        <v>6.3291139240506222E-2</v>
      </c>
      <c r="M292" s="5">
        <v>0</v>
      </c>
      <c r="N292" s="5">
        <v>0</v>
      </c>
      <c r="Q292" s="139">
        <v>0</v>
      </c>
      <c r="U292" s="127">
        <f>N292-M292</f>
        <v>0</v>
      </c>
      <c r="V292" s="4">
        <f>IF(M292=0,0,N292/M292-1)</f>
        <v>0</v>
      </c>
      <c r="W292" s="18">
        <v>6946.42</v>
      </c>
      <c r="X292" s="18">
        <v>7387.1</v>
      </c>
      <c r="Y292" s="4">
        <f>X292/W292-1</f>
        <v>6.3439872625035587E-2</v>
      </c>
    </row>
    <row r="293" spans="1:27" ht="15" customHeight="1">
      <c r="A293" t="s">
        <v>614</v>
      </c>
      <c r="B293" t="s">
        <v>615</v>
      </c>
      <c r="C293" s="28">
        <v>0</v>
      </c>
      <c r="E293" t="s">
        <v>615</v>
      </c>
      <c r="F293" s="28">
        <v>321</v>
      </c>
      <c r="G293" t="b">
        <f>IF(B293=E293,TRUE,FALSE)</f>
        <v>1</v>
      </c>
      <c r="J293" s="25">
        <f>F293-C293</f>
        <v>321</v>
      </c>
      <c r="K293" s="4" t="e">
        <f>F293/C293-1</f>
        <v>#DIV/0!</v>
      </c>
      <c r="M293" s="5">
        <v>0</v>
      </c>
      <c r="N293" s="5">
        <v>1173.03</v>
      </c>
      <c r="Q293" s="139">
        <v>8127.85</v>
      </c>
      <c r="V293" s="4"/>
      <c r="W293" s="18">
        <v>0</v>
      </c>
      <c r="X293" s="18">
        <v>7951.29</v>
      </c>
      <c r="Y293" s="4" t="e">
        <f>X293/W293-1</f>
        <v>#DIV/0!</v>
      </c>
    </row>
    <row r="294" spans="1:27" ht="15" customHeight="1">
      <c r="A294" t="s">
        <v>616</v>
      </c>
      <c r="B294" t="s">
        <v>617</v>
      </c>
      <c r="C294" s="28">
        <v>0</v>
      </c>
      <c r="E294" t="s">
        <v>617</v>
      </c>
      <c r="F294" s="28">
        <v>321</v>
      </c>
      <c r="G294" t="b">
        <f>IF(B294=E294,TRUE,FALSE)</f>
        <v>1</v>
      </c>
      <c r="J294" s="25">
        <f>F294-C294</f>
        <v>321</v>
      </c>
      <c r="K294" s="4" t="e">
        <f>F294/C294-1</f>
        <v>#DIV/0!</v>
      </c>
      <c r="M294" s="5">
        <v>0</v>
      </c>
      <c r="N294" s="5">
        <v>580.71</v>
      </c>
      <c r="Q294" s="139">
        <v>3829.19</v>
      </c>
      <c r="V294" s="4"/>
      <c r="W294" s="18">
        <v>0</v>
      </c>
      <c r="X294" s="18">
        <v>8018.79</v>
      </c>
      <c r="Y294" s="4" t="e">
        <f>X294/W294-1</f>
        <v>#DIV/0!</v>
      </c>
    </row>
    <row r="295" spans="1:27" ht="15" customHeight="1">
      <c r="A295" s="54" t="s">
        <v>618</v>
      </c>
      <c r="B295" s="37" t="s">
        <v>619</v>
      </c>
      <c r="C295" s="28">
        <v>395</v>
      </c>
      <c r="E295" s="37" t="s">
        <v>619</v>
      </c>
      <c r="F295" s="28">
        <v>320</v>
      </c>
      <c r="G295" t="b">
        <f>IF(B295=E295,TRUE,FALSE)</f>
        <v>1</v>
      </c>
      <c r="J295" s="25">
        <f>F295-C295</f>
        <v>-75</v>
      </c>
      <c r="K295" s="4">
        <f>F295/C295-1</f>
        <v>-0.189873417721519</v>
      </c>
      <c r="M295" s="5">
        <v>1443.95</v>
      </c>
      <c r="N295" s="5">
        <v>1060.18</v>
      </c>
      <c r="Q295" s="138">
        <v>5273.71</v>
      </c>
      <c r="U295" s="127">
        <f>N295-M295</f>
        <v>-383.77</v>
      </c>
      <c r="V295" s="4">
        <f>IF(M295=0,0,N295/M295-1)</f>
        <v>-0.26577790089684539</v>
      </c>
      <c r="W295" s="18">
        <v>17374.73</v>
      </c>
      <c r="X295" s="18">
        <v>14074.6</v>
      </c>
      <c r="Y295" s="4">
        <f>X295/W295-1</f>
        <v>-0.18993849113050965</v>
      </c>
    </row>
    <row r="296" spans="1:27" ht="15" customHeight="1">
      <c r="A296" s="54" t="s">
        <v>620</v>
      </c>
      <c r="B296" s="37" t="s">
        <v>621</v>
      </c>
      <c r="C296" s="28">
        <v>442</v>
      </c>
      <c r="E296" s="37" t="s">
        <v>621</v>
      </c>
      <c r="F296" s="28">
        <v>313</v>
      </c>
      <c r="G296" t="b">
        <f>IF(B296=E296,TRUE,FALSE)</f>
        <v>1</v>
      </c>
      <c r="J296" s="25">
        <f>F296-C296</f>
        <v>-129</v>
      </c>
      <c r="K296" s="4">
        <f>F296/C296-1</f>
        <v>-0.29185520361990946</v>
      </c>
      <c r="M296" s="5">
        <v>878.16</v>
      </c>
      <c r="N296" s="5">
        <v>558.67999999999995</v>
      </c>
      <c r="Q296" s="138">
        <v>3089.91</v>
      </c>
      <c r="U296" s="127">
        <f>N296-M296</f>
        <v>-319.48</v>
      </c>
      <c r="V296" s="4">
        <f>IF(M296=0,0,N296/M296-1)</f>
        <v>-0.36380614011114154</v>
      </c>
      <c r="W296" s="18">
        <v>4358.43</v>
      </c>
      <c r="X296" s="18">
        <v>3126.87</v>
      </c>
      <c r="Y296" s="4">
        <f>X296/W296-1</f>
        <v>-0.28256964090280223</v>
      </c>
    </row>
    <row r="297" spans="1:27" ht="15" customHeight="1">
      <c r="A297" s="37" t="s">
        <v>622</v>
      </c>
      <c r="B297" s="37" t="s">
        <v>623</v>
      </c>
      <c r="C297" s="28">
        <v>328</v>
      </c>
      <c r="E297" s="37" t="s">
        <v>623</v>
      </c>
      <c r="F297" s="28">
        <v>309</v>
      </c>
      <c r="G297" t="b">
        <f>IF(B297=E297,TRUE,FALSE)</f>
        <v>1</v>
      </c>
      <c r="J297" s="25">
        <f>F297-C297</f>
        <v>-19</v>
      </c>
      <c r="K297" s="4">
        <f>F297/C297-1</f>
        <v>-5.7926829268292734E-2</v>
      </c>
      <c r="M297" s="5">
        <v>539.26</v>
      </c>
      <c r="N297" s="5">
        <v>289.98</v>
      </c>
      <c r="Q297" s="139">
        <v>1268.3800000000001</v>
      </c>
      <c r="U297" s="127">
        <f>N297-M297</f>
        <v>-249.27999999999997</v>
      </c>
      <c r="V297" s="4">
        <f>IF(M297=0,0,N297/M297-1)</f>
        <v>-0.4622631012869487</v>
      </c>
      <c r="W297" s="18">
        <v>7691.97</v>
      </c>
      <c r="X297" s="18">
        <v>7721.91</v>
      </c>
      <c r="Y297" s="4">
        <f>X297/W297-1</f>
        <v>3.8923708750813191E-3</v>
      </c>
    </row>
    <row r="298" spans="1:27" ht="15" customHeight="1">
      <c r="A298" s="150" t="s">
        <v>624</v>
      </c>
      <c r="B298" s="149" t="s">
        <v>625</v>
      </c>
      <c r="C298" s="28">
        <v>715</v>
      </c>
      <c r="E298" s="149" t="s">
        <v>625</v>
      </c>
      <c r="F298" s="28">
        <v>305</v>
      </c>
      <c r="G298" t="b">
        <f>IF(B298=E298,TRUE,FALSE)</f>
        <v>1</v>
      </c>
      <c r="J298" s="25">
        <f>F298-C298</f>
        <v>-410</v>
      </c>
      <c r="K298" s="4">
        <f>F298/C298-1</f>
        <v>-0.57342657342657344</v>
      </c>
      <c r="M298" s="5">
        <v>1596.62</v>
      </c>
      <c r="N298" s="5">
        <v>756.01</v>
      </c>
      <c r="Q298" s="138">
        <v>4468.68</v>
      </c>
      <c r="U298" s="127">
        <f>N298-M298</f>
        <v>-840.6099999999999</v>
      </c>
      <c r="V298" s="4">
        <f>IF(M298=0,0,N298/M298-1)</f>
        <v>-0.52649346744998815</v>
      </c>
      <c r="W298" s="18">
        <v>12001.13</v>
      </c>
      <c r="X298" s="18">
        <v>6961.61</v>
      </c>
      <c r="Y298" s="4">
        <f>X298/W298-1</f>
        <v>-0.41992045749025297</v>
      </c>
    </row>
    <row r="299" spans="1:27" ht="15" customHeight="1">
      <c r="A299" t="s">
        <v>626</v>
      </c>
      <c r="B299" t="s">
        <v>627</v>
      </c>
      <c r="C299" s="28">
        <v>461</v>
      </c>
      <c r="E299" t="s">
        <v>627</v>
      </c>
      <c r="F299" s="28">
        <v>303</v>
      </c>
      <c r="G299" t="b">
        <f>IF(B299=E299,TRUE,FALSE)</f>
        <v>1</v>
      </c>
      <c r="J299" s="25">
        <f>F299-C299</f>
        <v>-158</v>
      </c>
      <c r="K299" s="4">
        <f>F299/C299-1</f>
        <v>-0.34273318872017355</v>
      </c>
      <c r="M299" s="5">
        <v>1179.67</v>
      </c>
      <c r="N299" s="5">
        <v>604.80999999999995</v>
      </c>
      <c r="Q299" s="139">
        <v>4338.22</v>
      </c>
      <c r="U299" s="127">
        <f>N299-M299</f>
        <v>-574.86000000000013</v>
      </c>
      <c r="V299" s="4">
        <f>IF(M299=0,0,N299/M299-1)</f>
        <v>-0.48730577195317337</v>
      </c>
      <c r="W299" s="18">
        <v>9196.75</v>
      </c>
      <c r="X299" s="18">
        <v>6043.85</v>
      </c>
      <c r="Y299" s="4">
        <f>X299/W299-1</f>
        <v>-0.34282762932557698</v>
      </c>
    </row>
    <row r="300" spans="1:27" ht="15" customHeight="1">
      <c r="A300" t="s">
        <v>628</v>
      </c>
      <c r="B300" t="s">
        <v>629</v>
      </c>
      <c r="C300" s="28">
        <v>465</v>
      </c>
      <c r="E300" t="s">
        <v>629</v>
      </c>
      <c r="F300" s="28">
        <v>303</v>
      </c>
      <c r="G300" t="b">
        <f>IF(B300=E300,TRUE,FALSE)</f>
        <v>1</v>
      </c>
      <c r="J300" s="25">
        <f>F300-C300</f>
        <v>-162</v>
      </c>
      <c r="K300" s="4">
        <f>F300/C300-1</f>
        <v>-0.34838709677419355</v>
      </c>
      <c r="M300" s="5">
        <v>327.06</v>
      </c>
      <c r="N300" s="5">
        <v>0</v>
      </c>
      <c r="Q300" s="139">
        <v>0</v>
      </c>
      <c r="U300" s="127">
        <f>N300-M300</f>
        <v>-327.06</v>
      </c>
      <c r="V300" s="4">
        <f>IF(M300=0,0,N300/M300-1)</f>
        <v>-1</v>
      </c>
      <c r="W300" s="18">
        <v>13926.75</v>
      </c>
      <c r="X300" s="18">
        <v>9048.94</v>
      </c>
      <c r="Y300" s="4">
        <f>X300/W300-1</f>
        <v>-0.35024754519180712</v>
      </c>
    </row>
    <row r="301" spans="1:27" ht="15" customHeight="1">
      <c r="A301" t="s">
        <v>630</v>
      </c>
      <c r="B301" t="s">
        <v>631</v>
      </c>
      <c r="C301" s="28">
        <v>308</v>
      </c>
      <c r="E301" t="s">
        <v>631</v>
      </c>
      <c r="F301" s="28">
        <v>286</v>
      </c>
      <c r="G301" t="b">
        <f>IF(B301=E301,TRUE,FALSE)</f>
        <v>1</v>
      </c>
      <c r="J301" s="25">
        <f>F301-C301</f>
        <v>-22</v>
      </c>
      <c r="K301" s="4">
        <f>F301/C301-1</f>
        <v>-7.1428571428571397E-2</v>
      </c>
      <c r="M301" s="5">
        <v>467.16</v>
      </c>
      <c r="N301" s="5">
        <v>283.83</v>
      </c>
      <c r="Q301" s="139">
        <v>1717.59</v>
      </c>
      <c r="U301" s="127">
        <f>N301-M301</f>
        <v>-183.33000000000004</v>
      </c>
      <c r="V301" s="4">
        <f>IF(M301=0,0,N301/M301-1)</f>
        <v>-0.39243513999486268</v>
      </c>
      <c r="W301" s="18">
        <v>5958.73</v>
      </c>
      <c r="X301" s="18">
        <v>5698.63</v>
      </c>
      <c r="Y301" s="4">
        <f>X301/W301-1</f>
        <v>-4.365024090703884E-2</v>
      </c>
    </row>
    <row r="302" spans="1:27" ht="15" customHeight="1">
      <c r="A302" t="s">
        <v>632</v>
      </c>
      <c r="B302" t="s">
        <v>633</v>
      </c>
      <c r="C302" s="28">
        <v>487</v>
      </c>
      <c r="E302" t="s">
        <v>633</v>
      </c>
      <c r="F302" s="28">
        <v>286</v>
      </c>
      <c r="G302" t="b">
        <f>IF(B302=E302,TRUE,FALSE)</f>
        <v>1</v>
      </c>
      <c r="J302" s="25">
        <f>F302-C302</f>
        <v>-201</v>
      </c>
      <c r="K302" s="4">
        <f>F302/C302-1</f>
        <v>-0.41273100616016423</v>
      </c>
      <c r="M302" s="5">
        <v>387.31</v>
      </c>
      <c r="N302" s="5">
        <v>242.95</v>
      </c>
      <c r="Q302" s="139">
        <v>1697.25</v>
      </c>
      <c r="U302" s="127">
        <f>N302-M302</f>
        <v>-144.36000000000001</v>
      </c>
      <c r="V302" s="4">
        <f>IF(M302=0,0,N302/M302-1)</f>
        <v>-0.37272469081614212</v>
      </c>
      <c r="W302" s="18">
        <v>17527.13</v>
      </c>
      <c r="X302" s="18">
        <v>8952.3799999999992</v>
      </c>
      <c r="Y302" s="4">
        <f>X302/W302-1</f>
        <v>-0.48922727223453022</v>
      </c>
    </row>
    <row r="303" spans="1:27" ht="15" customHeight="1">
      <c r="A303" s="54" t="s">
        <v>634</v>
      </c>
      <c r="B303" s="37" t="s">
        <v>635</v>
      </c>
      <c r="C303" s="19">
        <v>876</v>
      </c>
      <c r="E303" s="37" t="s">
        <v>635</v>
      </c>
      <c r="F303" s="19">
        <v>285</v>
      </c>
      <c r="G303" t="b">
        <f>IF(B303=E303,TRUE,FALSE)</f>
        <v>1</v>
      </c>
      <c r="J303" s="25">
        <f>F303-C303</f>
        <v>-591</v>
      </c>
      <c r="K303" s="4">
        <f>F303/C303-1</f>
        <v>-0.67465753424657526</v>
      </c>
      <c r="M303" s="5">
        <v>754.68</v>
      </c>
      <c r="N303" s="5">
        <v>352.04999999999995</v>
      </c>
      <c r="Q303" s="138">
        <v>1662.23</v>
      </c>
      <c r="U303" s="127">
        <f>N303-M303</f>
        <v>-402.63</v>
      </c>
      <c r="V303" s="4">
        <f>IF(M303=0,0,N303/M303-1)</f>
        <v>-0.53351089203370972</v>
      </c>
      <c r="W303">
        <v>10377.82</v>
      </c>
      <c r="X303">
        <v>5276.89</v>
      </c>
      <c r="Y303" s="4">
        <f>X303/W303-1</f>
        <v>-0.49152230429897603</v>
      </c>
    </row>
    <row r="304" spans="1:27" ht="15" customHeight="1">
      <c r="A304" s="143" t="s">
        <v>636</v>
      </c>
      <c r="B304" s="143" t="s">
        <v>637</v>
      </c>
      <c r="C304" s="28">
        <v>537</v>
      </c>
      <c r="E304" s="143" t="s">
        <v>637</v>
      </c>
      <c r="F304" s="28">
        <v>280</v>
      </c>
      <c r="G304" t="b">
        <f>IF(B304=E304,TRUE,FALSE)</f>
        <v>1</v>
      </c>
      <c r="J304" s="25">
        <f>F304-C304</f>
        <v>-257</v>
      </c>
      <c r="K304" s="4">
        <f>F304/C304-1</f>
        <v>-0.47858472998137802</v>
      </c>
      <c r="M304" s="5">
        <v>1246.33</v>
      </c>
      <c r="N304" s="5">
        <v>624.87</v>
      </c>
      <c r="Q304" s="138">
        <v>1623.33</v>
      </c>
      <c r="U304" s="127">
        <f>N304-M304</f>
        <v>-621.45999999999992</v>
      </c>
      <c r="V304" s="4">
        <f>IF(M304=0,0,N304/M304-1)</f>
        <v>-0.49863198350356641</v>
      </c>
      <c r="W304" s="18">
        <v>6172.67</v>
      </c>
      <c r="X304" s="18">
        <v>3670.85</v>
      </c>
      <c r="Y304" s="4">
        <f>X304/W304-1</f>
        <v>-0.405305969701928</v>
      </c>
      <c r="AA304" t="s">
        <v>638</v>
      </c>
    </row>
    <row r="305" spans="1:25" ht="15" customHeight="1">
      <c r="A305" s="54" t="s">
        <v>639</v>
      </c>
      <c r="B305" s="37" t="s">
        <v>640</v>
      </c>
      <c r="C305" s="28">
        <v>866</v>
      </c>
      <c r="E305" s="37" t="s">
        <v>640</v>
      </c>
      <c r="F305" s="28">
        <v>278</v>
      </c>
      <c r="G305" t="b">
        <f>IF(B305=E305,TRUE,FALSE)</f>
        <v>1</v>
      </c>
      <c r="J305" s="25">
        <f>F305-C305</f>
        <v>-588</v>
      </c>
      <c r="K305" s="4">
        <f>F305/C305-1</f>
        <v>-0.67898383371824478</v>
      </c>
      <c r="M305" s="5">
        <v>1358.66</v>
      </c>
      <c r="N305" s="5">
        <v>523.67999999999995</v>
      </c>
      <c r="Q305" s="138">
        <v>2671.5</v>
      </c>
      <c r="U305" s="127">
        <f>N305-M305</f>
        <v>-834.98000000000013</v>
      </c>
      <c r="V305" s="4">
        <f>IF(M305=0,0,N305/M305-1)</f>
        <v>-0.61456140609129584</v>
      </c>
      <c r="W305" s="18">
        <v>13767.26</v>
      </c>
      <c r="X305" s="18">
        <v>6267.22</v>
      </c>
      <c r="Y305" s="4"/>
    </row>
    <row r="306" spans="1:25" ht="15" customHeight="1">
      <c r="A306" t="s">
        <v>641</v>
      </c>
      <c r="B306" t="s">
        <v>642</v>
      </c>
      <c r="C306" s="28">
        <v>509</v>
      </c>
      <c r="E306" t="s">
        <v>642</v>
      </c>
      <c r="F306" s="28">
        <v>260</v>
      </c>
      <c r="G306" t="b">
        <f>IF(B306=E306,TRUE,FALSE)</f>
        <v>1</v>
      </c>
      <c r="J306" s="25">
        <f>F306-C306</f>
        <v>-249</v>
      </c>
      <c r="K306" s="4">
        <f>F306/C306-1</f>
        <v>-0.48919449901768175</v>
      </c>
      <c r="M306" s="5">
        <v>563.94000000000005</v>
      </c>
      <c r="N306" s="5">
        <v>355</v>
      </c>
      <c r="Q306" s="139">
        <v>2794.79</v>
      </c>
      <c r="U306" s="127">
        <f>N306-M306</f>
        <v>-208.94000000000005</v>
      </c>
      <c r="V306" s="4">
        <f>IF(M306=0,0,N306/M306-1)</f>
        <v>-0.3705004078448062</v>
      </c>
      <c r="W306" s="18">
        <v>12694.55</v>
      </c>
      <c r="X306" s="18">
        <v>6486.25</v>
      </c>
      <c r="Y306" s="4">
        <f>X306/W306-1</f>
        <v>-0.48905238862346434</v>
      </c>
    </row>
    <row r="307" spans="1:25" ht="15" customHeight="1">
      <c r="A307" t="s">
        <v>643</v>
      </c>
      <c r="B307" t="s">
        <v>644</v>
      </c>
      <c r="C307" s="28">
        <v>450</v>
      </c>
      <c r="E307" t="s">
        <v>644</v>
      </c>
      <c r="F307" s="28">
        <v>255</v>
      </c>
      <c r="G307" t="b">
        <f>IF(B307=E307,TRUE,FALSE)</f>
        <v>1</v>
      </c>
      <c r="J307" s="25">
        <f>F307-C307</f>
        <v>-195</v>
      </c>
      <c r="K307" s="4">
        <f>F307/C307-1</f>
        <v>-0.43333333333333335</v>
      </c>
      <c r="M307" s="5">
        <v>195.74</v>
      </c>
      <c r="N307" s="5">
        <v>0</v>
      </c>
      <c r="Q307" s="139">
        <v>0</v>
      </c>
      <c r="U307" s="127">
        <f>N307-M307</f>
        <v>-195.74</v>
      </c>
      <c r="V307" s="4">
        <f>IF(M307=0,0,N307/M307-1)</f>
        <v>-1</v>
      </c>
      <c r="W307" s="18">
        <v>8977.5</v>
      </c>
      <c r="X307" s="18">
        <v>4833.87</v>
      </c>
      <c r="Y307" s="4">
        <f>X307/W307-1</f>
        <v>-0.46155722639933172</v>
      </c>
    </row>
    <row r="308" spans="1:25" ht="15" customHeight="1">
      <c r="A308" s="54" t="s">
        <v>645</v>
      </c>
      <c r="B308" s="37" t="s">
        <v>646</v>
      </c>
      <c r="C308" s="19">
        <v>323</v>
      </c>
      <c r="E308" s="37" t="s">
        <v>646</v>
      </c>
      <c r="F308" s="19">
        <v>253</v>
      </c>
      <c r="G308" t="b">
        <f>IF(B308=E308,TRUE,FALSE)</f>
        <v>1</v>
      </c>
      <c r="J308" s="25">
        <f>F308-C308</f>
        <v>-70</v>
      </c>
      <c r="K308" s="4">
        <f>F308/C308-1</f>
        <v>-0.21671826625386992</v>
      </c>
      <c r="M308" s="5">
        <v>764.14</v>
      </c>
      <c r="N308" s="5">
        <v>558.49</v>
      </c>
      <c r="Q308" s="138">
        <v>2743.81</v>
      </c>
      <c r="U308" s="127">
        <f>N308-M308</f>
        <v>-205.64999999999998</v>
      </c>
      <c r="V308" s="4">
        <f>IF(M308=0,0,N308/M308-1)</f>
        <v>-0.26912607637343944</v>
      </c>
      <c r="W308">
        <v>6079.39</v>
      </c>
      <c r="X308">
        <v>5499.37</v>
      </c>
      <c r="Y308" s="4">
        <f>X308/W308-1</f>
        <v>-9.5407598459713916E-2</v>
      </c>
    </row>
    <row r="309" spans="1:25" ht="15" customHeight="1">
      <c r="A309" s="54" t="s">
        <v>647</v>
      </c>
      <c r="B309" s="37" t="s">
        <v>648</v>
      </c>
      <c r="C309" s="28">
        <v>982</v>
      </c>
      <c r="E309" s="37" t="s">
        <v>648</v>
      </c>
      <c r="F309" s="28">
        <v>253</v>
      </c>
      <c r="G309" t="b">
        <f>IF(B309=E309,TRUE,FALSE)</f>
        <v>1</v>
      </c>
      <c r="J309" s="25">
        <f>F309-C309</f>
        <v>-729</v>
      </c>
      <c r="K309" s="4">
        <f>F309/C309-1</f>
        <v>-0.74236252545824843</v>
      </c>
      <c r="M309" s="5">
        <v>1034.42</v>
      </c>
      <c r="N309" s="5">
        <v>474.33</v>
      </c>
      <c r="Q309" s="138">
        <v>896.06</v>
      </c>
      <c r="U309" s="127">
        <f>N309-M309</f>
        <v>-560.09000000000015</v>
      </c>
      <c r="V309" s="4">
        <f>IF(M309=0,0,N309/M309-1)</f>
        <v>-0.54145318149301058</v>
      </c>
      <c r="W309" s="18">
        <v>10419.09</v>
      </c>
      <c r="X309" s="18">
        <v>2527.4699999999998</v>
      </c>
      <c r="Y309" s="4">
        <f>X309/W309-1</f>
        <v>-0.75741931397079787</v>
      </c>
    </row>
    <row r="310" spans="1:25" ht="15" customHeight="1">
      <c r="A310" s="37" t="s">
        <v>649</v>
      </c>
      <c r="B310" s="37" t="s">
        <v>650</v>
      </c>
      <c r="C310" s="28">
        <v>324</v>
      </c>
      <c r="E310" s="37" t="s">
        <v>650</v>
      </c>
      <c r="F310" s="28">
        <v>248</v>
      </c>
      <c r="G310" t="b">
        <f>IF(B310=E310,TRUE,FALSE)</f>
        <v>1</v>
      </c>
      <c r="J310" s="25">
        <f>F310-C310</f>
        <v>-76</v>
      </c>
      <c r="K310" s="4">
        <f>F310/C310-1</f>
        <v>-0.23456790123456794</v>
      </c>
      <c r="M310" s="5">
        <v>528.96</v>
      </c>
      <c r="N310" s="5">
        <v>179</v>
      </c>
      <c r="Q310" s="138">
        <v>564.49</v>
      </c>
      <c r="U310" s="127">
        <f>N310-M310</f>
        <v>-349.96000000000004</v>
      </c>
      <c r="V310" s="4">
        <f>IF(M310=0,0,N310/M310-1)</f>
        <v>-0.66160012099213561</v>
      </c>
      <c r="W310" s="18">
        <v>3236.66</v>
      </c>
      <c r="X310" s="18">
        <v>2477.42</v>
      </c>
      <c r="Y310" s="4">
        <f>X310/W310-1</f>
        <v>-0.23457514845550653</v>
      </c>
    </row>
    <row r="311" spans="1:25" ht="15" customHeight="1">
      <c r="A311" s="142" t="s">
        <v>651</v>
      </c>
      <c r="B311" s="37" t="s">
        <v>652</v>
      </c>
      <c r="C311" s="28">
        <v>702</v>
      </c>
      <c r="E311" s="37" t="s">
        <v>652</v>
      </c>
      <c r="F311" s="28">
        <v>246</v>
      </c>
      <c r="G311" t="b">
        <f>IF(B311=E311,TRUE,FALSE)</f>
        <v>1</v>
      </c>
      <c r="J311" s="25">
        <f>F311-C311</f>
        <v>-456</v>
      </c>
      <c r="K311" s="4">
        <f>F311/C311-1</f>
        <v>-0.6495726495726496</v>
      </c>
      <c r="M311" s="5">
        <v>1105.8</v>
      </c>
      <c r="N311" s="5">
        <v>175.74</v>
      </c>
      <c r="Q311" s="138">
        <v>614.74</v>
      </c>
      <c r="U311" s="127">
        <f>N311-M311</f>
        <v>-930.06</v>
      </c>
      <c r="V311" s="4">
        <f>IF(M311=0,0,N311/M311-1)</f>
        <v>-0.84107433532284315</v>
      </c>
      <c r="W311" s="18">
        <v>7614.72</v>
      </c>
      <c r="X311" s="18">
        <v>3530.59</v>
      </c>
      <c r="Y311" s="4"/>
    </row>
    <row r="312" spans="1:25" ht="15" customHeight="1">
      <c r="A312" s="143" t="s">
        <v>653</v>
      </c>
      <c r="B312" s="37" t="s">
        <v>654</v>
      </c>
      <c r="C312" s="28">
        <v>601</v>
      </c>
      <c r="E312" s="37" t="s">
        <v>654</v>
      </c>
      <c r="F312" s="28">
        <v>240</v>
      </c>
      <c r="G312" t="b">
        <f>IF(B312=E312,TRUE,FALSE)</f>
        <v>1</v>
      </c>
      <c r="J312" s="25">
        <f>F312-C312</f>
        <v>-361</v>
      </c>
      <c r="K312" s="4">
        <f>F312/C312-1</f>
        <v>-0.60066555740432614</v>
      </c>
      <c r="M312" s="5">
        <v>1426.12</v>
      </c>
      <c r="N312" s="5">
        <v>721.45</v>
      </c>
      <c r="Q312" s="138">
        <v>4688.5</v>
      </c>
      <c r="U312" s="127">
        <f>N312-M312</f>
        <v>-704.66999999999985</v>
      </c>
      <c r="V312" s="4">
        <f>IF(M312=0,0,N312/M312-1)</f>
        <v>-0.49411690460830782</v>
      </c>
      <c r="W312" s="18">
        <v>6183.89</v>
      </c>
      <c r="X312" s="18">
        <v>4764.7</v>
      </c>
      <c r="Y312" s="4"/>
    </row>
    <row r="313" spans="1:25" ht="15" customHeight="1">
      <c r="A313" t="s">
        <v>655</v>
      </c>
      <c r="B313" t="s">
        <v>656</v>
      </c>
      <c r="C313" s="28">
        <v>343</v>
      </c>
      <c r="E313" t="s">
        <v>656</v>
      </c>
      <c r="F313" s="28">
        <v>238</v>
      </c>
      <c r="G313" t="b">
        <f>IF(B313=E313,TRUE,FALSE)</f>
        <v>1</v>
      </c>
      <c r="J313" s="25">
        <f>F313-C313</f>
        <v>-105</v>
      </c>
      <c r="K313" s="4">
        <f>F313/C313-1</f>
        <v>-0.30612244897959184</v>
      </c>
      <c r="M313" s="5">
        <v>807.62</v>
      </c>
      <c r="N313" s="5">
        <v>484.89</v>
      </c>
      <c r="Q313" s="139">
        <v>2791.22</v>
      </c>
      <c r="U313" s="127">
        <f>N313-M313</f>
        <v>-322.73</v>
      </c>
      <c r="V313" s="4">
        <f>IF(M313=0,0,N313/M313-1)</f>
        <v>-0.3996062504643273</v>
      </c>
      <c r="W313" s="18">
        <v>6999.05</v>
      </c>
      <c r="X313" s="18">
        <v>5330.66</v>
      </c>
      <c r="Y313" s="4">
        <f>X313/W313-1</f>
        <v>-0.23837377929861914</v>
      </c>
    </row>
    <row r="314" spans="1:25" ht="15" customHeight="1">
      <c r="A314" t="s">
        <v>657</v>
      </c>
      <c r="B314" t="s">
        <v>658</v>
      </c>
      <c r="C314" s="28">
        <v>764</v>
      </c>
      <c r="E314" t="s">
        <v>658</v>
      </c>
      <c r="F314" s="28">
        <v>238</v>
      </c>
      <c r="G314" t="b">
        <f>IF(B314=E314,TRUE,FALSE)</f>
        <v>1</v>
      </c>
      <c r="J314" s="25">
        <f>F314-C314</f>
        <v>-526</v>
      </c>
      <c r="K314" s="4">
        <f>F314/C314-1</f>
        <v>-0.68848167539267013</v>
      </c>
      <c r="M314" s="5">
        <v>1301.8699999999999</v>
      </c>
      <c r="N314" s="5">
        <v>677.06</v>
      </c>
      <c r="Q314" s="139">
        <v>3269</v>
      </c>
      <c r="U314" s="127">
        <f>N314-M314</f>
        <v>-624.80999999999995</v>
      </c>
      <c r="V314" s="4">
        <f>IF(M314=0,0,N314/M314-1)</f>
        <v>-0.47993271217556288</v>
      </c>
      <c r="W314" s="18">
        <v>9176.68</v>
      </c>
      <c r="X314" s="18">
        <v>4996.72</v>
      </c>
      <c r="Y314" s="4">
        <f>X314/W314-1</f>
        <v>-0.45549806683898753</v>
      </c>
    </row>
    <row r="315" spans="1:25" ht="15" customHeight="1">
      <c r="A315" s="143" t="s">
        <v>659</v>
      </c>
      <c r="B315" s="143" t="s">
        <v>660</v>
      </c>
      <c r="C315" s="28">
        <v>141</v>
      </c>
      <c r="E315" s="143" t="s">
        <v>660</v>
      </c>
      <c r="F315" s="28">
        <v>219</v>
      </c>
      <c r="G315" t="b">
        <f>IF(B315=E315,TRUE,FALSE)</f>
        <v>1</v>
      </c>
      <c r="J315" s="25">
        <f>F315-C315</f>
        <v>78</v>
      </c>
      <c r="K315" s="4">
        <f>F315/C315-1</f>
        <v>0.55319148936170204</v>
      </c>
      <c r="M315" s="5">
        <v>286.89</v>
      </c>
      <c r="N315" s="5">
        <v>354.88</v>
      </c>
      <c r="Q315" s="138">
        <v>2141.5500000000002</v>
      </c>
      <c r="U315" s="127">
        <f>N315-M315</f>
        <v>67.990000000000009</v>
      </c>
      <c r="V315" s="4">
        <f>IF(M315=0,0,N315/M315-1)</f>
        <v>0.2369897870263864</v>
      </c>
      <c r="W315" s="18">
        <v>2661.09</v>
      </c>
      <c r="X315" s="18">
        <v>4261.8100000000004</v>
      </c>
      <c r="Y315" s="4">
        <f>X315/W315-1</f>
        <v>0.60152794531564147</v>
      </c>
    </row>
    <row r="316" spans="1:25" ht="15" customHeight="1">
      <c r="A316" s="54" t="s">
        <v>661</v>
      </c>
      <c r="B316" s="27" t="s">
        <v>662</v>
      </c>
      <c r="C316" s="28">
        <v>706</v>
      </c>
      <c r="E316" s="27" t="s">
        <v>662</v>
      </c>
      <c r="F316" s="28">
        <v>219</v>
      </c>
      <c r="G316" t="b">
        <f>IF(B316=E316,TRUE,FALSE)</f>
        <v>1</v>
      </c>
      <c r="J316" s="25">
        <f>F316-C316</f>
        <v>-487</v>
      </c>
      <c r="K316" s="4">
        <f>F316/C316-1</f>
        <v>-0.6898016997167139</v>
      </c>
      <c r="M316" s="5">
        <v>1381.9</v>
      </c>
      <c r="N316" s="5">
        <v>661.61</v>
      </c>
      <c r="Q316" s="138">
        <v>3988.41</v>
      </c>
      <c r="U316" s="127">
        <f>N316-M316</f>
        <v>-720.29000000000008</v>
      </c>
      <c r="V316" s="4">
        <f>IF(M316=0,0,N316/M316-1)</f>
        <v>-0.52123163760040525</v>
      </c>
      <c r="W316" s="18">
        <v>9886.5</v>
      </c>
      <c r="X316" s="18">
        <v>5491.21</v>
      </c>
      <c r="Y316" s="4"/>
    </row>
    <row r="317" spans="1:25" ht="15" customHeight="1">
      <c r="A317" t="s">
        <v>663</v>
      </c>
      <c r="B317" t="s">
        <v>664</v>
      </c>
      <c r="C317" s="28">
        <v>0</v>
      </c>
      <c r="E317" t="s">
        <v>664</v>
      </c>
      <c r="F317" s="28">
        <v>208</v>
      </c>
      <c r="G317" t="b">
        <f>IF(B317=E317,TRUE,FALSE)</f>
        <v>1</v>
      </c>
      <c r="J317" s="25">
        <f>F317-C317</f>
        <v>208</v>
      </c>
      <c r="K317" s="4" t="e">
        <f>F317/C317-1</f>
        <v>#DIV/0!</v>
      </c>
      <c r="M317" s="5">
        <v>0</v>
      </c>
      <c r="N317" s="5">
        <v>944.71</v>
      </c>
      <c r="Q317" s="139">
        <v>4522.63</v>
      </c>
      <c r="V317" s="4"/>
      <c r="W317" s="18">
        <v>0</v>
      </c>
      <c r="X317" s="18">
        <v>5444.03</v>
      </c>
      <c r="Y317" s="4" t="e">
        <f>X317/W317-1</f>
        <v>#DIV/0!</v>
      </c>
    </row>
    <row r="318" spans="1:25" ht="15" customHeight="1">
      <c r="A318" s="54" t="s">
        <v>665</v>
      </c>
      <c r="B318" s="37" t="s">
        <v>666</v>
      </c>
      <c r="C318" s="28">
        <v>653</v>
      </c>
      <c r="E318" s="37" t="s">
        <v>666</v>
      </c>
      <c r="F318" s="28">
        <v>198</v>
      </c>
      <c r="G318" t="b">
        <f>IF(B318=E318,TRUE,FALSE)</f>
        <v>1</v>
      </c>
      <c r="J318" s="25">
        <f>F318-C318</f>
        <v>-455</v>
      </c>
      <c r="K318" s="4">
        <f>F318/C318-1</f>
        <v>-0.69678407350689131</v>
      </c>
      <c r="M318" s="5">
        <v>176.59</v>
      </c>
      <c r="N318" s="5">
        <v>38.85</v>
      </c>
      <c r="Q318" s="138">
        <v>292.75</v>
      </c>
      <c r="U318" s="127">
        <f>N318-M318</f>
        <v>-137.74</v>
      </c>
      <c r="V318" s="4">
        <f>IF(M318=0,0,N318/M318-1)</f>
        <v>-0.77999886743303692</v>
      </c>
      <c r="W318" s="18">
        <v>26111.47</v>
      </c>
      <c r="X318" s="18">
        <v>7916.02</v>
      </c>
      <c r="Y318" s="4"/>
    </row>
    <row r="319" spans="1:25" ht="15" customHeight="1">
      <c r="A319" t="s">
        <v>667</v>
      </c>
      <c r="B319" t="s">
        <v>668</v>
      </c>
      <c r="C319" s="28">
        <v>201</v>
      </c>
      <c r="E319" t="s">
        <v>668</v>
      </c>
      <c r="F319" s="28">
        <v>191</v>
      </c>
      <c r="G319" t="b">
        <f>IF(B319=E319,TRUE,FALSE)</f>
        <v>1</v>
      </c>
      <c r="J319" s="25">
        <f>F319-C319</f>
        <v>-10</v>
      </c>
      <c r="K319" s="4">
        <f>F319/C319-1</f>
        <v>-4.9751243781094523E-2</v>
      </c>
      <c r="M319" s="5">
        <v>0</v>
      </c>
      <c r="N319" s="5">
        <v>0</v>
      </c>
      <c r="Q319" s="139">
        <v>0</v>
      </c>
      <c r="U319" s="127">
        <f>N319-M319</f>
        <v>0</v>
      </c>
      <c r="V319" s="4">
        <f>IF(M319=0,0,N319/M319-1)</f>
        <v>0</v>
      </c>
      <c r="W319" s="18">
        <v>5822.06</v>
      </c>
      <c r="X319" s="18">
        <v>5528.39</v>
      </c>
      <c r="Y319" s="4">
        <f>X319/W319-1</f>
        <v>-5.0440909231440401E-2</v>
      </c>
    </row>
    <row r="320" spans="1:25" ht="15" customHeight="1">
      <c r="A320" t="s">
        <v>669</v>
      </c>
      <c r="B320" t="s">
        <v>670</v>
      </c>
      <c r="C320" s="28">
        <v>341</v>
      </c>
      <c r="E320" t="s">
        <v>670</v>
      </c>
      <c r="F320" s="28">
        <v>191</v>
      </c>
      <c r="G320" t="b">
        <f>IF(B320=E320,TRUE,FALSE)</f>
        <v>1</v>
      </c>
      <c r="J320" s="25">
        <f>F320-C320</f>
        <v>-150</v>
      </c>
      <c r="K320" s="4">
        <f>F320/C320-1</f>
        <v>-0.43988269794721413</v>
      </c>
      <c r="M320" s="5">
        <v>312.37</v>
      </c>
      <c r="N320" s="5">
        <v>2.16</v>
      </c>
      <c r="Q320" s="139">
        <v>21.95</v>
      </c>
      <c r="U320" s="127">
        <f>N320-M320</f>
        <v>-310.20999999999998</v>
      </c>
      <c r="V320" s="4">
        <f>IF(M320=0,0,N320/M320-1)</f>
        <v>-0.99308512341133914</v>
      </c>
      <c r="W320" s="18">
        <v>7484.95</v>
      </c>
      <c r="X320" s="18">
        <v>4191.3500000000004</v>
      </c>
      <c r="Y320" s="4">
        <f>X320/W320-1</f>
        <v>-0.44002965951676354</v>
      </c>
    </row>
    <row r="321" spans="1:27" ht="15" customHeight="1">
      <c r="A321" t="s">
        <v>671</v>
      </c>
      <c r="B321" t="s">
        <v>672</v>
      </c>
      <c r="C321" s="28">
        <v>402</v>
      </c>
      <c r="E321" t="s">
        <v>672</v>
      </c>
      <c r="F321" s="28">
        <v>190</v>
      </c>
      <c r="G321" t="b">
        <f>IF(B321=E321,TRUE,FALSE)</f>
        <v>1</v>
      </c>
      <c r="J321" s="25">
        <f>F321-C321</f>
        <v>-212</v>
      </c>
      <c r="K321" s="4">
        <f>F321/C321-1</f>
        <v>-0.52736318407960203</v>
      </c>
      <c r="M321" s="5">
        <v>201.02</v>
      </c>
      <c r="N321" s="5">
        <v>0</v>
      </c>
      <c r="Q321" s="139">
        <v>0</v>
      </c>
      <c r="U321" s="127">
        <f>N321-M321</f>
        <v>-201.02</v>
      </c>
      <c r="V321" s="4">
        <f>IF(M321=0,0,N321/M321-1)</f>
        <v>-1</v>
      </c>
      <c r="W321" s="18">
        <v>12055.98</v>
      </c>
      <c r="X321" s="18">
        <v>4555.58</v>
      </c>
      <c r="Y321" s="4">
        <f>X321/W321-1</f>
        <v>-0.62213109179013237</v>
      </c>
    </row>
    <row r="322" spans="1:27" ht="15" customHeight="1">
      <c r="A322" t="s">
        <v>673</v>
      </c>
      <c r="B322" t="s">
        <v>674</v>
      </c>
      <c r="C322" s="28">
        <v>379</v>
      </c>
      <c r="E322" t="s">
        <v>674</v>
      </c>
      <c r="F322" s="28">
        <v>181</v>
      </c>
      <c r="G322" t="b">
        <f>IF(B322=E322,TRUE,FALSE)</f>
        <v>1</v>
      </c>
      <c r="J322" s="25">
        <f>F322-C322</f>
        <v>-198</v>
      </c>
      <c r="K322" s="4">
        <f>F322/C322-1</f>
        <v>-0.52242744063324542</v>
      </c>
      <c r="M322" s="5">
        <v>807.18</v>
      </c>
      <c r="N322" s="5">
        <v>666.94</v>
      </c>
      <c r="Q322" s="139">
        <v>3664.06</v>
      </c>
      <c r="U322" s="127">
        <f>N322-M322</f>
        <v>-140.2399999999999</v>
      </c>
      <c r="V322" s="4">
        <f>IF(M322=0,0,N322/M322-1)</f>
        <v>-0.17374067742015398</v>
      </c>
      <c r="W322" s="18">
        <v>11366.21</v>
      </c>
      <c r="X322" s="18">
        <v>5419.19</v>
      </c>
      <c r="Y322" s="4">
        <f>X322/W322-1</f>
        <v>-0.52321926130170038</v>
      </c>
    </row>
    <row r="323" spans="1:27" ht="15" customHeight="1">
      <c r="A323" s="54" t="s">
        <v>675</v>
      </c>
      <c r="B323" s="27" t="s">
        <v>676</v>
      </c>
      <c r="C323" s="28">
        <v>1072</v>
      </c>
      <c r="E323" s="27" t="s">
        <v>676</v>
      </c>
      <c r="F323" s="28">
        <v>178</v>
      </c>
      <c r="G323" t="b">
        <f>IF(B323=E323,TRUE,FALSE)</f>
        <v>1</v>
      </c>
      <c r="J323" s="25">
        <f>F323-C323</f>
        <v>-894</v>
      </c>
      <c r="K323" s="4">
        <f>F323/C323-1</f>
        <v>-0.83395522388059695</v>
      </c>
      <c r="M323" s="5">
        <v>1242.01</v>
      </c>
      <c r="N323" s="5">
        <v>199.06</v>
      </c>
      <c r="Q323" s="138">
        <v>916.16</v>
      </c>
      <c r="U323" s="127">
        <f>N323-M323</f>
        <v>-1042.95</v>
      </c>
      <c r="V323" s="4">
        <f>IF(M323=0,0,N323/M323-1)</f>
        <v>-0.83972753842561654</v>
      </c>
      <c r="W323" s="18">
        <v>11134.11</v>
      </c>
      <c r="X323" s="18">
        <v>2898.33</v>
      </c>
      <c r="Y323" s="4">
        <f>X323/W323-1</f>
        <v>-0.73968911749569566</v>
      </c>
    </row>
    <row r="324" spans="1:27" ht="15" customHeight="1">
      <c r="A324" s="143" t="s">
        <v>677</v>
      </c>
      <c r="B324" s="143" t="s">
        <v>678</v>
      </c>
      <c r="C324" s="28">
        <v>100</v>
      </c>
      <c r="E324" s="143" t="s">
        <v>678</v>
      </c>
      <c r="F324" s="28">
        <v>169</v>
      </c>
      <c r="G324" t="b">
        <f>IF(B324=E324,TRUE,FALSE)</f>
        <v>1</v>
      </c>
      <c r="J324" s="25">
        <f>F324-C324</f>
        <v>69</v>
      </c>
      <c r="K324" s="4">
        <f>F324/C324-1</f>
        <v>0.69</v>
      </c>
      <c r="M324" s="5">
        <v>265.12</v>
      </c>
      <c r="N324" s="5">
        <v>405.63</v>
      </c>
      <c r="Q324" s="138">
        <v>943.37</v>
      </c>
      <c r="U324" s="127">
        <f>N324-M324</f>
        <v>140.51</v>
      </c>
      <c r="V324" s="4">
        <f>IF(M324=0,0,N324/M324-1)</f>
        <v>0.5299864212432106</v>
      </c>
      <c r="W324" s="18">
        <v>1209</v>
      </c>
      <c r="X324" s="18">
        <v>1997.91</v>
      </c>
      <c r="Y324" s="4">
        <f>X324/W324-1</f>
        <v>0.65253101736972718</v>
      </c>
      <c r="AA324" t="s">
        <v>679</v>
      </c>
    </row>
    <row r="325" spans="1:27" ht="15" customHeight="1">
      <c r="A325" t="s">
        <v>680</v>
      </c>
      <c r="B325" t="s">
        <v>681</v>
      </c>
      <c r="C325" s="28">
        <v>327</v>
      </c>
      <c r="E325" t="s">
        <v>681</v>
      </c>
      <c r="F325" s="28">
        <v>168</v>
      </c>
      <c r="G325" t="b">
        <f>IF(B325=E325,TRUE,FALSE)</f>
        <v>1</v>
      </c>
      <c r="J325" s="25">
        <f>F325-C325</f>
        <v>-159</v>
      </c>
      <c r="K325" s="4">
        <f>F325/C325-1</f>
        <v>-0.48623853211009171</v>
      </c>
      <c r="M325" s="5">
        <v>265.25</v>
      </c>
      <c r="N325" s="5">
        <v>82.73</v>
      </c>
      <c r="Q325" s="139">
        <v>811.74</v>
      </c>
      <c r="U325" s="127">
        <f>N325-M325</f>
        <v>-182.51999999999998</v>
      </c>
      <c r="V325" s="4">
        <f>IF(M325=0,0,N325/M325-1)</f>
        <v>-0.68810556079170593</v>
      </c>
      <c r="W325" s="18">
        <v>12095.73</v>
      </c>
      <c r="X325" s="18">
        <v>6213.21</v>
      </c>
      <c r="Y325" s="4">
        <f>X325/W325-1</f>
        <v>-0.48633030003149869</v>
      </c>
    </row>
    <row r="326" spans="1:27" ht="15" customHeight="1">
      <c r="A326" t="s">
        <v>682</v>
      </c>
      <c r="B326" t="s">
        <v>683</v>
      </c>
      <c r="C326" s="28">
        <v>411</v>
      </c>
      <c r="E326" t="s">
        <v>683</v>
      </c>
      <c r="F326" s="28">
        <v>167</v>
      </c>
      <c r="G326" t="b">
        <f>IF(B326=E326,TRUE,FALSE)</f>
        <v>1</v>
      </c>
      <c r="J326" s="25">
        <f>F326-C326</f>
        <v>-244</v>
      </c>
      <c r="K326" s="4">
        <f>F326/C326-1</f>
        <v>-0.5936739659367396</v>
      </c>
      <c r="M326" s="5">
        <v>53.78</v>
      </c>
      <c r="N326" s="5">
        <v>21.01</v>
      </c>
      <c r="Q326" s="139">
        <v>205.65</v>
      </c>
      <c r="U326" s="127">
        <f>N326-M326</f>
        <v>-32.769999999999996</v>
      </c>
      <c r="V326" s="4">
        <f>IF(M326=0,0,N326/M326-1)</f>
        <v>-0.60933432502789131</v>
      </c>
      <c r="W326" s="18">
        <v>11076.45</v>
      </c>
      <c r="X326" s="18">
        <v>4487.1499999999996</v>
      </c>
      <c r="Y326" s="4">
        <f>X326/W326-1</f>
        <v>-0.594892767989744</v>
      </c>
    </row>
    <row r="327" spans="1:27" ht="15" customHeight="1">
      <c r="A327" t="s">
        <v>684</v>
      </c>
      <c r="B327" t="s">
        <v>685</v>
      </c>
      <c r="C327" s="28">
        <v>561</v>
      </c>
      <c r="E327" t="s">
        <v>685</v>
      </c>
      <c r="F327" s="28">
        <v>163</v>
      </c>
      <c r="G327" t="b">
        <f>IF(B327=E327,TRUE,FALSE)</f>
        <v>1</v>
      </c>
      <c r="J327" s="25">
        <f>F327-C327</f>
        <v>-398</v>
      </c>
      <c r="K327" s="4">
        <f>F327/C327-1</f>
        <v>-0.70944741532976829</v>
      </c>
      <c r="M327" s="5">
        <v>144.57</v>
      </c>
      <c r="N327" s="5">
        <v>27.42</v>
      </c>
      <c r="Q327" s="139">
        <v>426.59</v>
      </c>
      <c r="U327" s="127">
        <f>N327-M327</f>
        <v>-117.14999999999999</v>
      </c>
      <c r="V327" s="4">
        <f>IF(M327=0,0,N327/M327-1)</f>
        <v>-0.81033409421041713</v>
      </c>
      <c r="W327" s="18">
        <v>6438.22</v>
      </c>
      <c r="X327" s="18">
        <v>3280.36</v>
      </c>
      <c r="Y327" s="4">
        <f>X327/W327-1</f>
        <v>-0.49048650092727497</v>
      </c>
    </row>
    <row r="328" spans="1:27" ht="15" customHeight="1">
      <c r="A328" t="s">
        <v>686</v>
      </c>
      <c r="B328" t="s">
        <v>687</v>
      </c>
      <c r="C328" s="28">
        <v>532</v>
      </c>
      <c r="E328" t="s">
        <v>687</v>
      </c>
      <c r="F328" s="28">
        <v>162</v>
      </c>
      <c r="G328" t="b">
        <f>IF(B328=E328,TRUE,FALSE)</f>
        <v>1</v>
      </c>
      <c r="J328" s="25">
        <f>F328-C328</f>
        <v>-370</v>
      </c>
      <c r="K328" s="4">
        <f>F328/C328-1</f>
        <v>-0.69548872180451127</v>
      </c>
      <c r="M328" s="5">
        <v>694.15</v>
      </c>
      <c r="N328" s="5">
        <v>209.17</v>
      </c>
      <c r="Q328" s="139">
        <v>1443.38</v>
      </c>
      <c r="U328" s="127">
        <f>N328-M328</f>
        <v>-484.98</v>
      </c>
      <c r="V328" s="4">
        <f>IF(M328=0,0,N328/M328-1)</f>
        <v>-0.69866743499243678</v>
      </c>
      <c r="W328" s="18">
        <v>9016.5499999999993</v>
      </c>
      <c r="X328" s="18">
        <v>2745.22</v>
      </c>
      <c r="Y328" s="4">
        <f>X328/W328-1</f>
        <v>-0.69553543206658863</v>
      </c>
    </row>
    <row r="329" spans="1:27" ht="15" customHeight="1">
      <c r="A329" s="54" t="s">
        <v>688</v>
      </c>
      <c r="B329" s="37" t="s">
        <v>689</v>
      </c>
      <c r="C329" s="19">
        <v>478</v>
      </c>
      <c r="E329" s="37" t="s">
        <v>689</v>
      </c>
      <c r="F329" s="19">
        <v>160</v>
      </c>
      <c r="G329" t="b">
        <f>IF(B329=E329,TRUE,FALSE)</f>
        <v>1</v>
      </c>
      <c r="J329" s="25">
        <f>F329-C329</f>
        <v>-318</v>
      </c>
      <c r="K329" s="4">
        <f>F329/C329-1</f>
        <v>-0.66527196652719667</v>
      </c>
      <c r="M329" s="5">
        <v>709.95</v>
      </c>
      <c r="N329" s="5">
        <v>220.54</v>
      </c>
      <c r="Q329" s="138">
        <v>1795.04</v>
      </c>
      <c r="U329" s="127">
        <f>N329-M329</f>
        <v>-489.41000000000008</v>
      </c>
      <c r="V329" s="4">
        <f>IF(M329=0,0,N329/M329-1)</f>
        <v>-0.68935840552151562</v>
      </c>
      <c r="W329">
        <v>8566.44</v>
      </c>
      <c r="X329">
        <v>4791.1000000000004</v>
      </c>
      <c r="Y329" s="4">
        <f>X329/W329-1</f>
        <v>-0.44071282819934532</v>
      </c>
    </row>
    <row r="330" spans="1:27" ht="15" customHeight="1">
      <c r="A330" t="s">
        <v>690</v>
      </c>
      <c r="B330" t="s">
        <v>691</v>
      </c>
      <c r="C330" s="28">
        <v>382</v>
      </c>
      <c r="E330" t="s">
        <v>691</v>
      </c>
      <c r="F330" s="28">
        <v>159</v>
      </c>
      <c r="G330" t="b">
        <f>IF(B330=E330,TRUE,FALSE)</f>
        <v>1</v>
      </c>
      <c r="J330" s="25">
        <f>F330-C330</f>
        <v>-223</v>
      </c>
      <c r="K330" s="4">
        <f>F330/C330-1</f>
        <v>-0.58376963350785338</v>
      </c>
      <c r="M330" s="5">
        <v>423.46</v>
      </c>
      <c r="N330" s="5">
        <v>34.770000000000003</v>
      </c>
      <c r="Q330" s="139">
        <v>145.79</v>
      </c>
      <c r="U330" s="127">
        <f>N330-M330</f>
        <v>-388.69</v>
      </c>
      <c r="V330" s="4">
        <f>IF(M330=0,0,N330/M330-1)</f>
        <v>-0.91789070986633914</v>
      </c>
      <c r="W330" s="18">
        <v>13350.9</v>
      </c>
      <c r="X330" s="18">
        <v>3805.65</v>
      </c>
      <c r="Y330" s="4">
        <f>X330/W330-1</f>
        <v>-0.71495180100217959</v>
      </c>
    </row>
    <row r="331" spans="1:27" ht="15" customHeight="1">
      <c r="A331" t="s">
        <v>692</v>
      </c>
      <c r="B331" t="s">
        <v>693</v>
      </c>
      <c r="C331" s="28">
        <v>359</v>
      </c>
      <c r="E331" t="s">
        <v>693</v>
      </c>
      <c r="F331" s="28">
        <v>152</v>
      </c>
      <c r="G331" t="b">
        <f>IF(B331=E331,TRUE,FALSE)</f>
        <v>1</v>
      </c>
      <c r="J331" s="25">
        <f>F331-C331</f>
        <v>-207</v>
      </c>
      <c r="K331" s="4">
        <f>F331/C331-1</f>
        <v>-0.57660167130919215</v>
      </c>
      <c r="M331" s="5">
        <v>374.03</v>
      </c>
      <c r="N331" s="5">
        <v>4.37</v>
      </c>
      <c r="Q331" s="139">
        <v>84.97</v>
      </c>
      <c r="U331" s="127">
        <f>N331-M331</f>
        <v>-369.65999999999997</v>
      </c>
      <c r="V331" s="4">
        <f>IF(M331=0,0,N331/M331-1)</f>
        <v>-0.98831644520493012</v>
      </c>
      <c r="W331" s="18">
        <v>9689.41</v>
      </c>
      <c r="X331" s="18">
        <v>3790.9</v>
      </c>
      <c r="Y331" s="4">
        <f>X331/W331-1</f>
        <v>-0.60875842801574087</v>
      </c>
    </row>
    <row r="332" spans="1:27" ht="15" customHeight="1">
      <c r="A332" t="s">
        <v>694</v>
      </c>
      <c r="B332" t="s">
        <v>695</v>
      </c>
      <c r="C332" s="28">
        <v>335</v>
      </c>
      <c r="E332" t="s">
        <v>695</v>
      </c>
      <c r="F332" s="28">
        <v>143</v>
      </c>
      <c r="G332" t="b">
        <f>IF(B332=E332,TRUE,FALSE)</f>
        <v>1</v>
      </c>
      <c r="J332" s="25">
        <f>F332-C332</f>
        <v>-192</v>
      </c>
      <c r="K332" s="4">
        <f>F332/C332-1</f>
        <v>-0.57313432835820888</v>
      </c>
      <c r="M332" s="5">
        <v>500.79</v>
      </c>
      <c r="N332" s="5">
        <v>340.54</v>
      </c>
      <c r="Q332" s="139">
        <v>1179.08</v>
      </c>
      <c r="U332" s="127">
        <f>N332-M332</f>
        <v>-160.25</v>
      </c>
      <c r="V332" s="4">
        <f>IF(M332=0,0,N332/M332-1)</f>
        <v>-0.31999440883404218</v>
      </c>
      <c r="W332" s="18">
        <v>10046.65</v>
      </c>
      <c r="X332" s="18">
        <v>4267.8500000000004</v>
      </c>
      <c r="Y332" s="4">
        <f>X332/W332-1</f>
        <v>-0.57519670736016471</v>
      </c>
    </row>
    <row r="333" spans="1:27" ht="15" customHeight="1">
      <c r="A333" s="142" t="s">
        <v>696</v>
      </c>
      <c r="B333" s="37" t="s">
        <v>697</v>
      </c>
      <c r="C333" s="28">
        <v>870</v>
      </c>
      <c r="E333" s="37" t="s">
        <v>697</v>
      </c>
      <c r="F333" s="28">
        <v>143</v>
      </c>
      <c r="G333" t="b">
        <f>IF(B333=E333,TRUE,FALSE)</f>
        <v>1</v>
      </c>
      <c r="J333" s="25">
        <f>F333-C333</f>
        <v>-727</v>
      </c>
      <c r="K333" s="4">
        <f>F333/C333-1</f>
        <v>-0.83563218390804594</v>
      </c>
      <c r="M333" s="5">
        <v>1029.02</v>
      </c>
      <c r="N333" s="5">
        <v>398.4</v>
      </c>
      <c r="Q333" s="138">
        <v>2502.65</v>
      </c>
      <c r="U333" s="127">
        <f>N333-M333</f>
        <v>-630.62</v>
      </c>
      <c r="V333" s="4">
        <f>IF(M333=0,0,N333/M333-1)</f>
        <v>-0.6128355134011001</v>
      </c>
      <c r="W333" s="18">
        <v>13149.3</v>
      </c>
      <c r="X333" s="18">
        <v>4208.57</v>
      </c>
      <c r="Y333" s="4"/>
    </row>
    <row r="334" spans="1:27" ht="15" customHeight="1">
      <c r="A334" t="s">
        <v>698</v>
      </c>
      <c r="B334" t="s">
        <v>699</v>
      </c>
      <c r="C334" s="28">
        <v>254</v>
      </c>
      <c r="E334" t="s">
        <v>699</v>
      </c>
      <c r="F334" s="28">
        <v>131</v>
      </c>
      <c r="G334" t="b">
        <f>IF(B334=E334,TRUE,FALSE)</f>
        <v>1</v>
      </c>
      <c r="J334" s="25">
        <f>F334-C334</f>
        <v>-123</v>
      </c>
      <c r="K334" s="4">
        <f>F334/C334-1</f>
        <v>-0.48425196850393704</v>
      </c>
      <c r="M334" s="5">
        <v>289.93</v>
      </c>
      <c r="N334" s="5">
        <v>135.21</v>
      </c>
      <c r="Q334" s="139">
        <v>1535.84</v>
      </c>
      <c r="U334" s="127">
        <f>N334-M334</f>
        <v>-154.72</v>
      </c>
      <c r="V334" s="4">
        <f>IF(M334=0,0,N334/M334-1)</f>
        <v>-0.53364605249542985</v>
      </c>
      <c r="W334" s="18">
        <v>12687.3</v>
      </c>
      <c r="X334" s="18">
        <v>6542.95</v>
      </c>
      <c r="Y334" s="4">
        <f>X334/W334-1</f>
        <v>-0.48429137799216537</v>
      </c>
    </row>
    <row r="335" spans="1:27" ht="15" customHeight="1">
      <c r="A335" t="s">
        <v>700</v>
      </c>
      <c r="B335" t="s">
        <v>701</v>
      </c>
      <c r="C335" s="28">
        <v>0</v>
      </c>
      <c r="E335" t="s">
        <v>701</v>
      </c>
      <c r="F335" s="28">
        <v>127</v>
      </c>
      <c r="G335" t="b">
        <f>IF(B335=E335,TRUE,FALSE)</f>
        <v>1</v>
      </c>
      <c r="J335" s="25">
        <f>F335-C335</f>
        <v>127</v>
      </c>
      <c r="K335" s="4" t="e">
        <f>F335/C335-1</f>
        <v>#DIV/0!</v>
      </c>
      <c r="M335" s="5">
        <v>0</v>
      </c>
      <c r="N335" s="5">
        <v>797.2</v>
      </c>
      <c r="Q335" s="139">
        <v>2476.2800000000002</v>
      </c>
      <c r="V335" s="4"/>
      <c r="W335" s="18">
        <v>0</v>
      </c>
      <c r="X335" s="18">
        <v>2538.33</v>
      </c>
      <c r="Y335" s="4" t="e">
        <f>X335/W335-1</f>
        <v>#DIV/0!</v>
      </c>
    </row>
    <row r="336" spans="1:27" ht="15" customHeight="1">
      <c r="A336" t="s">
        <v>702</v>
      </c>
      <c r="B336" t="s">
        <v>703</v>
      </c>
      <c r="C336" s="28">
        <v>226</v>
      </c>
      <c r="E336" t="s">
        <v>703</v>
      </c>
      <c r="F336" s="28">
        <v>121</v>
      </c>
      <c r="G336" t="b">
        <f>IF(B336=E336,TRUE,FALSE)</f>
        <v>1</v>
      </c>
      <c r="J336" s="25">
        <f>F336-C336</f>
        <v>-105</v>
      </c>
      <c r="K336" s="4">
        <f>F336/C336-1</f>
        <v>-0.46460176991150437</v>
      </c>
      <c r="M336" s="5">
        <v>363.57</v>
      </c>
      <c r="N336" s="5">
        <v>389.35</v>
      </c>
      <c r="Q336" s="139">
        <v>1958.62</v>
      </c>
      <c r="U336" s="127">
        <f>N336-M336</f>
        <v>25.78000000000003</v>
      </c>
      <c r="V336" s="4">
        <f>IF(M336=0,0,N336/M336-1)</f>
        <v>7.0907940699177718E-2</v>
      </c>
      <c r="W336" s="18">
        <v>5412.7</v>
      </c>
      <c r="X336" s="18">
        <v>2896.75</v>
      </c>
      <c r="Y336" s="4">
        <f>X336/W336-1</f>
        <v>-0.46482347072625485</v>
      </c>
    </row>
    <row r="337" spans="1:25" ht="15" customHeight="1">
      <c r="A337" t="s">
        <v>704</v>
      </c>
      <c r="B337" t="s">
        <v>705</v>
      </c>
      <c r="C337" s="28">
        <v>130</v>
      </c>
      <c r="E337" t="s">
        <v>705</v>
      </c>
      <c r="F337" s="28">
        <v>110</v>
      </c>
      <c r="G337" t="b">
        <f>IF(B337=E337,TRUE,FALSE)</f>
        <v>1</v>
      </c>
      <c r="J337" s="25">
        <f>F337-C337</f>
        <v>-20</v>
      </c>
      <c r="K337" s="4">
        <f>F337/C337-1</f>
        <v>-0.15384615384615385</v>
      </c>
      <c r="M337" s="5">
        <v>369.98</v>
      </c>
      <c r="N337" s="5">
        <v>98.12</v>
      </c>
      <c r="Q337" s="139">
        <v>791.93</v>
      </c>
      <c r="U337" s="127">
        <f>N337-M337</f>
        <v>-271.86</v>
      </c>
      <c r="V337" s="4">
        <f>IF(M337=0,0,N337/M337-1)</f>
        <v>-0.73479647548516136</v>
      </c>
      <c r="W337" s="18">
        <v>3896.9</v>
      </c>
      <c r="X337" s="18">
        <v>3295.3</v>
      </c>
      <c r="Y337" s="4">
        <f>X337/W337-1</f>
        <v>-0.1543791218660987</v>
      </c>
    </row>
    <row r="338" spans="1:25" ht="15" customHeight="1">
      <c r="A338" t="s">
        <v>706</v>
      </c>
      <c r="B338" t="s">
        <v>707</v>
      </c>
      <c r="C338" s="28">
        <v>732</v>
      </c>
      <c r="E338" t="s">
        <v>707</v>
      </c>
      <c r="F338" s="28">
        <v>110</v>
      </c>
      <c r="G338" t="b">
        <f>IF(B338=E338,TRUE,FALSE)</f>
        <v>1</v>
      </c>
      <c r="J338" s="25">
        <f>F338-C338</f>
        <v>-622</v>
      </c>
      <c r="K338" s="4">
        <f>F338/C338-1</f>
        <v>-0.8497267759562841</v>
      </c>
      <c r="M338" s="5">
        <v>1359.66</v>
      </c>
      <c r="N338" s="5">
        <v>318.18</v>
      </c>
      <c r="Q338" s="139">
        <v>1562.58</v>
      </c>
      <c r="U338" s="127">
        <f>N338-M338</f>
        <v>-1041.48</v>
      </c>
      <c r="V338" s="4">
        <f>IF(M338=0,0,N338/M338-1)</f>
        <v>-0.76598561405057142</v>
      </c>
      <c r="W338" s="18">
        <v>21952.68</v>
      </c>
      <c r="X338" s="18">
        <v>3289.1</v>
      </c>
      <c r="Y338" s="4">
        <f>X338/W338-1</f>
        <v>-0.85017319069926767</v>
      </c>
    </row>
    <row r="339" spans="1:25" ht="15" customHeight="1">
      <c r="A339" s="143" t="s">
        <v>708</v>
      </c>
      <c r="B339" s="37" t="s">
        <v>709</v>
      </c>
      <c r="C339" s="28">
        <v>250</v>
      </c>
      <c r="E339" s="37" t="s">
        <v>709</v>
      </c>
      <c r="F339" s="28">
        <v>104</v>
      </c>
      <c r="G339" t="b">
        <f>IF(B339=E339,TRUE,FALSE)</f>
        <v>1</v>
      </c>
      <c r="J339" s="25">
        <f>F339-C339</f>
        <v>-146</v>
      </c>
      <c r="K339" s="4">
        <f>F339/C339-1</f>
        <v>-0.58400000000000007</v>
      </c>
      <c r="M339" s="5">
        <v>932.79</v>
      </c>
      <c r="N339" s="5">
        <v>707.82</v>
      </c>
      <c r="Q339" s="138">
        <v>4927.76</v>
      </c>
      <c r="U339" s="127">
        <f>N339-M339</f>
        <v>-224.96999999999991</v>
      </c>
      <c r="V339" s="4">
        <f>IF(M339=0,0,N339/M339-1)</f>
        <v>-0.24117968674621293</v>
      </c>
      <c r="W339" s="18">
        <v>3594.7</v>
      </c>
      <c r="X339" s="18">
        <v>2115.36</v>
      </c>
      <c r="Y339" s="4"/>
    </row>
    <row r="340" spans="1:25" ht="15" customHeight="1">
      <c r="A340" s="143" t="s">
        <v>710</v>
      </c>
      <c r="B340" s="143" t="s">
        <v>711</v>
      </c>
      <c r="C340" s="28">
        <v>360</v>
      </c>
      <c r="E340" s="143" t="s">
        <v>711</v>
      </c>
      <c r="F340" s="28">
        <v>101</v>
      </c>
      <c r="G340" t="b">
        <f>IF(B340=E340,TRUE,FALSE)</f>
        <v>1</v>
      </c>
      <c r="J340" s="25">
        <f>F340-C340</f>
        <v>-259</v>
      </c>
      <c r="K340" s="4">
        <f>F340/C340-1</f>
        <v>-0.71944444444444444</v>
      </c>
      <c r="M340" s="5">
        <v>985.89</v>
      </c>
      <c r="N340" s="5">
        <v>388.07</v>
      </c>
      <c r="Q340" s="138">
        <v>778.91</v>
      </c>
      <c r="U340" s="127">
        <f>N340-M340</f>
        <v>-597.81999999999994</v>
      </c>
      <c r="V340" s="4">
        <f>IF(M340=0,0,N340/M340-1)</f>
        <v>-0.6063759648642344</v>
      </c>
      <c r="W340" s="18">
        <v>4012.68</v>
      </c>
      <c r="X340" s="18">
        <v>1598.59</v>
      </c>
      <c r="Y340" s="4">
        <f>X340/W340-1</f>
        <v>-0.60161537924778452</v>
      </c>
    </row>
    <row r="341" spans="1:25" ht="15" customHeight="1">
      <c r="A341" s="54" t="s">
        <v>712</v>
      </c>
      <c r="B341" s="37" t="s">
        <v>713</v>
      </c>
      <c r="C341" s="28">
        <v>106</v>
      </c>
      <c r="E341" s="37" t="s">
        <v>713</v>
      </c>
      <c r="F341" s="28">
        <v>96</v>
      </c>
      <c r="G341" t="b">
        <f>IF(B341=E341,TRUE,FALSE)</f>
        <v>1</v>
      </c>
      <c r="J341" s="25">
        <f>F341-C341</f>
        <v>-10</v>
      </c>
      <c r="K341" s="4">
        <f>F341/C341-1</f>
        <v>-9.4339622641509413E-2</v>
      </c>
      <c r="M341" s="5">
        <v>269.93</v>
      </c>
      <c r="N341" s="5">
        <v>296.70999999999998</v>
      </c>
      <c r="Q341" s="138">
        <v>403.55</v>
      </c>
      <c r="U341" s="127">
        <f>N341-M341</f>
        <v>26.779999999999973</v>
      </c>
      <c r="V341" s="4">
        <f>IF(M341=0,0,N341/M341-1)</f>
        <v>9.9210906531322918E-2</v>
      </c>
      <c r="W341" s="18">
        <v>1376.69</v>
      </c>
      <c r="X341" s="18">
        <v>978.84</v>
      </c>
      <c r="Y341" s="4">
        <f>X341/W341-1</f>
        <v>-0.28899025924500066</v>
      </c>
    </row>
    <row r="342" spans="1:25" ht="15" customHeight="1">
      <c r="A342" t="s">
        <v>714</v>
      </c>
      <c r="B342" t="s">
        <v>715</v>
      </c>
      <c r="C342" s="28">
        <v>408</v>
      </c>
      <c r="E342" t="s">
        <v>715</v>
      </c>
      <c r="F342" s="28">
        <v>89</v>
      </c>
      <c r="G342" t="b">
        <f>IF(B342=E342,TRUE,FALSE)</f>
        <v>1</v>
      </c>
      <c r="J342" s="25">
        <f>F342-C342</f>
        <v>-319</v>
      </c>
      <c r="K342" s="4">
        <f>F342/C342-1</f>
        <v>-0.78186274509803921</v>
      </c>
      <c r="M342" s="5">
        <v>340.53</v>
      </c>
      <c r="N342" s="5">
        <v>261.19</v>
      </c>
      <c r="Q342" s="139">
        <v>1737.42</v>
      </c>
      <c r="U342" s="127">
        <f>N342-M342</f>
        <v>-79.339999999999975</v>
      </c>
      <c r="V342" s="4">
        <f>IF(M342=0,0,N342/M342-1)</f>
        <v>-0.23298975127007893</v>
      </c>
      <c r="W342" s="18">
        <v>9379.92</v>
      </c>
      <c r="X342" s="18">
        <v>2044.73</v>
      </c>
      <c r="Y342" s="4">
        <f>X342/W342-1</f>
        <v>-0.78200986788799898</v>
      </c>
    </row>
    <row r="343" spans="1:25" ht="15" customHeight="1">
      <c r="A343" t="s">
        <v>716</v>
      </c>
      <c r="B343" t="s">
        <v>717</v>
      </c>
      <c r="C343" s="28">
        <v>212</v>
      </c>
      <c r="E343" t="s">
        <v>717</v>
      </c>
      <c r="F343" s="28">
        <v>86</v>
      </c>
      <c r="G343" t="b">
        <f>IF(B343=E343,TRUE,FALSE)</f>
        <v>1</v>
      </c>
      <c r="J343" s="25">
        <f>F343-C343</f>
        <v>-126</v>
      </c>
      <c r="K343" s="4">
        <f>F343/C343-1</f>
        <v>-0.59433962264150941</v>
      </c>
      <c r="M343" s="5">
        <v>205.71</v>
      </c>
      <c r="N343" s="5">
        <v>0</v>
      </c>
      <c r="Q343" s="139">
        <v>0</v>
      </c>
      <c r="U343" s="127">
        <f>N343-M343</f>
        <v>-205.71</v>
      </c>
      <c r="V343" s="4">
        <f>IF(M343=0,0,N343/M343-1)</f>
        <v>-1</v>
      </c>
      <c r="W343" s="18">
        <v>6349.4</v>
      </c>
      <c r="X343" s="18">
        <v>2150.6999999999998</v>
      </c>
      <c r="Y343" s="4">
        <f>X343/W343-1</f>
        <v>-0.66127508111002609</v>
      </c>
    </row>
    <row r="344" spans="1:25" ht="15" customHeight="1">
      <c r="A344" t="s">
        <v>718</v>
      </c>
      <c r="B344" t="s">
        <v>719</v>
      </c>
      <c r="C344" s="28">
        <v>246</v>
      </c>
      <c r="E344" t="s">
        <v>719</v>
      </c>
      <c r="F344" s="28">
        <v>84</v>
      </c>
      <c r="G344" t="b">
        <f>IF(B344=E344,TRUE,FALSE)</f>
        <v>1</v>
      </c>
      <c r="J344" s="25">
        <f>F344-C344</f>
        <v>-162</v>
      </c>
      <c r="K344" s="4">
        <f>F344/C344-1</f>
        <v>-0.65853658536585358</v>
      </c>
      <c r="M344" s="5">
        <v>192.53</v>
      </c>
      <c r="N344" s="5">
        <v>0</v>
      </c>
      <c r="Q344" s="139">
        <v>0</v>
      </c>
      <c r="U344" s="127">
        <f>N344-M344</f>
        <v>-192.53</v>
      </c>
      <c r="V344" s="4">
        <f>IF(M344=0,0,N344/M344-1)</f>
        <v>-1</v>
      </c>
      <c r="W344" s="18">
        <v>6639.54</v>
      </c>
      <c r="X344" s="18">
        <v>2014.12</v>
      </c>
      <c r="Y344" s="4">
        <f>X344/W344-1</f>
        <v>-0.69664765932579664</v>
      </c>
    </row>
    <row r="345" spans="1:25" ht="15" customHeight="1">
      <c r="A345" t="s">
        <v>720</v>
      </c>
      <c r="B345" t="s">
        <v>721</v>
      </c>
      <c r="C345" s="28">
        <v>282</v>
      </c>
      <c r="E345" t="s">
        <v>721</v>
      </c>
      <c r="F345" s="28">
        <v>76</v>
      </c>
      <c r="G345" t="b">
        <f>IF(B345=E345,TRUE,FALSE)</f>
        <v>1</v>
      </c>
      <c r="J345" s="25">
        <f>F345-C345</f>
        <v>-206</v>
      </c>
      <c r="K345" s="4">
        <f>F345/C345-1</f>
        <v>-0.73049645390070927</v>
      </c>
      <c r="M345" s="5">
        <v>276.87</v>
      </c>
      <c r="N345" s="5">
        <v>119.78</v>
      </c>
      <c r="Q345" s="139">
        <v>649.34</v>
      </c>
      <c r="U345" s="127">
        <f>N345-M345</f>
        <v>-157.09</v>
      </c>
      <c r="V345" s="4">
        <f>IF(M345=0,0,N345/M345-1)</f>
        <v>-0.56737819193123129</v>
      </c>
      <c r="W345" s="18">
        <v>8457.18</v>
      </c>
      <c r="X345" s="18">
        <v>2279.2399999999998</v>
      </c>
      <c r="Y345" s="4">
        <f>X345/W345-1</f>
        <v>-0.73049645390070927</v>
      </c>
    </row>
    <row r="346" spans="1:25" ht="15" customHeight="1">
      <c r="A346" t="s">
        <v>722</v>
      </c>
      <c r="B346" t="s">
        <v>723</v>
      </c>
      <c r="C346" s="28">
        <v>219</v>
      </c>
      <c r="E346" t="s">
        <v>723</v>
      </c>
      <c r="F346" s="28">
        <v>73</v>
      </c>
      <c r="G346" t="b">
        <f>IF(B346=E346,TRUE,FALSE)</f>
        <v>1</v>
      </c>
      <c r="J346" s="25">
        <f>F346-C346</f>
        <v>-146</v>
      </c>
      <c r="K346" s="4">
        <f>F346/C346-1</f>
        <v>-0.66666666666666674</v>
      </c>
      <c r="M346" s="5">
        <v>160.63</v>
      </c>
      <c r="N346" s="5">
        <v>0.9</v>
      </c>
      <c r="Q346" s="139">
        <v>21.95</v>
      </c>
      <c r="U346" s="127">
        <f>N346-M346</f>
        <v>-159.72999999999999</v>
      </c>
      <c r="V346" s="4">
        <f>IF(M346=0,0,N346/M346-1)</f>
        <v>-0.99439706157006791</v>
      </c>
      <c r="W346" s="18">
        <v>4807.05</v>
      </c>
      <c r="X346" s="18">
        <v>1601.91</v>
      </c>
      <c r="Y346" s="4">
        <f>X346/W346-1</f>
        <v>-0.66675819889537236</v>
      </c>
    </row>
    <row r="347" spans="1:25" ht="15" customHeight="1">
      <c r="A347" t="s">
        <v>724</v>
      </c>
      <c r="B347" t="s">
        <v>725</v>
      </c>
      <c r="C347" s="28">
        <v>360</v>
      </c>
      <c r="E347" t="s">
        <v>725</v>
      </c>
      <c r="F347" s="28">
        <v>67</v>
      </c>
      <c r="G347" t="b">
        <f>IF(B347=E347,TRUE,FALSE)</f>
        <v>1</v>
      </c>
      <c r="J347" s="25">
        <f>F347-C347</f>
        <v>-293</v>
      </c>
      <c r="K347" s="4">
        <f>F347/C347-1</f>
        <v>-0.81388888888888888</v>
      </c>
      <c r="M347" s="5">
        <v>620.25</v>
      </c>
      <c r="N347" s="5">
        <v>3.33</v>
      </c>
      <c r="Q347" s="139">
        <v>0</v>
      </c>
      <c r="U347" s="127">
        <f>N347-M347</f>
        <v>-616.91999999999996</v>
      </c>
      <c r="V347" s="4">
        <f>IF(M347=0,0,N347/M347-1)</f>
        <v>-0.99463119709794434</v>
      </c>
      <c r="W347" s="18">
        <v>10782</v>
      </c>
      <c r="X347" s="18">
        <v>2005.83</v>
      </c>
      <c r="Y347" s="4">
        <f>X347/W347-1</f>
        <v>-0.81396494156928212</v>
      </c>
    </row>
    <row r="348" spans="1:25" ht="15" customHeight="1">
      <c r="A348" t="s">
        <v>726</v>
      </c>
      <c r="B348" t="s">
        <v>727</v>
      </c>
      <c r="C348" s="28">
        <v>0</v>
      </c>
      <c r="E348" t="s">
        <v>727</v>
      </c>
      <c r="F348" s="28">
        <v>66</v>
      </c>
      <c r="G348" t="b">
        <f>IF(B348=E348,TRUE,FALSE)</f>
        <v>1</v>
      </c>
      <c r="J348" s="25">
        <f>F348-C348</f>
        <v>66</v>
      </c>
      <c r="K348" s="4" t="e">
        <f>F348/C348-1</f>
        <v>#DIV/0!</v>
      </c>
      <c r="M348" s="5">
        <v>0</v>
      </c>
      <c r="N348" s="5">
        <v>223.04</v>
      </c>
      <c r="Q348" s="139">
        <v>760.44</v>
      </c>
      <c r="V348" s="4"/>
      <c r="W348" s="18">
        <v>0</v>
      </c>
      <c r="X348" s="18">
        <v>1054.6400000000001</v>
      </c>
      <c r="Y348" s="4" t="e">
        <f>X348/W348-1</f>
        <v>#DIV/0!</v>
      </c>
    </row>
    <row r="349" spans="1:25" ht="15" customHeight="1">
      <c r="A349" t="s">
        <v>728</v>
      </c>
      <c r="B349" t="s">
        <v>729</v>
      </c>
      <c r="C349" s="28">
        <v>255</v>
      </c>
      <c r="E349" t="s">
        <v>729</v>
      </c>
      <c r="F349" s="28">
        <v>63</v>
      </c>
      <c r="G349" t="b">
        <f>IF(B349=E349,TRUE,FALSE)</f>
        <v>1</v>
      </c>
      <c r="J349" s="25">
        <f>F349-C349</f>
        <v>-192</v>
      </c>
      <c r="K349" s="4">
        <f>F349/C349-1</f>
        <v>-0.75294117647058822</v>
      </c>
      <c r="M349" s="5">
        <v>205.58</v>
      </c>
      <c r="N349" s="5">
        <v>0</v>
      </c>
      <c r="Q349" s="139">
        <v>0</v>
      </c>
      <c r="U349" s="127">
        <f>N349-M349</f>
        <v>-205.58</v>
      </c>
      <c r="V349" s="4">
        <f>IF(M349=0,0,N349/M349-1)</f>
        <v>-1</v>
      </c>
      <c r="W349" s="18">
        <v>4832.25</v>
      </c>
      <c r="X349" s="18">
        <v>1877.73</v>
      </c>
      <c r="Y349" s="4">
        <f>X349/W349-1</f>
        <v>-0.61141704175073719</v>
      </c>
    </row>
    <row r="350" spans="1:25" ht="15" customHeight="1">
      <c r="A350" t="s">
        <v>730</v>
      </c>
      <c r="B350" t="s">
        <v>731</v>
      </c>
      <c r="C350" s="28">
        <v>0</v>
      </c>
      <c r="E350" t="s">
        <v>731</v>
      </c>
      <c r="F350" s="28">
        <v>59</v>
      </c>
      <c r="G350" t="b">
        <f>IF(B350=E350,TRUE,FALSE)</f>
        <v>1</v>
      </c>
      <c r="J350" s="25">
        <f>F350-C350</f>
        <v>59</v>
      </c>
      <c r="K350" s="4" t="e">
        <f>F350/C350-1</f>
        <v>#DIV/0!</v>
      </c>
      <c r="M350" s="5">
        <v>0</v>
      </c>
      <c r="N350" s="5">
        <v>154.26</v>
      </c>
      <c r="Q350" s="139">
        <v>569.41</v>
      </c>
      <c r="V350" s="4"/>
      <c r="W350" s="18">
        <v>0</v>
      </c>
      <c r="X350" s="18">
        <v>940.52</v>
      </c>
      <c r="Y350" s="4" t="e">
        <f>X350/W350-1</f>
        <v>#DIV/0!</v>
      </c>
    </row>
    <row r="351" spans="1:25" ht="15" customHeight="1">
      <c r="A351" t="s">
        <v>732</v>
      </c>
      <c r="B351" t="s">
        <v>733</v>
      </c>
      <c r="C351" s="28">
        <v>0</v>
      </c>
      <c r="E351" t="s">
        <v>733</v>
      </c>
      <c r="F351" s="28">
        <v>58</v>
      </c>
      <c r="G351" t="b">
        <f>IF(B351=E351,TRUE,FALSE)</f>
        <v>1</v>
      </c>
      <c r="J351" s="25">
        <f>F351-C351</f>
        <v>58</v>
      </c>
      <c r="K351" s="4" t="e">
        <f>F351/C351-1</f>
        <v>#DIV/0!</v>
      </c>
      <c r="M351" s="5">
        <v>0</v>
      </c>
      <c r="N351" s="5">
        <v>79.349999999999994</v>
      </c>
      <c r="Q351" s="139">
        <v>191.89</v>
      </c>
      <c r="V351" s="4"/>
      <c r="W351" s="18">
        <v>0</v>
      </c>
      <c r="X351" s="18">
        <v>1734.42</v>
      </c>
      <c r="Y351" s="4" t="e">
        <f>X351/W351-1</f>
        <v>#DIV/0!</v>
      </c>
    </row>
    <row r="352" spans="1:25" ht="15" customHeight="1">
      <c r="A352" t="s">
        <v>734</v>
      </c>
      <c r="B352" t="s">
        <v>735</v>
      </c>
      <c r="C352" s="28">
        <v>0</v>
      </c>
      <c r="E352" t="s">
        <v>735</v>
      </c>
      <c r="F352" s="28">
        <v>54</v>
      </c>
      <c r="G352" t="b">
        <f>IF(B352=E352,TRUE,FALSE)</f>
        <v>1</v>
      </c>
      <c r="J352" s="25">
        <f>F352-C352</f>
        <v>54</v>
      </c>
      <c r="K352" s="4" t="e">
        <f>F352/C352-1</f>
        <v>#DIV/0!</v>
      </c>
      <c r="M352" s="5">
        <v>0</v>
      </c>
      <c r="N352" s="5">
        <v>226.49</v>
      </c>
      <c r="Q352" s="139">
        <v>443.21</v>
      </c>
      <c r="V352" s="4"/>
      <c r="W352" s="18">
        <v>0</v>
      </c>
      <c r="X352" s="18">
        <v>745.28</v>
      </c>
      <c r="Y352" s="4" t="e">
        <f>X352/W352-1</f>
        <v>#DIV/0!</v>
      </c>
    </row>
    <row r="353" spans="1:27" ht="15" customHeight="1">
      <c r="A353" t="s">
        <v>736</v>
      </c>
      <c r="B353" t="s">
        <v>737</v>
      </c>
      <c r="C353" s="28">
        <v>262</v>
      </c>
      <c r="E353" t="s">
        <v>737</v>
      </c>
      <c r="F353" s="28">
        <v>54</v>
      </c>
      <c r="G353" t="b">
        <f>IF(B353=E353,TRUE,FALSE)</f>
        <v>1</v>
      </c>
      <c r="J353" s="25">
        <f>F353-C353</f>
        <v>-208</v>
      </c>
      <c r="K353" s="4">
        <f>F353/C353-1</f>
        <v>-0.79389312977099236</v>
      </c>
      <c r="M353" s="5">
        <v>0</v>
      </c>
      <c r="N353" s="5">
        <v>227.08</v>
      </c>
      <c r="Q353" s="139">
        <v>859.13</v>
      </c>
      <c r="U353" s="127">
        <f>N353-M353</f>
        <v>227.08</v>
      </c>
      <c r="V353" s="4">
        <f>IF(M353=0,0,N353/M353-1)</f>
        <v>0</v>
      </c>
      <c r="W353" s="18">
        <v>4713.38</v>
      </c>
      <c r="X353" s="18">
        <v>1276.56</v>
      </c>
      <c r="Y353" s="4">
        <f>X353/W353-1</f>
        <v>-0.72916251182803005</v>
      </c>
    </row>
    <row r="354" spans="1:27" ht="15" customHeight="1">
      <c r="A354" t="s">
        <v>738</v>
      </c>
      <c r="B354" t="s">
        <v>739</v>
      </c>
      <c r="C354" s="28">
        <v>0</v>
      </c>
      <c r="E354" t="s">
        <v>739</v>
      </c>
      <c r="F354" s="28">
        <v>52</v>
      </c>
      <c r="G354" t="b">
        <f>IF(B354=E354,TRUE,FALSE)</f>
        <v>1</v>
      </c>
      <c r="J354" s="25">
        <f>F354-C354</f>
        <v>52</v>
      </c>
      <c r="K354" s="4" t="e">
        <f>F354/C354-1</f>
        <v>#DIV/0!</v>
      </c>
      <c r="M354" s="5">
        <v>0</v>
      </c>
      <c r="N354" s="5">
        <v>71.69</v>
      </c>
      <c r="Q354" s="139">
        <v>356.82</v>
      </c>
      <c r="V354" s="4"/>
      <c r="W354" s="18">
        <v>0</v>
      </c>
      <c r="X354" s="18">
        <v>1039.48</v>
      </c>
      <c r="Y354" s="4" t="e">
        <f>X354/W354-1</f>
        <v>#DIV/0!</v>
      </c>
    </row>
    <row r="355" spans="1:27" ht="14.25" customHeight="1">
      <c r="A355" t="s">
        <v>740</v>
      </c>
      <c r="B355" t="s">
        <v>741</v>
      </c>
      <c r="C355" s="28">
        <v>228</v>
      </c>
      <c r="E355" t="s">
        <v>741</v>
      </c>
      <c r="F355" s="28">
        <v>52</v>
      </c>
      <c r="G355" t="b">
        <f>IF(B355=E355,TRUE,FALSE)</f>
        <v>1</v>
      </c>
      <c r="J355" s="25">
        <f>F355-C355</f>
        <v>-176</v>
      </c>
      <c r="K355" s="4">
        <f>F355/C355-1</f>
        <v>-0.77192982456140347</v>
      </c>
      <c r="M355" s="5">
        <v>294.97000000000003</v>
      </c>
      <c r="N355" s="5">
        <v>2.4300000000000002</v>
      </c>
      <c r="Q355" s="139">
        <v>0</v>
      </c>
      <c r="U355" s="127">
        <f>N355-M355</f>
        <v>-292.54000000000002</v>
      </c>
      <c r="V355" s="4">
        <f>IF(M355=0,0,N355/M355-1)</f>
        <v>-0.99176187408889038</v>
      </c>
      <c r="W355" s="18">
        <v>5925.72</v>
      </c>
      <c r="X355" s="18">
        <v>1396.66</v>
      </c>
      <c r="Y355" s="4">
        <f>X355/W355-1</f>
        <v>-0.76430543461385281</v>
      </c>
    </row>
    <row r="356" spans="1:27" ht="15" customHeight="1">
      <c r="A356" t="s">
        <v>742</v>
      </c>
      <c r="B356" t="s">
        <v>743</v>
      </c>
      <c r="C356" s="28">
        <v>234</v>
      </c>
      <c r="E356" t="s">
        <v>743</v>
      </c>
      <c r="F356" s="28">
        <v>46</v>
      </c>
      <c r="G356" t="b">
        <f>IF(B356=E356,TRUE,FALSE)</f>
        <v>1</v>
      </c>
      <c r="J356" s="25">
        <f>F356-C356</f>
        <v>-188</v>
      </c>
      <c r="K356" s="4">
        <f>F356/C356-1</f>
        <v>-0.80341880341880345</v>
      </c>
      <c r="M356" s="5">
        <v>317.87</v>
      </c>
      <c r="N356" s="5">
        <v>0</v>
      </c>
      <c r="Q356" s="139">
        <v>0</v>
      </c>
      <c r="U356" s="127">
        <f>N356-M356</f>
        <v>-317.87</v>
      </c>
      <c r="V356" s="4">
        <f>IF(M356=0,0,N356/M356-1)</f>
        <v>-1</v>
      </c>
      <c r="W356" s="18">
        <v>4668.3</v>
      </c>
      <c r="X356" s="18">
        <v>917.5</v>
      </c>
      <c r="Y356" s="4">
        <f>X356/W356-1</f>
        <v>-0.8034616455669088</v>
      </c>
    </row>
    <row r="357" spans="1:27" ht="15" customHeight="1">
      <c r="A357" t="s">
        <v>744</v>
      </c>
      <c r="B357" t="s">
        <v>745</v>
      </c>
      <c r="C357" s="28">
        <v>410</v>
      </c>
      <c r="E357" t="s">
        <v>745</v>
      </c>
      <c r="F357" s="28">
        <v>44</v>
      </c>
      <c r="G357" t="b">
        <f>IF(B357=E357,TRUE,FALSE)</f>
        <v>1</v>
      </c>
      <c r="J357" s="25">
        <f>F357-C357</f>
        <v>-366</v>
      </c>
      <c r="K357" s="4">
        <f>F357/C357-1</f>
        <v>-0.89268292682926831</v>
      </c>
      <c r="M357" s="5">
        <v>354.78</v>
      </c>
      <c r="N357" s="5">
        <v>7.53</v>
      </c>
      <c r="Q357" s="139">
        <v>0</v>
      </c>
      <c r="U357" s="127">
        <f>N357-M357</f>
        <v>-347.25</v>
      </c>
      <c r="V357" s="4">
        <f>IF(M357=0,0,N357/M357-1)</f>
        <v>-0.97877557923220027</v>
      </c>
      <c r="W357" s="18">
        <v>8179.5</v>
      </c>
      <c r="X357" s="18">
        <v>877.8</v>
      </c>
      <c r="Y357" s="4">
        <f>X357/W357-1</f>
        <v>-0.89268292682926831</v>
      </c>
    </row>
    <row r="358" spans="1:27" ht="15" customHeight="1">
      <c r="A358" t="s">
        <v>746</v>
      </c>
      <c r="B358" t="s">
        <v>747</v>
      </c>
      <c r="C358" s="28">
        <v>217</v>
      </c>
      <c r="E358" t="s">
        <v>747</v>
      </c>
      <c r="F358" s="28">
        <v>43</v>
      </c>
      <c r="G358" t="b">
        <f>IF(B358=E358,TRUE,FALSE)</f>
        <v>1</v>
      </c>
      <c r="J358" s="25">
        <f>F358-C358</f>
        <v>-174</v>
      </c>
      <c r="K358" s="4">
        <f>F358/C358-1</f>
        <v>-0.8018433179723502</v>
      </c>
      <c r="M358" s="5">
        <v>212.98</v>
      </c>
      <c r="N358" s="5">
        <v>1.1200000000000001</v>
      </c>
      <c r="Q358" s="139">
        <v>0</v>
      </c>
      <c r="U358" s="127">
        <f>N358-M358</f>
        <v>-211.85999999999999</v>
      </c>
      <c r="V358" s="4">
        <f>IF(M358=0,0,N358/M358-1)</f>
        <v>-0.99474129026199642</v>
      </c>
      <c r="W358" s="18">
        <v>5197.1499999999996</v>
      </c>
      <c r="X358" s="18">
        <v>1029.3699999999999</v>
      </c>
      <c r="Y358" s="4">
        <f>X358/W358-1</f>
        <v>-0.80193567628411722</v>
      </c>
    </row>
    <row r="359" spans="1:27" ht="15" customHeight="1">
      <c r="A359" t="s">
        <v>748</v>
      </c>
      <c r="B359" t="s">
        <v>749</v>
      </c>
      <c r="C359" s="28">
        <v>226</v>
      </c>
      <c r="E359" t="s">
        <v>749</v>
      </c>
      <c r="F359" s="28">
        <v>43</v>
      </c>
      <c r="G359" t="b">
        <f>IF(B359=E359,TRUE,FALSE)</f>
        <v>1</v>
      </c>
      <c r="J359" s="25">
        <f>F359-C359</f>
        <v>-183</v>
      </c>
      <c r="K359" s="4">
        <f>F359/C359-1</f>
        <v>-0.80973451327433632</v>
      </c>
      <c r="M359" s="5">
        <v>279.69</v>
      </c>
      <c r="N359" s="5">
        <v>0</v>
      </c>
      <c r="Q359" s="139">
        <v>0</v>
      </c>
      <c r="U359" s="127">
        <f>N359-M359</f>
        <v>-279.69</v>
      </c>
      <c r="V359" s="4">
        <f>IF(M359=0,0,N359/M359-1)</f>
        <v>-1</v>
      </c>
      <c r="W359" s="18">
        <v>4960.7</v>
      </c>
      <c r="X359" s="18">
        <v>943</v>
      </c>
      <c r="Y359" s="4">
        <f>X359/W359-1</f>
        <v>-0.80990586006007215</v>
      </c>
    </row>
    <row r="360" spans="1:27" ht="15" customHeight="1">
      <c r="A360" t="s">
        <v>750</v>
      </c>
      <c r="B360" t="s">
        <v>751</v>
      </c>
      <c r="C360" s="28">
        <v>271</v>
      </c>
      <c r="E360" t="s">
        <v>751</v>
      </c>
      <c r="F360" s="28">
        <v>42</v>
      </c>
      <c r="G360" t="b">
        <f>IF(B360=E360,TRUE,FALSE)</f>
        <v>1</v>
      </c>
      <c r="J360" s="25">
        <f>F360-C360</f>
        <v>-229</v>
      </c>
      <c r="K360" s="4">
        <f>F360/C360-1</f>
        <v>-0.84501845018450183</v>
      </c>
      <c r="M360" s="5">
        <v>261.39</v>
      </c>
      <c r="N360" s="5">
        <v>0</v>
      </c>
      <c r="Q360" s="139">
        <v>0</v>
      </c>
      <c r="U360" s="127">
        <f>N360-M360</f>
        <v>-261.39</v>
      </c>
      <c r="V360" s="4">
        <f>IF(M360=0,0,N360/M360-1)</f>
        <v>-1</v>
      </c>
      <c r="W360" s="18">
        <v>5146.29</v>
      </c>
      <c r="X360" s="18">
        <v>823.58</v>
      </c>
      <c r="Y360" s="4">
        <f>X360/W360-1</f>
        <v>-0.83996626696124777</v>
      </c>
    </row>
    <row r="361" spans="1:27" ht="15" customHeight="1">
      <c r="A361" s="143" t="s">
        <v>752</v>
      </c>
      <c r="B361" s="143" t="s">
        <v>753</v>
      </c>
      <c r="C361" s="28">
        <v>85</v>
      </c>
      <c r="E361" s="143" t="s">
        <v>753</v>
      </c>
      <c r="F361" s="28">
        <v>39</v>
      </c>
      <c r="G361" t="b">
        <f>IF(B361=E361,TRUE,FALSE)</f>
        <v>1</v>
      </c>
      <c r="J361" s="25">
        <f>F361-C361</f>
        <v>-46</v>
      </c>
      <c r="K361" s="4">
        <f>F361/C361-1</f>
        <v>-0.54117647058823537</v>
      </c>
      <c r="M361" s="5">
        <v>358.43</v>
      </c>
      <c r="N361" s="5">
        <v>107.6</v>
      </c>
      <c r="Q361" s="138">
        <v>127.94</v>
      </c>
      <c r="U361" s="127">
        <f>N361-M361</f>
        <v>-250.83</v>
      </c>
      <c r="V361" s="4">
        <f>IF(M361=0,0,N361/M361-1)</f>
        <v>-0.69980191390229618</v>
      </c>
      <c r="W361" s="18">
        <v>1957.46</v>
      </c>
      <c r="X361" s="18">
        <v>889.11</v>
      </c>
      <c r="Y361" s="4">
        <f>X361/W361-1</f>
        <v>-0.5457838218916351</v>
      </c>
      <c r="AA361" t="s">
        <v>754</v>
      </c>
    </row>
    <row r="362" spans="1:27" ht="15" customHeight="1">
      <c r="A362" t="s">
        <v>755</v>
      </c>
      <c r="B362" t="s">
        <v>756</v>
      </c>
      <c r="C362" s="28">
        <v>162</v>
      </c>
      <c r="E362" t="s">
        <v>756</v>
      </c>
      <c r="F362" s="28">
        <v>36</v>
      </c>
      <c r="G362" t="b">
        <f>IF(B362=E362,TRUE,FALSE)</f>
        <v>1</v>
      </c>
      <c r="J362" s="25">
        <f>F362-C362</f>
        <v>-126</v>
      </c>
      <c r="K362" s="4">
        <f>F362/C362-1</f>
        <v>-0.77777777777777779</v>
      </c>
      <c r="M362" s="5">
        <v>0</v>
      </c>
      <c r="N362" s="5">
        <v>0</v>
      </c>
      <c r="Q362" s="139">
        <v>0</v>
      </c>
      <c r="U362" s="127">
        <f>N362-M362</f>
        <v>0</v>
      </c>
      <c r="V362" s="4">
        <f>IF(M362=0,0,N362/M362-1)</f>
        <v>0</v>
      </c>
      <c r="W362" s="18">
        <v>3231.9</v>
      </c>
      <c r="X362" s="18">
        <v>789.98</v>
      </c>
      <c r="Y362" s="4">
        <f>X362/W362-1</f>
        <v>-0.75556793217611928</v>
      </c>
    </row>
    <row r="363" spans="1:27" ht="15" customHeight="1">
      <c r="A363" t="s">
        <v>757</v>
      </c>
      <c r="B363" t="s">
        <v>758</v>
      </c>
      <c r="C363" s="28">
        <v>230</v>
      </c>
      <c r="E363" t="s">
        <v>758</v>
      </c>
      <c r="F363" s="28">
        <v>31</v>
      </c>
      <c r="G363" t="b">
        <f>IF(B363=E363,TRUE,FALSE)</f>
        <v>1</v>
      </c>
      <c r="J363" s="25">
        <f>F363-C363</f>
        <v>-199</v>
      </c>
      <c r="K363" s="4">
        <f>F363/C363-1</f>
        <v>-0.86521739130434783</v>
      </c>
      <c r="M363" s="5">
        <v>19.420000000000002</v>
      </c>
      <c r="N363" s="5">
        <v>78.61</v>
      </c>
      <c r="Q363" s="139">
        <v>311.57</v>
      </c>
      <c r="U363" s="127">
        <f>N363-M363</f>
        <v>59.19</v>
      </c>
      <c r="V363" s="4">
        <f>IF(M363=0,0,N363/M363-1)</f>
        <v>3.0478887744593202</v>
      </c>
      <c r="W363" s="18">
        <v>6205.6</v>
      </c>
      <c r="X363" s="18">
        <v>836.69</v>
      </c>
      <c r="Y363" s="4">
        <f>X363/W363-1</f>
        <v>-0.86517178032744613</v>
      </c>
    </row>
    <row r="364" spans="1:27" ht="15" customHeight="1">
      <c r="A364" t="s">
        <v>759</v>
      </c>
      <c r="B364" t="s">
        <v>760</v>
      </c>
      <c r="C364" s="28">
        <v>204</v>
      </c>
      <c r="E364" t="s">
        <v>760</v>
      </c>
      <c r="F364" s="28">
        <v>26</v>
      </c>
      <c r="G364" t="b">
        <f>IF(B364=E364,TRUE,FALSE)</f>
        <v>1</v>
      </c>
      <c r="J364" s="25">
        <f>F364-C364</f>
        <v>-178</v>
      </c>
      <c r="K364" s="4">
        <f>F364/C364-1</f>
        <v>-0.87254901960784315</v>
      </c>
      <c r="M364" s="5">
        <v>264.75</v>
      </c>
      <c r="N364" s="5">
        <v>2.42</v>
      </c>
      <c r="Q364" s="139">
        <v>0</v>
      </c>
      <c r="U364" s="127">
        <f>N364-M364</f>
        <v>-262.33</v>
      </c>
      <c r="V364" s="4">
        <f>IF(M364=0,0,N364/M364-1)</f>
        <v>-0.99085930122757315</v>
      </c>
      <c r="W364" s="18">
        <v>4485.96</v>
      </c>
      <c r="X364" s="18">
        <v>743.7</v>
      </c>
      <c r="Y364" s="4">
        <f>X364/W364-1</f>
        <v>-0.83421608752641574</v>
      </c>
    </row>
    <row r="365" spans="1:27" ht="15" customHeight="1">
      <c r="A365" t="s">
        <v>761</v>
      </c>
      <c r="B365" t="s">
        <v>762</v>
      </c>
      <c r="C365" s="28">
        <v>0</v>
      </c>
      <c r="E365" t="s">
        <v>762</v>
      </c>
      <c r="F365" s="28">
        <v>18</v>
      </c>
      <c r="G365" t="b">
        <f>IF(B365=E365,TRUE,FALSE)</f>
        <v>1</v>
      </c>
      <c r="J365" s="25">
        <f>F365-C365</f>
        <v>18</v>
      </c>
      <c r="K365" s="4" t="e">
        <f>F365/C365-1</f>
        <v>#DIV/0!</v>
      </c>
      <c r="M365" s="5">
        <v>0</v>
      </c>
      <c r="N365" s="5">
        <v>152.37</v>
      </c>
      <c r="Q365" s="139">
        <v>992.38</v>
      </c>
      <c r="V365" s="4"/>
      <c r="W365" s="18">
        <v>0</v>
      </c>
      <c r="X365" s="18">
        <v>539.82000000000005</v>
      </c>
      <c r="Y365" s="4" t="e">
        <f>X365/W365-1</f>
        <v>#DIV/0!</v>
      </c>
    </row>
    <row r="366" spans="1:27" ht="15" customHeight="1">
      <c r="A366" t="s">
        <v>763</v>
      </c>
      <c r="B366" t="s">
        <v>764</v>
      </c>
      <c r="C366" s="28">
        <v>0</v>
      </c>
      <c r="E366" t="s">
        <v>764</v>
      </c>
      <c r="F366" s="28">
        <v>9</v>
      </c>
      <c r="G366" t="b">
        <f>IF(B366=E366,TRUE,FALSE)</f>
        <v>1</v>
      </c>
      <c r="J366" s="25">
        <f>F366-C366</f>
        <v>9</v>
      </c>
      <c r="K366" s="4" t="e">
        <f>F366/C366-1</f>
        <v>#DIV/0!</v>
      </c>
      <c r="M366" s="5">
        <v>0</v>
      </c>
      <c r="N366" s="5">
        <v>129.61000000000001</v>
      </c>
      <c r="Q366" s="139">
        <v>1047.95</v>
      </c>
      <c r="V366" s="4"/>
      <c r="W366" s="18">
        <v>0</v>
      </c>
      <c r="X366" s="18">
        <v>314.91000000000003</v>
      </c>
      <c r="Y366" s="4" t="e">
        <f>X366/W366-1</f>
        <v>#DIV/0!</v>
      </c>
    </row>
    <row r="367" spans="1:27" ht="15" customHeight="1">
      <c r="A367" t="s">
        <v>765</v>
      </c>
      <c r="B367" t="s">
        <v>766</v>
      </c>
      <c r="C367" s="28">
        <v>123</v>
      </c>
      <c r="E367" t="s">
        <v>766</v>
      </c>
      <c r="F367" s="28">
        <v>8</v>
      </c>
      <c r="G367" t="b">
        <f>IF(B367=E367,TRUE,FALSE)</f>
        <v>1</v>
      </c>
      <c r="J367" s="25">
        <f>F367-C367</f>
        <v>-115</v>
      </c>
      <c r="K367" s="4">
        <f>F367/C367-1</f>
        <v>-0.93495934959349591</v>
      </c>
      <c r="M367" s="5">
        <v>0</v>
      </c>
      <c r="N367" s="5">
        <v>0</v>
      </c>
      <c r="Q367" s="139">
        <v>0</v>
      </c>
      <c r="U367" s="127">
        <f>N367-M367</f>
        <v>0</v>
      </c>
      <c r="V367" s="4">
        <f>IF(M367=0,0,N367/M367-1)</f>
        <v>0</v>
      </c>
      <c r="W367" s="18">
        <v>2704.33</v>
      </c>
      <c r="X367" s="18">
        <v>175.92</v>
      </c>
      <c r="Y367" s="4">
        <f>X367/W367-1</f>
        <v>-0.93494876734718024</v>
      </c>
    </row>
    <row r="368" spans="1:27" ht="15" customHeight="1">
      <c r="A368" t="s">
        <v>767</v>
      </c>
      <c r="B368" t="s">
        <v>768</v>
      </c>
      <c r="C368" s="28">
        <v>0</v>
      </c>
      <c r="E368" t="s">
        <v>768</v>
      </c>
      <c r="F368" s="28">
        <v>2</v>
      </c>
      <c r="G368" t="b">
        <f>IF(B368=E368,TRUE,FALSE)</f>
        <v>1</v>
      </c>
      <c r="J368" s="25">
        <f>F368-C368</f>
        <v>2</v>
      </c>
      <c r="K368" s="4" t="e">
        <f>F368/C368-1</f>
        <v>#DIV/0!</v>
      </c>
      <c r="M368" s="5">
        <v>0</v>
      </c>
      <c r="N368" s="5">
        <v>15.61</v>
      </c>
      <c r="Q368" s="139">
        <v>0</v>
      </c>
      <c r="V368" s="4"/>
      <c r="W368" s="18">
        <v>0</v>
      </c>
      <c r="X368" s="18">
        <v>49.9</v>
      </c>
      <c r="Y368" s="4" t="e">
        <f>X368/W368-1</f>
        <v>#DIV/0!</v>
      </c>
    </row>
    <row r="369" spans="1:25" ht="15" customHeight="1">
      <c r="A369" s="54" t="s">
        <v>769</v>
      </c>
      <c r="B369" s="37" t="s">
        <v>770</v>
      </c>
      <c r="C369" s="19">
        <v>0</v>
      </c>
      <c r="E369" s="37" t="s">
        <v>770</v>
      </c>
      <c r="F369" s="19">
        <v>1</v>
      </c>
      <c r="G369" t="b">
        <f>IF(B369=E369,TRUE,FALSE)</f>
        <v>1</v>
      </c>
      <c r="J369" s="25">
        <f>F369-C369</f>
        <v>1</v>
      </c>
      <c r="K369" s="4" t="e">
        <f>F369/C369-1</f>
        <v>#DIV/0!</v>
      </c>
      <c r="M369" s="5">
        <v>0</v>
      </c>
      <c r="N369" s="5">
        <v>2.6</v>
      </c>
      <c r="Q369" s="138">
        <v>54.94</v>
      </c>
      <c r="U369" s="127">
        <f>N369-M369</f>
        <v>2.6</v>
      </c>
      <c r="V369" s="4">
        <f>IF(M369=0,0,N369/M369-1)</f>
        <v>0</v>
      </c>
      <c r="W369">
        <v>0</v>
      </c>
      <c r="X369">
        <v>19.989999999999998</v>
      </c>
      <c r="Y369" s="4" t="e">
        <f>X369/W369-1</f>
        <v>#DIV/0!</v>
      </c>
    </row>
    <row r="370" spans="1:25" ht="15" customHeight="1">
      <c r="A370" t="s">
        <v>771</v>
      </c>
      <c r="B370" t="s">
        <v>772</v>
      </c>
      <c r="C370" s="28">
        <v>0</v>
      </c>
      <c r="E370" t="s">
        <v>772</v>
      </c>
      <c r="F370" s="28">
        <v>1</v>
      </c>
      <c r="G370" t="b">
        <f>IF(B370=E370,TRUE,FALSE)</f>
        <v>1</v>
      </c>
      <c r="J370" s="25">
        <f>F370-C370</f>
        <v>1</v>
      </c>
      <c r="K370" s="4" t="e">
        <f>F370/C370-1</f>
        <v>#DIV/0!</v>
      </c>
      <c r="M370" s="5">
        <v>0</v>
      </c>
      <c r="N370" s="5">
        <v>30.92</v>
      </c>
      <c r="Q370" s="139">
        <v>185.92</v>
      </c>
      <c r="V370" s="4"/>
      <c r="W370" s="18">
        <v>0</v>
      </c>
      <c r="X370" s="18">
        <v>29.99</v>
      </c>
      <c r="Y370" s="4" t="e">
        <f>X370/W370-1</f>
        <v>#DIV/0!</v>
      </c>
    </row>
    <row r="371" spans="1:25" ht="15" customHeight="1">
      <c r="A371" t="s">
        <v>773</v>
      </c>
      <c r="B371" t="s">
        <v>774</v>
      </c>
      <c r="C371" s="28">
        <v>0</v>
      </c>
      <c r="E371" t="s">
        <v>774</v>
      </c>
      <c r="F371" s="28">
        <v>0</v>
      </c>
      <c r="G371" t="b">
        <f>IF(B371=E371,TRUE,FALSE)</f>
        <v>1</v>
      </c>
      <c r="J371" s="25">
        <f>F371-C371</f>
        <v>0</v>
      </c>
      <c r="K371" s="4" t="e">
        <f>F371/C371-1</f>
        <v>#DIV/0!</v>
      </c>
      <c r="M371" s="5">
        <v>0</v>
      </c>
      <c r="N371" s="5">
        <v>0</v>
      </c>
      <c r="Q371" s="139">
        <v>0</v>
      </c>
      <c r="U371" s="127">
        <f>N371-M371</f>
        <v>0</v>
      </c>
      <c r="V371" s="4">
        <f>IF(M371=0,0,N371/M371-1)</f>
        <v>0</v>
      </c>
      <c r="W371" s="18">
        <v>0</v>
      </c>
      <c r="X371" s="18">
        <v>0</v>
      </c>
      <c r="Y371" s="4" t="e">
        <f>X371/W371-1</f>
        <v>#DIV/0!</v>
      </c>
    </row>
    <row r="372" spans="1:25" ht="15" customHeight="1">
      <c r="A372" s="143" t="s">
        <v>775</v>
      </c>
      <c r="B372" s="143" t="s">
        <v>776</v>
      </c>
      <c r="C372" s="28">
        <v>0</v>
      </c>
      <c r="E372" s="143" t="s">
        <v>776</v>
      </c>
      <c r="F372" s="28">
        <v>0</v>
      </c>
      <c r="G372" t="b">
        <f>IF(B372=E372,TRUE,FALSE)</f>
        <v>1</v>
      </c>
      <c r="J372" s="25">
        <f>F372-C372</f>
        <v>0</v>
      </c>
      <c r="K372" s="4" t="e">
        <f>F372/C372-1</f>
        <v>#DIV/0!</v>
      </c>
      <c r="M372" s="5">
        <v>0</v>
      </c>
      <c r="N372" s="5">
        <v>0</v>
      </c>
      <c r="Q372" s="138">
        <v>0</v>
      </c>
      <c r="U372" s="127">
        <f>N372-M372</f>
        <v>0</v>
      </c>
      <c r="V372" s="4">
        <f>IF(M372=0,0,N372/M372-1)</f>
        <v>0</v>
      </c>
      <c r="W372" s="18">
        <v>0</v>
      </c>
      <c r="X372" s="18">
        <v>0</v>
      </c>
      <c r="Y372" s="4" t="e">
        <f>X372/W372-1</f>
        <v>#DIV/0!</v>
      </c>
    </row>
    <row r="373" spans="1:25" ht="15" customHeight="1">
      <c r="A373" t="s">
        <v>777</v>
      </c>
      <c r="B373" t="s">
        <v>778</v>
      </c>
      <c r="C373" s="28">
        <v>0</v>
      </c>
      <c r="E373" t="s">
        <v>778</v>
      </c>
      <c r="F373" s="28">
        <v>0</v>
      </c>
      <c r="G373" t="b">
        <f>IF(B373=E373,TRUE,FALSE)</f>
        <v>1</v>
      </c>
      <c r="J373" s="25">
        <f>F373-C373</f>
        <v>0</v>
      </c>
      <c r="K373" s="4" t="e">
        <f>F373/C373-1</f>
        <v>#DIV/0!</v>
      </c>
      <c r="M373" s="5">
        <v>0</v>
      </c>
      <c r="N373" s="5">
        <v>0</v>
      </c>
      <c r="Q373" s="139">
        <v>0</v>
      </c>
      <c r="U373" s="127">
        <f>N373-M373</f>
        <v>0</v>
      </c>
      <c r="V373" s="4">
        <f>IF(M373=0,0,N373/M373-1)</f>
        <v>0</v>
      </c>
      <c r="W373" s="18">
        <v>0</v>
      </c>
      <c r="X373" s="18">
        <v>0</v>
      </c>
      <c r="Y373" s="4" t="e">
        <f>X373/W373-1</f>
        <v>#DIV/0!</v>
      </c>
    </row>
    <row r="374" spans="1:25" ht="15" customHeight="1">
      <c r="A374" s="143" t="s">
        <v>779</v>
      </c>
      <c r="B374" s="37" t="s">
        <v>780</v>
      </c>
      <c r="C374" s="28">
        <v>0</v>
      </c>
      <c r="E374" s="37" t="s">
        <v>780</v>
      </c>
      <c r="F374" s="28">
        <v>0</v>
      </c>
      <c r="G374" t="b">
        <f>IF(B374=E374,TRUE,FALSE)</f>
        <v>1</v>
      </c>
      <c r="J374" s="25">
        <f>F374-C374</f>
        <v>0</v>
      </c>
      <c r="K374" s="4" t="e">
        <f>F374/C374-1</f>
        <v>#DIV/0!</v>
      </c>
      <c r="M374" s="5">
        <v>0</v>
      </c>
      <c r="N374" s="5">
        <v>14.07</v>
      </c>
      <c r="Q374" s="138">
        <v>114.91</v>
      </c>
      <c r="V374" s="4"/>
      <c r="W374" s="18">
        <v>0</v>
      </c>
      <c r="X374" s="18">
        <v>0</v>
      </c>
      <c r="Y374" s="4" t="e">
        <f>X374/W374-1</f>
        <v>#DIV/0!</v>
      </c>
    </row>
    <row r="375" spans="1:25" ht="15" customHeight="1">
      <c r="A375" s="143" t="s">
        <v>781</v>
      </c>
      <c r="B375" s="37" t="s">
        <v>782</v>
      </c>
      <c r="C375" s="28">
        <v>0</v>
      </c>
      <c r="E375" s="37" t="s">
        <v>782</v>
      </c>
      <c r="F375" s="28">
        <v>0</v>
      </c>
      <c r="G375" t="b">
        <f>IF(B375=E375,TRUE,FALSE)</f>
        <v>1</v>
      </c>
      <c r="J375" s="25">
        <f>F375-C375</f>
        <v>0</v>
      </c>
      <c r="K375" s="4" t="e">
        <f>F375/C375-1</f>
        <v>#DIV/0!</v>
      </c>
      <c r="M375" s="5">
        <v>0</v>
      </c>
      <c r="N375" s="5">
        <v>0</v>
      </c>
      <c r="Q375" s="138">
        <v>0</v>
      </c>
      <c r="V375" s="4"/>
      <c r="W375" s="18">
        <v>0</v>
      </c>
      <c r="X375" s="18">
        <v>0</v>
      </c>
      <c r="Y375" s="4" t="e">
        <f>X375/W375-1</f>
        <v>#DIV/0!</v>
      </c>
    </row>
    <row r="376" spans="1:25" ht="15" customHeight="1">
      <c r="A376" t="s">
        <v>783</v>
      </c>
      <c r="B376" t="s">
        <v>784</v>
      </c>
      <c r="C376" s="28">
        <v>4</v>
      </c>
      <c r="E376" t="s">
        <v>784</v>
      </c>
      <c r="F376" s="28">
        <v>0</v>
      </c>
      <c r="G376" t="b">
        <f>IF(B376=E376,TRUE,FALSE)</f>
        <v>1</v>
      </c>
      <c r="J376" s="25">
        <f>F376-C376</f>
        <v>-4</v>
      </c>
      <c r="K376" s="4">
        <f>F376/C376-1</f>
        <v>-1</v>
      </c>
      <c r="M376" s="5">
        <v>0</v>
      </c>
      <c r="N376" s="5">
        <v>0</v>
      </c>
      <c r="Q376" s="139">
        <v>0</v>
      </c>
      <c r="U376" s="127">
        <f>N376-M376</f>
        <v>0</v>
      </c>
      <c r="V376" s="4">
        <f>IF(M376=0,0,N376/M376-1)</f>
        <v>0</v>
      </c>
      <c r="W376" s="18">
        <v>119.96</v>
      </c>
      <c r="X376" s="18">
        <v>0</v>
      </c>
      <c r="Y376" s="4">
        <f>X376/W376-1</f>
        <v>-1</v>
      </c>
    </row>
    <row r="377" spans="1:25" ht="15" customHeight="1">
      <c r="A377" s="54" t="s">
        <v>785</v>
      </c>
      <c r="B377" s="37" t="s">
        <v>786</v>
      </c>
      <c r="C377" s="28">
        <v>5</v>
      </c>
      <c r="E377" s="37" t="s">
        <v>786</v>
      </c>
      <c r="F377" s="28">
        <v>0</v>
      </c>
      <c r="G377" t="b">
        <f>IF(B377=E377,TRUE,FALSE)</f>
        <v>1</v>
      </c>
      <c r="J377" s="25">
        <f>F377-C377</f>
        <v>-5</v>
      </c>
      <c r="K377" s="4">
        <f>F377/C377-1</f>
        <v>-1</v>
      </c>
      <c r="M377" s="5">
        <v>17.84</v>
      </c>
      <c r="N377" s="5">
        <v>0</v>
      </c>
      <c r="Q377" s="138">
        <v>0</v>
      </c>
      <c r="U377" s="127">
        <f>N377-M377</f>
        <v>-17.84</v>
      </c>
      <c r="V377" s="4">
        <f>IF(M377=0,0,N377/M377-1)</f>
        <v>-1</v>
      </c>
      <c r="W377" s="18">
        <v>99.75</v>
      </c>
      <c r="X377" s="18">
        <v>0</v>
      </c>
      <c r="Y377" s="4">
        <f>X377/W377-1</f>
        <v>-1</v>
      </c>
    </row>
    <row r="378" spans="1:25" ht="15" customHeight="1">
      <c r="A378" s="54" t="s">
        <v>787</v>
      </c>
      <c r="B378" s="37" t="s">
        <v>788</v>
      </c>
      <c r="C378" s="28">
        <v>14</v>
      </c>
      <c r="E378" s="37" t="s">
        <v>788</v>
      </c>
      <c r="F378" s="28">
        <v>0</v>
      </c>
      <c r="G378" t="b">
        <f>IF(B378=E378,TRUE,FALSE)</f>
        <v>1</v>
      </c>
      <c r="J378" s="25">
        <f>F378-C378</f>
        <v>-14</v>
      </c>
      <c r="K378" s="4">
        <f>F378/C378-1</f>
        <v>-1</v>
      </c>
      <c r="M378" s="5">
        <v>0</v>
      </c>
      <c r="N378" s="5">
        <v>0</v>
      </c>
      <c r="Q378" s="139">
        <v>0</v>
      </c>
      <c r="U378" s="127">
        <f>N378-M378</f>
        <v>0</v>
      </c>
      <c r="V378" s="4">
        <f>IF(M378=0,0,N378/M378-1)</f>
        <v>0</v>
      </c>
      <c r="W378" s="18">
        <v>349.11</v>
      </c>
      <c r="X378" s="18">
        <v>0</v>
      </c>
      <c r="Y378" s="4">
        <f>X378/W378-1</f>
        <v>-1</v>
      </c>
    </row>
    <row r="379" spans="1:25" ht="15" customHeight="1">
      <c r="A379" s="54" t="s">
        <v>789</v>
      </c>
      <c r="B379" s="37" t="s">
        <v>790</v>
      </c>
      <c r="C379" s="28">
        <v>22</v>
      </c>
      <c r="E379" s="37" t="s">
        <v>790</v>
      </c>
      <c r="F379" s="28">
        <v>0</v>
      </c>
      <c r="G379" t="b">
        <f>IF(B379=E379,TRUE,FALSE)</f>
        <v>1</v>
      </c>
      <c r="J379" s="25">
        <f>F379-C379</f>
        <v>-22</v>
      </c>
      <c r="K379" s="4">
        <f>F379/C379-1</f>
        <v>-1</v>
      </c>
      <c r="M379" s="5">
        <v>27.65</v>
      </c>
      <c r="N379" s="5">
        <v>0</v>
      </c>
      <c r="Q379" s="138">
        <v>0</v>
      </c>
      <c r="U379" s="127">
        <f>N379-M379</f>
        <v>-27.65</v>
      </c>
      <c r="V379" s="4">
        <f>IF(M379=0,0,N379/M379-1)</f>
        <v>-1</v>
      </c>
      <c r="W379" s="18">
        <v>349.6</v>
      </c>
      <c r="X379" s="18">
        <v>0</v>
      </c>
      <c r="Y379" s="4">
        <f>X379/W379-1</f>
        <v>-1</v>
      </c>
    </row>
    <row r="380" spans="1:25" ht="15" customHeight="1">
      <c r="A380" t="s">
        <v>791</v>
      </c>
      <c r="B380" t="s">
        <v>792</v>
      </c>
      <c r="C380" s="28">
        <v>33</v>
      </c>
      <c r="E380" t="s">
        <v>792</v>
      </c>
      <c r="F380" s="28">
        <v>0</v>
      </c>
      <c r="G380" t="b">
        <f>IF(B380=E380,TRUE,FALSE)</f>
        <v>1</v>
      </c>
      <c r="J380" s="25">
        <f>F380-C380</f>
        <v>-33</v>
      </c>
      <c r="K380" s="4">
        <f>F380/C380-1</f>
        <v>-1</v>
      </c>
      <c r="M380" s="5">
        <v>43.55</v>
      </c>
      <c r="N380" s="5">
        <v>0</v>
      </c>
      <c r="Q380" s="139">
        <v>0</v>
      </c>
      <c r="U380" s="127">
        <f>N380-M380</f>
        <v>-43.55</v>
      </c>
      <c r="V380" s="4">
        <f>IF(M380=0,0,N380/M380-1)</f>
        <v>-1</v>
      </c>
      <c r="W380" s="18">
        <v>890.67</v>
      </c>
      <c r="X380" s="18">
        <v>0</v>
      </c>
      <c r="Y380" s="4">
        <f>X380/W380-1</f>
        <v>-1</v>
      </c>
    </row>
    <row r="381" spans="1:25" ht="15" customHeight="1">
      <c r="A381" t="s">
        <v>793</v>
      </c>
      <c r="B381" t="s">
        <v>794</v>
      </c>
      <c r="C381" s="28">
        <v>129</v>
      </c>
      <c r="E381" t="s">
        <v>794</v>
      </c>
      <c r="F381" s="28">
        <v>0</v>
      </c>
      <c r="G381" t="b">
        <f>IF(B381=E381,TRUE,FALSE)</f>
        <v>1</v>
      </c>
      <c r="J381" s="25">
        <f>F381-C381</f>
        <v>-129</v>
      </c>
      <c r="K381" s="4">
        <f>F381/C381-1</f>
        <v>-1</v>
      </c>
      <c r="M381" s="5">
        <v>234.71</v>
      </c>
      <c r="N381" s="5">
        <v>0</v>
      </c>
      <c r="Q381" s="139">
        <v>0</v>
      </c>
      <c r="U381" s="127">
        <f>N381-M381</f>
        <v>-234.71</v>
      </c>
      <c r="V381" s="4">
        <f>IF(M381=0,0,N381/M381-1)</f>
        <v>-1</v>
      </c>
      <c r="W381" s="18">
        <v>3089.55</v>
      </c>
      <c r="X381" s="18">
        <v>0</v>
      </c>
      <c r="Y381" s="4">
        <f>X381/W381-1</f>
        <v>-1</v>
      </c>
    </row>
    <row r="382" spans="1:25" ht="15" customHeight="1">
      <c r="A382" s="54" t="s">
        <v>795</v>
      </c>
      <c r="B382" s="37" t="s">
        <v>796</v>
      </c>
      <c r="C382" s="28">
        <v>150</v>
      </c>
      <c r="E382" s="37" t="s">
        <v>796</v>
      </c>
      <c r="F382" s="28">
        <v>0</v>
      </c>
      <c r="G382" t="b">
        <f>IF(B382=E382,TRUE,FALSE)</f>
        <v>1</v>
      </c>
      <c r="J382" s="25">
        <f>F382-C382</f>
        <v>-150</v>
      </c>
      <c r="K382" s="4">
        <f>F382/C382-1</f>
        <v>-1</v>
      </c>
      <c r="M382" s="5">
        <v>438.63</v>
      </c>
      <c r="N382" s="5">
        <v>0</v>
      </c>
      <c r="Q382" s="138">
        <v>0</v>
      </c>
      <c r="U382" s="127">
        <f>N382-M382</f>
        <v>-438.63</v>
      </c>
      <c r="V382" s="4">
        <f>IF(M382=0,0,N382/M382-1)</f>
        <v>-1</v>
      </c>
      <c r="W382" s="18">
        <v>1608.6</v>
      </c>
      <c r="X382" s="18">
        <v>0</v>
      </c>
      <c r="Y382" s="4">
        <f>X382/W382-1</f>
        <v>-1</v>
      </c>
    </row>
    <row r="383" spans="1:25" ht="15" customHeight="1">
      <c r="A383" t="s">
        <v>797</v>
      </c>
      <c r="B383" t="s">
        <v>798</v>
      </c>
      <c r="C383" s="28">
        <v>192</v>
      </c>
      <c r="E383" t="s">
        <v>798</v>
      </c>
      <c r="F383" s="28">
        <v>0</v>
      </c>
      <c r="G383" t="b">
        <f>IF(B383=E383,TRUE,FALSE)</f>
        <v>1</v>
      </c>
      <c r="J383" s="25">
        <f>F383-C383</f>
        <v>-192</v>
      </c>
      <c r="K383" s="4">
        <f>F383/C383-1</f>
        <v>-1</v>
      </c>
      <c r="M383" s="5">
        <v>372.99</v>
      </c>
      <c r="N383" s="5">
        <v>0</v>
      </c>
      <c r="Q383" s="139">
        <v>0</v>
      </c>
      <c r="U383" s="127">
        <f>N383-M383</f>
        <v>-372.99</v>
      </c>
      <c r="V383" s="4">
        <f>IF(M383=0,0,N383/M383-1)</f>
        <v>-1</v>
      </c>
      <c r="W383" s="18">
        <v>5174.3999999999996</v>
      </c>
      <c r="X383" s="18">
        <v>0</v>
      </c>
      <c r="Y383" s="4">
        <f>X383/W383-1</f>
        <v>-1</v>
      </c>
    </row>
    <row r="384" spans="1:25" ht="15" customHeight="1">
      <c r="A384" t="s">
        <v>799</v>
      </c>
      <c r="B384" t="s">
        <v>800</v>
      </c>
      <c r="C384" s="28">
        <v>215</v>
      </c>
      <c r="E384" t="s">
        <v>800</v>
      </c>
      <c r="F384" s="28">
        <v>0</v>
      </c>
      <c r="G384" t="b">
        <f>IF(B384=E384,TRUE,FALSE)</f>
        <v>1</v>
      </c>
      <c r="J384" s="25">
        <f>F384-C384</f>
        <v>-215</v>
      </c>
      <c r="K384" s="4">
        <f>F384/C384-1</f>
        <v>-1</v>
      </c>
      <c r="M384" s="5">
        <v>225.74</v>
      </c>
      <c r="N384" s="5">
        <v>0</v>
      </c>
      <c r="Q384" s="139">
        <v>0</v>
      </c>
      <c r="U384" s="127">
        <f>N384-M384</f>
        <v>-225.74</v>
      </c>
      <c r="V384" s="4">
        <f>IF(M384=0,0,N384/M384-1)</f>
        <v>-1</v>
      </c>
      <c r="W384" s="18">
        <v>4082.85</v>
      </c>
      <c r="X384" s="18">
        <v>0</v>
      </c>
      <c r="Y384" s="4">
        <f>X384/W384-1</f>
        <v>-1</v>
      </c>
    </row>
    <row r="385" spans="1:25" ht="15" customHeight="1">
      <c r="A385" t="s">
        <v>801</v>
      </c>
      <c r="B385" t="s">
        <v>802</v>
      </c>
      <c r="C385" s="28">
        <v>234</v>
      </c>
      <c r="E385" t="s">
        <v>802</v>
      </c>
      <c r="F385" s="28">
        <v>0</v>
      </c>
      <c r="G385" t="b">
        <f>IF(B385=E385,TRUE,FALSE)</f>
        <v>1</v>
      </c>
      <c r="J385" s="25">
        <f>F385-C385</f>
        <v>-234</v>
      </c>
      <c r="K385" s="4">
        <f>F385/C385-1</f>
        <v>-1</v>
      </c>
      <c r="M385" s="5">
        <v>319.17</v>
      </c>
      <c r="N385" s="5">
        <v>0</v>
      </c>
      <c r="Q385" s="139">
        <v>0</v>
      </c>
      <c r="U385" s="127">
        <f>N385-M385</f>
        <v>-319.17</v>
      </c>
      <c r="V385" s="4">
        <f>IF(M385=0,0,N385/M385-1)</f>
        <v>-1</v>
      </c>
      <c r="W385" s="18">
        <v>5136.3</v>
      </c>
      <c r="X385" s="18">
        <v>0</v>
      </c>
      <c r="Y385" s="4">
        <f>X385/W385-1</f>
        <v>-1</v>
      </c>
    </row>
    <row r="386" spans="1:25" ht="15" customHeight="1">
      <c r="A386" t="s">
        <v>803</v>
      </c>
      <c r="B386" t="s">
        <v>804</v>
      </c>
      <c r="C386" s="28">
        <v>235</v>
      </c>
      <c r="E386" t="s">
        <v>804</v>
      </c>
      <c r="F386" s="28">
        <v>0</v>
      </c>
      <c r="G386" t="b">
        <f>IF(B386=E386,TRUE,FALSE)</f>
        <v>1</v>
      </c>
      <c r="J386" s="25">
        <f>F386-C386</f>
        <v>-235</v>
      </c>
      <c r="K386" s="4">
        <f>F386/C386-1</f>
        <v>-1</v>
      </c>
      <c r="M386" s="5">
        <v>26.19</v>
      </c>
      <c r="N386" s="5">
        <v>0</v>
      </c>
      <c r="Q386" s="139">
        <v>0</v>
      </c>
      <c r="U386" s="127">
        <f>N386-M386</f>
        <v>-26.19</v>
      </c>
      <c r="V386" s="4">
        <f>IF(M386=0,0,N386/M386-1)</f>
        <v>-1</v>
      </c>
      <c r="W386" s="18">
        <v>5872.05</v>
      </c>
      <c r="X386" s="18">
        <v>0</v>
      </c>
      <c r="Y386" s="4">
        <f>X386/W386-1</f>
        <v>-1</v>
      </c>
    </row>
    <row r="387" spans="1:25" ht="15" customHeight="1">
      <c r="A387" t="s">
        <v>805</v>
      </c>
      <c r="B387" t="s">
        <v>806</v>
      </c>
      <c r="C387" s="28">
        <v>285</v>
      </c>
      <c r="E387" t="s">
        <v>806</v>
      </c>
      <c r="F387" s="28">
        <v>0</v>
      </c>
      <c r="G387" t="b">
        <f>IF(B387=E387,TRUE,FALSE)</f>
        <v>1</v>
      </c>
      <c r="J387" s="25">
        <f>F387-C387</f>
        <v>-285</v>
      </c>
      <c r="K387" s="4">
        <f>F387/C387-1</f>
        <v>-1</v>
      </c>
      <c r="M387" s="5">
        <v>0</v>
      </c>
      <c r="N387" s="5">
        <v>0</v>
      </c>
      <c r="Q387" s="139">
        <v>0</v>
      </c>
      <c r="U387" s="127">
        <f>N387-M387</f>
        <v>0</v>
      </c>
      <c r="V387" s="4">
        <f>IF(M387=0,0,N387/M387-1)</f>
        <v>0</v>
      </c>
      <c r="W387" s="18">
        <v>6825.75</v>
      </c>
      <c r="X387" s="18">
        <v>0</v>
      </c>
      <c r="Y387" s="4">
        <f>X387/W387-1</f>
        <v>-1</v>
      </c>
    </row>
    <row r="388" spans="1:25" ht="15" customHeight="1">
      <c r="A388" s="143" t="s">
        <v>807</v>
      </c>
      <c r="B388" s="37" t="s">
        <v>808</v>
      </c>
      <c r="C388" s="28">
        <v>309</v>
      </c>
      <c r="E388" s="37" t="s">
        <v>808</v>
      </c>
      <c r="F388" s="28">
        <v>0</v>
      </c>
      <c r="G388" t="b">
        <f>IF(B388=E388,TRUE,FALSE)</f>
        <v>1</v>
      </c>
      <c r="J388" s="25">
        <f>F388-C388</f>
        <v>-309</v>
      </c>
      <c r="K388" s="4">
        <f>F388/C388-1</f>
        <v>-1</v>
      </c>
      <c r="M388" s="5">
        <v>293.36</v>
      </c>
      <c r="N388" s="5">
        <v>0</v>
      </c>
      <c r="Q388" s="138">
        <v>0</v>
      </c>
      <c r="U388" s="127">
        <f>N388-M388</f>
        <v>-293.36</v>
      </c>
      <c r="V388" s="4">
        <f>IF(M388=0,0,N388/M388-1)</f>
        <v>-1</v>
      </c>
      <c r="W388" s="18">
        <v>3086.91</v>
      </c>
      <c r="X388" s="18">
        <v>0</v>
      </c>
      <c r="Y388" s="4"/>
    </row>
    <row r="389" spans="1:25" ht="15" customHeight="1">
      <c r="A389" t="s">
        <v>809</v>
      </c>
      <c r="B389" t="s">
        <v>810</v>
      </c>
      <c r="C389" s="28">
        <v>324</v>
      </c>
      <c r="E389" t="s">
        <v>810</v>
      </c>
      <c r="F389" s="28">
        <v>0</v>
      </c>
      <c r="G389" t="b">
        <f>IF(B389=E389,TRUE,FALSE)</f>
        <v>1</v>
      </c>
      <c r="J389" s="25">
        <f>F389-C389</f>
        <v>-324</v>
      </c>
      <c r="K389" s="4">
        <f>F389/C389-1</f>
        <v>-1</v>
      </c>
      <c r="M389" s="5">
        <v>287.69</v>
      </c>
      <c r="N389" s="5">
        <v>0</v>
      </c>
      <c r="Q389" s="139">
        <v>0</v>
      </c>
      <c r="U389" s="127">
        <f>N389-M389</f>
        <v>-287.69</v>
      </c>
      <c r="V389" s="4">
        <f>IF(M389=0,0,N389/M389-1)</f>
        <v>-1</v>
      </c>
      <c r="W389" s="18">
        <v>11971.06</v>
      </c>
      <c r="X389" s="18">
        <v>0</v>
      </c>
      <c r="Y389" s="4">
        <f>X389/W389-1</f>
        <v>-1</v>
      </c>
    </row>
    <row r="390" spans="1:25" ht="15" customHeight="1">
      <c r="A390" t="s">
        <v>811</v>
      </c>
      <c r="B390" t="s">
        <v>812</v>
      </c>
      <c r="C390" s="28">
        <v>328</v>
      </c>
      <c r="E390" t="s">
        <v>812</v>
      </c>
      <c r="F390" s="28">
        <v>0</v>
      </c>
      <c r="G390" t="b">
        <f>IF(B390=E390,TRUE,FALSE)</f>
        <v>1</v>
      </c>
      <c r="J390" s="25">
        <f>F390-C390</f>
        <v>-328</v>
      </c>
      <c r="K390" s="4">
        <f>F390/C390-1</f>
        <v>-1</v>
      </c>
      <c r="M390" s="5">
        <v>649.70000000000005</v>
      </c>
      <c r="N390" s="5">
        <v>0</v>
      </c>
      <c r="Q390" s="139">
        <v>0</v>
      </c>
      <c r="U390" s="127">
        <f>N390-M390</f>
        <v>-649.70000000000005</v>
      </c>
      <c r="V390" s="4">
        <f>IF(M390=0,0,N390/M390-1)</f>
        <v>-1</v>
      </c>
      <c r="W390" s="18">
        <v>9823.6</v>
      </c>
      <c r="X390" s="18">
        <v>0</v>
      </c>
      <c r="Y390" s="4">
        <f>X390/W390-1</f>
        <v>-1</v>
      </c>
    </row>
    <row r="391" spans="1:25" ht="15" customHeight="1">
      <c r="A391" t="s">
        <v>813</v>
      </c>
      <c r="B391" t="s">
        <v>814</v>
      </c>
      <c r="C391" s="28">
        <v>369</v>
      </c>
      <c r="E391" t="s">
        <v>814</v>
      </c>
      <c r="F391" s="28">
        <v>0</v>
      </c>
      <c r="G391" t="b">
        <f>IF(B391=E391,TRUE,FALSE)</f>
        <v>1</v>
      </c>
      <c r="J391" s="25">
        <f>F391-C391</f>
        <v>-369</v>
      </c>
      <c r="K391" s="4">
        <f>F391/C391-1</f>
        <v>-1</v>
      </c>
      <c r="M391" s="5">
        <v>363.95</v>
      </c>
      <c r="N391" s="5">
        <v>0</v>
      </c>
      <c r="Q391" s="139">
        <v>0</v>
      </c>
      <c r="U391" s="127">
        <f>N391-M391</f>
        <v>-363.95</v>
      </c>
      <c r="V391" s="4">
        <f>IF(M391=0,0,N391/M391-1)</f>
        <v>-1</v>
      </c>
      <c r="W391" s="18">
        <v>9206.5499999999993</v>
      </c>
      <c r="X391" s="18">
        <v>0</v>
      </c>
      <c r="Y391" s="4">
        <f>X391/W391-1</f>
        <v>-1</v>
      </c>
    </row>
    <row r="392" spans="1:25" ht="15" customHeight="1">
      <c r="A392" t="s">
        <v>815</v>
      </c>
      <c r="B392" t="s">
        <v>816</v>
      </c>
      <c r="C392" s="28">
        <v>429</v>
      </c>
      <c r="E392" t="s">
        <v>816</v>
      </c>
      <c r="F392" s="28">
        <v>0</v>
      </c>
      <c r="G392" t="b">
        <f>IF(B392=E392,TRUE,FALSE)</f>
        <v>1</v>
      </c>
      <c r="J392" s="25">
        <f>F392-C392</f>
        <v>-429</v>
      </c>
      <c r="K392" s="4">
        <f>F392/C392-1</f>
        <v>-1</v>
      </c>
      <c r="M392" s="5">
        <v>547.14</v>
      </c>
      <c r="N392" s="5">
        <v>0</v>
      </c>
      <c r="Q392" s="139">
        <v>0</v>
      </c>
      <c r="U392" s="127">
        <f>N392-M392</f>
        <v>-547.14</v>
      </c>
      <c r="V392" s="4">
        <f>IF(M392=0,0,N392/M392-1)</f>
        <v>-1</v>
      </c>
      <c r="W392" s="18">
        <v>10720.71</v>
      </c>
      <c r="X392" s="18">
        <v>0</v>
      </c>
      <c r="Y392" s="4">
        <f>X392/W392-1</f>
        <v>-1</v>
      </c>
    </row>
    <row r="393" spans="1:25" ht="15" customHeight="1">
      <c r="A393" t="s">
        <v>817</v>
      </c>
      <c r="B393" t="s">
        <v>818</v>
      </c>
      <c r="C393" s="28">
        <v>583</v>
      </c>
      <c r="E393" t="s">
        <v>818</v>
      </c>
      <c r="F393" s="28">
        <v>0</v>
      </c>
      <c r="G393" t="b">
        <f>IF(B393=E393,TRUE,FALSE)</f>
        <v>1</v>
      </c>
      <c r="J393" s="25">
        <f>F393-C393</f>
        <v>-583</v>
      </c>
      <c r="K393" s="4">
        <f>F393/C393-1</f>
        <v>-1</v>
      </c>
      <c r="M393" s="5">
        <v>1186.3399999999999</v>
      </c>
      <c r="N393" s="5">
        <v>0</v>
      </c>
      <c r="Q393" s="139">
        <v>0</v>
      </c>
      <c r="U393" s="127">
        <f>N393-M393</f>
        <v>-1186.3399999999999</v>
      </c>
      <c r="V393" s="4">
        <f>IF(M393=0,0,N393/M393-1)</f>
        <v>-1</v>
      </c>
      <c r="W393" s="18">
        <v>15711.85</v>
      </c>
      <c r="X393" s="18">
        <v>0</v>
      </c>
      <c r="Y393" s="4">
        <f>X393/W393-1</f>
        <v>-1</v>
      </c>
    </row>
    <row r="394" spans="1:25" ht="15" customHeight="1">
      <c r="A394" s="143"/>
      <c r="B394" s="37"/>
      <c r="C394" s="28"/>
      <c r="E394" s="37"/>
      <c r="F394" s="28"/>
      <c r="J394" s="25"/>
      <c r="K394" s="4"/>
      <c r="Q394" s="138"/>
      <c r="V394" s="4"/>
      <c r="W394" s="18"/>
      <c r="X394" s="18"/>
      <c r="Y394" s="4"/>
    </row>
    <row r="395" spans="1:25" ht="15" customHeight="1">
      <c r="A395" s="54"/>
      <c r="B395" s="37"/>
      <c r="E395" s="37"/>
    </row>
    <row r="396" spans="1:25" ht="15" customHeight="1">
      <c r="C396" s="3" t="s">
        <v>819</v>
      </c>
      <c r="D396" s="3"/>
      <c r="E396" s="3"/>
      <c r="F396" s="3" t="s">
        <v>819</v>
      </c>
      <c r="G396" s="3"/>
      <c r="H396" s="3"/>
      <c r="I396" s="3"/>
      <c r="J396" s="3" t="s">
        <v>820</v>
      </c>
      <c r="K396" s="31"/>
      <c r="L396" s="3"/>
      <c r="M396" s="33" t="s">
        <v>821</v>
      </c>
      <c r="N396" s="33" t="s">
        <v>821</v>
      </c>
      <c r="O396" s="3"/>
      <c r="Q396" s="33" t="s">
        <v>822</v>
      </c>
      <c r="R396" s="3"/>
      <c r="U396" s="128" t="s">
        <v>823</v>
      </c>
      <c r="V396" s="3"/>
      <c r="W396" s="35" t="s">
        <v>3</v>
      </c>
      <c r="X396" s="35" t="s">
        <v>3</v>
      </c>
      <c r="Y396" s="35"/>
    </row>
    <row r="397" spans="1:25" ht="15" customHeight="1">
      <c r="A397" s="20"/>
      <c r="C397" s="25">
        <f>SUM(C3:C393)</f>
        <v>799507</v>
      </c>
      <c r="F397" s="25">
        <f>SUM(F3:F393)</f>
        <v>739352</v>
      </c>
      <c r="J397" s="25">
        <f>SUM(J3:J393)</f>
        <v>-60155</v>
      </c>
      <c r="M397" s="18">
        <f>SUM(M3:M393)</f>
        <v>1051966.6800000016</v>
      </c>
      <c r="N397" s="18">
        <f>SUM(N3:N393)</f>
        <v>955018.67999999947</v>
      </c>
      <c r="Q397" s="18">
        <f>SUM(Q3:Q393)</f>
        <v>6606186.3999999976</v>
      </c>
      <c r="U397" s="127">
        <f>N397-M397</f>
        <v>-96948.000000002095</v>
      </c>
      <c r="V397" s="4">
        <f>IF(M397=0,0,N397/M397-1)</f>
        <v>-9.2158812482541652E-2</v>
      </c>
      <c r="W397" s="30">
        <v>22549338</v>
      </c>
      <c r="X397" s="30">
        <f>SUM(X3:X393)</f>
        <v>21615527.730000015</v>
      </c>
      <c r="Y397" s="31">
        <f>X397/W397-1</f>
        <v>-4.1411870716558719E-2</v>
      </c>
    </row>
    <row r="399" spans="1:25" ht="15" customHeight="1">
      <c r="F399" s="19">
        <f>F397-C397</f>
        <v>-60155</v>
      </c>
      <c r="N399" s="33" t="s">
        <v>824</v>
      </c>
      <c r="Q399" s="26">
        <f>N397/Q397</f>
        <v>0.14456429506742344</v>
      </c>
      <c r="W399" s="3" t="s">
        <v>825</v>
      </c>
      <c r="X399" s="3" t="s">
        <v>825</v>
      </c>
    </row>
    <row r="400" spans="1:25" ht="15" customHeight="1">
      <c r="F400" s="4">
        <f>F397/C397-1</f>
        <v>-7.5240116721929873E-2</v>
      </c>
      <c r="W400" s="32">
        <f>M397/W397</f>
        <v>4.6651776650826801E-2</v>
      </c>
      <c r="X400" s="32">
        <f>N397/X397</f>
        <v>4.4182066333478265E-2</v>
      </c>
    </row>
    <row r="403" spans="22:24" ht="15" customHeight="1">
      <c r="W403" s="35"/>
      <c r="X403" s="35"/>
    </row>
    <row r="404" spans="22:24" ht="15" customHeight="1">
      <c r="V404" s="3"/>
      <c r="W404" s="30"/>
      <c r="X404" s="30"/>
    </row>
    <row r="405" spans="22:24" ht="15" customHeight="1">
      <c r="V405" s="3"/>
    </row>
    <row r="406" spans="22:24" ht="15" customHeight="1">
      <c r="V406" s="3"/>
    </row>
    <row r="410" spans="22:24" ht="15" customHeight="1">
      <c r="W410" s="3"/>
      <c r="X410" s="3"/>
    </row>
  </sheetData>
  <autoFilter ref="A2:AC2" xr:uid="{00000000-0001-0000-0000-000000000000}">
    <sortState xmlns:xlrd2="http://schemas.microsoft.com/office/spreadsheetml/2017/richdata2" ref="A3:AC393">
      <sortCondition descending="1" ref="F2"/>
    </sortState>
  </autoFilter>
  <sortState xmlns:xlrd2="http://schemas.microsoft.com/office/spreadsheetml/2017/richdata2" ref="J3:K219">
    <sortCondition descending="1" ref="J3:J219"/>
  </sortState>
  <mergeCells count="6">
    <mergeCell ref="W1:X1"/>
    <mergeCell ref="U1:V1"/>
    <mergeCell ref="B1:C1"/>
    <mergeCell ref="J1:K1"/>
    <mergeCell ref="M1:N1"/>
    <mergeCell ref="E1:F1"/>
  </mergeCells>
  <phoneticPr fontId="3" type="noConversion"/>
  <conditionalFormatting sqref="D171 H171:I171 L171 O171:P171 R171:T171 J396:J400 J404:J1048576 J2:J394">
    <cfRule type="cellIs" dxfId="43" priority="23" operator="greaterThan">
      <formula>500</formula>
    </cfRule>
  </conditionalFormatting>
  <conditionalFormatting sqref="J3:J394">
    <cfRule type="cellIs" dxfId="42" priority="29" operator="lessThan">
      <formula>-100</formula>
    </cfRule>
  </conditionalFormatting>
  <conditionalFormatting sqref="J396">
    <cfRule type="cellIs" dxfId="41" priority="2" operator="lessThan">
      <formula>-100</formula>
    </cfRule>
  </conditionalFormatting>
  <conditionalFormatting sqref="K396:K1048576 K3:K394">
    <cfRule type="cellIs" dxfId="40" priority="3" operator="lessThan">
      <formula>-0.2</formula>
    </cfRule>
  </conditionalFormatting>
  <conditionalFormatting sqref="K3:K394">
    <cfRule type="cellIs" dxfId="39" priority="15" operator="lessThan">
      <formula>-10%</formula>
    </cfRule>
    <cfRule type="cellIs" dxfId="38" priority="46" operator="greaterThan">
      <formula>0.2</formula>
    </cfRule>
  </conditionalFormatting>
  <conditionalFormatting sqref="K396">
    <cfRule type="cellIs" dxfId="37" priority="5" operator="greaterThan">
      <formula>0.2</formula>
    </cfRule>
  </conditionalFormatting>
  <conditionalFormatting sqref="V3:V394 V397">
    <cfRule type="cellIs" dxfId="36" priority="14" operator="greaterThan">
      <formula>0.5</formula>
    </cfRule>
  </conditionalFormatting>
  <conditionalFormatting sqref="Y3:Y394">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97">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H220"/>
  <sheetViews>
    <sheetView tabSelected="1" zoomScaleNormal="100" workbookViewId="0">
      <pane xSplit="2" ySplit="2" topLeftCell="C3" activePane="bottomRight" state="frozen"/>
      <selection pane="bottomRight" activeCell="B151" sqref="B3:B151"/>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38" customWidth="1"/>
    <col min="18" max="19" width="0.85546875" customWidth="1"/>
    <col min="20" max="20" width="11.85546875" style="116"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31">
      <c r="B1" s="158">
        <v>45962</v>
      </c>
      <c r="C1" s="157"/>
      <c r="E1" s="158">
        <v>45992</v>
      </c>
      <c r="F1" s="157"/>
      <c r="J1" s="159"/>
      <c r="K1" s="159"/>
      <c r="M1" s="160" t="s">
        <v>0</v>
      </c>
      <c r="N1" s="160"/>
      <c r="O1" s="1"/>
      <c r="Q1" s="137" t="s">
        <v>1</v>
      </c>
      <c r="R1" s="1"/>
      <c r="T1" s="157" t="s">
        <v>2</v>
      </c>
      <c r="U1" s="157"/>
      <c r="W1" s="159" t="s">
        <v>826</v>
      </c>
      <c r="X1" s="159"/>
      <c r="Y1" s="159"/>
      <c r="Z1" s="159"/>
      <c r="AA1" s="157" t="s">
        <v>3</v>
      </c>
      <c r="AB1" s="157"/>
    </row>
    <row r="2" spans="1:31">
      <c r="A2" t="s">
        <v>4</v>
      </c>
      <c r="B2" s="3" t="s">
        <v>5</v>
      </c>
      <c r="C2" s="3" t="s">
        <v>6</v>
      </c>
      <c r="E2" s="3" t="s">
        <v>5</v>
      </c>
      <c r="F2" s="3" t="s">
        <v>6</v>
      </c>
      <c r="G2" t="s">
        <v>7</v>
      </c>
      <c r="J2" t="s">
        <v>8</v>
      </c>
      <c r="K2" t="s">
        <v>9</v>
      </c>
      <c r="M2" t="s">
        <v>14</v>
      </c>
      <c r="N2" t="s">
        <v>15</v>
      </c>
      <c r="Q2" s="138" t="s">
        <v>12</v>
      </c>
      <c r="T2" s="116" t="s">
        <v>13</v>
      </c>
      <c r="U2" t="s">
        <v>9</v>
      </c>
      <c r="W2" t="s">
        <v>19</v>
      </c>
      <c r="X2" t="s">
        <v>16</v>
      </c>
      <c r="Y2" t="s">
        <v>827</v>
      </c>
      <c r="Z2" s="14" t="s">
        <v>828</v>
      </c>
      <c r="AA2" t="s">
        <v>14</v>
      </c>
      <c r="AB2" t="s">
        <v>15</v>
      </c>
      <c r="AC2" t="s">
        <v>9</v>
      </c>
      <c r="AD2" t="s">
        <v>17</v>
      </c>
      <c r="AE2" t="s">
        <v>18</v>
      </c>
    </row>
    <row r="3" spans="1:31" ht="13.5" customHeight="1">
      <c r="A3" t="s">
        <v>829</v>
      </c>
      <c r="B3" t="s">
        <v>830</v>
      </c>
      <c r="C3" s="19">
        <v>62048</v>
      </c>
      <c r="E3" t="s">
        <v>830</v>
      </c>
      <c r="F3" s="19">
        <v>44766</v>
      </c>
      <c r="G3" t="b">
        <f>IF(B3=E3,TRUE,FALSE)</f>
        <v>1</v>
      </c>
      <c r="J3" s="25">
        <f>F3-C3</f>
        <v>-17282</v>
      </c>
      <c r="K3" s="4">
        <f>F3/C3-1</f>
        <v>-0.27852630221763797</v>
      </c>
      <c r="M3" s="5">
        <v>59832.72</v>
      </c>
      <c r="N3" s="5">
        <v>36342.639999999999</v>
      </c>
      <c r="Q3" s="139">
        <v>147545.43</v>
      </c>
      <c r="T3" s="114">
        <f>N3-M3</f>
        <v>-23490.080000000002</v>
      </c>
      <c r="U3" s="4">
        <f>IF(M3=0,0,N3/M3-1)</f>
        <v>-0.39259589067653955</v>
      </c>
      <c r="W3" t="s">
        <v>831</v>
      </c>
      <c r="AA3" s="18">
        <v>1011061.59</v>
      </c>
      <c r="AB3" s="18">
        <v>867421.25</v>
      </c>
      <c r="AC3" s="4">
        <f>AB3/AA3-1</f>
        <v>-0.14206883281957128</v>
      </c>
    </row>
    <row r="4" spans="1:31" ht="13.9" customHeight="1">
      <c r="A4" t="s">
        <v>832</v>
      </c>
      <c r="B4" t="s">
        <v>833</v>
      </c>
      <c r="C4" s="19">
        <v>9082</v>
      </c>
      <c r="E4" t="s">
        <v>833</v>
      </c>
      <c r="F4" s="19">
        <v>3904</v>
      </c>
      <c r="G4" t="b">
        <f>IF(B4=E4,TRUE,FALSE)</f>
        <v>1</v>
      </c>
      <c r="J4" s="25">
        <f>F4-C4</f>
        <v>-5178</v>
      </c>
      <c r="K4" s="4">
        <f>F4/C4-1</f>
        <v>-0.57013873596124198</v>
      </c>
      <c r="M4" s="5">
        <v>656.53</v>
      </c>
      <c r="N4" s="5">
        <v>1513.42</v>
      </c>
      <c r="Q4" s="139">
        <v>14753.02</v>
      </c>
      <c r="T4" s="114">
        <f>N4-M4</f>
        <v>856.8900000000001</v>
      </c>
      <c r="U4" s="4">
        <f>IF(M4=0,0,N4/M4-1)</f>
        <v>1.3051802659436738</v>
      </c>
      <c r="AA4" s="18">
        <v>276961.69999999995</v>
      </c>
      <c r="AB4" s="18">
        <v>144221.71999999997</v>
      </c>
      <c r="AC4" s="4">
        <f>AB4/AA4-1</f>
        <v>-0.47927197153974721</v>
      </c>
    </row>
    <row r="5" spans="1:31" ht="14.25" customHeight="1">
      <c r="A5" t="s">
        <v>834</v>
      </c>
      <c r="B5" t="s">
        <v>835</v>
      </c>
      <c r="C5" s="19">
        <v>8594</v>
      </c>
      <c r="E5" t="s">
        <v>835</v>
      </c>
      <c r="F5" s="19">
        <v>5147</v>
      </c>
      <c r="G5" t="b">
        <f>IF(B5=E5,TRUE,FALSE)</f>
        <v>1</v>
      </c>
      <c r="J5" s="25">
        <f>F5-C5</f>
        <v>-3447</v>
      </c>
      <c r="K5" s="4">
        <f>F5/C5-1</f>
        <v>-0.40109378636257853</v>
      </c>
      <c r="M5" s="5">
        <v>8479.31</v>
      </c>
      <c r="N5" s="5">
        <v>4371.66</v>
      </c>
      <c r="Q5" s="139">
        <v>22967.98</v>
      </c>
      <c r="T5" s="114">
        <f>N5-M5</f>
        <v>-4107.6499999999996</v>
      </c>
      <c r="U5" s="4">
        <f>IF(M5=0,0,N5/M5-1)</f>
        <v>-0.48443210591427843</v>
      </c>
      <c r="AA5" s="18">
        <v>166140.91</v>
      </c>
      <c r="AB5" s="18">
        <v>120387.48</v>
      </c>
      <c r="AC5" s="4">
        <f>AB5/AA5-1</f>
        <v>-0.27538930658318894</v>
      </c>
    </row>
    <row r="6" spans="1:31" ht="13.9" customHeight="1">
      <c r="A6" t="s">
        <v>836</v>
      </c>
      <c r="B6" t="s">
        <v>837</v>
      </c>
      <c r="C6" s="19">
        <v>4905</v>
      </c>
      <c r="E6" t="s">
        <v>837</v>
      </c>
      <c r="F6" s="19">
        <v>2538</v>
      </c>
      <c r="G6" t="b">
        <f>IF(B6=E6,TRUE,FALSE)</f>
        <v>1</v>
      </c>
      <c r="J6" s="25">
        <f>F6-C6</f>
        <v>-2367</v>
      </c>
      <c r="K6" s="4">
        <f>F6/C6-1</f>
        <v>-0.48256880733944951</v>
      </c>
      <c r="M6" s="5">
        <v>3871.16</v>
      </c>
      <c r="N6" s="5">
        <v>2125.27</v>
      </c>
      <c r="Q6" s="139">
        <v>14290.65</v>
      </c>
      <c r="T6" s="114">
        <f>N6-M6</f>
        <v>-1745.8899999999999</v>
      </c>
      <c r="U6" s="4">
        <f>IF(M6=0,0,N6/M6-1)</f>
        <v>-0.45099918370720915</v>
      </c>
      <c r="AA6" s="18">
        <v>94902.12</v>
      </c>
      <c r="AB6" s="18">
        <v>58177.02</v>
      </c>
      <c r="AC6" s="4">
        <f>AB6/AA6-1</f>
        <v>-0.38697871027538688</v>
      </c>
    </row>
    <row r="7" spans="1:31" ht="13.9" customHeight="1">
      <c r="A7" s="130" t="s">
        <v>838</v>
      </c>
      <c r="B7" s="37" t="s">
        <v>839</v>
      </c>
      <c r="C7">
        <v>1454</v>
      </c>
      <c r="E7" s="37" t="s">
        <v>839</v>
      </c>
      <c r="F7">
        <v>274</v>
      </c>
      <c r="G7" t="b">
        <f>IF(B7=E7,TRUE,FALSE)</f>
        <v>1</v>
      </c>
      <c r="J7" s="25">
        <f>F7-C7</f>
        <v>-1180</v>
      </c>
      <c r="K7" s="4">
        <f>F7/C7-1</f>
        <v>-0.81155433287482803</v>
      </c>
      <c r="M7" s="131">
        <v>1188.71</v>
      </c>
      <c r="N7" s="131">
        <v>349.82</v>
      </c>
      <c r="Q7" s="139">
        <v>1440.11</v>
      </c>
      <c r="T7" s="114">
        <f>N7-M7</f>
        <v>-838.8900000000001</v>
      </c>
      <c r="U7" s="4">
        <f>IF(M7=0,0,N7/M7-1)</f>
        <v>-0.70571459817785676</v>
      </c>
      <c r="AA7">
        <v>16702.29</v>
      </c>
      <c r="AB7">
        <v>4637.93</v>
      </c>
      <c r="AC7" s="4">
        <f>AB7/AA7-1</f>
        <v>-0.72231771810931322</v>
      </c>
    </row>
    <row r="8" spans="1:31" ht="13.5" customHeight="1">
      <c r="A8" s="136" t="s">
        <v>840</v>
      </c>
      <c r="B8" s="37" t="s">
        <v>841</v>
      </c>
      <c r="C8" s="19">
        <v>1995</v>
      </c>
      <c r="E8" s="37" t="s">
        <v>841</v>
      </c>
      <c r="F8" s="19">
        <v>933</v>
      </c>
      <c r="G8" t="b">
        <f>IF(B8=E8,TRUE,FALSE)</f>
        <v>1</v>
      </c>
      <c r="J8" s="25">
        <f>F8-C8</f>
        <v>-1062</v>
      </c>
      <c r="K8" s="4">
        <f>F8/C8-1</f>
        <v>-0.53233082706766921</v>
      </c>
      <c r="M8" s="131">
        <v>1933.15</v>
      </c>
      <c r="N8" s="131">
        <v>1460.04</v>
      </c>
      <c r="Q8" s="138">
        <v>7138.7</v>
      </c>
      <c r="T8" s="114">
        <f>N8-M8</f>
        <v>-473.11000000000013</v>
      </c>
      <c r="U8" s="4">
        <f>IF(M8=0,0,N8/M8-1)</f>
        <v>-0.24473527662105898</v>
      </c>
      <c r="AA8">
        <v>23289.09</v>
      </c>
      <c r="AB8">
        <v>14916.11</v>
      </c>
      <c r="AC8" s="4">
        <f>AB8/AA8-1</f>
        <v>-0.35952370831148828</v>
      </c>
      <c r="AD8" t="s">
        <v>842</v>
      </c>
    </row>
    <row r="9" spans="1:31" ht="12.75" customHeight="1">
      <c r="A9" t="s">
        <v>843</v>
      </c>
      <c r="B9" t="s">
        <v>844</v>
      </c>
      <c r="C9" s="19">
        <v>1619</v>
      </c>
      <c r="D9" s="5"/>
      <c r="E9" t="s">
        <v>844</v>
      </c>
      <c r="F9" s="19">
        <v>660</v>
      </c>
      <c r="G9" t="b">
        <f>IF(B9=E9,TRUE,FALSE)</f>
        <v>1</v>
      </c>
      <c r="H9" s="5"/>
      <c r="I9" s="5"/>
      <c r="J9" s="25">
        <f>F9-C9</f>
        <v>-959</v>
      </c>
      <c r="K9" s="4">
        <f>F9/C9-1</f>
        <v>-0.59234095120444719</v>
      </c>
      <c r="L9" s="5"/>
      <c r="M9" s="5">
        <v>2344.86</v>
      </c>
      <c r="N9" s="5">
        <v>1287.74</v>
      </c>
      <c r="O9" s="5"/>
      <c r="P9" s="5"/>
      <c r="Q9" s="139">
        <v>8943.2999999999993</v>
      </c>
      <c r="R9" s="5"/>
      <c r="S9" s="5"/>
      <c r="T9" s="114">
        <f>N9-M9</f>
        <v>-1057.1200000000001</v>
      </c>
      <c r="U9" s="4">
        <f>IF(M9=0,0,N9/M9-1)</f>
        <v>-0.45082435625154593</v>
      </c>
      <c r="V9" s="5"/>
      <c r="W9" s="5"/>
      <c r="X9" s="5"/>
      <c r="Y9" s="5"/>
      <c r="Z9" s="15"/>
      <c r="AA9" s="18">
        <v>24745.360000000001</v>
      </c>
      <c r="AB9" s="18">
        <v>12531.5</v>
      </c>
      <c r="AC9" s="4">
        <f>AB9/AA9-1</f>
        <v>-0.49358182705767872</v>
      </c>
    </row>
    <row r="10" spans="1:31" ht="13.9" customHeight="1">
      <c r="A10" s="27" t="s">
        <v>845</v>
      </c>
      <c r="B10" s="27" t="s">
        <v>846</v>
      </c>
      <c r="C10" s="19">
        <v>2700</v>
      </c>
      <c r="E10" s="27" t="s">
        <v>846</v>
      </c>
      <c r="F10" s="19">
        <v>1776</v>
      </c>
      <c r="G10" t="b">
        <f>IF(B10=E10,TRUE,FALSE)</f>
        <v>1</v>
      </c>
      <c r="J10" s="25">
        <f>F10-C10</f>
        <v>-924</v>
      </c>
      <c r="K10" s="4">
        <f>F10/C10-1</f>
        <v>-0.34222222222222221</v>
      </c>
      <c r="M10" s="5">
        <v>2524.6799999999998</v>
      </c>
      <c r="N10" s="5">
        <v>2597.09</v>
      </c>
      <c r="Q10" s="139">
        <v>12300.48</v>
      </c>
      <c r="T10" s="114">
        <f>N10-M10</f>
        <v>72.410000000000309</v>
      </c>
      <c r="U10" s="4">
        <f>IF(M10=0,0,N10/M10-1)</f>
        <v>2.8680862525151785E-2</v>
      </c>
      <c r="AA10" s="18">
        <v>46065</v>
      </c>
      <c r="AB10" s="18">
        <v>34029.480000000003</v>
      </c>
      <c r="AC10" s="4">
        <f>AB10/AA10-1</f>
        <v>-0.26127254965809177</v>
      </c>
    </row>
    <row r="11" spans="1:31" ht="13.9" customHeight="1">
      <c r="A11" t="s">
        <v>847</v>
      </c>
      <c r="B11" t="s">
        <v>848</v>
      </c>
      <c r="C11" s="19">
        <v>1849</v>
      </c>
      <c r="E11" t="s">
        <v>848</v>
      </c>
      <c r="F11" s="19">
        <v>996</v>
      </c>
      <c r="G11" t="b">
        <f>IF(B11=E11,TRUE,FALSE)</f>
        <v>1</v>
      </c>
      <c r="J11" s="25">
        <f>F11-C11</f>
        <v>-853</v>
      </c>
      <c r="K11" s="4">
        <f>F11/C11-1</f>
        <v>-0.4613304488912926</v>
      </c>
      <c r="M11" s="5">
        <v>2161.12</v>
      </c>
      <c r="N11" s="5">
        <v>1296.17</v>
      </c>
      <c r="Q11" s="139">
        <v>8928.76</v>
      </c>
      <c r="T11" s="114">
        <f>N11-M11</f>
        <v>-864.94999999999982</v>
      </c>
      <c r="U11" s="4">
        <f>IF(M11=0,0,N11/M11-1)</f>
        <v>-0.40023228696231572</v>
      </c>
      <c r="Y11" t="s">
        <v>849</v>
      </c>
      <c r="AA11" s="18">
        <v>55362.25</v>
      </c>
      <c r="AB11" s="18">
        <v>29823.3</v>
      </c>
      <c r="AC11" s="4">
        <f>AB11/AA11-1</f>
        <v>-0.46130621497500557</v>
      </c>
    </row>
    <row r="12" spans="1:31" ht="13.9" customHeight="1">
      <c r="A12" t="s">
        <v>850</v>
      </c>
      <c r="B12" t="s">
        <v>851</v>
      </c>
      <c r="C12" s="19">
        <v>1953</v>
      </c>
      <c r="E12" t="s">
        <v>851</v>
      </c>
      <c r="F12" s="19">
        <v>1117</v>
      </c>
      <c r="G12" t="b">
        <f>IF(B12=E12,TRUE,FALSE)</f>
        <v>1</v>
      </c>
      <c r="J12" s="25">
        <f>F12-C12</f>
        <v>-836</v>
      </c>
      <c r="K12" s="4">
        <f>F12/C12-1</f>
        <v>-0.42805939580133123</v>
      </c>
      <c r="M12" s="5">
        <v>2302.62</v>
      </c>
      <c r="N12" s="5">
        <v>1107.23</v>
      </c>
      <c r="Q12" s="139">
        <v>5849</v>
      </c>
      <c r="T12" s="114">
        <f>N12-M12</f>
        <v>-1195.3899999999999</v>
      </c>
      <c r="U12" s="4">
        <f>IF(M12=0,0,N12/M12-1)</f>
        <v>-0.51914341054972157</v>
      </c>
      <c r="AA12" s="18">
        <v>33209.269999999997</v>
      </c>
      <c r="AB12" s="18">
        <v>22327.23</v>
      </c>
      <c r="AC12" s="4">
        <f>AB12/AA12-1</f>
        <v>-0.32768079515147419</v>
      </c>
    </row>
    <row r="13" spans="1:31" ht="13.9" customHeight="1">
      <c r="A13" t="s">
        <v>852</v>
      </c>
      <c r="B13" t="s">
        <v>853</v>
      </c>
      <c r="C13" s="19">
        <v>1923</v>
      </c>
      <c r="E13" t="s">
        <v>853</v>
      </c>
      <c r="F13" s="19">
        <v>1137</v>
      </c>
      <c r="G13" t="b">
        <f>IF(B13=E13,TRUE,FALSE)</f>
        <v>1</v>
      </c>
      <c r="J13" s="25">
        <f>F13-C13</f>
        <v>-786</v>
      </c>
      <c r="K13" s="4">
        <f>F13/C13-1</f>
        <v>-0.40873634945397819</v>
      </c>
      <c r="M13" s="5">
        <v>1131.58</v>
      </c>
      <c r="N13" s="5">
        <v>1445.69</v>
      </c>
      <c r="Q13" s="139">
        <v>6961.84</v>
      </c>
      <c r="T13" s="114">
        <f>N13-M13</f>
        <v>314.11000000000013</v>
      </c>
      <c r="U13" s="4">
        <f>IF(M13=0,0,N13/M13-1)</f>
        <v>0.27758532317644358</v>
      </c>
      <c r="AA13" s="18">
        <v>54569.81</v>
      </c>
      <c r="AB13" s="18">
        <v>36014.01</v>
      </c>
      <c r="AC13" s="4">
        <f>AB13/AA13-1</f>
        <v>-0.34003783410644084</v>
      </c>
    </row>
    <row r="14" spans="1:31" ht="13.9" customHeight="1">
      <c r="A14" t="s">
        <v>854</v>
      </c>
      <c r="B14" t="s">
        <v>855</v>
      </c>
      <c r="C14" s="19">
        <v>2766</v>
      </c>
      <c r="E14" t="s">
        <v>855</v>
      </c>
      <c r="F14" s="19">
        <v>2034</v>
      </c>
      <c r="G14" t="b">
        <f>IF(B14=E14,TRUE,FALSE)</f>
        <v>1</v>
      </c>
      <c r="J14" s="25">
        <f>F14-C14</f>
        <v>-732</v>
      </c>
      <c r="K14" s="4">
        <f>F14/C14-1</f>
        <v>-0.26464208242950105</v>
      </c>
      <c r="M14" s="5">
        <v>2398.94</v>
      </c>
      <c r="N14" s="5">
        <v>683.2</v>
      </c>
      <c r="Q14" s="139">
        <v>2126.4499999999998</v>
      </c>
      <c r="T14" s="114">
        <f>N14-M14</f>
        <v>-1715.74</v>
      </c>
      <c r="U14" s="4">
        <f>IF(M14=0,0,N14/M14-1)</f>
        <v>-0.71520755000125047</v>
      </c>
      <c r="AA14" s="18">
        <v>82841.7</v>
      </c>
      <c r="AB14" s="18">
        <v>61499.46</v>
      </c>
      <c r="AC14" s="4">
        <f>AB14/AA14-1</f>
        <v>-0.2576267749213258</v>
      </c>
    </row>
    <row r="15" spans="1:31" ht="13.9" customHeight="1">
      <c r="A15" t="s">
        <v>856</v>
      </c>
      <c r="B15" t="s">
        <v>857</v>
      </c>
      <c r="C15" s="19">
        <v>3747</v>
      </c>
      <c r="D15" s="5"/>
      <c r="E15" t="s">
        <v>857</v>
      </c>
      <c r="F15" s="19">
        <v>3054</v>
      </c>
      <c r="G15" t="b">
        <f>IF(B15=E15,TRUE,FALSE)</f>
        <v>1</v>
      </c>
      <c r="H15" s="5"/>
      <c r="I15" s="5"/>
      <c r="J15" s="25">
        <f>F15-C15</f>
        <v>-693</v>
      </c>
      <c r="K15" s="4">
        <f>F15/C15-1</f>
        <v>-0.18494795836669331</v>
      </c>
      <c r="L15" s="5"/>
      <c r="M15" s="5">
        <v>1775.9</v>
      </c>
      <c r="N15" s="5">
        <v>1102.8599999999999</v>
      </c>
      <c r="O15" s="5"/>
      <c r="P15" s="5"/>
      <c r="Q15" s="139">
        <v>7378.28</v>
      </c>
      <c r="R15" s="5"/>
      <c r="S15" s="5"/>
      <c r="T15" s="114">
        <f>N15-M15</f>
        <v>-673.04000000000019</v>
      </c>
      <c r="U15" s="4">
        <f>IF(M15=0,0,N15/M15-1)</f>
        <v>-0.37898530322653312</v>
      </c>
      <c r="V15" s="5"/>
      <c r="W15" s="5"/>
      <c r="X15" s="5"/>
      <c r="Y15" s="5"/>
      <c r="Z15" s="15"/>
      <c r="AA15" s="18">
        <v>86790.52</v>
      </c>
      <c r="AB15" s="18">
        <v>74237.56</v>
      </c>
      <c r="AC15" s="4">
        <f>AB15/AA15-1</f>
        <v>-0.14463515139671945</v>
      </c>
      <c r="AE15" t="s">
        <v>858</v>
      </c>
    </row>
    <row r="16" spans="1:31" ht="13.9" customHeight="1">
      <c r="A16" t="s">
        <v>859</v>
      </c>
      <c r="B16" t="s">
        <v>860</v>
      </c>
      <c r="C16" s="19">
        <v>1082</v>
      </c>
      <c r="E16" t="s">
        <v>860</v>
      </c>
      <c r="F16" s="19">
        <v>420</v>
      </c>
      <c r="G16" t="b">
        <f>IF(B16=E16,TRUE,FALSE)</f>
        <v>1</v>
      </c>
      <c r="J16" s="25">
        <f>F16-C16</f>
        <v>-662</v>
      </c>
      <c r="K16" s="4">
        <f>F16/C16-1</f>
        <v>-0.61182994454713491</v>
      </c>
      <c r="M16" s="5">
        <v>1556.34</v>
      </c>
      <c r="N16" s="5">
        <v>863.07</v>
      </c>
      <c r="Q16" s="139">
        <v>3536.27</v>
      </c>
      <c r="T16" s="114">
        <f>N16-M16</f>
        <v>-693.26999999999987</v>
      </c>
      <c r="U16" s="4">
        <f>IF(M16=0,0,N16/M16-1)</f>
        <v>-0.44544893789274831</v>
      </c>
      <c r="AA16" s="18">
        <v>15785.39</v>
      </c>
      <c r="AB16" s="18">
        <v>7975.04</v>
      </c>
      <c r="AC16" s="4">
        <f>AB16/AA16-1</f>
        <v>-0.49478346749747704</v>
      </c>
    </row>
    <row r="17" spans="1:30" ht="13.9" customHeight="1">
      <c r="A17" t="s">
        <v>861</v>
      </c>
      <c r="B17" t="s">
        <v>862</v>
      </c>
      <c r="C17" s="19">
        <v>2251</v>
      </c>
      <c r="D17" s="5"/>
      <c r="E17" t="s">
        <v>862</v>
      </c>
      <c r="F17" s="19">
        <v>1609</v>
      </c>
      <c r="G17" t="b">
        <f>IF(B17=E17,TRUE,FALSE)</f>
        <v>1</v>
      </c>
      <c r="H17" s="5"/>
      <c r="I17" s="5"/>
      <c r="J17" s="25">
        <f>F17-C17</f>
        <v>-642</v>
      </c>
      <c r="K17" s="4">
        <f>F17/C17-1</f>
        <v>-0.28520657485561973</v>
      </c>
      <c r="L17" s="5"/>
      <c r="M17" s="5">
        <v>2929.85</v>
      </c>
      <c r="N17" s="5">
        <v>1930.63</v>
      </c>
      <c r="O17" s="5"/>
      <c r="P17" s="5"/>
      <c r="Q17" s="139">
        <v>9562.07</v>
      </c>
      <c r="R17" s="5"/>
      <c r="S17" s="5"/>
      <c r="T17" s="114">
        <f>N17-M17</f>
        <v>-999.2199999999998</v>
      </c>
      <c r="U17" s="4">
        <f>IF(M17=0,0,N17/M17-1)</f>
        <v>-0.3410481765278085</v>
      </c>
      <c r="V17" s="5"/>
      <c r="W17" s="5"/>
      <c r="X17" s="5"/>
      <c r="Y17" s="5"/>
      <c r="Z17" s="15"/>
      <c r="AA17" s="18">
        <v>47176.99</v>
      </c>
      <c r="AB17" s="18">
        <v>37985.410000000003</v>
      </c>
      <c r="AC17" s="4">
        <f>AB17/AA17-1</f>
        <v>-0.19483184493118355</v>
      </c>
    </row>
    <row r="18" spans="1:30" ht="13.9" customHeight="1">
      <c r="A18" t="s">
        <v>863</v>
      </c>
      <c r="B18" t="s">
        <v>864</v>
      </c>
      <c r="C18" s="19">
        <v>2871</v>
      </c>
      <c r="E18" t="s">
        <v>864</v>
      </c>
      <c r="F18" s="19">
        <v>2285</v>
      </c>
      <c r="G18" t="b">
        <f>IF(B18=E18,TRUE,FALSE)</f>
        <v>1</v>
      </c>
      <c r="J18" s="25">
        <f>F18-C18</f>
        <v>-586</v>
      </c>
      <c r="K18" s="4">
        <f>F18/C18-1</f>
        <v>-0.20411006617903171</v>
      </c>
      <c r="M18" s="5">
        <v>2305.13</v>
      </c>
      <c r="N18" s="5">
        <v>2219.42</v>
      </c>
      <c r="Q18" s="139">
        <v>8091.0300000000007</v>
      </c>
      <c r="T18" s="114">
        <f>N18-M18</f>
        <v>-85.710000000000036</v>
      </c>
      <c r="U18" s="4">
        <f>IF(M18=0,0,N18/M18-1)</f>
        <v>-3.7182284730145398E-2</v>
      </c>
      <c r="AA18" s="18">
        <v>60037.8</v>
      </c>
      <c r="AB18" s="18">
        <v>54809.71</v>
      </c>
      <c r="AC18" s="4">
        <f>AB18/AA18-1</f>
        <v>-8.7079972950374618E-2</v>
      </c>
      <c r="AD18" s="122"/>
    </row>
    <row r="19" spans="1:30" ht="13.9" customHeight="1">
      <c r="A19" s="54" t="s">
        <v>865</v>
      </c>
      <c r="B19" s="37" t="s">
        <v>866</v>
      </c>
      <c r="C19">
        <v>1001</v>
      </c>
      <c r="E19" s="37" t="s">
        <v>866</v>
      </c>
      <c r="F19">
        <v>418</v>
      </c>
      <c r="G19" t="b">
        <f>IF(B19=E19,TRUE,FALSE)</f>
        <v>1</v>
      </c>
      <c r="J19" s="25">
        <f>F19-C19</f>
        <v>-583</v>
      </c>
      <c r="K19" s="4">
        <f>F19/C19-1</f>
        <v>-0.58241758241758235</v>
      </c>
      <c r="M19" s="5">
        <v>1371.56</v>
      </c>
      <c r="N19" s="5">
        <v>936.48</v>
      </c>
      <c r="Q19" s="139">
        <v>3596.43</v>
      </c>
      <c r="T19" s="114">
        <f>N19-M19</f>
        <v>-435.07999999999993</v>
      </c>
      <c r="U19" s="4">
        <f>IF(M19=0,0,N19/M19-1)</f>
        <v>-0.31721543352095416</v>
      </c>
      <c r="AA19" s="18">
        <v>11191.07</v>
      </c>
      <c r="AB19" s="18">
        <v>6248.2</v>
      </c>
      <c r="AC19" s="4">
        <f>AB19/AA19-1</f>
        <v>-0.44167983937192778</v>
      </c>
    </row>
    <row r="20" spans="1:30" ht="13.9" customHeight="1">
      <c r="A20" t="s">
        <v>867</v>
      </c>
      <c r="B20" t="s">
        <v>868</v>
      </c>
      <c r="C20" s="19">
        <v>2790</v>
      </c>
      <c r="E20" t="s">
        <v>868</v>
      </c>
      <c r="F20" s="19">
        <v>2221</v>
      </c>
      <c r="G20" t="b">
        <f>IF(B20=E20,TRUE,FALSE)</f>
        <v>1</v>
      </c>
      <c r="J20" s="25">
        <f>F20-C20</f>
        <v>-569</v>
      </c>
      <c r="K20" s="4">
        <f>F20/C20-1</f>
        <v>-0.20394265232974906</v>
      </c>
      <c r="M20" s="5">
        <v>1924.04</v>
      </c>
      <c r="N20" s="5">
        <v>1429.45</v>
      </c>
      <c r="Q20" s="139">
        <v>7959.5999999999995</v>
      </c>
      <c r="T20" s="114">
        <f>N20-M20</f>
        <v>-494.58999999999992</v>
      </c>
      <c r="U20" s="4">
        <f>IF(M20=0,0,N20/M20-1)</f>
        <v>-0.25705806532088726</v>
      </c>
      <c r="W20" t="s">
        <v>869</v>
      </c>
      <c r="AA20" s="18">
        <v>47893.9</v>
      </c>
      <c r="AB20" s="18">
        <v>41399.550000000003</v>
      </c>
      <c r="AC20" s="4">
        <f>AB20/AA20-1</f>
        <v>-0.1355986879331188</v>
      </c>
    </row>
    <row r="21" spans="1:30" ht="13.9" customHeight="1">
      <c r="A21" t="s">
        <v>870</v>
      </c>
      <c r="B21" t="s">
        <v>871</v>
      </c>
      <c r="C21" s="19">
        <v>1278</v>
      </c>
      <c r="E21" t="s">
        <v>871</v>
      </c>
      <c r="F21" s="19">
        <v>741</v>
      </c>
      <c r="G21" t="b">
        <f>IF(B21=E21,TRUE,FALSE)</f>
        <v>1</v>
      </c>
      <c r="J21" s="25">
        <f>F21-C21</f>
        <v>-537</v>
      </c>
      <c r="K21" s="4">
        <f>F21/C21-1</f>
        <v>-0.42018779342723001</v>
      </c>
      <c r="M21" s="5">
        <v>1370.71</v>
      </c>
      <c r="N21" s="5">
        <v>887.28</v>
      </c>
      <c r="Q21" s="139">
        <v>3818.25</v>
      </c>
      <c r="T21" s="114">
        <f>N21-M21</f>
        <v>-483.43000000000006</v>
      </c>
      <c r="U21" s="4">
        <f>IF(M21=0,0,N21/M21-1)</f>
        <v>-0.35268583434862233</v>
      </c>
      <c r="AA21" s="18">
        <v>18900.080000000002</v>
      </c>
      <c r="AB21" s="18">
        <v>12586.19</v>
      </c>
      <c r="AC21" s="4">
        <f>AB21/AA21-1</f>
        <v>-0.33406683992871988</v>
      </c>
      <c r="AD21" t="s">
        <v>872</v>
      </c>
    </row>
    <row r="22" spans="1:30" ht="13.9" customHeight="1">
      <c r="A22" t="s">
        <v>873</v>
      </c>
      <c r="B22" t="s">
        <v>874</v>
      </c>
      <c r="C22" s="19">
        <v>3015</v>
      </c>
      <c r="D22" s="5"/>
      <c r="E22" t="s">
        <v>874</v>
      </c>
      <c r="F22" s="19">
        <v>2485</v>
      </c>
      <c r="G22" t="b">
        <f>IF(B22=E22,TRUE,FALSE)</f>
        <v>1</v>
      </c>
      <c r="H22" s="5"/>
      <c r="I22" s="5"/>
      <c r="J22" s="25">
        <f>F22-C22</f>
        <v>-530</v>
      </c>
      <c r="K22" s="4">
        <f>F22/C22-1</f>
        <v>-0.17578772802653397</v>
      </c>
      <c r="L22" s="5"/>
      <c r="M22" s="5">
        <v>2194.42</v>
      </c>
      <c r="N22" s="5">
        <v>1332.6</v>
      </c>
      <c r="O22" s="5"/>
      <c r="P22" s="5"/>
      <c r="Q22" s="139">
        <v>13207.79</v>
      </c>
      <c r="R22" s="5"/>
      <c r="S22" s="5"/>
      <c r="T22" s="114">
        <f>N22-M22</f>
        <v>-861.82000000000016</v>
      </c>
      <c r="U22" s="4">
        <f>IF(M22=0,0,N22/M22-1)</f>
        <v>-0.39273247600732775</v>
      </c>
      <c r="V22" s="5"/>
      <c r="W22" s="5"/>
      <c r="X22" s="5"/>
      <c r="Y22" s="5"/>
      <c r="Z22" s="15"/>
      <c r="AA22" s="18">
        <v>63050.05</v>
      </c>
      <c r="AB22" s="18">
        <v>54542.01</v>
      </c>
      <c r="AC22" s="4">
        <f>AB22/AA22-1</f>
        <v>-0.13494105080011831</v>
      </c>
    </row>
    <row r="23" spans="1:30" ht="13.9" customHeight="1">
      <c r="A23" s="54" t="s">
        <v>875</v>
      </c>
      <c r="B23" s="37" t="s">
        <v>876</v>
      </c>
      <c r="C23">
        <v>1073</v>
      </c>
      <c r="E23" s="37" t="s">
        <v>876</v>
      </c>
      <c r="F23">
        <v>570</v>
      </c>
      <c r="G23" t="b">
        <f>IF(B23=E23,TRUE,FALSE)</f>
        <v>1</v>
      </c>
      <c r="J23" s="25">
        <f>F23-C23</f>
        <v>-503</v>
      </c>
      <c r="K23" s="4">
        <f>F23/C23-1</f>
        <v>-0.46877912395153776</v>
      </c>
      <c r="M23" s="5">
        <v>1286.97</v>
      </c>
      <c r="N23" s="5">
        <v>658.06</v>
      </c>
      <c r="Q23" s="139">
        <v>3134.15</v>
      </c>
      <c r="T23" s="114">
        <f>N23-M23</f>
        <v>-628.91000000000008</v>
      </c>
      <c r="U23" s="4">
        <f>IF(M23=0,0,N23/M23-1)</f>
        <v>-0.48867494968802694</v>
      </c>
      <c r="AA23" s="18">
        <v>23218.67</v>
      </c>
      <c r="AB23" s="18">
        <v>13650.3</v>
      </c>
      <c r="AC23" s="4">
        <f>AB23/AA23-1</f>
        <v>-0.4120981089786796</v>
      </c>
      <c r="AD23" t="s">
        <v>877</v>
      </c>
    </row>
    <row r="24" spans="1:30" ht="13.9" customHeight="1">
      <c r="A24" s="54" t="s">
        <v>878</v>
      </c>
      <c r="B24" s="37" t="s">
        <v>879</v>
      </c>
      <c r="C24" s="19">
        <v>698</v>
      </c>
      <c r="E24" s="37" t="s">
        <v>879</v>
      </c>
      <c r="F24" s="19">
        <v>198</v>
      </c>
      <c r="G24" t="b">
        <f>IF(B24=E24,TRUE,FALSE)</f>
        <v>1</v>
      </c>
      <c r="J24" s="25">
        <f>F24-C24</f>
        <v>-500</v>
      </c>
      <c r="K24" s="4">
        <f>F24/C24-1</f>
        <v>-0.71633237822349571</v>
      </c>
      <c r="M24" s="5">
        <v>1450.08</v>
      </c>
      <c r="N24" s="5">
        <v>664.72</v>
      </c>
      <c r="Q24" s="139">
        <v>2548.25</v>
      </c>
      <c r="T24" s="114">
        <f>N24-M24</f>
        <v>-785.3599999999999</v>
      </c>
      <c r="U24" s="4">
        <f>IF(M24=0,0,N24/M24-1)</f>
        <v>-0.54159770495420934</v>
      </c>
      <c r="AA24" s="18">
        <v>10145.82</v>
      </c>
      <c r="AB24" s="18">
        <v>3956.82</v>
      </c>
      <c r="AC24" s="4">
        <f>AB24/AA24-1</f>
        <v>-0.61000490842534161</v>
      </c>
    </row>
    <row r="25" spans="1:30" ht="13.9" customHeight="1">
      <c r="A25" s="27" t="s">
        <v>880</v>
      </c>
      <c r="B25" s="37" t="s">
        <v>881</v>
      </c>
      <c r="C25" s="19">
        <v>1120</v>
      </c>
      <c r="E25" s="37" t="s">
        <v>881</v>
      </c>
      <c r="F25" s="19">
        <v>621</v>
      </c>
      <c r="G25" t="b">
        <f>IF(B25=E25,TRUE,FALSE)</f>
        <v>1</v>
      </c>
      <c r="J25" s="25">
        <f>F25-C25</f>
        <v>-499</v>
      </c>
      <c r="K25" s="4">
        <f>F25/C25-1</f>
        <v>-0.44553571428571426</v>
      </c>
      <c r="M25" s="5">
        <v>682.82</v>
      </c>
      <c r="N25" s="5">
        <v>495.17</v>
      </c>
      <c r="Q25" s="139">
        <v>1598.5</v>
      </c>
      <c r="T25" s="114">
        <f>N25-M25</f>
        <v>-187.65000000000003</v>
      </c>
      <c r="U25" s="4">
        <f>IF(M25=0,0,N25/M25-1)</f>
        <v>-0.27481620339181634</v>
      </c>
      <c r="AA25" s="18">
        <v>13001.3</v>
      </c>
      <c r="AB25" s="18">
        <v>8647.4699999999993</v>
      </c>
      <c r="AC25" s="4">
        <f>AB25/AA25-1</f>
        <v>-0.33487651234876514</v>
      </c>
    </row>
    <row r="26" spans="1:30" ht="13.9" customHeight="1">
      <c r="A26" t="s">
        <v>882</v>
      </c>
      <c r="B26" t="s">
        <v>883</v>
      </c>
      <c r="C26" s="19">
        <v>1192</v>
      </c>
      <c r="E26" t="s">
        <v>883</v>
      </c>
      <c r="F26" s="19">
        <v>697</v>
      </c>
      <c r="G26" t="b">
        <f>IF(B26=E26,TRUE,FALSE)</f>
        <v>1</v>
      </c>
      <c r="J26" s="25">
        <f>F26-C26</f>
        <v>-495</v>
      </c>
      <c r="K26" s="4">
        <f>F26/C26-1</f>
        <v>-0.41526845637583898</v>
      </c>
      <c r="M26" s="5">
        <v>1862.84</v>
      </c>
      <c r="N26" s="5">
        <v>1239.44</v>
      </c>
      <c r="Q26" s="139">
        <v>4200.45</v>
      </c>
      <c r="T26" s="114">
        <f>N26-M26</f>
        <v>-623.39999999999986</v>
      </c>
      <c r="U26" s="4">
        <f>IF(M26=0,0,N26/M26-1)</f>
        <v>-0.33465031886796504</v>
      </c>
      <c r="AA26" s="18">
        <v>19695.29</v>
      </c>
      <c r="AB26" s="18">
        <v>13734.03</v>
      </c>
      <c r="AC26" s="4">
        <f>AB26/AA26-1</f>
        <v>-0.30267439575654886</v>
      </c>
    </row>
    <row r="27" spans="1:30" ht="13.9" customHeight="1">
      <c r="A27" s="142" t="s">
        <v>884</v>
      </c>
      <c r="B27" s="37" t="s">
        <v>885</v>
      </c>
      <c r="C27">
        <v>1136</v>
      </c>
      <c r="E27" s="37" t="s">
        <v>885</v>
      </c>
      <c r="F27">
        <v>652</v>
      </c>
      <c r="G27" t="b">
        <f>IF(B27=E27,TRUE,FALSE)</f>
        <v>1</v>
      </c>
      <c r="J27" s="25">
        <f>F27-C27</f>
        <v>-484</v>
      </c>
      <c r="K27" s="4">
        <f>F27/C27-1</f>
        <v>-0.426056338028169</v>
      </c>
      <c r="M27" s="131">
        <v>1623.76</v>
      </c>
      <c r="N27" s="131">
        <v>1071.98</v>
      </c>
      <c r="Q27" s="139">
        <v>4510.0200000000004</v>
      </c>
      <c r="T27" s="114">
        <f>N27-M27</f>
        <v>-551.78</v>
      </c>
      <c r="U27" s="4">
        <f>IF(M27=0,0,N27/M27-1)</f>
        <v>-0.33981622899935948</v>
      </c>
      <c r="AA27">
        <v>26586.34</v>
      </c>
      <c r="AB27">
        <v>17159.27</v>
      </c>
      <c r="AC27" s="4">
        <f>AB27/AA27-1</f>
        <v>-0.35458321829932216</v>
      </c>
    </row>
    <row r="28" spans="1:30" ht="13.9" customHeight="1">
      <c r="A28" t="s">
        <v>886</v>
      </c>
      <c r="B28" t="s">
        <v>887</v>
      </c>
      <c r="C28" s="19">
        <v>602</v>
      </c>
      <c r="E28" t="s">
        <v>887</v>
      </c>
      <c r="F28" s="19">
        <v>144</v>
      </c>
      <c r="G28" t="b">
        <f>IF(B28=E28,TRUE,FALSE)</f>
        <v>1</v>
      </c>
      <c r="J28" s="25">
        <f>F28-C28</f>
        <v>-458</v>
      </c>
      <c r="K28" s="4">
        <f>F28/C28-1</f>
        <v>-0.76079734219269102</v>
      </c>
      <c r="M28" s="5">
        <v>181.18</v>
      </c>
      <c r="N28" s="5">
        <v>41.63</v>
      </c>
      <c r="Q28" s="139">
        <v>104.81</v>
      </c>
      <c r="T28" s="114">
        <f>N28-M28</f>
        <v>-139.55000000000001</v>
      </c>
      <c r="U28" s="4">
        <f>IF(M28=0,0,N28/M28-1)</f>
        <v>-0.77022850204216797</v>
      </c>
      <c r="W28" t="s">
        <v>888</v>
      </c>
      <c r="Y28" t="s">
        <v>889</v>
      </c>
      <c r="Z28" s="14" t="s">
        <v>890</v>
      </c>
      <c r="AA28" s="18">
        <v>11791.13</v>
      </c>
      <c r="AB28" s="18">
        <v>2857.9</v>
      </c>
      <c r="AC28" s="4">
        <f>AB28/AA28-1</f>
        <v>-0.75762289110543257</v>
      </c>
    </row>
    <row r="29" spans="1:30" ht="13.9" customHeight="1">
      <c r="A29" s="27" t="s">
        <v>891</v>
      </c>
      <c r="B29" s="27" t="s">
        <v>892</v>
      </c>
      <c r="C29" s="19">
        <v>1004</v>
      </c>
      <c r="E29" s="27" t="s">
        <v>892</v>
      </c>
      <c r="F29" s="19">
        <v>580</v>
      </c>
      <c r="G29" t="b">
        <f>IF(B29=E29,TRUE,FALSE)</f>
        <v>1</v>
      </c>
      <c r="J29" s="25">
        <f>F29-C29</f>
        <v>-424</v>
      </c>
      <c r="K29" s="4">
        <f>F29/C29-1</f>
        <v>-0.42231075697211151</v>
      </c>
      <c r="M29" s="5">
        <v>451.56</v>
      </c>
      <c r="N29" s="5">
        <v>190.09</v>
      </c>
      <c r="Q29" s="139">
        <v>947.85</v>
      </c>
      <c r="T29" s="114">
        <f>N29-M29</f>
        <v>-261.47000000000003</v>
      </c>
      <c r="U29" s="4">
        <f>IF(M29=0,0,N29/M29-1)</f>
        <v>-0.57903711577641959</v>
      </c>
      <c r="AA29" s="18">
        <v>15586.74</v>
      </c>
      <c r="AB29" s="18">
        <v>10989.67</v>
      </c>
      <c r="AC29" s="4">
        <f>AB29/AA29-1</f>
        <v>-0.29493466882747765</v>
      </c>
    </row>
    <row r="30" spans="1:30" ht="13.9" customHeight="1">
      <c r="A30" t="s">
        <v>893</v>
      </c>
      <c r="B30" t="s">
        <v>894</v>
      </c>
      <c r="C30" s="19">
        <v>2523</v>
      </c>
      <c r="E30" t="s">
        <v>894</v>
      </c>
      <c r="F30" s="19">
        <v>2101</v>
      </c>
      <c r="G30" t="b">
        <f>IF(B30=E30,TRUE,FALSE)</f>
        <v>1</v>
      </c>
      <c r="J30" s="25">
        <f>F30-C30</f>
        <v>-422</v>
      </c>
      <c r="K30" s="4">
        <f>F30/C30-1</f>
        <v>-0.16726119698771302</v>
      </c>
      <c r="M30" s="5">
        <v>1948.87</v>
      </c>
      <c r="N30" s="5">
        <v>1469.59</v>
      </c>
      <c r="Q30" s="139">
        <v>10219.82</v>
      </c>
      <c r="T30" s="114">
        <f>N30-M30</f>
        <v>-479.28</v>
      </c>
      <c r="U30" s="4">
        <f>IF(M30=0,0,N30/M30-1)</f>
        <v>-0.24592712700180108</v>
      </c>
      <c r="AA30" s="18">
        <v>70550.37</v>
      </c>
      <c r="AB30" s="18">
        <v>62971.38</v>
      </c>
      <c r="AC30" s="4">
        <f>AB30/AA30-1</f>
        <v>-0.1074266513414458</v>
      </c>
    </row>
    <row r="31" spans="1:30" ht="13.9" customHeight="1">
      <c r="A31" t="s">
        <v>895</v>
      </c>
      <c r="B31" t="s">
        <v>896</v>
      </c>
      <c r="C31" s="19">
        <v>1092</v>
      </c>
      <c r="E31" t="s">
        <v>896</v>
      </c>
      <c r="F31" s="19">
        <v>677</v>
      </c>
      <c r="G31" t="b">
        <f>IF(B31=E31,TRUE,FALSE)</f>
        <v>1</v>
      </c>
      <c r="J31" s="25">
        <f>F31-C31</f>
        <v>-415</v>
      </c>
      <c r="K31" s="4">
        <f>F31/C31-1</f>
        <v>-0.38003663003663002</v>
      </c>
      <c r="L31" s="5"/>
      <c r="M31" s="5">
        <v>312.45</v>
      </c>
      <c r="N31" s="5">
        <v>255.47</v>
      </c>
      <c r="O31" s="5"/>
      <c r="P31" s="5"/>
      <c r="Q31" s="139">
        <v>2090.64</v>
      </c>
      <c r="R31" s="5"/>
      <c r="S31" s="5"/>
      <c r="T31" s="114">
        <f>N31-M31</f>
        <v>-56.97999999999999</v>
      </c>
      <c r="U31" s="4">
        <f>IF(M31=0,0,N31/M31-1)</f>
        <v>-0.18236517842854849</v>
      </c>
      <c r="V31" s="5"/>
      <c r="W31" s="5"/>
      <c r="X31" s="5"/>
      <c r="Y31" s="5"/>
      <c r="Z31" s="15"/>
      <c r="AA31" s="18">
        <v>27307.72</v>
      </c>
      <c r="AB31" s="18">
        <v>19266.13</v>
      </c>
      <c r="AC31" s="4">
        <f>AB31/AA31-1</f>
        <v>-0.29448046193530619</v>
      </c>
    </row>
    <row r="32" spans="1:30" ht="13.9" customHeight="1">
      <c r="A32" t="s">
        <v>897</v>
      </c>
      <c r="B32" t="s">
        <v>898</v>
      </c>
      <c r="C32" s="19">
        <v>2846</v>
      </c>
      <c r="E32" t="s">
        <v>898</v>
      </c>
      <c r="F32" s="19">
        <v>2431</v>
      </c>
      <c r="G32" t="b">
        <f>IF(B32=E32,TRUE,FALSE)</f>
        <v>1</v>
      </c>
      <c r="J32" s="25">
        <f>F32-C32</f>
        <v>-415</v>
      </c>
      <c r="K32" s="4">
        <f>F32/C32-1</f>
        <v>-0.14581869290231908</v>
      </c>
      <c r="M32" s="5">
        <v>3610.4400000000005</v>
      </c>
      <c r="N32" s="5">
        <v>2390.73</v>
      </c>
      <c r="Q32" s="139">
        <v>13577.11</v>
      </c>
      <c r="T32" s="114">
        <f>N32-M32</f>
        <v>-1219.7100000000005</v>
      </c>
      <c r="U32" s="4">
        <f>IF(M32=0,0,N32/M32-1)</f>
        <v>-0.33782863030544763</v>
      </c>
      <c r="W32" t="s">
        <v>899</v>
      </c>
      <c r="AA32" s="18">
        <v>74155.09</v>
      </c>
      <c r="AB32" s="18">
        <v>65592.31</v>
      </c>
      <c r="AC32" s="4">
        <f>AB32/AA32-1</f>
        <v>-0.11547123737561371</v>
      </c>
      <c r="AD32" s="5"/>
    </row>
    <row r="33" spans="1:30">
      <c r="A33" s="54" t="s">
        <v>900</v>
      </c>
      <c r="B33" s="37" t="s">
        <v>901</v>
      </c>
      <c r="C33" s="19">
        <v>1283</v>
      </c>
      <c r="E33" s="37" t="s">
        <v>901</v>
      </c>
      <c r="F33" s="19">
        <v>877</v>
      </c>
      <c r="G33" t="b">
        <f>IF(B33=E33,TRUE,FALSE)</f>
        <v>1</v>
      </c>
      <c r="J33" s="25">
        <f>F33-C33</f>
        <v>-406</v>
      </c>
      <c r="K33" s="4">
        <f>F33/C33-1</f>
        <v>-0.31644583008573657</v>
      </c>
      <c r="M33" s="5">
        <v>1348.5</v>
      </c>
      <c r="N33" s="5">
        <v>1227.8399999999999</v>
      </c>
      <c r="Q33" s="139">
        <v>7002.89</v>
      </c>
      <c r="T33" s="114">
        <f>N33-M33</f>
        <v>-120.66000000000008</v>
      </c>
      <c r="U33" s="4">
        <f>IF(M33=0,0,N33/M33-1)</f>
        <v>-8.9477196885428323E-2</v>
      </c>
      <c r="AA33" s="18">
        <v>15899.49</v>
      </c>
      <c r="AB33" s="18">
        <v>12239.43</v>
      </c>
      <c r="AC33" s="4">
        <f>AB33/AA33-1</f>
        <v>-0.23019983659853238</v>
      </c>
      <c r="AD33" t="s">
        <v>902</v>
      </c>
    </row>
    <row r="34" spans="1:30">
      <c r="A34" t="s">
        <v>903</v>
      </c>
      <c r="B34" t="s">
        <v>904</v>
      </c>
      <c r="C34" s="19">
        <v>1533</v>
      </c>
      <c r="E34" t="s">
        <v>904</v>
      </c>
      <c r="F34" s="19">
        <v>1148</v>
      </c>
      <c r="G34" t="b">
        <f>IF(B34=E34,TRUE,FALSE)</f>
        <v>1</v>
      </c>
      <c r="J34" s="25">
        <f>F34-C34</f>
        <v>-385</v>
      </c>
      <c r="K34" s="4">
        <f>F34/C34-1</f>
        <v>-0.25114155251141557</v>
      </c>
      <c r="M34" s="5">
        <v>502.42</v>
      </c>
      <c r="N34" s="5">
        <v>286.56</v>
      </c>
      <c r="Q34" s="139">
        <v>1439.33</v>
      </c>
      <c r="T34" s="114">
        <f>N34-M34</f>
        <v>-215.86</v>
      </c>
      <c r="U34" s="4">
        <f>IF(M34=0,0,N34/M34-1)</f>
        <v>-0.42964053978742889</v>
      </c>
      <c r="AA34" s="18">
        <v>36120.28</v>
      </c>
      <c r="AB34" s="18">
        <v>28660.53</v>
      </c>
      <c r="AC34" s="4">
        <f>AB34/AA34-1</f>
        <v>-0.20652525395705679</v>
      </c>
    </row>
    <row r="35" spans="1:30">
      <c r="A35" t="s">
        <v>905</v>
      </c>
      <c r="B35" t="s">
        <v>906</v>
      </c>
      <c r="C35" s="19">
        <v>1138</v>
      </c>
      <c r="E35" t="s">
        <v>906</v>
      </c>
      <c r="F35" s="19">
        <v>754</v>
      </c>
      <c r="G35" t="b">
        <f>IF(B35=E35,TRUE,FALSE)</f>
        <v>1</v>
      </c>
      <c r="J35" s="25">
        <f>F35-C35</f>
        <v>-384</v>
      </c>
      <c r="K35" s="4">
        <f>F35/C35-1</f>
        <v>-0.3374340949033392</v>
      </c>
      <c r="M35" s="5">
        <v>408.46</v>
      </c>
      <c r="N35" s="5">
        <v>179.87</v>
      </c>
      <c r="Q35" s="139">
        <v>2177.86</v>
      </c>
      <c r="T35" s="114">
        <f>N35-M35</f>
        <v>-228.58999999999997</v>
      </c>
      <c r="U35" s="4">
        <f>IF(M35=0,0,N35/M35-1)</f>
        <v>-0.55963864270675212</v>
      </c>
      <c r="AA35" s="18">
        <v>28300.19</v>
      </c>
      <c r="AB35" s="18">
        <v>20808.260000000002</v>
      </c>
      <c r="AC35" s="4">
        <f>AB35/AA35-1</f>
        <v>-0.26473073148978843</v>
      </c>
    </row>
    <row r="36" spans="1:30">
      <c r="A36" t="s">
        <v>907</v>
      </c>
      <c r="B36" t="s">
        <v>908</v>
      </c>
      <c r="C36" s="19">
        <v>2313</v>
      </c>
      <c r="E36" t="s">
        <v>908</v>
      </c>
      <c r="F36" s="19">
        <v>1938</v>
      </c>
      <c r="G36" t="b">
        <f>IF(B36=E36,TRUE,FALSE)</f>
        <v>1</v>
      </c>
      <c r="J36" s="25">
        <f>F36-C36</f>
        <v>-375</v>
      </c>
      <c r="K36" s="4">
        <f>F36/C36-1</f>
        <v>-0.16212710765239946</v>
      </c>
      <c r="M36" s="5">
        <v>1468.9</v>
      </c>
      <c r="N36" s="5">
        <v>1580.19</v>
      </c>
      <c r="Q36" s="139">
        <v>8991.66</v>
      </c>
      <c r="T36" s="114">
        <f>N36-M36</f>
        <v>111.28999999999996</v>
      </c>
      <c r="U36" s="4">
        <f>IF(M36=0,0,N36/M36-1)</f>
        <v>7.5764177275512212E-2</v>
      </c>
      <c r="AA36" s="18">
        <v>47218.13</v>
      </c>
      <c r="AB36" s="18">
        <v>42606.720000000001</v>
      </c>
      <c r="AC36" s="4">
        <f>AB36/AA36-1</f>
        <v>-9.766185149644846E-2</v>
      </c>
    </row>
    <row r="37" spans="1:30">
      <c r="A37" t="s">
        <v>909</v>
      </c>
      <c r="B37" t="s">
        <v>910</v>
      </c>
      <c r="C37" s="19">
        <v>1856</v>
      </c>
      <c r="E37" t="s">
        <v>910</v>
      </c>
      <c r="F37" s="19">
        <v>1482</v>
      </c>
      <c r="G37" t="b">
        <f>IF(B37=E37,TRUE,FALSE)</f>
        <v>1</v>
      </c>
      <c r="J37" s="25">
        <f>F37-C37</f>
        <v>-374</v>
      </c>
      <c r="K37" s="4">
        <f>F37/C37-1</f>
        <v>-0.20150862068965514</v>
      </c>
      <c r="M37" s="5">
        <v>1395.52</v>
      </c>
      <c r="N37" s="5">
        <v>702.38</v>
      </c>
      <c r="Q37" s="139">
        <v>4298.58</v>
      </c>
      <c r="T37" s="114">
        <f>N37-M37</f>
        <v>-693.14</v>
      </c>
      <c r="U37" s="4">
        <f>IF(M37=0,0,N37/M37-1)</f>
        <v>-0.4966894060995185</v>
      </c>
      <c r="AA37" s="18">
        <v>31590.240000000002</v>
      </c>
      <c r="AB37" s="18">
        <v>29622.38</v>
      </c>
      <c r="AC37" s="4">
        <f>AB37/AA37-1</f>
        <v>-6.2293290585953121E-2</v>
      </c>
    </row>
    <row r="38" spans="1:30">
      <c r="A38" t="s">
        <v>911</v>
      </c>
      <c r="B38" t="s">
        <v>912</v>
      </c>
      <c r="C38" s="19">
        <v>2953</v>
      </c>
      <c r="E38" t="s">
        <v>912</v>
      </c>
      <c r="F38" s="19">
        <v>2589</v>
      </c>
      <c r="G38" t="b">
        <f>IF(B38=E38,TRUE,FALSE)</f>
        <v>1</v>
      </c>
      <c r="J38" s="25">
        <f>F38-C38</f>
        <v>-364</v>
      </c>
      <c r="K38" s="4">
        <f>F38/C38-1</f>
        <v>-0.12326447680325092</v>
      </c>
      <c r="M38" s="5">
        <v>1953.44</v>
      </c>
      <c r="N38" s="5">
        <v>1399.24</v>
      </c>
      <c r="Q38" s="139">
        <v>8521.6</v>
      </c>
      <c r="T38" s="114">
        <f>N38-M38</f>
        <v>-554.20000000000005</v>
      </c>
      <c r="U38" s="4">
        <f>IF(M38=0,0,N38/M38-1)</f>
        <v>-0.28370464411499718</v>
      </c>
      <c r="AA38" s="18">
        <v>61666.61</v>
      </c>
      <c r="AB38" s="18">
        <v>56926.17</v>
      </c>
      <c r="AC38" s="4">
        <f>AB38/AA38-1</f>
        <v>-7.6872070639200096E-2</v>
      </c>
    </row>
    <row r="39" spans="1:30">
      <c r="A39" t="s">
        <v>913</v>
      </c>
      <c r="B39" t="s">
        <v>914</v>
      </c>
      <c r="C39" s="19">
        <v>1419</v>
      </c>
      <c r="E39" t="s">
        <v>914</v>
      </c>
      <c r="F39" s="19">
        <v>1071</v>
      </c>
      <c r="G39" t="b">
        <f>IF(B39=E39,TRUE,FALSE)</f>
        <v>1</v>
      </c>
      <c r="J39" s="25">
        <f>F39-C39</f>
        <v>-348</v>
      </c>
      <c r="K39" s="4">
        <f>F39/C39-1</f>
        <v>-0.2452431289640592</v>
      </c>
      <c r="M39" s="5">
        <v>832.82</v>
      </c>
      <c r="N39" s="5">
        <v>592.04999999999995</v>
      </c>
      <c r="Q39" s="139">
        <v>3328.14</v>
      </c>
      <c r="T39" s="114">
        <f>N39-M39</f>
        <v>-240.7700000000001</v>
      </c>
      <c r="U39" s="4">
        <f>IF(M39=0,0,N39/M39-1)</f>
        <v>-0.28910208688552153</v>
      </c>
      <c r="AA39" s="18">
        <v>24469.85</v>
      </c>
      <c r="AB39" s="18">
        <v>20712.09</v>
      </c>
      <c r="AC39" s="4">
        <f>AB39/AA39-1</f>
        <v>-0.15356694054111486</v>
      </c>
    </row>
    <row r="40" spans="1:30">
      <c r="A40" t="s">
        <v>915</v>
      </c>
      <c r="B40" t="s">
        <v>916</v>
      </c>
      <c r="C40" s="19">
        <v>1803</v>
      </c>
      <c r="D40" s="5"/>
      <c r="E40" t="s">
        <v>916</v>
      </c>
      <c r="F40" s="19">
        <v>1474</v>
      </c>
      <c r="G40" t="b">
        <f>IF(B40=E40,TRUE,FALSE)</f>
        <v>1</v>
      </c>
      <c r="H40" s="5"/>
      <c r="I40" s="5"/>
      <c r="J40" s="25">
        <f>F40-C40</f>
        <v>-329</v>
      </c>
      <c r="K40" s="4">
        <f>F40/C40-1</f>
        <v>-0.18247365501941204</v>
      </c>
      <c r="L40" s="5"/>
      <c r="M40" s="5">
        <v>2029.36</v>
      </c>
      <c r="N40" s="5">
        <v>1373.23</v>
      </c>
      <c r="O40" s="5"/>
      <c r="P40" s="5"/>
      <c r="Q40" s="139">
        <v>7533.08</v>
      </c>
      <c r="R40" s="5"/>
      <c r="S40" s="5"/>
      <c r="T40" s="114">
        <f>N40-M40</f>
        <v>-656.12999999999988</v>
      </c>
      <c r="U40" s="4">
        <f>IF(M40=0,0,N40/M40-1)</f>
        <v>-0.32331868175188228</v>
      </c>
      <c r="V40" s="5"/>
      <c r="W40" s="5"/>
      <c r="X40" s="5"/>
      <c r="Y40" s="5"/>
      <c r="Z40" s="15"/>
      <c r="AA40" s="18">
        <v>42061.22</v>
      </c>
      <c r="AB40" s="18">
        <v>36827.01</v>
      </c>
      <c r="AC40" s="4">
        <f>AB40/AA40-1</f>
        <v>-0.12444265763094842</v>
      </c>
    </row>
    <row r="41" spans="1:30">
      <c r="A41" s="54" t="s">
        <v>917</v>
      </c>
      <c r="B41" s="37" t="s">
        <v>918</v>
      </c>
      <c r="C41" s="19">
        <v>544</v>
      </c>
      <c r="E41" s="37" t="s">
        <v>918</v>
      </c>
      <c r="F41" s="19">
        <v>221</v>
      </c>
      <c r="G41" t="b">
        <f>IF(B41=E41,TRUE,FALSE)</f>
        <v>1</v>
      </c>
      <c r="J41" s="25">
        <f>F41-C41</f>
        <v>-323</v>
      </c>
      <c r="K41" s="4">
        <f>F41/C41-1</f>
        <v>-0.59375</v>
      </c>
      <c r="M41" s="5">
        <v>1203.94</v>
      </c>
      <c r="N41" s="5">
        <v>242.76</v>
      </c>
      <c r="Q41" s="139">
        <v>1083.45</v>
      </c>
      <c r="T41" s="114">
        <f>N41-M41</f>
        <v>-961.18000000000006</v>
      </c>
      <c r="U41" s="4">
        <f>IF(M41=0,0,N41/M41-1)</f>
        <v>-0.7983620446201638</v>
      </c>
      <c r="AA41" s="18">
        <v>8801.4</v>
      </c>
      <c r="AB41" s="18">
        <v>4363.75</v>
      </c>
      <c r="AC41" s="4">
        <f>AB41/AA41-1</f>
        <v>-0.50419819574158653</v>
      </c>
      <c r="AD41" s="152"/>
    </row>
    <row r="42" spans="1:30">
      <c r="A42" t="s">
        <v>919</v>
      </c>
      <c r="B42" t="s">
        <v>920</v>
      </c>
      <c r="C42" s="19">
        <v>1502</v>
      </c>
      <c r="E42" t="s">
        <v>920</v>
      </c>
      <c r="F42" s="19">
        <v>1182</v>
      </c>
      <c r="G42" t="b">
        <f>IF(B42=E42,TRUE,FALSE)</f>
        <v>1</v>
      </c>
      <c r="J42" s="25">
        <f>F42-C42</f>
        <v>-320</v>
      </c>
      <c r="K42" s="4">
        <f>F42/C42-1</f>
        <v>-0.21304926764314247</v>
      </c>
      <c r="M42" s="5">
        <v>1432.25</v>
      </c>
      <c r="N42" s="5">
        <v>1002.73</v>
      </c>
      <c r="Q42" s="139">
        <v>7745.61</v>
      </c>
      <c r="T42" s="114">
        <f>N42-M42</f>
        <v>-429.52</v>
      </c>
      <c r="U42" s="4">
        <f>IF(M42=0,0,N42/M42-1)</f>
        <v>-0.29989177866992489</v>
      </c>
      <c r="AA42" s="18">
        <v>42090.28</v>
      </c>
      <c r="AB42" s="18">
        <v>35443.980000000003</v>
      </c>
      <c r="AC42" s="4">
        <f>AB42/AA42-1</f>
        <v>-0.15790581578454688</v>
      </c>
    </row>
    <row r="43" spans="1:30">
      <c r="A43" t="s">
        <v>921</v>
      </c>
      <c r="B43" t="s">
        <v>922</v>
      </c>
      <c r="C43" s="19">
        <v>1423</v>
      </c>
      <c r="E43" t="s">
        <v>922</v>
      </c>
      <c r="F43" s="19">
        <v>1109</v>
      </c>
      <c r="G43" t="b">
        <f>IF(B43=E43,TRUE,FALSE)</f>
        <v>1</v>
      </c>
      <c r="J43" s="25">
        <f>F43-C43</f>
        <v>-314</v>
      </c>
      <c r="K43" s="4">
        <f>F43/C43-1</f>
        <v>-0.22066057624736468</v>
      </c>
      <c r="M43" s="5">
        <v>939.94</v>
      </c>
      <c r="N43" s="5">
        <v>580.1</v>
      </c>
      <c r="Q43" s="139">
        <v>3604.43</v>
      </c>
      <c r="T43" s="114">
        <f>N43-M43</f>
        <v>-359.84000000000003</v>
      </c>
      <c r="U43" s="4">
        <f>IF(M43=0,0,N43/M43-1)</f>
        <v>-0.38283294678383728</v>
      </c>
      <c r="AA43" s="18">
        <v>26651.4</v>
      </c>
      <c r="AB43" s="18">
        <v>22122.15</v>
      </c>
      <c r="AC43" s="4">
        <f>AB43/AA43-1</f>
        <v>-0.16994416803620072</v>
      </c>
    </row>
    <row r="44" spans="1:30">
      <c r="A44" t="s">
        <v>923</v>
      </c>
      <c r="B44" t="s">
        <v>924</v>
      </c>
      <c r="C44" s="19">
        <v>978</v>
      </c>
      <c r="E44" t="s">
        <v>924</v>
      </c>
      <c r="F44" s="19">
        <v>665</v>
      </c>
      <c r="G44" t="b">
        <f>IF(B44=E44,TRUE,FALSE)</f>
        <v>1</v>
      </c>
      <c r="J44" s="25">
        <f>F44-C44</f>
        <v>-313</v>
      </c>
      <c r="K44" s="4">
        <f>F44/C44-1</f>
        <v>-0.32004089979550099</v>
      </c>
      <c r="M44" s="5">
        <v>1132.92</v>
      </c>
      <c r="N44" s="5">
        <v>571.95000000000005</v>
      </c>
      <c r="Q44" s="139">
        <v>2557.7800000000002</v>
      </c>
      <c r="T44" s="114">
        <f>N44-M44</f>
        <v>-560.97</v>
      </c>
      <c r="U44" s="4">
        <f>IF(M44=0,0,N44/M44-1)</f>
        <v>-0.49515411503018747</v>
      </c>
      <c r="AA44" s="18">
        <v>18169.66</v>
      </c>
      <c r="AB44" s="18">
        <v>13265.95</v>
      </c>
      <c r="AC44" s="4">
        <f>AB44/AA44-1</f>
        <v>-0.269884521779714</v>
      </c>
    </row>
    <row r="45" spans="1:30">
      <c r="A45" t="s">
        <v>925</v>
      </c>
      <c r="B45" t="s">
        <v>926</v>
      </c>
      <c r="C45" s="19">
        <v>1173</v>
      </c>
      <c r="E45" t="s">
        <v>926</v>
      </c>
      <c r="F45" s="19">
        <v>864</v>
      </c>
      <c r="G45" t="b">
        <f>IF(B45=E45,TRUE,FALSE)</f>
        <v>1</v>
      </c>
      <c r="J45" s="25">
        <f>F45-C45</f>
        <v>-309</v>
      </c>
      <c r="K45" s="4">
        <f>F45/C45-1</f>
        <v>-0.26342710997442453</v>
      </c>
      <c r="M45" s="5">
        <v>1585.12</v>
      </c>
      <c r="N45" s="5">
        <v>918.92</v>
      </c>
      <c r="Q45" s="139">
        <v>5674.52</v>
      </c>
      <c r="T45" s="114">
        <f>N45-M45</f>
        <v>-666.19999999999993</v>
      </c>
      <c r="U45" s="4">
        <f>IF(M45=0,0,N45/M45-1)</f>
        <v>-0.42028363783183609</v>
      </c>
      <c r="AA45" s="18">
        <v>43019.89</v>
      </c>
      <c r="AB45" s="18">
        <v>33648.120000000003</v>
      </c>
      <c r="AC45" s="4">
        <f>AB45/AA45-1</f>
        <v>-0.21784737245957619</v>
      </c>
    </row>
    <row r="46" spans="1:30">
      <c r="A46" t="s">
        <v>927</v>
      </c>
      <c r="B46" t="s">
        <v>928</v>
      </c>
      <c r="C46" s="19">
        <v>3586</v>
      </c>
      <c r="E46" t="s">
        <v>928</v>
      </c>
      <c r="F46" s="19">
        <v>3281</v>
      </c>
      <c r="G46" t="b">
        <f>IF(B46=E46,TRUE,FALSE)</f>
        <v>1</v>
      </c>
      <c r="J46" s="25">
        <f>F46-C46</f>
        <v>-305</v>
      </c>
      <c r="K46" s="4">
        <f>F46/C46-1</f>
        <v>-8.5052983825989914E-2</v>
      </c>
      <c r="M46" s="5">
        <v>4852.7299999999996</v>
      </c>
      <c r="N46" s="5">
        <v>4528.9399999999996</v>
      </c>
      <c r="Q46" s="139">
        <v>22151.81</v>
      </c>
      <c r="T46" s="114">
        <f>N46-M46</f>
        <v>-323.78999999999996</v>
      </c>
      <c r="U46" s="4">
        <f>IF(M46=0,0,N46/M46-1)</f>
        <v>-6.6723267109441542E-2</v>
      </c>
      <c r="W46" t="s">
        <v>929</v>
      </c>
      <c r="Y46" t="s">
        <v>930</v>
      </c>
      <c r="Z46" s="14" t="s">
        <v>931</v>
      </c>
      <c r="AA46" s="18">
        <v>92064.38</v>
      </c>
      <c r="AB46" s="18">
        <v>88537.18</v>
      </c>
      <c r="AC46" s="4">
        <f>AB46/AA46-1</f>
        <v>-3.8312320139450406E-2</v>
      </c>
    </row>
    <row r="47" spans="1:30">
      <c r="A47" t="s">
        <v>932</v>
      </c>
      <c r="B47" t="s">
        <v>933</v>
      </c>
      <c r="C47" s="19">
        <v>1505</v>
      </c>
      <c r="E47" t="s">
        <v>933</v>
      </c>
      <c r="F47" s="19">
        <v>1216</v>
      </c>
      <c r="G47" t="b">
        <f>IF(B47=E47,TRUE,FALSE)</f>
        <v>1</v>
      </c>
      <c r="J47" s="25">
        <f>F47-C47</f>
        <v>-289</v>
      </c>
      <c r="K47" s="4">
        <f>F47/C47-1</f>
        <v>-0.19202657807308965</v>
      </c>
      <c r="M47" s="5">
        <v>745.23</v>
      </c>
      <c r="N47" s="5">
        <v>384.87</v>
      </c>
      <c r="Q47" s="139">
        <v>1695.37</v>
      </c>
      <c r="T47" s="114">
        <f>N47-M47</f>
        <v>-360.36</v>
      </c>
      <c r="U47" s="4">
        <f>IF(M47=0,0,N47/M47-1)</f>
        <v>-0.48355541242301037</v>
      </c>
      <c r="W47" t="s">
        <v>934</v>
      </c>
      <c r="Y47" t="s">
        <v>935</v>
      </c>
      <c r="AA47" s="18">
        <v>42252.56</v>
      </c>
      <c r="AB47" s="18">
        <v>36418.300000000003</v>
      </c>
      <c r="AC47" s="4">
        <f>AB47/AA47-1</f>
        <v>-0.13808062754067429</v>
      </c>
    </row>
    <row r="48" spans="1:30">
      <c r="A48" t="s">
        <v>936</v>
      </c>
      <c r="B48" t="s">
        <v>937</v>
      </c>
      <c r="C48" s="19">
        <v>1088</v>
      </c>
      <c r="E48" t="s">
        <v>937</v>
      </c>
      <c r="F48" s="19">
        <v>801</v>
      </c>
      <c r="G48" t="b">
        <f>IF(B48=E48,TRUE,FALSE)</f>
        <v>1</v>
      </c>
      <c r="J48" s="25">
        <f>F48-C48</f>
        <v>-287</v>
      </c>
      <c r="K48" s="4">
        <f>F48/C48-1</f>
        <v>-0.26378676470588236</v>
      </c>
      <c r="M48" s="5">
        <v>1009.35</v>
      </c>
      <c r="N48" s="5">
        <v>584.39</v>
      </c>
      <c r="Q48" s="139">
        <v>2917.07</v>
      </c>
      <c r="T48" s="114">
        <f>N48-M48</f>
        <v>-424.96000000000004</v>
      </c>
      <c r="U48" s="4">
        <f>IF(M48=0,0,N48/M48-1)</f>
        <v>-0.42102343092088967</v>
      </c>
      <c r="AA48" s="18">
        <v>17435.87</v>
      </c>
      <c r="AB48" s="18">
        <v>14257.76</v>
      </c>
      <c r="AC48" s="4">
        <f>AB48/AA48-1</f>
        <v>-0.18227424269623482</v>
      </c>
    </row>
    <row r="49" spans="1:30">
      <c r="A49" s="27" t="s">
        <v>938</v>
      </c>
      <c r="B49" s="27" t="s">
        <v>939</v>
      </c>
      <c r="C49" s="19">
        <v>793</v>
      </c>
      <c r="E49" s="27" t="s">
        <v>939</v>
      </c>
      <c r="F49" s="19">
        <v>507</v>
      </c>
      <c r="G49" t="b">
        <f>IF(B49=E49,TRUE,FALSE)</f>
        <v>1</v>
      </c>
      <c r="J49" s="25">
        <f>F49-C49</f>
        <v>-286</v>
      </c>
      <c r="K49" s="4">
        <f>F49/C49-1</f>
        <v>-0.36065573770491799</v>
      </c>
      <c r="M49" s="5">
        <v>1251.94</v>
      </c>
      <c r="N49" s="5">
        <v>785.63</v>
      </c>
      <c r="Q49" s="139">
        <v>4159.99</v>
      </c>
      <c r="T49" s="114">
        <f>N49-M49</f>
        <v>-466.31000000000006</v>
      </c>
      <c r="U49" s="4">
        <f>IF(M49=0,0,N49/M49-1)</f>
        <v>-0.3724699266738023</v>
      </c>
      <c r="AA49" s="18">
        <v>10365.870000000001</v>
      </c>
      <c r="AB49" s="18">
        <v>7071.77</v>
      </c>
      <c r="AC49" s="4">
        <f>AB49/AA49-1</f>
        <v>-0.31778326372991361</v>
      </c>
    </row>
    <row r="50" spans="1:30">
      <c r="A50" t="s">
        <v>940</v>
      </c>
      <c r="B50" t="s">
        <v>941</v>
      </c>
      <c r="C50" s="19">
        <v>1583</v>
      </c>
      <c r="E50" t="s">
        <v>941</v>
      </c>
      <c r="F50" s="19">
        <v>1302</v>
      </c>
      <c r="G50" t="b">
        <f>IF(B50=E50,TRUE,FALSE)</f>
        <v>1</v>
      </c>
      <c r="J50" s="25">
        <f>F50-C50</f>
        <v>-281</v>
      </c>
      <c r="K50" s="4">
        <f>F50/C50-1</f>
        <v>-0.17751105495893871</v>
      </c>
      <c r="M50" s="5">
        <v>1128.21</v>
      </c>
      <c r="N50" s="5">
        <v>714.73</v>
      </c>
      <c r="Q50" s="139">
        <v>3425.78</v>
      </c>
      <c r="T50" s="114">
        <f>N50-M50</f>
        <v>-413.48</v>
      </c>
      <c r="U50" s="4">
        <f>IF(M50=0,0,N50/M50-1)</f>
        <v>-0.36649205378431315</v>
      </c>
      <c r="AA50" s="18">
        <v>29521.11</v>
      </c>
      <c r="AB50" s="18">
        <v>25973.1</v>
      </c>
      <c r="AC50" s="4">
        <f>AB50/AA50-1</f>
        <v>-0.12018552147937533</v>
      </c>
      <c r="AD50" s="5"/>
    </row>
    <row r="51" spans="1:30">
      <c r="A51" t="s">
        <v>942</v>
      </c>
      <c r="B51" t="s">
        <v>943</v>
      </c>
      <c r="C51" s="19">
        <v>679</v>
      </c>
      <c r="E51" t="s">
        <v>943</v>
      </c>
      <c r="F51" s="19">
        <v>426</v>
      </c>
      <c r="G51" t="b">
        <f>IF(B51=E51,TRUE,FALSE)</f>
        <v>1</v>
      </c>
      <c r="J51" s="25">
        <f>F51-C51</f>
        <v>-253</v>
      </c>
      <c r="K51" s="4">
        <f>F51/C51-1</f>
        <v>-0.37260677466863035</v>
      </c>
      <c r="M51" s="5">
        <v>729.73</v>
      </c>
      <c r="N51" s="5">
        <v>662.09</v>
      </c>
      <c r="Q51" s="139">
        <v>3822.82</v>
      </c>
      <c r="T51" s="114">
        <f>N51-M51</f>
        <v>-67.639999999999986</v>
      </c>
      <c r="U51" s="4">
        <f>IF(M51=0,0,N51/M51-1)</f>
        <v>-9.2691817521549091E-2</v>
      </c>
      <c r="W51" t="s">
        <v>944</v>
      </c>
      <c r="Z51" s="14" t="s">
        <v>945</v>
      </c>
      <c r="AA51" s="18">
        <v>17882.13</v>
      </c>
      <c r="AB51" s="18">
        <v>12754.2</v>
      </c>
      <c r="AC51" s="4">
        <f>AB51/AA51-1</f>
        <v>-0.28676281852329677</v>
      </c>
    </row>
    <row r="52" spans="1:30">
      <c r="A52" t="s">
        <v>946</v>
      </c>
      <c r="B52" t="s">
        <v>947</v>
      </c>
      <c r="C52" s="19">
        <v>693</v>
      </c>
      <c r="E52" t="s">
        <v>947</v>
      </c>
      <c r="F52" s="19">
        <v>445</v>
      </c>
      <c r="G52" t="b">
        <f>IF(B52=E52,TRUE,FALSE)</f>
        <v>1</v>
      </c>
      <c r="J52" s="25">
        <f>F52-C52</f>
        <v>-248</v>
      </c>
      <c r="K52" s="4">
        <f>F52/C52-1</f>
        <v>-0.35786435786435788</v>
      </c>
      <c r="M52" s="5">
        <v>451.39</v>
      </c>
      <c r="N52" s="5">
        <v>343.45</v>
      </c>
      <c r="Q52" s="139">
        <v>1721.72</v>
      </c>
      <c r="T52" s="114">
        <f>N52-M52</f>
        <v>-107.94</v>
      </c>
      <c r="U52" s="4">
        <f>IF(M52=0,0,N52/M52-1)</f>
        <v>-0.23912802676178024</v>
      </c>
      <c r="AA52" s="18">
        <v>11332.65</v>
      </c>
      <c r="AB52" s="18">
        <v>8085.18</v>
      </c>
      <c r="AC52" s="4">
        <f>AB52/AA52-1</f>
        <v>-0.28655874839512374</v>
      </c>
    </row>
    <row r="53" spans="1:30">
      <c r="A53" t="s">
        <v>948</v>
      </c>
      <c r="B53" s="27" t="s">
        <v>949</v>
      </c>
      <c r="C53" s="19">
        <v>859</v>
      </c>
      <c r="E53" t="s">
        <v>949</v>
      </c>
      <c r="F53" s="19">
        <v>613</v>
      </c>
      <c r="G53" t="b">
        <f>IF(B53=E53,TRUE,FALSE)</f>
        <v>1</v>
      </c>
      <c r="J53" s="25">
        <f>F53-C53</f>
        <v>-246</v>
      </c>
      <c r="K53" s="4">
        <f>F53/C53-1</f>
        <v>-0.28637951105937132</v>
      </c>
      <c r="M53" s="5">
        <v>1170.46</v>
      </c>
      <c r="N53" s="5">
        <v>949.84</v>
      </c>
      <c r="Q53" s="139">
        <v>3381.82</v>
      </c>
      <c r="T53" s="114">
        <f>N53-M53</f>
        <v>-220.62</v>
      </c>
      <c r="U53" s="4">
        <f>IF(M53=0,0,N53/M53-1)</f>
        <v>-0.1884899953864293</v>
      </c>
      <c r="AA53" s="18">
        <v>9543.2800000000007</v>
      </c>
      <c r="AB53" s="18">
        <v>8525.73</v>
      </c>
      <c r="AC53" s="4">
        <f>AB53/AA53-1</f>
        <v>-0.10662476632771967</v>
      </c>
      <c r="AD53" t="s">
        <v>950</v>
      </c>
    </row>
    <row r="54" spans="1:30">
      <c r="A54" t="s">
        <v>951</v>
      </c>
      <c r="B54" t="s">
        <v>952</v>
      </c>
      <c r="C54" s="19">
        <v>1015</v>
      </c>
      <c r="E54" t="s">
        <v>952</v>
      </c>
      <c r="F54" s="19">
        <v>782</v>
      </c>
      <c r="G54" t="b">
        <f>IF(B54=E54,TRUE,FALSE)</f>
        <v>1</v>
      </c>
      <c r="J54" s="25">
        <f>F54-C54</f>
        <v>-233</v>
      </c>
      <c r="K54" s="4">
        <f>F54/C54-1</f>
        <v>-0.22955665024630545</v>
      </c>
      <c r="M54" s="5">
        <v>829.31</v>
      </c>
      <c r="N54" s="5">
        <v>538.47</v>
      </c>
      <c r="Q54" s="139">
        <v>3676.6</v>
      </c>
      <c r="T54" s="114">
        <f>N54-M54</f>
        <v>-290.83999999999992</v>
      </c>
      <c r="U54" s="4">
        <f>IF(M54=0,0,N54/M54-1)</f>
        <v>-0.35070118532273808</v>
      </c>
      <c r="AA54" s="18">
        <v>18115.75</v>
      </c>
      <c r="AB54" s="18">
        <v>15599.7</v>
      </c>
      <c r="AC54" s="4">
        <f>AB54/AA54-1</f>
        <v>-0.13888743220678135</v>
      </c>
      <c r="AD54" s="5"/>
    </row>
    <row r="55" spans="1:30">
      <c r="A55" s="27" t="s">
        <v>953</v>
      </c>
      <c r="B55" s="27" t="s">
        <v>954</v>
      </c>
      <c r="C55" s="19">
        <v>4083</v>
      </c>
      <c r="E55" s="27" t="s">
        <v>954</v>
      </c>
      <c r="F55" s="19">
        <v>3850</v>
      </c>
      <c r="G55" t="b">
        <f>IF(B55=E55,TRUE,FALSE)</f>
        <v>1</v>
      </c>
      <c r="J55" s="25">
        <f>F55-C55</f>
        <v>-233</v>
      </c>
      <c r="K55" s="4">
        <f>F55/C55-1</f>
        <v>-5.7065882929218659E-2</v>
      </c>
      <c r="M55" s="5">
        <v>3125.45</v>
      </c>
      <c r="N55" s="5">
        <v>2752.71</v>
      </c>
      <c r="Q55" s="139">
        <v>19181.78</v>
      </c>
      <c r="T55" s="114">
        <f>N55-M55</f>
        <v>-372.73999999999978</v>
      </c>
      <c r="U55" s="4">
        <f>IF(M55=0,0,N55/M55-1)</f>
        <v>-0.11925962661376754</v>
      </c>
      <c r="AA55" s="18">
        <v>110184.78</v>
      </c>
      <c r="AB55" s="18">
        <v>103898.81</v>
      </c>
      <c r="AC55" s="4">
        <f>AB55/AA55-1</f>
        <v>-5.7049349283993633E-2</v>
      </c>
    </row>
    <row r="56" spans="1:30">
      <c r="A56" s="27" t="s">
        <v>955</v>
      </c>
      <c r="B56" s="37" t="s">
        <v>956</v>
      </c>
      <c r="C56" s="19">
        <v>868</v>
      </c>
      <c r="E56" s="37" t="s">
        <v>956</v>
      </c>
      <c r="F56" s="19">
        <v>645</v>
      </c>
      <c r="G56" t="b">
        <f>IF(B56=E56,TRUE,FALSE)</f>
        <v>1</v>
      </c>
      <c r="J56" s="25">
        <f>F56-C56</f>
        <v>-223</v>
      </c>
      <c r="K56" s="4">
        <f>F56/C56-1</f>
        <v>-0.25691244239631339</v>
      </c>
      <c r="M56" s="5">
        <v>817.68</v>
      </c>
      <c r="N56" s="5">
        <v>569.04999999999995</v>
      </c>
      <c r="Q56" s="139">
        <v>2866.79</v>
      </c>
      <c r="T56" s="114">
        <f>N56-M56</f>
        <v>-248.63</v>
      </c>
      <c r="U56" s="4">
        <f>IF(M56=0,0,N56/M56-1)</f>
        <v>-0.30406760590940218</v>
      </c>
      <c r="AA56" s="18">
        <v>18528.349999999999</v>
      </c>
      <c r="AB56" s="18">
        <v>16016.65</v>
      </c>
      <c r="AC56" s="4">
        <f>AB56/AA56-1</f>
        <v>-0.13555983128557048</v>
      </c>
    </row>
    <row r="57" spans="1:30">
      <c r="A57" s="24" t="s">
        <v>957</v>
      </c>
      <c r="B57" s="23" t="s">
        <v>958</v>
      </c>
      <c r="C57" s="19">
        <v>884</v>
      </c>
      <c r="D57" s="5"/>
      <c r="E57" s="23" t="s">
        <v>958</v>
      </c>
      <c r="F57" s="19">
        <v>668</v>
      </c>
      <c r="G57" t="b">
        <f>IF(B57=E57,TRUE,FALSE)</f>
        <v>1</v>
      </c>
      <c r="H57" s="5"/>
      <c r="I57" s="5"/>
      <c r="J57" s="25">
        <f>F57-C57</f>
        <v>-216</v>
      </c>
      <c r="K57" s="4">
        <f>F57/C57-1</f>
        <v>-0.24434389140271495</v>
      </c>
      <c r="L57" s="5"/>
      <c r="M57" s="5">
        <v>899.22</v>
      </c>
      <c r="N57" s="5">
        <v>587.72</v>
      </c>
      <c r="O57" s="5"/>
      <c r="P57" s="5"/>
      <c r="Q57" s="139">
        <v>2611.94</v>
      </c>
      <c r="R57" s="5"/>
      <c r="S57" s="5"/>
      <c r="T57" s="114">
        <f>N57-M57</f>
        <v>-311.5</v>
      </c>
      <c r="U57" s="4">
        <f>IF(M57=0,0,N57/M57-1)</f>
        <v>-0.34641133426747628</v>
      </c>
      <c r="V57" s="5"/>
      <c r="W57" s="5"/>
      <c r="X57" s="5"/>
      <c r="Y57" s="5"/>
      <c r="Z57" s="15"/>
      <c r="AA57" s="18">
        <v>12751.51</v>
      </c>
      <c r="AB57" s="18">
        <v>10011.67</v>
      </c>
      <c r="AC57" s="4">
        <f>AB57/AA57-1</f>
        <v>-0.21486396513040418</v>
      </c>
    </row>
    <row r="58" spans="1:30">
      <c r="A58" t="s">
        <v>959</v>
      </c>
      <c r="B58" t="s">
        <v>960</v>
      </c>
      <c r="C58" s="19">
        <v>1002</v>
      </c>
      <c r="E58" t="s">
        <v>960</v>
      </c>
      <c r="F58" s="19">
        <v>801</v>
      </c>
      <c r="G58" t="b">
        <f>IF(B58=E58,TRUE,FALSE)</f>
        <v>1</v>
      </c>
      <c r="J58" s="25">
        <f>F58-C58</f>
        <v>-201</v>
      </c>
      <c r="K58" s="4">
        <f>F58/C58-1</f>
        <v>-0.20059880239520955</v>
      </c>
      <c r="M58" s="5">
        <v>405.98</v>
      </c>
      <c r="N58" s="5">
        <v>342.26</v>
      </c>
      <c r="Q58" s="139">
        <v>3688.14</v>
      </c>
      <c r="T58" s="114">
        <f>N58-M58</f>
        <v>-63.720000000000027</v>
      </c>
      <c r="U58" s="4">
        <f>IF(M58=0,0,N58/M58-1)</f>
        <v>-0.15695354450958177</v>
      </c>
      <c r="AA58" s="18">
        <v>28010.65</v>
      </c>
      <c r="AB58" s="18">
        <v>23216.93</v>
      </c>
      <c r="AC58" s="4">
        <f>AB58/AA58-1</f>
        <v>-0.17113919170029979</v>
      </c>
    </row>
    <row r="59" spans="1:30">
      <c r="A59" t="s">
        <v>961</v>
      </c>
      <c r="B59" t="s">
        <v>962</v>
      </c>
      <c r="C59" s="19">
        <v>1087</v>
      </c>
      <c r="E59" t="s">
        <v>962</v>
      </c>
      <c r="F59" s="19">
        <v>886</v>
      </c>
      <c r="G59" t="b">
        <f>IF(B59=E59,TRUE,FALSE)</f>
        <v>1</v>
      </c>
      <c r="J59" s="25">
        <f>F59-C59</f>
        <v>-201</v>
      </c>
      <c r="K59" s="4">
        <f>F59/C59-1</f>
        <v>-0.18491260349586014</v>
      </c>
      <c r="M59" s="5">
        <v>1407.08</v>
      </c>
      <c r="N59" s="5">
        <v>1028.22</v>
      </c>
      <c r="Q59" s="139">
        <v>7332.99</v>
      </c>
      <c r="T59" s="114">
        <f>N59-M59</f>
        <v>-378.8599999999999</v>
      </c>
      <c r="U59" s="4">
        <f>IF(M59=0,0,N59/M59-1)</f>
        <v>-0.2692526366660033</v>
      </c>
      <c r="AA59" s="18">
        <v>28073.99</v>
      </c>
      <c r="AB59" s="18">
        <v>23910.44</v>
      </c>
      <c r="AC59" s="4">
        <f>AB59/AA59-1</f>
        <v>-0.14830631484872658</v>
      </c>
      <c r="AD59" s="5"/>
    </row>
    <row r="60" spans="1:30">
      <c r="A60" s="55" t="s">
        <v>963</v>
      </c>
      <c r="B60" s="37" t="s">
        <v>964</v>
      </c>
      <c r="C60" s="19">
        <v>1013</v>
      </c>
      <c r="E60" s="37" t="s">
        <v>964</v>
      </c>
      <c r="F60" s="19">
        <v>812</v>
      </c>
      <c r="G60" t="b">
        <f>IF(B60=E60,TRUE,FALSE)</f>
        <v>1</v>
      </c>
      <c r="J60" s="25">
        <f>F60-C60</f>
        <v>-201</v>
      </c>
      <c r="K60" s="4">
        <f>F60/C60-1</f>
        <v>-0.19842053307008889</v>
      </c>
      <c r="M60" s="5">
        <v>1792.28</v>
      </c>
      <c r="N60" s="5">
        <v>1375.16</v>
      </c>
      <c r="Q60" s="139">
        <v>7577.1</v>
      </c>
      <c r="T60" s="114">
        <f>N60-M60</f>
        <v>-417.11999999999989</v>
      </c>
      <c r="U60" s="4">
        <f>IF(M60=0,0,N60/M60-1)</f>
        <v>-0.23273149284709971</v>
      </c>
      <c r="AA60" s="18">
        <v>20226.48</v>
      </c>
      <c r="AB60" s="18">
        <v>16229.68</v>
      </c>
      <c r="AC60" s="4">
        <f>AB60/AA60-1</f>
        <v>-0.19760235097753043</v>
      </c>
    </row>
    <row r="61" spans="1:30">
      <c r="A61" t="s">
        <v>965</v>
      </c>
      <c r="B61" t="s">
        <v>966</v>
      </c>
      <c r="C61" s="19">
        <v>1399</v>
      </c>
      <c r="D61" s="5"/>
      <c r="E61" t="s">
        <v>966</v>
      </c>
      <c r="F61" s="19">
        <v>1201</v>
      </c>
      <c r="G61" t="b">
        <f>IF(B61=E61,TRUE,FALSE)</f>
        <v>1</v>
      </c>
      <c r="H61" s="5"/>
      <c r="I61" s="5"/>
      <c r="J61" s="25">
        <f>F61-C61</f>
        <v>-198</v>
      </c>
      <c r="K61" s="4">
        <f>F61/C61-1</f>
        <v>-0.14152966404574696</v>
      </c>
      <c r="L61" s="5"/>
      <c r="M61" s="5">
        <v>1363.17</v>
      </c>
      <c r="N61" s="5">
        <v>1300.6099999999999</v>
      </c>
      <c r="O61" s="5"/>
      <c r="P61" s="5"/>
      <c r="Q61" s="139">
        <v>7553.19</v>
      </c>
      <c r="R61" s="5"/>
      <c r="S61" s="5"/>
      <c r="T61" s="114">
        <f>N61-M61</f>
        <v>-62.560000000000173</v>
      </c>
      <c r="U61" s="4">
        <f>IF(M61=0,0,N61/M61-1)</f>
        <v>-4.5893028749165676E-2</v>
      </c>
      <c r="V61" s="5"/>
      <c r="W61" s="5"/>
      <c r="X61" s="5"/>
      <c r="Y61" s="5"/>
      <c r="Z61" s="15"/>
      <c r="AA61" s="18">
        <v>32282.76</v>
      </c>
      <c r="AB61" s="18">
        <v>29987</v>
      </c>
      <c r="AC61" s="4">
        <f>AB61/AA61-1</f>
        <v>-7.1114117875918814E-2</v>
      </c>
    </row>
    <row r="62" spans="1:30">
      <c r="A62" t="s">
        <v>967</v>
      </c>
      <c r="B62" t="s">
        <v>968</v>
      </c>
      <c r="C62" s="19">
        <v>924</v>
      </c>
      <c r="E62" t="s">
        <v>968</v>
      </c>
      <c r="F62" s="19">
        <v>732</v>
      </c>
      <c r="G62" t="b">
        <f>IF(B62=E62,TRUE,FALSE)</f>
        <v>1</v>
      </c>
      <c r="J62" s="25">
        <f>F62-C62</f>
        <v>-192</v>
      </c>
      <c r="K62" s="4">
        <f>F62/C62-1</f>
        <v>-0.20779220779220775</v>
      </c>
      <c r="M62" s="5">
        <v>799.84</v>
      </c>
      <c r="N62" s="5">
        <v>397.84</v>
      </c>
      <c r="Q62" s="139">
        <v>1842.86</v>
      </c>
      <c r="T62" s="114">
        <f>N62-M62</f>
        <v>-402.00000000000006</v>
      </c>
      <c r="U62" s="4">
        <f>IF(M62=0,0,N62/M62-1)</f>
        <v>-0.5026005201040209</v>
      </c>
      <c r="W62" t="s">
        <v>969</v>
      </c>
      <c r="Y62" t="s">
        <v>970</v>
      </c>
      <c r="AA62" s="18">
        <v>18431.8</v>
      </c>
      <c r="AB62" s="18">
        <v>14562.1</v>
      </c>
      <c r="AC62" s="4">
        <f>AB62/AA62-1</f>
        <v>-0.20994693952842369</v>
      </c>
    </row>
    <row r="63" spans="1:30">
      <c r="A63" t="s">
        <v>971</v>
      </c>
      <c r="B63" t="s">
        <v>972</v>
      </c>
      <c r="C63" s="19">
        <v>982</v>
      </c>
      <c r="E63" t="s">
        <v>972</v>
      </c>
      <c r="F63" s="19">
        <v>791</v>
      </c>
      <c r="G63" t="b">
        <f>IF(B63=E63,TRUE,FALSE)</f>
        <v>1</v>
      </c>
      <c r="J63" s="25">
        <f>F63-C63</f>
        <v>-191</v>
      </c>
      <c r="K63" s="4">
        <f>F63/C63-1</f>
        <v>-0.19450101832993894</v>
      </c>
      <c r="M63" s="5">
        <v>1376.22</v>
      </c>
      <c r="N63" s="5">
        <v>662</v>
      </c>
      <c r="Q63" s="139">
        <v>3387.53</v>
      </c>
      <c r="T63" s="114">
        <f>N63-M63</f>
        <v>-714.22</v>
      </c>
      <c r="U63" s="4">
        <f>IF(M63=0,0,N63/M63-1)</f>
        <v>-0.51897225734257613</v>
      </c>
      <c r="AA63" s="18">
        <v>15004.1</v>
      </c>
      <c r="AB63" s="18">
        <v>12640.89</v>
      </c>
      <c r="AC63" s="4">
        <f>AB63/AA63-1</f>
        <v>-0.15750428216287549</v>
      </c>
      <c r="AD63" s="5"/>
    </row>
    <row r="64" spans="1:30">
      <c r="A64" t="s">
        <v>973</v>
      </c>
      <c r="B64" t="s">
        <v>974</v>
      </c>
      <c r="C64" s="19">
        <v>1400</v>
      </c>
      <c r="E64" t="s">
        <v>974</v>
      </c>
      <c r="F64" s="19">
        <v>1210</v>
      </c>
      <c r="G64" t="b">
        <f>IF(B64=E64,TRUE,FALSE)</f>
        <v>1</v>
      </c>
      <c r="J64" s="25">
        <f>F64-C64</f>
        <v>-190</v>
      </c>
      <c r="K64" s="4">
        <f>F64/C64-1</f>
        <v>-0.13571428571428568</v>
      </c>
      <c r="M64" s="5">
        <v>1329.17</v>
      </c>
      <c r="N64" s="5">
        <v>939.85</v>
      </c>
      <c r="Q64" s="139">
        <v>5109.37</v>
      </c>
      <c r="T64" s="114">
        <f>N64-M64</f>
        <v>-389.32000000000005</v>
      </c>
      <c r="U64" s="4">
        <f>IF(M64=0,0,N64/M64-1)</f>
        <v>-0.29290459459662799</v>
      </c>
      <c r="AA64" s="18">
        <v>29346.35</v>
      </c>
      <c r="AB64" s="18">
        <v>29048.54</v>
      </c>
      <c r="AC64" s="4">
        <f>AB64/AA64-1</f>
        <v>-1.0148110412368072E-2</v>
      </c>
    </row>
    <row r="65" spans="1:34">
      <c r="A65" t="s">
        <v>975</v>
      </c>
      <c r="B65" t="s">
        <v>976</v>
      </c>
      <c r="C65" s="19">
        <v>1122</v>
      </c>
      <c r="E65" t="s">
        <v>976</v>
      </c>
      <c r="F65" s="19">
        <v>936</v>
      </c>
      <c r="G65" t="b">
        <f>IF(B65=E65,TRUE,FALSE)</f>
        <v>1</v>
      </c>
      <c r="J65" s="25">
        <f>F65-C65</f>
        <v>-186</v>
      </c>
      <c r="K65" s="4">
        <f>F65/C65-1</f>
        <v>-0.16577540106951871</v>
      </c>
      <c r="M65" s="5">
        <v>0</v>
      </c>
      <c r="N65" s="5">
        <v>0</v>
      </c>
      <c r="Q65" s="139">
        <v>0</v>
      </c>
      <c r="T65" s="114">
        <f>N65-M65</f>
        <v>0</v>
      </c>
      <c r="U65" s="4">
        <f>IF(M65=0,0,N65/M65-1)</f>
        <v>0</v>
      </c>
      <c r="AA65" s="18">
        <v>41613.360000000001</v>
      </c>
      <c r="AB65" s="18">
        <v>37411.4</v>
      </c>
      <c r="AC65" s="4">
        <f>AB65/AA65-1</f>
        <v>-0.10097622494314329</v>
      </c>
      <c r="AH65" s="161"/>
    </row>
    <row r="66" spans="1:34">
      <c r="A66" t="s">
        <v>977</v>
      </c>
      <c r="B66" t="s">
        <v>978</v>
      </c>
      <c r="C66" s="19">
        <v>1284</v>
      </c>
      <c r="E66" t="s">
        <v>978</v>
      </c>
      <c r="F66" s="19">
        <v>1098</v>
      </c>
      <c r="G66" t="b">
        <f>IF(B66=E66,TRUE,FALSE)</f>
        <v>1</v>
      </c>
      <c r="J66" s="25">
        <f>F66-C66</f>
        <v>-186</v>
      </c>
      <c r="K66" s="4">
        <f>F66/C66-1</f>
        <v>-0.14485981308411211</v>
      </c>
      <c r="M66" s="5">
        <v>1038.3399999999999</v>
      </c>
      <c r="N66" s="5">
        <v>604.21</v>
      </c>
      <c r="Q66" s="139">
        <v>3555.63</v>
      </c>
      <c r="T66" s="114">
        <f>N66-M66</f>
        <v>-434.12999999999988</v>
      </c>
      <c r="U66" s="4">
        <f>IF(M66=0,0,N66/M66-1)</f>
        <v>-0.41810004430148118</v>
      </c>
      <c r="W66" t="s">
        <v>979</v>
      </c>
      <c r="Y66" t="s">
        <v>980</v>
      </c>
      <c r="AA66" s="18">
        <v>31107.34</v>
      </c>
      <c r="AB66" s="18">
        <v>27985.3</v>
      </c>
      <c r="AC66" s="4">
        <f>AB66/AA66-1</f>
        <v>-0.10036345119833456</v>
      </c>
      <c r="AH66" s="162"/>
    </row>
    <row r="67" spans="1:34">
      <c r="A67" s="55" t="s">
        <v>981</v>
      </c>
      <c r="B67" s="37" t="s">
        <v>982</v>
      </c>
      <c r="C67" s="19">
        <v>1277</v>
      </c>
      <c r="E67" s="37" t="s">
        <v>982</v>
      </c>
      <c r="F67" s="19">
        <v>1093</v>
      </c>
      <c r="G67" t="b">
        <f>IF(B67=E67,TRUE,FALSE)</f>
        <v>1</v>
      </c>
      <c r="J67" s="25">
        <f>F67-C67</f>
        <v>-184</v>
      </c>
      <c r="K67" s="4">
        <f>F67/C67-1</f>
        <v>-0.14408770555990602</v>
      </c>
      <c r="M67" s="5">
        <v>1491.05</v>
      </c>
      <c r="N67" s="5">
        <v>1278.44</v>
      </c>
      <c r="Q67" s="139">
        <v>5571.97</v>
      </c>
      <c r="T67" s="114">
        <f>N67-M67</f>
        <v>-212.6099999999999</v>
      </c>
      <c r="U67" s="4">
        <f>IF(M67=0,0,N67/M67-1)</f>
        <v>-0.14259079172395284</v>
      </c>
      <c r="AA67" s="18">
        <v>29025.98</v>
      </c>
      <c r="AB67" s="18">
        <v>27285.58</v>
      </c>
      <c r="AC67" s="4">
        <f>AB67/AA67-1</f>
        <v>-5.9960077144681989E-2</v>
      </c>
      <c r="AH67" s="162"/>
    </row>
    <row r="68" spans="1:34" ht="13.5" customHeight="1">
      <c r="A68" t="s">
        <v>983</v>
      </c>
      <c r="B68" t="s">
        <v>984</v>
      </c>
      <c r="C68" s="19">
        <v>880</v>
      </c>
      <c r="E68" t="s">
        <v>984</v>
      </c>
      <c r="F68" s="19">
        <v>707</v>
      </c>
      <c r="G68" t="b">
        <f>IF(B68=E68,TRUE,FALSE)</f>
        <v>1</v>
      </c>
      <c r="J68" s="25">
        <f>F68-C68</f>
        <v>-173</v>
      </c>
      <c r="K68" s="4">
        <f>F68/C68-1</f>
        <v>-0.19659090909090904</v>
      </c>
      <c r="M68" s="5">
        <v>623.91</v>
      </c>
      <c r="N68" s="5">
        <v>375.79</v>
      </c>
      <c r="Q68" s="139">
        <v>1613.93</v>
      </c>
      <c r="T68" s="114">
        <f>N68-M68</f>
        <v>-248.11999999999995</v>
      </c>
      <c r="U68" s="4">
        <f>IF(M68=0,0,N68/M68-1)</f>
        <v>-0.39768556362295837</v>
      </c>
      <c r="AA68" s="18">
        <v>14951.2</v>
      </c>
      <c r="AB68" s="18">
        <v>12011.73</v>
      </c>
      <c r="AC68" s="4">
        <f>AB68/AA68-1</f>
        <v>-0.19660428594360324</v>
      </c>
      <c r="AH68" s="162"/>
    </row>
    <row r="69" spans="1:34">
      <c r="A69" s="130" t="s">
        <v>985</v>
      </c>
      <c r="B69" s="37" t="s">
        <v>986</v>
      </c>
      <c r="C69">
        <v>1547</v>
      </c>
      <c r="E69" s="37" t="s">
        <v>986</v>
      </c>
      <c r="F69">
        <v>1377</v>
      </c>
      <c r="G69" t="b">
        <f>IF(B69=E69,TRUE,FALSE)</f>
        <v>1</v>
      </c>
      <c r="J69" s="25">
        <f>F69-C69</f>
        <v>-170</v>
      </c>
      <c r="K69" s="4">
        <f>F69/C69-1</f>
        <v>-0.10989010989010994</v>
      </c>
      <c r="M69" s="131">
        <v>1827.67</v>
      </c>
      <c r="N69" s="131">
        <v>1202.32</v>
      </c>
      <c r="Q69" s="139">
        <v>8823.5499999999993</v>
      </c>
      <c r="T69" s="114">
        <f>N69-M69</f>
        <v>-625.35000000000014</v>
      </c>
      <c r="U69" s="4">
        <f>IF(M69=0,0,N69/M69-1)</f>
        <v>-0.34215695393588563</v>
      </c>
      <c r="AA69">
        <v>54224.46</v>
      </c>
      <c r="AB69">
        <v>50840.56</v>
      </c>
      <c r="AC69" s="4">
        <f>AB69/AA69-1</f>
        <v>-6.2405416301056782E-2</v>
      </c>
      <c r="AH69" s="162"/>
    </row>
    <row r="70" spans="1:34">
      <c r="A70" s="54" t="s">
        <v>987</v>
      </c>
      <c r="B70" s="37" t="s">
        <v>988</v>
      </c>
      <c r="C70" s="19">
        <v>522</v>
      </c>
      <c r="E70" s="37" t="s">
        <v>988</v>
      </c>
      <c r="F70" s="19">
        <v>354</v>
      </c>
      <c r="G70" t="b">
        <f>IF(B70=E70,TRUE,FALSE)</f>
        <v>1</v>
      </c>
      <c r="J70" s="25">
        <f>F70-C70</f>
        <v>-168</v>
      </c>
      <c r="K70" s="4">
        <f>F70/C70-1</f>
        <v>-0.32183908045977017</v>
      </c>
      <c r="M70" s="5">
        <v>1072.75</v>
      </c>
      <c r="N70" s="5">
        <v>847.69</v>
      </c>
      <c r="Q70" s="139">
        <v>2810.18</v>
      </c>
      <c r="T70" s="114">
        <f>N70-M70</f>
        <v>-225.05999999999995</v>
      </c>
      <c r="U70" s="4">
        <f>IF(M70=0,0,N70/M70-1)</f>
        <v>-0.20979725005826144</v>
      </c>
      <c r="AA70" s="18">
        <v>5919.04</v>
      </c>
      <c r="AB70" s="18">
        <v>5430.68</v>
      </c>
      <c r="AC70" s="4">
        <f>AB70/AA70-1</f>
        <v>-8.2506622695572185E-2</v>
      </c>
      <c r="AH70" s="162"/>
    </row>
    <row r="71" spans="1:34" ht="13.9" customHeight="1">
      <c r="A71" t="s">
        <v>989</v>
      </c>
      <c r="B71" t="s">
        <v>990</v>
      </c>
      <c r="C71" s="19">
        <v>872</v>
      </c>
      <c r="E71" t="s">
        <v>990</v>
      </c>
      <c r="F71" s="19">
        <v>709</v>
      </c>
      <c r="G71" t="b">
        <f>IF(B71=E71,TRUE,FALSE)</f>
        <v>1</v>
      </c>
      <c r="J71" s="25">
        <f>F71-C71</f>
        <v>-163</v>
      </c>
      <c r="K71" s="4">
        <f>F71/C71-1</f>
        <v>-0.18692660550458717</v>
      </c>
      <c r="M71" s="5">
        <v>949.59</v>
      </c>
      <c r="N71" s="5">
        <v>552.99</v>
      </c>
      <c r="Q71" s="139">
        <v>3518.73</v>
      </c>
      <c r="T71" s="114">
        <f>N71-M71</f>
        <v>-396.6</v>
      </c>
      <c r="U71" s="4">
        <f>IF(M71=0,0,N71/M71-1)</f>
        <v>-0.41765393485609581</v>
      </c>
      <c r="AA71" s="18">
        <v>18526.5</v>
      </c>
      <c r="AB71" s="18">
        <v>15590.03</v>
      </c>
      <c r="AC71" s="4">
        <f>AB71/AA71-1</f>
        <v>-0.15850106604053649</v>
      </c>
      <c r="AH71" s="162"/>
    </row>
    <row r="72" spans="1:34" ht="13.9" customHeight="1">
      <c r="A72" s="24" t="s">
        <v>991</v>
      </c>
      <c r="B72" s="23" t="s">
        <v>992</v>
      </c>
      <c r="C72" s="19">
        <v>1665</v>
      </c>
      <c r="D72" s="5"/>
      <c r="E72" s="23" t="s">
        <v>992</v>
      </c>
      <c r="F72" s="19">
        <v>1507</v>
      </c>
      <c r="G72" t="b">
        <f>IF(B72=E72,TRUE,FALSE)</f>
        <v>1</v>
      </c>
      <c r="H72" s="5"/>
      <c r="I72" s="5"/>
      <c r="J72" s="25">
        <f>F72-C72</f>
        <v>-158</v>
      </c>
      <c r="K72" s="4">
        <f>F72/C72-1</f>
        <v>-9.4894894894894888E-2</v>
      </c>
      <c r="L72" s="5"/>
      <c r="M72" s="5">
        <v>2259.4299999999998</v>
      </c>
      <c r="N72" s="5">
        <v>2488.0700000000002</v>
      </c>
      <c r="O72" s="5"/>
      <c r="P72" s="5"/>
      <c r="Q72" s="139">
        <v>10480.51</v>
      </c>
      <c r="R72" s="5"/>
      <c r="S72" s="5"/>
      <c r="T72" s="114">
        <f>N72-M72</f>
        <v>228.64000000000033</v>
      </c>
      <c r="U72" s="4">
        <f>IF(M72=0,0,N72/M72-1)</f>
        <v>0.10119366388868012</v>
      </c>
      <c r="V72" s="5"/>
      <c r="W72" s="5"/>
      <c r="X72" s="5"/>
      <c r="Y72" s="5"/>
      <c r="Z72" s="15"/>
      <c r="AA72" s="18">
        <v>48262.84</v>
      </c>
      <c r="AB72" s="18">
        <v>43682.42</v>
      </c>
      <c r="AC72" s="4">
        <f>AB72/AA72-1</f>
        <v>-9.4905728713851056E-2</v>
      </c>
      <c r="AH72" s="162"/>
    </row>
    <row r="73" spans="1:34" ht="13.9" customHeight="1">
      <c r="A73" s="54" t="s">
        <v>993</v>
      </c>
      <c r="B73" s="37" t="s">
        <v>994</v>
      </c>
      <c r="C73" s="19">
        <v>769</v>
      </c>
      <c r="E73" s="37" t="s">
        <v>994</v>
      </c>
      <c r="F73" s="19">
        <v>620</v>
      </c>
      <c r="G73" t="b">
        <f>IF(B73=E73,TRUE,FALSE)</f>
        <v>1</v>
      </c>
      <c r="J73" s="25">
        <f>F73-C73</f>
        <v>-149</v>
      </c>
      <c r="K73" s="4">
        <f>F73/C73-1</f>
        <v>-0.19375812743823151</v>
      </c>
      <c r="M73" s="5">
        <v>1538.44</v>
      </c>
      <c r="N73" s="5">
        <v>1385.34</v>
      </c>
      <c r="Q73" s="139">
        <v>8091.78</v>
      </c>
      <c r="T73" s="114">
        <f>N73-M73</f>
        <v>-153.10000000000014</v>
      </c>
      <c r="U73" s="4">
        <f>IF(M73=0,0,N73/M73-1)</f>
        <v>-9.951639322950534E-2</v>
      </c>
      <c r="AA73" s="18">
        <v>17946.560000000001</v>
      </c>
      <c r="AB73" s="18">
        <v>15492.05</v>
      </c>
      <c r="AC73" s="4">
        <f>AB73/AA73-1</f>
        <v>-0.1367677148155414</v>
      </c>
      <c r="AD73" t="s">
        <v>995</v>
      </c>
      <c r="AH73" s="162"/>
    </row>
    <row r="74" spans="1:34" ht="13.9" customHeight="1">
      <c r="A74" s="130" t="s">
        <v>996</v>
      </c>
      <c r="B74" s="37" t="s">
        <v>997</v>
      </c>
      <c r="C74">
        <v>261</v>
      </c>
      <c r="E74" s="37" t="s">
        <v>997</v>
      </c>
      <c r="F74">
        <v>116</v>
      </c>
      <c r="G74" t="b">
        <f>IF(B74=E74,TRUE,FALSE)</f>
        <v>1</v>
      </c>
      <c r="J74" s="25">
        <f>F74-C74</f>
        <v>-145</v>
      </c>
      <c r="K74" s="4">
        <f>F74/C74-1</f>
        <v>-0.55555555555555558</v>
      </c>
      <c r="M74" s="131">
        <v>275.56</v>
      </c>
      <c r="N74" s="131">
        <v>5.18</v>
      </c>
      <c r="Q74" s="139">
        <v>16.989999999999998</v>
      </c>
      <c r="T74" s="114">
        <f>N74-M74</f>
        <v>-270.38</v>
      </c>
      <c r="U74" s="4">
        <f>IF(M74=0,0,N74/M74-1)</f>
        <v>-0.98120191609812746</v>
      </c>
      <c r="AA74">
        <v>2754.19</v>
      </c>
      <c r="AB74">
        <v>1970.33</v>
      </c>
      <c r="AC74" s="4">
        <f>AB74/AA74-1</f>
        <v>-0.28460636339540846</v>
      </c>
      <c r="AD74" s="5"/>
      <c r="AH74" s="162"/>
    </row>
    <row r="75" spans="1:34" ht="14.45" customHeight="1">
      <c r="A75" t="s">
        <v>998</v>
      </c>
      <c r="B75" t="s">
        <v>999</v>
      </c>
      <c r="C75" s="19">
        <v>757</v>
      </c>
      <c r="D75" s="5"/>
      <c r="E75" t="s">
        <v>999</v>
      </c>
      <c r="F75" s="19">
        <v>617</v>
      </c>
      <c r="G75" t="b">
        <f>IF(B75=E75,TRUE,FALSE)</f>
        <v>1</v>
      </c>
      <c r="H75" s="5"/>
      <c r="I75" s="5"/>
      <c r="J75" s="25">
        <f>F75-C75</f>
        <v>-140</v>
      </c>
      <c r="K75" s="4">
        <f>F75/C75-1</f>
        <v>-0.18494055482166449</v>
      </c>
      <c r="L75" s="5"/>
      <c r="M75" s="5">
        <v>588.66</v>
      </c>
      <c r="N75" s="5">
        <v>507.56</v>
      </c>
      <c r="O75" s="5"/>
      <c r="P75" s="5"/>
      <c r="Q75" s="139">
        <v>3068.26</v>
      </c>
      <c r="R75" s="5"/>
      <c r="S75" s="5"/>
      <c r="T75" s="114">
        <f>N75-M75</f>
        <v>-81.099999999999966</v>
      </c>
      <c r="U75" s="4">
        <f>IF(M75=0,0,N75/M75-1)</f>
        <v>-0.13777052967757275</v>
      </c>
      <c r="V75" s="5"/>
      <c r="W75" s="5"/>
      <c r="X75" s="5"/>
      <c r="Y75" s="5"/>
      <c r="Z75" s="15"/>
      <c r="AA75" s="18">
        <v>14388.84</v>
      </c>
      <c r="AB75" s="18">
        <v>12330.23</v>
      </c>
      <c r="AC75" s="4">
        <f>AB75/AA75-1</f>
        <v>-0.14306990695566846</v>
      </c>
      <c r="AD75" t="s">
        <v>1000</v>
      </c>
      <c r="AH75" s="162"/>
    </row>
    <row r="76" spans="1:34" ht="13.9" customHeight="1">
      <c r="A76" s="5" t="s">
        <v>1001</v>
      </c>
      <c r="B76" t="s">
        <v>1002</v>
      </c>
      <c r="C76" s="19">
        <v>901</v>
      </c>
      <c r="D76" s="5"/>
      <c r="E76" t="s">
        <v>1002</v>
      </c>
      <c r="F76" s="19">
        <v>770</v>
      </c>
      <c r="G76" t="b">
        <f>IF(B76=E76,TRUE,FALSE)</f>
        <v>1</v>
      </c>
      <c r="H76" s="5"/>
      <c r="I76" s="5"/>
      <c r="J76" s="25">
        <f>F76-C76</f>
        <v>-131</v>
      </c>
      <c r="K76" s="4">
        <f>F76/C76-1</f>
        <v>-0.14539400665926749</v>
      </c>
      <c r="L76" s="5"/>
      <c r="M76" s="5">
        <v>926.17</v>
      </c>
      <c r="N76" s="5">
        <v>639.98</v>
      </c>
      <c r="O76" s="5"/>
      <c r="P76" s="5"/>
      <c r="Q76" s="139">
        <v>4057.03</v>
      </c>
      <c r="R76" s="5"/>
      <c r="S76" s="5"/>
      <c r="T76" s="114">
        <f>N76-M76</f>
        <v>-286.18999999999994</v>
      </c>
      <c r="U76" s="4">
        <f>IF(M76=0,0,N76/M76-1)</f>
        <v>-0.30900374661239294</v>
      </c>
      <c r="V76" s="5"/>
      <c r="W76" s="5"/>
      <c r="X76" s="5"/>
      <c r="Y76" s="5"/>
      <c r="Z76" s="15"/>
      <c r="AA76" s="18">
        <v>19810.57</v>
      </c>
      <c r="AB76" s="18">
        <v>16926.580000000002</v>
      </c>
      <c r="AC76" s="4">
        <f>AB76/AA76-1</f>
        <v>-0.14557834529748503</v>
      </c>
      <c r="AD76" s="5"/>
      <c r="AH76" s="162"/>
    </row>
    <row r="77" spans="1:34" ht="13.9" customHeight="1">
      <c r="A77" t="s">
        <v>1003</v>
      </c>
      <c r="B77" t="s">
        <v>1004</v>
      </c>
      <c r="C77" s="19">
        <v>906</v>
      </c>
      <c r="E77" t="s">
        <v>1004</v>
      </c>
      <c r="F77" s="19">
        <v>796</v>
      </c>
      <c r="G77" t="b">
        <f>IF(B77=E77,TRUE,FALSE)</f>
        <v>1</v>
      </c>
      <c r="J77" s="25">
        <f>F77-C77</f>
        <v>-110</v>
      </c>
      <c r="K77" s="4">
        <f>F77/C77-1</f>
        <v>-0.12141280353200878</v>
      </c>
      <c r="M77" s="5">
        <v>746.5</v>
      </c>
      <c r="N77" s="5">
        <v>744.98</v>
      </c>
      <c r="Q77" s="139">
        <v>3485.66</v>
      </c>
      <c r="T77" s="114">
        <f>N77-M77</f>
        <v>-1.5199999999999818</v>
      </c>
      <c r="U77" s="4">
        <f>IF(M77=0,0,N77/M77-1)</f>
        <v>-2.0361687876757628E-3</v>
      </c>
      <c r="AA77" s="18">
        <v>15678.36</v>
      </c>
      <c r="AB77" s="18">
        <v>15520</v>
      </c>
      <c r="AC77" s="4">
        <f>AB77/AA77-1</f>
        <v>-1.0100546230600638E-2</v>
      </c>
      <c r="AH77" s="162"/>
    </row>
    <row r="78" spans="1:34" ht="13.9" customHeight="1">
      <c r="A78" t="s">
        <v>1005</v>
      </c>
      <c r="B78" t="s">
        <v>1006</v>
      </c>
      <c r="C78" s="19">
        <v>682</v>
      </c>
      <c r="E78" t="s">
        <v>1006</v>
      </c>
      <c r="F78" s="19">
        <v>573</v>
      </c>
      <c r="G78" t="b">
        <f>IF(B78=E78,TRUE,FALSE)</f>
        <v>1</v>
      </c>
      <c r="J78" s="25">
        <f>F78-C78</f>
        <v>-109</v>
      </c>
      <c r="K78" s="4">
        <f>F78/C78-1</f>
        <v>-0.15982404692082108</v>
      </c>
      <c r="M78" s="5">
        <v>1128.94</v>
      </c>
      <c r="N78" s="5">
        <v>633.41999999999996</v>
      </c>
      <c r="Q78" s="139">
        <v>1867.82</v>
      </c>
      <c r="T78" s="114">
        <f>N78-M78</f>
        <v>-495.5200000000001</v>
      </c>
      <c r="U78" s="4">
        <f>IF(M78=0,0,N78/M78-1)</f>
        <v>-0.43892500930076006</v>
      </c>
      <c r="AA78" s="18">
        <v>12966.34</v>
      </c>
      <c r="AB78" s="18">
        <v>10928.14</v>
      </c>
      <c r="AC78" s="4">
        <f>AB78/AA78-1</f>
        <v>-0.15719162076576743</v>
      </c>
      <c r="AH78" s="162"/>
    </row>
    <row r="79" spans="1:34">
      <c r="A79" s="37" t="s">
        <v>1007</v>
      </c>
      <c r="B79" s="37" t="s">
        <v>1008</v>
      </c>
      <c r="C79" s="19">
        <v>519</v>
      </c>
      <c r="E79" s="37" t="s">
        <v>1008</v>
      </c>
      <c r="F79" s="19">
        <v>415</v>
      </c>
      <c r="G79" t="b">
        <f>IF(B79=E79,TRUE,FALSE)</f>
        <v>1</v>
      </c>
      <c r="J79" s="25">
        <f>F79-C79</f>
        <v>-104</v>
      </c>
      <c r="K79" s="4">
        <f>F79/C79-1</f>
        <v>-0.20038535645472066</v>
      </c>
      <c r="M79" s="5">
        <v>122.89</v>
      </c>
      <c r="N79" s="5">
        <v>112.53</v>
      </c>
      <c r="Q79" s="139">
        <v>605.9</v>
      </c>
      <c r="T79" s="114">
        <f>N79-M79</f>
        <v>-10.36</v>
      </c>
      <c r="U79" s="4">
        <f>IF(M79=0,0,N79/M79-1)</f>
        <v>-8.4303035234762791E-2</v>
      </c>
      <c r="AA79" s="18">
        <v>9866.92</v>
      </c>
      <c r="AB79" s="18">
        <v>8721.06</v>
      </c>
      <c r="AC79" s="4">
        <f>AB79/AA79-1</f>
        <v>-0.11613147770530219</v>
      </c>
      <c r="AH79" s="163"/>
    </row>
    <row r="80" spans="1:34">
      <c r="A80" t="s">
        <v>1009</v>
      </c>
      <c r="B80" t="s">
        <v>1010</v>
      </c>
      <c r="C80" s="19">
        <v>605</v>
      </c>
      <c r="E80" t="s">
        <v>1010</v>
      </c>
      <c r="F80" s="19">
        <v>501</v>
      </c>
      <c r="G80" t="b">
        <f>IF(B80=E80,TRUE,FALSE)</f>
        <v>1</v>
      </c>
      <c r="J80" s="25">
        <f>F80-C80</f>
        <v>-104</v>
      </c>
      <c r="K80" s="4">
        <f>F80/C80-1</f>
        <v>-0.17190082644628102</v>
      </c>
      <c r="M80" s="5">
        <v>289.64999999999998</v>
      </c>
      <c r="N80" s="5">
        <v>245.85</v>
      </c>
      <c r="Q80" s="139">
        <v>1185.58</v>
      </c>
      <c r="T80" s="114">
        <f>N80-M80</f>
        <v>-43.799999999999983</v>
      </c>
      <c r="U80" s="4">
        <f>IF(M80=0,0,N80/M80-1)</f>
        <v>-0.15121698601760736</v>
      </c>
      <c r="W80" t="s">
        <v>1011</v>
      </c>
      <c r="Y80" s="4" t="s">
        <v>1012</v>
      </c>
      <c r="AA80" s="18">
        <v>11043.4</v>
      </c>
      <c r="AB80" s="18">
        <v>9513.42</v>
      </c>
      <c r="AC80" s="4">
        <f>AB80/AA80-1</f>
        <v>-0.13854247786007934</v>
      </c>
    </row>
    <row r="81" spans="1:30">
      <c r="A81" t="s">
        <v>1013</v>
      </c>
      <c r="B81" t="s">
        <v>1014</v>
      </c>
      <c r="C81" s="19">
        <v>892</v>
      </c>
      <c r="E81" t="s">
        <v>1014</v>
      </c>
      <c r="F81" s="19">
        <v>790</v>
      </c>
      <c r="G81" t="b">
        <f>IF(B81=E81,TRUE,FALSE)</f>
        <v>1</v>
      </c>
      <c r="J81" s="25">
        <f>F81-C81</f>
        <v>-102</v>
      </c>
      <c r="K81" s="4">
        <f>F81/C81-1</f>
        <v>-0.11434977578475336</v>
      </c>
      <c r="M81" s="5">
        <v>1004.9</v>
      </c>
      <c r="N81" s="5">
        <v>656.08</v>
      </c>
      <c r="Q81" s="139">
        <v>4691.6499999999996</v>
      </c>
      <c r="T81" s="114">
        <f>N81-M81</f>
        <v>-348.81999999999994</v>
      </c>
      <c r="U81" s="4">
        <f>IF(M81=0,0,N81/M81-1)</f>
        <v>-0.34711911632998305</v>
      </c>
      <c r="AA81" s="18">
        <v>14784.72</v>
      </c>
      <c r="AB81" s="18">
        <v>13419.89</v>
      </c>
      <c r="AC81" s="4">
        <f>AB81/AA81-1</f>
        <v>-9.2313550746987438E-2</v>
      </c>
      <c r="AD81" s="5"/>
    </row>
    <row r="82" spans="1:30" s="5" customFormat="1">
      <c r="A82" s="24" t="s">
        <v>1015</v>
      </c>
      <c r="B82" s="23" t="s">
        <v>1016</v>
      </c>
      <c r="C82" s="19">
        <v>1024</v>
      </c>
      <c r="E82" s="23" t="s">
        <v>1016</v>
      </c>
      <c r="F82" s="19">
        <v>924</v>
      </c>
      <c r="G82" t="b">
        <f>IF(B82=E82,TRUE,FALSE)</f>
        <v>1</v>
      </c>
      <c r="J82" s="25">
        <f>F82-C82</f>
        <v>-100</v>
      </c>
      <c r="K82" s="4">
        <f>F82/C82-1</f>
        <v>-9.765625E-2</v>
      </c>
      <c r="M82" s="5">
        <v>925.44</v>
      </c>
      <c r="N82" s="5">
        <v>552.72</v>
      </c>
      <c r="Q82" s="139">
        <v>3637.61</v>
      </c>
      <c r="T82" s="114">
        <f>N82-M82</f>
        <v>-372.72</v>
      </c>
      <c r="U82" s="4">
        <f>IF(M82=0,0,N82/M82-1)</f>
        <v>-0.40274896265560167</v>
      </c>
      <c r="Z82" s="15"/>
      <c r="AA82" s="18">
        <v>27924.44</v>
      </c>
      <c r="AB82" s="18">
        <v>26931.66</v>
      </c>
      <c r="AC82" s="4">
        <f>AB82/AA82-1</f>
        <v>-3.5552369179113308E-2</v>
      </c>
      <c r="AD82"/>
    </row>
    <row r="83" spans="1:30" s="5" customFormat="1">
      <c r="A83" t="s">
        <v>1017</v>
      </c>
      <c r="B83" t="s">
        <v>1018</v>
      </c>
      <c r="C83" s="19">
        <v>1243</v>
      </c>
      <c r="D83" s="12"/>
      <c r="E83" t="s">
        <v>1018</v>
      </c>
      <c r="F83" s="19">
        <v>1152</v>
      </c>
      <c r="G83" t="b">
        <f>IF(B83=E83,TRUE,FALSE)</f>
        <v>1</v>
      </c>
      <c r="H83" s="12"/>
      <c r="I83" s="12"/>
      <c r="J83" s="25">
        <f>F83-C83</f>
        <v>-91</v>
      </c>
      <c r="K83" s="4">
        <f>F83/C83-1</f>
        <v>-7.3209975864843124E-2</v>
      </c>
      <c r="L83" s="12"/>
      <c r="M83" s="5">
        <v>888.21</v>
      </c>
      <c r="N83" s="5">
        <v>738.43</v>
      </c>
      <c r="O83" s="12"/>
      <c r="P83" s="12"/>
      <c r="Q83" s="139">
        <v>2751.49</v>
      </c>
      <c r="R83" s="12"/>
      <c r="S83" s="12"/>
      <c r="T83" s="114">
        <f>N83-M83</f>
        <v>-149.78000000000009</v>
      </c>
      <c r="U83" s="4">
        <f>IF(M83=0,0,N83/M83-1)</f>
        <v>-0.16863129214937922</v>
      </c>
      <c r="Z83" s="15"/>
      <c r="AA83" s="18">
        <v>29768.07</v>
      </c>
      <c r="AB83" s="18">
        <v>28785.73</v>
      </c>
      <c r="AC83" s="4">
        <f>AB83/AA83-1</f>
        <v>-3.2999788027910482E-2</v>
      </c>
      <c r="AD83"/>
    </row>
    <row r="84" spans="1:30" s="5" customFormat="1">
      <c r="A84" t="s">
        <v>1019</v>
      </c>
      <c r="B84" t="s">
        <v>1020</v>
      </c>
      <c r="C84" s="19">
        <v>940</v>
      </c>
      <c r="D84"/>
      <c r="E84" t="s">
        <v>1020</v>
      </c>
      <c r="F84" s="19">
        <v>850</v>
      </c>
      <c r="G84" t="b">
        <f>IF(B84=E84,TRUE,FALSE)</f>
        <v>1</v>
      </c>
      <c r="H84"/>
      <c r="I84"/>
      <c r="J84" s="25">
        <f>F84-C84</f>
        <v>-90</v>
      </c>
      <c r="K84" s="4">
        <f>F84/C84-1</f>
        <v>-9.5744680851063801E-2</v>
      </c>
      <c r="L84"/>
      <c r="M84" s="5">
        <v>654.91999999999996</v>
      </c>
      <c r="N84" s="5">
        <v>459.42</v>
      </c>
      <c r="O84"/>
      <c r="P84"/>
      <c r="Q84" s="139">
        <v>2478.5100000000002</v>
      </c>
      <c r="R84"/>
      <c r="S84"/>
      <c r="T84" s="114">
        <f>N84-M84</f>
        <v>-195.49999999999994</v>
      </c>
      <c r="U84" s="4">
        <f>IF(M84=0,0,N84/M84-1)</f>
        <v>-0.29850974164783484</v>
      </c>
      <c r="V84"/>
      <c r="W84"/>
      <c r="X84"/>
      <c r="Y84"/>
      <c r="Z84" s="14"/>
      <c r="AA84" s="18">
        <v>23990.639999999999</v>
      </c>
      <c r="AB84" s="18">
        <v>21239.25</v>
      </c>
      <c r="AC84" s="4">
        <f>AB84/AA84-1</f>
        <v>-0.11468597753123722</v>
      </c>
      <c r="AD84"/>
    </row>
    <row r="85" spans="1:30" s="5" customFormat="1">
      <c r="A85" s="54" t="s">
        <v>1021</v>
      </c>
      <c r="B85" s="37" t="s">
        <v>1022</v>
      </c>
      <c r="C85">
        <v>89</v>
      </c>
      <c r="D85"/>
      <c r="E85" s="37" t="s">
        <v>1022</v>
      </c>
      <c r="F85">
        <v>0</v>
      </c>
      <c r="G85" t="b">
        <f>IF(B85=E85,TRUE,FALSE)</f>
        <v>1</v>
      </c>
      <c r="H85"/>
      <c r="I85"/>
      <c r="J85" s="25">
        <f>F85-C85</f>
        <v>-89</v>
      </c>
      <c r="K85" s="4">
        <f>F85/C85-1</f>
        <v>-1</v>
      </c>
      <c r="L85"/>
      <c r="M85" s="131">
        <v>0</v>
      </c>
      <c r="N85" s="131">
        <v>0</v>
      </c>
      <c r="O85"/>
      <c r="P85"/>
      <c r="Q85" s="139">
        <v>0</v>
      </c>
      <c r="R85"/>
      <c r="S85"/>
      <c r="T85" s="114">
        <f>N85-M85</f>
        <v>0</v>
      </c>
      <c r="U85" s="4">
        <f>IF(M85=0,0,N85/M85-1)</f>
        <v>0</v>
      </c>
      <c r="V85"/>
      <c r="W85"/>
      <c r="X85"/>
      <c r="Y85"/>
      <c r="Z85" s="14"/>
      <c r="AA85">
        <v>1422.95</v>
      </c>
      <c r="AB85">
        <v>0</v>
      </c>
      <c r="AC85" s="4">
        <f>AB85/AA85-1</f>
        <v>-1</v>
      </c>
    </row>
    <row r="86" spans="1:30" s="5" customFormat="1">
      <c r="A86" t="s">
        <v>1023</v>
      </c>
      <c r="B86" t="s">
        <v>1024</v>
      </c>
      <c r="C86" s="19">
        <v>1260</v>
      </c>
      <c r="D86"/>
      <c r="E86" t="s">
        <v>1024</v>
      </c>
      <c r="F86" s="19">
        <v>1179</v>
      </c>
      <c r="G86" t="b">
        <f>IF(B86=E86,TRUE,FALSE)</f>
        <v>1</v>
      </c>
      <c r="H86"/>
      <c r="I86"/>
      <c r="J86" s="25">
        <f>F86-C86</f>
        <v>-81</v>
      </c>
      <c r="K86" s="4">
        <f>F86/C86-1</f>
        <v>-6.4285714285714279E-2</v>
      </c>
      <c r="L86"/>
      <c r="M86" s="5">
        <v>1513.97</v>
      </c>
      <c r="N86" s="5">
        <v>1104.24</v>
      </c>
      <c r="O86"/>
      <c r="P86"/>
      <c r="Q86" s="139">
        <v>3898.32</v>
      </c>
      <c r="R86"/>
      <c r="S86"/>
      <c r="T86" s="114">
        <f>N86-M86</f>
        <v>-409.73</v>
      </c>
      <c r="U86" s="4">
        <f>IF(M86=0,0,N86/M86-1)</f>
        <v>-0.27063283948823291</v>
      </c>
      <c r="V86"/>
      <c r="W86"/>
      <c r="X86"/>
      <c r="Y86"/>
      <c r="Z86" s="14"/>
      <c r="AA86" s="18">
        <v>31487.4</v>
      </c>
      <c r="AB86" s="18">
        <v>29463.21</v>
      </c>
      <c r="AC86" s="4">
        <f>AB86/AA86-1</f>
        <v>-6.428571428571439E-2</v>
      </c>
      <c r="AD86"/>
    </row>
    <row r="87" spans="1:30" s="5" customFormat="1">
      <c r="A87" t="s">
        <v>1025</v>
      </c>
      <c r="B87" t="s">
        <v>1026</v>
      </c>
      <c r="C87" s="19">
        <v>609</v>
      </c>
      <c r="D87"/>
      <c r="E87" t="s">
        <v>1026</v>
      </c>
      <c r="F87" s="19">
        <v>535</v>
      </c>
      <c r="G87" t="b">
        <f>IF(B87=E87,TRUE,FALSE)</f>
        <v>1</v>
      </c>
      <c r="H87"/>
      <c r="I87"/>
      <c r="J87" s="25">
        <f>F87-C87</f>
        <v>-74</v>
      </c>
      <c r="K87" s="4">
        <f>F87/C87-1</f>
        <v>-0.12151067323481113</v>
      </c>
      <c r="L87"/>
      <c r="M87" s="5">
        <v>118.47</v>
      </c>
      <c r="N87" s="5">
        <v>126.46</v>
      </c>
      <c r="O87"/>
      <c r="P87"/>
      <c r="Q87" s="139">
        <v>1158.56</v>
      </c>
      <c r="R87"/>
      <c r="S87"/>
      <c r="T87" s="114">
        <f>N87-M87</f>
        <v>7.9899999999999949</v>
      </c>
      <c r="U87" s="4">
        <f>IF(M87=0,0,N87/M87-1)</f>
        <v>6.7443234574153799E-2</v>
      </c>
      <c r="V87"/>
      <c r="W87"/>
      <c r="X87"/>
      <c r="Y87"/>
      <c r="Z87" s="14"/>
      <c r="AA87" s="18">
        <v>8296.15</v>
      </c>
      <c r="AB87" s="18">
        <v>7770.33</v>
      </c>
      <c r="AC87" s="4">
        <f>AB87/AA87-1</f>
        <v>-6.3381206945390289E-2</v>
      </c>
      <c r="AD87"/>
    </row>
    <row r="88" spans="1:30" s="5" customFormat="1">
      <c r="A88" t="s">
        <v>1027</v>
      </c>
      <c r="B88" t="s">
        <v>1028</v>
      </c>
      <c r="C88" s="19">
        <v>347</v>
      </c>
      <c r="D88"/>
      <c r="E88" t="s">
        <v>1028</v>
      </c>
      <c r="F88" s="19">
        <v>277</v>
      </c>
      <c r="G88" t="b">
        <f>IF(B88=E88,TRUE,FALSE)</f>
        <v>1</v>
      </c>
      <c r="H88"/>
      <c r="I88"/>
      <c r="J88" s="25">
        <f>F88-C88</f>
        <v>-70</v>
      </c>
      <c r="K88" s="4">
        <f>F88/C88-1</f>
        <v>-0.20172910662824206</v>
      </c>
      <c r="L88"/>
      <c r="M88" s="5">
        <v>250.69</v>
      </c>
      <c r="N88" s="5">
        <v>178.93</v>
      </c>
      <c r="O88"/>
      <c r="P88"/>
      <c r="Q88" s="139">
        <v>995.8</v>
      </c>
      <c r="R88"/>
      <c r="S88"/>
      <c r="T88" s="114">
        <f>N88-M88</f>
        <v>-71.759999999999991</v>
      </c>
      <c r="U88" s="4">
        <f>IF(M88=0,0,N88/M88-1)</f>
        <v>-0.28624995013762011</v>
      </c>
      <c r="V88"/>
      <c r="W88"/>
      <c r="X88"/>
      <c r="Y88"/>
      <c r="Z88" s="14"/>
      <c r="AA88" s="18">
        <v>9936.51</v>
      </c>
      <c r="AB88" s="18">
        <v>8295.85</v>
      </c>
      <c r="AC88" s="4">
        <f>AB88/AA88-1</f>
        <v>-0.16511431075900895</v>
      </c>
      <c r="AD88"/>
    </row>
    <row r="89" spans="1:30" s="5" customFormat="1">
      <c r="A89" t="s">
        <v>1029</v>
      </c>
      <c r="B89" t="s">
        <v>1030</v>
      </c>
      <c r="C89" s="19">
        <v>859</v>
      </c>
      <c r="D89"/>
      <c r="E89" t="s">
        <v>1030</v>
      </c>
      <c r="F89" s="19">
        <v>792</v>
      </c>
      <c r="G89" t="b">
        <f>IF(B89=E89,TRUE,FALSE)</f>
        <v>1</v>
      </c>
      <c r="H89"/>
      <c r="I89"/>
      <c r="J89" s="25">
        <f>F89-C89</f>
        <v>-67</v>
      </c>
      <c r="K89" s="4">
        <f>F89/C89-1</f>
        <v>-7.7997671711292238E-2</v>
      </c>
      <c r="L89"/>
      <c r="M89" s="5">
        <v>795.96</v>
      </c>
      <c r="N89" s="5">
        <v>662.42</v>
      </c>
      <c r="O89"/>
      <c r="P89"/>
      <c r="Q89" s="139">
        <v>3418.91</v>
      </c>
      <c r="R89"/>
      <c r="S89"/>
      <c r="T89" s="114">
        <f>N89-M89</f>
        <v>-133.54000000000008</v>
      </c>
      <c r="U89" s="4">
        <f>IF(M89=0,0,N89/M89-1)</f>
        <v>-0.16777224986180217</v>
      </c>
      <c r="V89"/>
      <c r="W89"/>
      <c r="X89"/>
      <c r="Y89"/>
      <c r="Z89" s="14"/>
      <c r="AA89" s="18">
        <v>16461.61</v>
      </c>
      <c r="AB89" s="18">
        <v>15829.88</v>
      </c>
      <c r="AC89" s="4">
        <f>AB89/AA89-1</f>
        <v>-3.8375954721318384E-2</v>
      </c>
      <c r="AD89"/>
    </row>
    <row r="90" spans="1:30">
      <c r="A90" t="s">
        <v>1031</v>
      </c>
      <c r="B90" s="5" t="s">
        <v>1032</v>
      </c>
      <c r="C90" s="19">
        <v>2153</v>
      </c>
      <c r="D90" s="5"/>
      <c r="E90" t="s">
        <v>1032</v>
      </c>
      <c r="F90" s="19">
        <v>2086</v>
      </c>
      <c r="G90" t="b">
        <f>IF(B90=E90,TRUE,FALSE)</f>
        <v>1</v>
      </c>
      <c r="H90" s="5"/>
      <c r="I90" s="5"/>
      <c r="J90" s="25">
        <f>F90-C90</f>
        <v>-67</v>
      </c>
      <c r="K90" s="4">
        <f>F90/C90-1</f>
        <v>-3.1119368323269891E-2</v>
      </c>
      <c r="L90" s="5"/>
      <c r="M90" s="5">
        <v>2453</v>
      </c>
      <c r="N90" s="5">
        <v>1756.12</v>
      </c>
      <c r="O90" s="5"/>
      <c r="P90" s="5"/>
      <c r="Q90" s="139">
        <v>12690.75</v>
      </c>
      <c r="R90" s="5"/>
      <c r="S90" s="5"/>
      <c r="T90" s="114">
        <f>N90-M90</f>
        <v>-696.88000000000011</v>
      </c>
      <c r="U90" s="4">
        <f>IF(M90=0,0,N90/M90-1)</f>
        <v>-0.28409294741133306</v>
      </c>
      <c r="V90" s="5"/>
      <c r="W90" s="5"/>
      <c r="X90" s="5"/>
      <c r="Y90" s="5"/>
      <c r="Z90" s="15"/>
      <c r="AA90" s="18">
        <v>62400.68</v>
      </c>
      <c r="AB90" s="18">
        <v>60460.09</v>
      </c>
      <c r="AC90" s="4">
        <f>AB90/AA90-1</f>
        <v>-3.1098859820117397E-2</v>
      </c>
    </row>
    <row r="91" spans="1:30" s="5" customFormat="1">
      <c r="A91" t="s">
        <v>1033</v>
      </c>
      <c r="B91" t="s">
        <v>1034</v>
      </c>
      <c r="C91" s="19">
        <v>321</v>
      </c>
      <c r="D91"/>
      <c r="E91" t="s">
        <v>1034</v>
      </c>
      <c r="F91" s="19">
        <v>256</v>
      </c>
      <c r="G91" t="b">
        <f>IF(B91=E91,TRUE,FALSE)</f>
        <v>1</v>
      </c>
      <c r="H91"/>
      <c r="I91"/>
      <c r="J91" s="25">
        <f>F91-C91</f>
        <v>-65</v>
      </c>
      <c r="K91" s="4">
        <f>F91/C91-1</f>
        <v>-0.20249221183800625</v>
      </c>
      <c r="L91"/>
      <c r="M91" s="5">
        <v>347.09</v>
      </c>
      <c r="N91" s="5">
        <v>143.26</v>
      </c>
      <c r="O91"/>
      <c r="P91"/>
      <c r="Q91" s="139">
        <v>777.09</v>
      </c>
      <c r="R91"/>
      <c r="S91"/>
      <c r="T91" s="114">
        <f>N91-M91</f>
        <v>-203.82999999999998</v>
      </c>
      <c r="U91" s="4">
        <f>IF(M91=0,0,N91/M91-1)</f>
        <v>-0.58725402633322776</v>
      </c>
      <c r="V91"/>
      <c r="W91"/>
      <c r="X91"/>
      <c r="Y91"/>
      <c r="Z91" s="14"/>
      <c r="AA91" s="18">
        <v>6403.95</v>
      </c>
      <c r="AB91" s="18">
        <v>5107.4800000000005</v>
      </c>
      <c r="AC91" s="4">
        <f>AB91/AA91-1</f>
        <v>-0.20244848882330424</v>
      </c>
    </row>
    <row r="92" spans="1:30" s="5" customFormat="1">
      <c r="A92" t="s">
        <v>1035</v>
      </c>
      <c r="B92" s="27" t="s">
        <v>1036</v>
      </c>
      <c r="C92" s="19">
        <v>1035</v>
      </c>
      <c r="D92" s="19"/>
      <c r="E92" s="27" t="s">
        <v>1036</v>
      </c>
      <c r="F92" s="19">
        <v>973</v>
      </c>
      <c r="G92" t="b">
        <f>IF(B92=E92,TRUE,FALSE)</f>
        <v>1</v>
      </c>
      <c r="H92"/>
      <c r="I92"/>
      <c r="J92" s="25">
        <f>F92-C92</f>
        <v>-62</v>
      </c>
      <c r="K92" s="4">
        <f>F92/C92-1</f>
        <v>-5.9903381642512077E-2</v>
      </c>
      <c r="L92"/>
      <c r="M92" s="19">
        <v>1192.51</v>
      </c>
      <c r="N92" s="19">
        <v>1213.6199999999999</v>
      </c>
      <c r="O92"/>
      <c r="P92"/>
      <c r="Q92" s="139">
        <v>6150.85</v>
      </c>
      <c r="R92"/>
      <c r="S92"/>
      <c r="T92" s="114">
        <f>N92-M92</f>
        <v>21.1099999999999</v>
      </c>
      <c r="U92" s="4">
        <f>IF(M92=0,0,N92/M92-1)</f>
        <v>1.7702157633898263E-2</v>
      </c>
      <c r="V92"/>
      <c r="W92"/>
      <c r="X92"/>
      <c r="Y92"/>
      <c r="Z92" s="14"/>
      <c r="AA92" s="18">
        <v>20571.97</v>
      </c>
      <c r="AB92" s="18">
        <v>20819.650000000001</v>
      </c>
      <c r="AC92" s="4">
        <f>AB92/AA92-1</f>
        <v>1.2039683122228917E-2</v>
      </c>
      <c r="AD92"/>
    </row>
    <row r="93" spans="1:30" s="5" customFormat="1">
      <c r="A93" t="s">
        <v>1037</v>
      </c>
      <c r="B93" t="s">
        <v>1038</v>
      </c>
      <c r="C93" s="19">
        <v>766</v>
      </c>
      <c r="D93"/>
      <c r="E93" t="s">
        <v>1038</v>
      </c>
      <c r="F93" s="19">
        <v>708</v>
      </c>
      <c r="G93" t="b">
        <f>IF(B93=E93,TRUE,FALSE)</f>
        <v>1</v>
      </c>
      <c r="H93"/>
      <c r="I93"/>
      <c r="J93" s="25">
        <f>F93-C93</f>
        <v>-58</v>
      </c>
      <c r="K93" s="4">
        <f>F93/C93-1</f>
        <v>-7.571801566579639E-2</v>
      </c>
      <c r="L93"/>
      <c r="M93" s="5">
        <v>622.55999999999995</v>
      </c>
      <c r="N93" s="5">
        <v>429.44</v>
      </c>
      <c r="O93"/>
      <c r="P93"/>
      <c r="Q93" s="139">
        <v>2463.3200000000002</v>
      </c>
      <c r="R93"/>
      <c r="S93"/>
      <c r="T93" s="114">
        <f>N93-M93</f>
        <v>-193.11999999999995</v>
      </c>
      <c r="U93" s="4">
        <f>IF(M93=0,0,N93/M93-1)</f>
        <v>-0.31020303263942428</v>
      </c>
      <c r="V93"/>
      <c r="W93"/>
      <c r="X93"/>
      <c r="Y93"/>
      <c r="Z93" s="14"/>
      <c r="AA93" s="18">
        <v>12248.34</v>
      </c>
      <c r="AB93" s="18">
        <v>11320.92</v>
      </c>
      <c r="AC93" s="4">
        <f>AB93/AA93-1</f>
        <v>-7.571801566579639E-2</v>
      </c>
      <c r="AD93"/>
    </row>
    <row r="94" spans="1:30" s="5" customFormat="1" ht="15.75" customHeight="1">
      <c r="A94" t="s">
        <v>1039</v>
      </c>
      <c r="B94" t="s">
        <v>1040</v>
      </c>
      <c r="C94" s="19">
        <v>1132</v>
      </c>
      <c r="D94"/>
      <c r="E94" t="s">
        <v>1040</v>
      </c>
      <c r="F94" s="19">
        <v>1074</v>
      </c>
      <c r="G94" t="b">
        <f>IF(B94=E94,TRUE,FALSE)</f>
        <v>1</v>
      </c>
      <c r="H94"/>
      <c r="I94"/>
      <c r="J94" s="25">
        <f>F94-C94</f>
        <v>-58</v>
      </c>
      <c r="K94" s="4">
        <f>F94/C94-1</f>
        <v>-5.1236749116607805E-2</v>
      </c>
      <c r="L94"/>
      <c r="M94" s="5">
        <v>892.54</v>
      </c>
      <c r="N94" s="5">
        <v>436.72</v>
      </c>
      <c r="O94"/>
      <c r="P94"/>
      <c r="Q94" s="139">
        <v>1841.77</v>
      </c>
      <c r="R94"/>
      <c r="S94"/>
      <c r="T94" s="114">
        <f>N94-M94</f>
        <v>-455.81999999999994</v>
      </c>
      <c r="U94" s="4">
        <f>IF(M94=0,0,N94/M94-1)</f>
        <v>-0.51069980056916209</v>
      </c>
      <c r="V94"/>
      <c r="W94"/>
      <c r="X94" t="s">
        <v>1041</v>
      </c>
      <c r="Y94" t="s">
        <v>1042</v>
      </c>
      <c r="Z94" s="14" t="s">
        <v>1043</v>
      </c>
      <c r="AA94" s="18">
        <v>21680.080000000002</v>
      </c>
      <c r="AB94" s="18">
        <v>21467.86</v>
      </c>
      <c r="AC94" s="4">
        <f>AB94/AA94-1</f>
        <v>-9.7887092667555686E-3</v>
      </c>
      <c r="AD94"/>
    </row>
    <row r="95" spans="1:30" s="5" customFormat="1">
      <c r="A95" s="27" t="s">
        <v>1044</v>
      </c>
      <c r="B95" s="27" t="s">
        <v>1045</v>
      </c>
      <c r="C95" s="19">
        <v>802</v>
      </c>
      <c r="D95"/>
      <c r="E95" s="27" t="s">
        <v>1045</v>
      </c>
      <c r="F95" s="19">
        <v>744</v>
      </c>
      <c r="G95" t="b">
        <f>IF(B95=E95,TRUE,FALSE)</f>
        <v>1</v>
      </c>
      <c r="H95"/>
      <c r="I95"/>
      <c r="J95" s="25">
        <f>F95-C95</f>
        <v>-58</v>
      </c>
      <c r="K95" s="4">
        <f>F95/C95-1</f>
        <v>-7.2319201995012516E-2</v>
      </c>
      <c r="L95"/>
      <c r="M95" s="5">
        <v>451.8</v>
      </c>
      <c r="N95" s="5">
        <v>305.93</v>
      </c>
      <c r="O95"/>
      <c r="P95"/>
      <c r="Q95" s="139">
        <v>2045.93</v>
      </c>
      <c r="R95"/>
      <c r="S95"/>
      <c r="T95" s="114">
        <f>N95-M95</f>
        <v>-145.87</v>
      </c>
      <c r="U95" s="4">
        <f>IF(M95=0,0,N95/M95-1)</f>
        <v>-0.32286409915891989</v>
      </c>
      <c r="V95"/>
      <c r="W95"/>
      <c r="X95"/>
      <c r="Y95"/>
      <c r="Z95" s="14"/>
      <c r="AA95" s="18">
        <v>14372.09</v>
      </c>
      <c r="AB95" s="18">
        <v>14096.36</v>
      </c>
      <c r="AC95" s="4">
        <f>AB95/AA95-1</f>
        <v>-1.9185101123079473E-2</v>
      </c>
      <c r="AD95"/>
    </row>
    <row r="96" spans="1:30" s="5" customFormat="1">
      <c r="A96" t="s">
        <v>1046</v>
      </c>
      <c r="B96" t="s">
        <v>1047</v>
      </c>
      <c r="C96" s="19">
        <v>200</v>
      </c>
      <c r="D96"/>
      <c r="E96" t="s">
        <v>1047</v>
      </c>
      <c r="F96" s="19">
        <v>148</v>
      </c>
      <c r="G96" t="b">
        <f>IF(B96=E96,TRUE,FALSE)</f>
        <v>1</v>
      </c>
      <c r="H96"/>
      <c r="I96"/>
      <c r="J96" s="25">
        <f>F96-C96</f>
        <v>-52</v>
      </c>
      <c r="K96" s="4">
        <f>F96/C96-1</f>
        <v>-0.26</v>
      </c>
      <c r="L96"/>
      <c r="M96" s="5">
        <v>104.12</v>
      </c>
      <c r="N96" s="5">
        <v>91.11</v>
      </c>
      <c r="O96"/>
      <c r="P96"/>
      <c r="Q96" s="139">
        <v>730</v>
      </c>
      <c r="R96"/>
      <c r="S96"/>
      <c r="T96" s="114">
        <f>N96-M96</f>
        <v>-13.010000000000005</v>
      </c>
      <c r="U96" s="4">
        <f>IF(M96=0,0,N96/M96-1)</f>
        <v>-0.12495197848636197</v>
      </c>
      <c r="V96"/>
      <c r="W96"/>
      <c r="X96"/>
      <c r="Y96"/>
      <c r="Z96" s="14"/>
      <c r="AA96" s="18">
        <v>5702.48</v>
      </c>
      <c r="AB96" s="18">
        <v>4431.3999999999996</v>
      </c>
      <c r="AC96" s="4">
        <f>AB96/AA96-1</f>
        <v>-0.22289951038846256</v>
      </c>
    </row>
    <row r="97" spans="1:30" s="5" customFormat="1">
      <c r="A97" t="s">
        <v>1048</v>
      </c>
      <c r="B97" t="s">
        <v>1049</v>
      </c>
      <c r="C97" s="19">
        <v>534</v>
      </c>
      <c r="D97"/>
      <c r="E97" t="s">
        <v>1049</v>
      </c>
      <c r="F97" s="19">
        <v>486</v>
      </c>
      <c r="G97" t="b">
        <f>IF(B97=E97,TRUE,FALSE)</f>
        <v>1</v>
      </c>
      <c r="H97"/>
      <c r="I97"/>
      <c r="J97" s="25">
        <f>F97-C97</f>
        <v>-48</v>
      </c>
      <c r="K97" s="4">
        <f>F97/C97-1</f>
        <v>-8.98876404494382E-2</v>
      </c>
      <c r="L97"/>
      <c r="M97" s="5">
        <v>232.63</v>
      </c>
      <c r="N97" s="5">
        <v>256.63</v>
      </c>
      <c r="O97"/>
      <c r="P97"/>
      <c r="Q97" s="139">
        <v>1152.8900000000001</v>
      </c>
      <c r="R97"/>
      <c r="S97"/>
      <c r="T97" s="114">
        <f>N97-M97</f>
        <v>24</v>
      </c>
      <c r="U97" s="4">
        <f>IF(M97=0,0,N97/M97-1)</f>
        <v>0.10316812105059547</v>
      </c>
      <c r="V97"/>
      <c r="W97"/>
      <c r="X97"/>
      <c r="Y97"/>
      <c r="Z97" s="14"/>
      <c r="AA97" s="18">
        <v>13739.11</v>
      </c>
      <c r="AB97" s="18">
        <v>13096.35</v>
      </c>
      <c r="AC97" s="4">
        <f>AB97/AA97-1</f>
        <v>-4.6783234139620378E-2</v>
      </c>
      <c r="AD97"/>
    </row>
    <row r="98" spans="1:30" s="5" customFormat="1">
      <c r="A98" s="27" t="s">
        <v>1050</v>
      </c>
      <c r="B98" s="37" t="s">
        <v>1051</v>
      </c>
      <c r="C98" s="19">
        <v>950</v>
      </c>
      <c r="D98"/>
      <c r="E98" s="37" t="s">
        <v>1051</v>
      </c>
      <c r="F98" s="19">
        <v>902</v>
      </c>
      <c r="G98" t="b">
        <f>IF(B98=E98,TRUE,FALSE)</f>
        <v>1</v>
      </c>
      <c r="H98"/>
      <c r="I98"/>
      <c r="J98" s="25">
        <f>F98-C98</f>
        <v>-48</v>
      </c>
      <c r="K98" s="4">
        <f>F98/C98-1</f>
        <v>-5.0526315789473641E-2</v>
      </c>
      <c r="L98"/>
      <c r="M98" s="5">
        <v>1279.29</v>
      </c>
      <c r="N98" s="5">
        <v>1010.73</v>
      </c>
      <c r="O98"/>
      <c r="P98"/>
      <c r="Q98" s="139">
        <v>6301.26</v>
      </c>
      <c r="R98"/>
      <c r="S98"/>
      <c r="T98" s="114">
        <f>N98-M98</f>
        <v>-268.55999999999995</v>
      </c>
      <c r="U98" s="4">
        <f>IF(M98=0,0,N98/M98-1)</f>
        <v>-0.20992894496165837</v>
      </c>
      <c r="V98"/>
      <c r="W98"/>
      <c r="X98"/>
      <c r="Y98"/>
      <c r="Z98" s="14"/>
      <c r="AA98" s="18">
        <v>27539.34</v>
      </c>
      <c r="AB98" s="18">
        <v>26145.79</v>
      </c>
      <c r="AC98" s="4">
        <f>AB98/AA98-1</f>
        <v>-5.0602156769189111E-2</v>
      </c>
    </row>
    <row r="99" spans="1:30" s="5" customFormat="1">
      <c r="A99" t="s">
        <v>1052</v>
      </c>
      <c r="B99" t="s">
        <v>1053</v>
      </c>
      <c r="C99" s="19">
        <v>765</v>
      </c>
      <c r="D99"/>
      <c r="E99" t="s">
        <v>1053</v>
      </c>
      <c r="F99" s="19">
        <v>718</v>
      </c>
      <c r="G99" t="b">
        <f>IF(B99=E99,TRUE,FALSE)</f>
        <v>1</v>
      </c>
      <c r="H99"/>
      <c r="I99"/>
      <c r="J99" s="25">
        <f>F99-C99</f>
        <v>-47</v>
      </c>
      <c r="K99" s="4">
        <f>F99/C99-1</f>
        <v>-6.143790849673203E-2</v>
      </c>
      <c r="L99"/>
      <c r="M99" s="5">
        <v>462.15</v>
      </c>
      <c r="N99" s="5">
        <v>333.26</v>
      </c>
      <c r="O99"/>
      <c r="P99"/>
      <c r="Q99" s="139">
        <v>2287.44</v>
      </c>
      <c r="R99"/>
      <c r="S99"/>
      <c r="T99" s="114">
        <f>N99-M99</f>
        <v>-128.88999999999999</v>
      </c>
      <c r="U99" s="4">
        <f>IF(M99=0,0,N99/M99-1)</f>
        <v>-0.27889213458833706</v>
      </c>
      <c r="V99"/>
      <c r="W99" t="s">
        <v>1054</v>
      </c>
      <c r="X99"/>
      <c r="Y99"/>
      <c r="Z99" s="14"/>
      <c r="AA99" s="18">
        <v>19086.75</v>
      </c>
      <c r="AB99" s="18">
        <v>17914.099999999999</v>
      </c>
      <c r="AC99" s="4">
        <f>AB99/AA99-1</f>
        <v>-6.1437908496732141E-2</v>
      </c>
      <c r="AD99"/>
    </row>
    <row r="100" spans="1:30" s="5" customFormat="1">
      <c r="A100" t="s">
        <v>1055</v>
      </c>
      <c r="B100" t="s">
        <v>1056</v>
      </c>
      <c r="C100" s="19">
        <v>498</v>
      </c>
      <c r="E100" t="s">
        <v>1056</v>
      </c>
      <c r="F100" s="19">
        <v>452</v>
      </c>
      <c r="G100" t="b">
        <f>IF(B100=E100,TRUE,FALSE)</f>
        <v>1</v>
      </c>
      <c r="J100" s="25">
        <f>F100-C100</f>
        <v>-46</v>
      </c>
      <c r="K100" s="4">
        <f>F100/C100-1</f>
        <v>-9.2369477911646625E-2</v>
      </c>
      <c r="M100" s="5">
        <v>134.27000000000001</v>
      </c>
      <c r="N100" s="5">
        <v>70.459999999999994</v>
      </c>
      <c r="Q100" s="139">
        <v>419.17</v>
      </c>
      <c r="T100" s="114">
        <f>N100-M100</f>
        <v>-63.810000000000016</v>
      </c>
      <c r="U100" s="4">
        <f>IF(M100=0,0,N100/M100-1)</f>
        <v>-0.47523646384151341</v>
      </c>
      <c r="Z100" s="15"/>
      <c r="AA100" s="18">
        <v>9050.33</v>
      </c>
      <c r="AB100" s="18">
        <v>8565.2099999999991</v>
      </c>
      <c r="AC100" s="4">
        <f>AB100/AA100-1</f>
        <v>-5.3602465324468884E-2</v>
      </c>
      <c r="AD100" s="5" t="s">
        <v>1057</v>
      </c>
    </row>
    <row r="101" spans="1:30" s="5" customFormat="1">
      <c r="A101" t="s">
        <v>1058</v>
      </c>
      <c r="B101" t="s">
        <v>1059</v>
      </c>
      <c r="C101" s="19">
        <v>1027</v>
      </c>
      <c r="D101"/>
      <c r="E101" t="s">
        <v>1059</v>
      </c>
      <c r="F101" s="19">
        <v>990</v>
      </c>
      <c r="G101" t="b">
        <f>IF(B101=E101,TRUE,FALSE)</f>
        <v>1</v>
      </c>
      <c r="H101"/>
      <c r="I101"/>
      <c r="J101" s="25">
        <f>F101-C101</f>
        <v>-37</v>
      </c>
      <c r="K101" s="4">
        <f>F101/C101-1</f>
        <v>-3.6027263875365145E-2</v>
      </c>
      <c r="L101"/>
      <c r="M101" s="5">
        <v>1802.72</v>
      </c>
      <c r="N101" s="5">
        <v>1859.79</v>
      </c>
      <c r="O101"/>
      <c r="P101"/>
      <c r="Q101" s="139">
        <v>7540.88</v>
      </c>
      <c r="R101"/>
      <c r="S101"/>
      <c r="T101" s="114">
        <f>N101-M101</f>
        <v>57.069999999999936</v>
      </c>
      <c r="U101" s="4">
        <f>IF(M101=0,0,N101/M101-1)</f>
        <v>3.165771722730093E-2</v>
      </c>
      <c r="V101"/>
      <c r="W101" t="s">
        <v>1060</v>
      </c>
      <c r="X101"/>
      <c r="Y101" t="s">
        <v>1061</v>
      </c>
      <c r="Z101" s="14"/>
      <c r="AA101" s="18">
        <v>19736.93</v>
      </c>
      <c r="AB101" s="18">
        <v>19808.89</v>
      </c>
      <c r="AC101" s="4">
        <f>AB101/AA101-1</f>
        <v>3.6459570966709265E-3</v>
      </c>
      <c r="AD101"/>
    </row>
    <row r="102" spans="1:30" s="5" customFormat="1">
      <c r="A102" t="s">
        <v>1062</v>
      </c>
      <c r="B102" t="s">
        <v>1063</v>
      </c>
      <c r="C102" s="19">
        <v>497</v>
      </c>
      <c r="D102"/>
      <c r="E102" t="s">
        <v>1063</v>
      </c>
      <c r="F102" s="19">
        <v>461</v>
      </c>
      <c r="G102" t="b">
        <f>IF(B102=E102,TRUE,FALSE)</f>
        <v>1</v>
      </c>
      <c r="H102"/>
      <c r="I102"/>
      <c r="J102" s="25">
        <f>F102-C102</f>
        <v>-36</v>
      </c>
      <c r="K102" s="4">
        <f>F102/C102-1</f>
        <v>-7.2434607645875282E-2</v>
      </c>
      <c r="L102"/>
      <c r="M102" s="5">
        <v>193.06</v>
      </c>
      <c r="N102" s="5">
        <v>230.3</v>
      </c>
      <c r="O102"/>
      <c r="P102"/>
      <c r="Q102" s="139">
        <v>2315.31</v>
      </c>
      <c r="R102"/>
      <c r="S102"/>
      <c r="T102" s="114">
        <f>N102-M102</f>
        <v>37.240000000000009</v>
      </c>
      <c r="U102" s="4">
        <f>IF(M102=0,0,N102/M102-1)</f>
        <v>0.19289340101522856</v>
      </c>
      <c r="V102"/>
      <c r="W102"/>
      <c r="X102"/>
      <c r="Y102"/>
      <c r="Z102" s="14"/>
      <c r="AA102" s="18">
        <v>12723.13</v>
      </c>
      <c r="AB102" s="18">
        <v>12806.89</v>
      </c>
      <c r="AC102" s="4">
        <f>AB102/AA102-1</f>
        <v>6.5832857166436831E-3</v>
      </c>
      <c r="AD102"/>
    </row>
    <row r="103" spans="1:30" s="5" customFormat="1">
      <c r="A103" t="s">
        <v>1064</v>
      </c>
      <c r="B103" t="s">
        <v>1065</v>
      </c>
      <c r="C103" s="19">
        <v>836</v>
      </c>
      <c r="D103"/>
      <c r="E103" t="s">
        <v>1065</v>
      </c>
      <c r="F103" s="19">
        <v>800</v>
      </c>
      <c r="G103" t="b">
        <f>IF(B103=E103,TRUE,FALSE)</f>
        <v>1</v>
      </c>
      <c r="H103"/>
      <c r="I103"/>
      <c r="J103" s="25">
        <f>F103-C103</f>
        <v>-36</v>
      </c>
      <c r="K103" s="4">
        <f>F103/C103-1</f>
        <v>-4.3062200956937802E-2</v>
      </c>
      <c r="L103"/>
      <c r="M103" s="5">
        <v>816.43</v>
      </c>
      <c r="N103" s="5">
        <v>547.70000000000005</v>
      </c>
      <c r="O103"/>
      <c r="P103"/>
      <c r="Q103" s="139">
        <v>3859.76</v>
      </c>
      <c r="R103"/>
      <c r="S103"/>
      <c r="T103" s="114">
        <f>N103-M103</f>
        <v>-268.7299999999999</v>
      </c>
      <c r="U103" s="4">
        <f>IF(M103=0,0,N103/M103-1)</f>
        <v>-0.32915252991683297</v>
      </c>
      <c r="V103"/>
      <c r="W103"/>
      <c r="X103"/>
      <c r="Y103"/>
      <c r="Z103" s="14"/>
      <c r="AA103" s="18">
        <v>15789.44</v>
      </c>
      <c r="AB103" s="18">
        <v>15991.8</v>
      </c>
      <c r="AC103" s="4">
        <f>AB103/AA103-1</f>
        <v>1.2816160674476107E-2</v>
      </c>
      <c r="AD103"/>
    </row>
    <row r="104" spans="1:30" s="5" customFormat="1">
      <c r="A104" t="s">
        <v>1066</v>
      </c>
      <c r="B104" t="s">
        <v>1067</v>
      </c>
      <c r="C104" s="19">
        <v>421</v>
      </c>
      <c r="D104"/>
      <c r="E104" t="s">
        <v>1067</v>
      </c>
      <c r="F104" s="19">
        <v>395</v>
      </c>
      <c r="G104" t="b">
        <f>IF(B104=E104,TRUE,FALSE)</f>
        <v>1</v>
      </c>
      <c r="H104"/>
      <c r="I104"/>
      <c r="J104" s="25">
        <f>F104-C104</f>
        <v>-26</v>
      </c>
      <c r="K104" s="4">
        <f>F104/C104-1</f>
        <v>-6.1757719714964354E-2</v>
      </c>
      <c r="L104"/>
      <c r="M104" s="5">
        <v>216</v>
      </c>
      <c r="N104" s="5">
        <v>129.30000000000001</v>
      </c>
      <c r="O104"/>
      <c r="P104"/>
      <c r="Q104" s="139">
        <v>644.29999999999995</v>
      </c>
      <c r="R104"/>
      <c r="S104"/>
      <c r="T104" s="114">
        <f>N104-M104</f>
        <v>-86.699999999999989</v>
      </c>
      <c r="U104" s="4">
        <f>IF(M104=0,0,N104/M104-1)</f>
        <v>-0.4013888888888888</v>
      </c>
      <c r="V104"/>
      <c r="W104"/>
      <c r="X104"/>
      <c r="Y104"/>
      <c r="Z104" s="14"/>
      <c r="AA104" s="18">
        <v>7977.95</v>
      </c>
      <c r="AB104" s="18">
        <v>7485.25</v>
      </c>
      <c r="AC104" s="4">
        <f>AB104/AA104-1</f>
        <v>-6.1757719714964354E-2</v>
      </c>
      <c r="AD104"/>
    </row>
    <row r="105" spans="1:30" s="5" customFormat="1">
      <c r="A105" s="27" t="s">
        <v>1068</v>
      </c>
      <c r="B105" t="s">
        <v>1069</v>
      </c>
      <c r="C105" s="19">
        <v>731</v>
      </c>
      <c r="D105"/>
      <c r="E105" s="27" t="s">
        <v>1069</v>
      </c>
      <c r="F105" s="19">
        <v>708</v>
      </c>
      <c r="G105" t="b">
        <f>IF(B105=E105,TRUE,FALSE)</f>
        <v>1</v>
      </c>
      <c r="H105"/>
      <c r="I105"/>
      <c r="J105" s="25">
        <f>F105-C105</f>
        <v>-23</v>
      </c>
      <c r="K105" s="4">
        <f>F105/C105-1</f>
        <v>-3.1463748290013638E-2</v>
      </c>
      <c r="L105"/>
      <c r="M105" s="5">
        <v>1113.79</v>
      </c>
      <c r="N105" s="5">
        <v>1136.3699999999999</v>
      </c>
      <c r="O105"/>
      <c r="P105"/>
      <c r="Q105" s="139">
        <v>6161.28</v>
      </c>
      <c r="R105"/>
      <c r="S105"/>
      <c r="T105" s="114">
        <f>N105-M105</f>
        <v>22.579999999999927</v>
      </c>
      <c r="U105" s="4">
        <f>IF(M105=0,0,N105/M105-1)</f>
        <v>2.0273121504053693E-2</v>
      </c>
      <c r="V105"/>
      <c r="W105"/>
      <c r="X105"/>
      <c r="Y105"/>
      <c r="Z105" s="14"/>
      <c r="AA105" s="18">
        <v>15036.47</v>
      </c>
      <c r="AB105" s="18">
        <v>14151.12</v>
      </c>
      <c r="AC105" s="4">
        <f>AB105/AA105-1</f>
        <v>-5.8880175998754947E-2</v>
      </c>
      <c r="AD105"/>
    </row>
    <row r="106" spans="1:30" s="5" customFormat="1">
      <c r="A106" t="s">
        <v>1070</v>
      </c>
      <c r="B106" t="s">
        <v>1071</v>
      </c>
      <c r="C106" s="19">
        <v>495</v>
      </c>
      <c r="D106"/>
      <c r="E106" t="s">
        <v>1071</v>
      </c>
      <c r="F106" s="19">
        <v>480</v>
      </c>
      <c r="G106" t="b">
        <f>IF(B106=E106,TRUE,FALSE)</f>
        <v>1</v>
      </c>
      <c r="H106"/>
      <c r="I106"/>
      <c r="J106" s="25">
        <f>F106-C106</f>
        <v>-15</v>
      </c>
      <c r="K106" s="4">
        <f>F106/C106-1</f>
        <v>-3.0303030303030276E-2</v>
      </c>
      <c r="L106"/>
      <c r="M106" s="5">
        <v>233.08</v>
      </c>
      <c r="N106" s="5">
        <v>137.13999999999999</v>
      </c>
      <c r="O106"/>
      <c r="P106"/>
      <c r="Q106" s="139">
        <v>1437.55</v>
      </c>
      <c r="R106"/>
      <c r="S106"/>
      <c r="T106" s="114">
        <f>N106-M106</f>
        <v>-95.940000000000026</v>
      </c>
      <c r="U106" s="4">
        <f>IF(M106=0,0,N106/M106-1)</f>
        <v>-0.4116183284709114</v>
      </c>
      <c r="V106"/>
      <c r="W106"/>
      <c r="X106"/>
      <c r="Y106"/>
      <c r="Z106" s="14"/>
      <c r="AA106" s="18">
        <v>14823.75</v>
      </c>
      <c r="AB106" s="18">
        <v>14373.6</v>
      </c>
      <c r="AC106" s="4">
        <f>AB106/AA106-1</f>
        <v>-3.0366810017708024E-2</v>
      </c>
      <c r="AD106"/>
    </row>
    <row r="107" spans="1:30" s="5" customFormat="1">
      <c r="A107" t="s">
        <v>1072</v>
      </c>
      <c r="B107" t="s">
        <v>1073</v>
      </c>
      <c r="C107" s="19">
        <v>731</v>
      </c>
      <c r="D107"/>
      <c r="E107" t="s">
        <v>1073</v>
      </c>
      <c r="F107" s="19">
        <v>718</v>
      </c>
      <c r="G107" t="b">
        <f>IF(B107=E107,TRUE,FALSE)</f>
        <v>1</v>
      </c>
      <c r="H107"/>
      <c r="I107"/>
      <c r="J107" s="25">
        <f>F107-C107</f>
        <v>-13</v>
      </c>
      <c r="K107" s="4">
        <f>F107/C107-1</f>
        <v>-1.7783857729138153E-2</v>
      </c>
      <c r="L107"/>
      <c r="M107" s="5">
        <v>447.89000000000004</v>
      </c>
      <c r="N107" s="5">
        <v>351.79</v>
      </c>
      <c r="O107"/>
      <c r="P107"/>
      <c r="Q107" s="139">
        <v>2238.17</v>
      </c>
      <c r="R107"/>
      <c r="S107"/>
      <c r="T107" s="114">
        <f>N107-M107</f>
        <v>-96.100000000000023</v>
      </c>
      <c r="U107" s="4">
        <f>IF(M107=0,0,N107/M107-1)</f>
        <v>-0.21456161110987071</v>
      </c>
      <c r="V107"/>
      <c r="W107"/>
      <c r="X107"/>
      <c r="Y107"/>
      <c r="Z107" s="14"/>
      <c r="AA107" s="18">
        <v>21020.850000000002</v>
      </c>
      <c r="AB107" s="18">
        <v>21528.58</v>
      </c>
      <c r="AC107" s="4">
        <f>AB107/AA107-1</f>
        <v>2.4153637935668604E-2</v>
      </c>
      <c r="AD107"/>
    </row>
    <row r="108" spans="1:30" s="5" customFormat="1">
      <c r="A108" t="s">
        <v>1074</v>
      </c>
      <c r="B108" t="s">
        <v>1075</v>
      </c>
      <c r="C108" s="19">
        <v>873</v>
      </c>
      <c r="E108" t="s">
        <v>1075</v>
      </c>
      <c r="F108" s="19">
        <v>863</v>
      </c>
      <c r="G108" t="b">
        <f>IF(B108=E108,TRUE,FALSE)</f>
        <v>1</v>
      </c>
      <c r="J108" s="25">
        <f>F108-C108</f>
        <v>-10</v>
      </c>
      <c r="K108" s="4">
        <f>F108/C108-1</f>
        <v>-1.1454753722794919E-2</v>
      </c>
      <c r="M108" s="5">
        <v>1113.42</v>
      </c>
      <c r="N108" s="5">
        <v>1239.45</v>
      </c>
      <c r="Q108" s="139">
        <v>6975.54</v>
      </c>
      <c r="T108" s="114">
        <f>N108-M108</f>
        <v>126.02999999999997</v>
      </c>
      <c r="U108" s="4">
        <f>IF(M108=0,0,N108/M108-1)</f>
        <v>0.11319178746564629</v>
      </c>
      <c r="Z108" s="15"/>
      <c r="AA108" s="18">
        <v>26141.85</v>
      </c>
      <c r="AB108" s="18">
        <v>25843.85</v>
      </c>
      <c r="AC108" s="4">
        <f>AB108/AA108-1</f>
        <v>-1.139934625896788E-2</v>
      </c>
      <c r="AD108"/>
    </row>
    <row r="109" spans="1:30" s="5" customFormat="1">
      <c r="A109" t="s">
        <v>1076</v>
      </c>
      <c r="B109" t="s">
        <v>1077</v>
      </c>
      <c r="C109" s="19">
        <v>346</v>
      </c>
      <c r="D109"/>
      <c r="E109" t="s">
        <v>1077</v>
      </c>
      <c r="F109" s="19">
        <v>344</v>
      </c>
      <c r="G109" t="b">
        <f>IF(B109=E109,TRUE,FALSE)</f>
        <v>1</v>
      </c>
      <c r="H109"/>
      <c r="I109"/>
      <c r="J109" s="25">
        <f>F109-C109</f>
        <v>-2</v>
      </c>
      <c r="K109" s="4">
        <f>F109/C109-1</f>
        <v>-5.7803468208093012E-3</v>
      </c>
      <c r="L109"/>
      <c r="M109" s="5">
        <v>111.63</v>
      </c>
      <c r="N109" s="5">
        <v>98.5</v>
      </c>
      <c r="O109"/>
      <c r="P109"/>
      <c r="Q109" s="139">
        <v>658.5</v>
      </c>
      <c r="R109"/>
      <c r="S109"/>
      <c r="T109" s="114">
        <f>N109-M109</f>
        <v>-13.129999999999995</v>
      </c>
      <c r="U109" s="4">
        <f>IF(M109=0,0,N109/M109-1)</f>
        <v>-0.11762071127833018</v>
      </c>
      <c r="V109"/>
      <c r="W109"/>
      <c r="X109"/>
      <c r="Y109"/>
      <c r="Z109" s="14"/>
      <c r="AA109" s="18">
        <v>7594.7</v>
      </c>
      <c r="AB109" s="18">
        <v>7550.8</v>
      </c>
      <c r="AC109" s="4">
        <f>AB109/AA109-1</f>
        <v>-5.7803468208091902E-3</v>
      </c>
      <c r="AD109"/>
    </row>
    <row r="110" spans="1:30">
      <c r="A110" s="142" t="s">
        <v>1078</v>
      </c>
      <c r="B110" s="27" t="s">
        <v>1079</v>
      </c>
      <c r="C110">
        <v>1</v>
      </c>
      <c r="E110" s="27" t="s">
        <v>1079</v>
      </c>
      <c r="F110">
        <v>0</v>
      </c>
      <c r="G110" t="b">
        <f>IF(B110=E110,TRUE,FALSE)</f>
        <v>1</v>
      </c>
      <c r="J110" s="25">
        <f>F110-C110</f>
        <v>-1</v>
      </c>
      <c r="K110" s="4">
        <f>F110/C110-1</f>
        <v>-1</v>
      </c>
      <c r="M110" s="131">
        <v>0</v>
      </c>
      <c r="N110" s="131">
        <v>0</v>
      </c>
      <c r="Q110" s="139">
        <v>0</v>
      </c>
      <c r="T110" s="114">
        <f>N110-M110</f>
        <v>0</v>
      </c>
      <c r="U110" s="4">
        <f>IF(M110=0,0,N110/M110-1)</f>
        <v>0</v>
      </c>
      <c r="AA110">
        <v>21.99</v>
      </c>
      <c r="AB110">
        <v>0</v>
      </c>
      <c r="AC110" s="4">
        <f>AB110/AA110-1</f>
        <v>-1</v>
      </c>
      <c r="AD110" s="5"/>
    </row>
    <row r="111" spans="1:30">
      <c r="A111" t="s">
        <v>1080</v>
      </c>
      <c r="B111" t="s">
        <v>1081</v>
      </c>
      <c r="C111" s="19">
        <v>0</v>
      </c>
      <c r="E111" t="s">
        <v>1081</v>
      </c>
      <c r="F111" s="19">
        <v>0</v>
      </c>
      <c r="G111" t="b">
        <f>IF(B111=E111,TRUE,FALSE)</f>
        <v>1</v>
      </c>
      <c r="J111" s="25">
        <f>F111-C111</f>
        <v>0</v>
      </c>
      <c r="K111" s="4" t="e">
        <f>F111/C111-1</f>
        <v>#DIV/0!</v>
      </c>
      <c r="M111" s="5">
        <v>0</v>
      </c>
      <c r="N111" s="5">
        <v>0</v>
      </c>
      <c r="Q111" s="139">
        <v>0</v>
      </c>
      <c r="T111" s="114">
        <f>N111-M111</f>
        <v>0</v>
      </c>
      <c r="U111" s="4">
        <f>IF(M111=0,0,N111/M111-1)</f>
        <v>0</v>
      </c>
      <c r="AA111" s="18">
        <v>0</v>
      </c>
      <c r="AB111" s="18">
        <v>0</v>
      </c>
      <c r="AC111" s="4" t="e">
        <f>AB111/AA111-1</f>
        <v>#DIV/0!</v>
      </c>
    </row>
    <row r="112" spans="1:30">
      <c r="A112" t="s">
        <v>1082</v>
      </c>
      <c r="B112" t="s">
        <v>1083</v>
      </c>
      <c r="C112" s="19">
        <v>0</v>
      </c>
      <c r="E112" t="s">
        <v>1083</v>
      </c>
      <c r="F112" s="19">
        <v>0</v>
      </c>
      <c r="G112" t="b">
        <f>IF(B112=E112,TRUE,FALSE)</f>
        <v>1</v>
      </c>
      <c r="J112" s="25">
        <f>F112-C112</f>
        <v>0</v>
      </c>
      <c r="K112" s="4" t="e">
        <f>F112/C112-1</f>
        <v>#DIV/0!</v>
      </c>
      <c r="M112" s="5">
        <v>0</v>
      </c>
      <c r="N112" s="5">
        <v>0</v>
      </c>
      <c r="Q112" s="139">
        <v>0</v>
      </c>
      <c r="T112" s="114">
        <f>N112-M112</f>
        <v>0</v>
      </c>
      <c r="U112" s="4">
        <f>IF(M112=0,0,N112/M112-1)</f>
        <v>0</v>
      </c>
      <c r="AA112" s="18">
        <v>0</v>
      </c>
      <c r="AB112" s="18">
        <v>0</v>
      </c>
      <c r="AC112" s="4" t="e">
        <f>AB112/AA112-1</f>
        <v>#DIV/0!</v>
      </c>
      <c r="AD112" s="5"/>
    </row>
    <row r="113" spans="1:30">
      <c r="A113" t="s">
        <v>1084</v>
      </c>
      <c r="B113" t="s">
        <v>1085</v>
      </c>
      <c r="C113" s="19">
        <v>0</v>
      </c>
      <c r="E113" t="s">
        <v>1085</v>
      </c>
      <c r="F113" s="19">
        <v>0</v>
      </c>
      <c r="G113" t="b">
        <f>IF(B113=E113,TRUE,FALSE)</f>
        <v>1</v>
      </c>
      <c r="J113" s="25">
        <f>F113-C113</f>
        <v>0</v>
      </c>
      <c r="K113" s="4" t="e">
        <f>F113/C113-1</f>
        <v>#DIV/0!</v>
      </c>
      <c r="M113" s="5">
        <v>0</v>
      </c>
      <c r="N113" s="5">
        <v>0</v>
      </c>
      <c r="Q113" s="139">
        <v>0</v>
      </c>
      <c r="T113" s="114">
        <f>N113-M113</f>
        <v>0</v>
      </c>
      <c r="U113" s="4">
        <f>IF(M113=0,0,N113/M113-1)</f>
        <v>0</v>
      </c>
      <c r="AA113" s="18">
        <v>0</v>
      </c>
      <c r="AB113" s="18">
        <v>0</v>
      </c>
      <c r="AC113" s="4" t="e">
        <f>AB113/AA113-1</f>
        <v>#DIV/0!</v>
      </c>
      <c r="AD113" s="5"/>
    </row>
    <row r="114" spans="1:30">
      <c r="A114" s="54" t="s">
        <v>1086</v>
      </c>
      <c r="B114" s="37" t="s">
        <v>1087</v>
      </c>
      <c r="C114" s="19">
        <v>668</v>
      </c>
      <c r="E114" s="37" t="s">
        <v>1087</v>
      </c>
      <c r="F114" s="19">
        <v>387</v>
      </c>
      <c r="G114" t="b">
        <f>IF(B114=E114,TRUE,FALSE)</f>
        <v>1</v>
      </c>
      <c r="J114" s="25">
        <v>0</v>
      </c>
      <c r="K114" s="4">
        <f>F114/C114-1</f>
        <v>-0.4206586826347305</v>
      </c>
      <c r="M114" s="5">
        <v>1110.3800000000001</v>
      </c>
      <c r="N114" s="5">
        <v>808.89</v>
      </c>
      <c r="Q114" s="139">
        <v>5073.4399999999996</v>
      </c>
      <c r="T114" s="114">
        <f>N114-M114</f>
        <v>-301.49000000000012</v>
      </c>
      <c r="U114" s="4">
        <f>IF(M114=0,0,N114/M114-1)</f>
        <v>-0.27151965993623817</v>
      </c>
      <c r="AA114" s="18">
        <v>10167.120000000001</v>
      </c>
      <c r="AB114" s="18">
        <v>7195.13</v>
      </c>
      <c r="AC114" s="4">
        <f>AB114/AA114-1</f>
        <v>-0.2923138509233687</v>
      </c>
      <c r="AD114" s="5" t="s">
        <v>1088</v>
      </c>
    </row>
    <row r="115" spans="1:30">
      <c r="A115" s="136" t="s">
        <v>1089</v>
      </c>
      <c r="B115" s="37" t="s">
        <v>1090</v>
      </c>
      <c r="C115" s="19">
        <v>629</v>
      </c>
      <c r="E115" s="37" t="s">
        <v>1090</v>
      </c>
      <c r="F115" s="19">
        <v>42</v>
      </c>
      <c r="G115" t="b">
        <f>IF(B115=E115,TRUE,FALSE)</f>
        <v>1</v>
      </c>
      <c r="J115" s="25">
        <v>0</v>
      </c>
      <c r="K115" s="4">
        <f>F115/C115-1</f>
        <v>-0.93322734499205084</v>
      </c>
      <c r="M115" s="5">
        <v>1141.5899999999999</v>
      </c>
      <c r="N115" s="5">
        <v>135.93</v>
      </c>
      <c r="Q115" s="139">
        <v>572.16</v>
      </c>
      <c r="T115" s="114">
        <f>N115-M115</f>
        <v>-1005.6599999999999</v>
      </c>
      <c r="U115" s="4">
        <f>IF(M115=0,0,N115/M115-1)</f>
        <v>-0.88092923028407744</v>
      </c>
      <c r="AA115" s="18">
        <v>10644.25</v>
      </c>
      <c r="AB115" s="18">
        <v>1131.9000000000001</v>
      </c>
      <c r="AC115" s="4">
        <f>AB115/AA115-1</f>
        <v>-0.89366089672828053</v>
      </c>
      <c r="AD115" s="5"/>
    </row>
    <row r="116" spans="1:30">
      <c r="A116" s="136" t="s">
        <v>1091</v>
      </c>
      <c r="B116" s="37" t="s">
        <v>1092</v>
      </c>
      <c r="C116" s="19">
        <v>414</v>
      </c>
      <c r="E116" s="37" t="s">
        <v>1092</v>
      </c>
      <c r="F116" s="19">
        <v>64</v>
      </c>
      <c r="G116" t="b">
        <f>IF(B116=E116,TRUE,FALSE)</f>
        <v>1</v>
      </c>
      <c r="J116" s="25">
        <v>0</v>
      </c>
      <c r="K116" s="4">
        <f>F116/C116-1</f>
        <v>-0.84541062801932365</v>
      </c>
      <c r="M116" s="5">
        <v>1152.5</v>
      </c>
      <c r="N116" s="5">
        <v>266.36</v>
      </c>
      <c r="Q116" s="139">
        <v>655.96</v>
      </c>
      <c r="T116" s="114">
        <f>N116-M116</f>
        <v>-886.14</v>
      </c>
      <c r="U116" s="4">
        <f>IF(M116=0,0,N116/M116-1)</f>
        <v>-0.76888503253796092</v>
      </c>
      <c r="AA116" s="18">
        <v>7039.1399999999994</v>
      </c>
      <c r="AB116" s="18">
        <v>1724.8</v>
      </c>
      <c r="AC116" s="4">
        <f>AB116/AA116-1</f>
        <v>-0.75497006736618388</v>
      </c>
      <c r="AD116" s="5"/>
    </row>
    <row r="117" spans="1:30">
      <c r="A117" s="54" t="s">
        <v>1093</v>
      </c>
      <c r="B117" s="37" t="s">
        <v>1094</v>
      </c>
      <c r="C117" s="19">
        <v>348</v>
      </c>
      <c r="E117" s="37" t="s">
        <v>1094</v>
      </c>
      <c r="F117" s="19">
        <v>328</v>
      </c>
      <c r="G117" t="b">
        <f>IF(B117=E117,TRUE,FALSE)</f>
        <v>1</v>
      </c>
      <c r="J117" s="25">
        <v>0</v>
      </c>
      <c r="K117" s="4">
        <f>F117/C117-1</f>
        <v>-5.7471264367816133E-2</v>
      </c>
      <c r="M117" s="5">
        <v>1572.37</v>
      </c>
      <c r="N117" s="5">
        <v>1263.01</v>
      </c>
      <c r="Q117" s="139">
        <v>5857.29</v>
      </c>
      <c r="T117" s="114">
        <f>N117-M117</f>
        <v>-309.3599999999999</v>
      </c>
      <c r="U117" s="4">
        <f>IF(M117=0,0,N117/M117-1)</f>
        <v>-0.19674758485598165</v>
      </c>
      <c r="AA117" s="18">
        <v>7582.6299999999992</v>
      </c>
      <c r="AB117" s="18">
        <v>7931.85</v>
      </c>
      <c r="AC117" s="4">
        <f>AB117/AA117-1</f>
        <v>4.6055260509876073E-2</v>
      </c>
      <c r="AD117" s="5"/>
    </row>
    <row r="118" spans="1:30">
      <c r="A118" s="155" t="s">
        <v>1095</v>
      </c>
      <c r="B118" s="37" t="s">
        <v>1096</v>
      </c>
      <c r="C118">
        <v>2</v>
      </c>
      <c r="E118" s="37" t="s">
        <v>1096</v>
      </c>
      <c r="F118">
        <v>3</v>
      </c>
      <c r="G118" t="b">
        <f>IF(B118=E118,TRUE,FALSE)</f>
        <v>1</v>
      </c>
      <c r="J118" s="25">
        <f>F118-C118</f>
        <v>1</v>
      </c>
      <c r="K118" s="4">
        <f>F118/C118-1</f>
        <v>0.5</v>
      </c>
      <c r="M118" s="131">
        <v>0</v>
      </c>
      <c r="N118" s="131">
        <v>0</v>
      </c>
      <c r="Q118" s="139">
        <v>0</v>
      </c>
      <c r="T118" s="114">
        <f>N118-M118</f>
        <v>0</v>
      </c>
      <c r="U118" s="4">
        <f>IF(M118=0,0,N118/M118-1)</f>
        <v>0</v>
      </c>
      <c r="AA118">
        <v>29.98</v>
      </c>
      <c r="AB118">
        <v>47.81</v>
      </c>
      <c r="AC118" s="4">
        <f>AB118/AA118-1</f>
        <v>0.59472981987992002</v>
      </c>
    </row>
    <row r="119" spans="1:30">
      <c r="A119" s="5" t="s">
        <v>1097</v>
      </c>
      <c r="B119" s="27" t="s">
        <v>1098</v>
      </c>
      <c r="C119" s="19">
        <v>651</v>
      </c>
      <c r="D119" s="5"/>
      <c r="E119" s="27" t="s">
        <v>1098</v>
      </c>
      <c r="F119" s="19">
        <v>654</v>
      </c>
      <c r="G119" t="b">
        <f>IF(B119=E119,TRUE,FALSE)</f>
        <v>1</v>
      </c>
      <c r="H119" s="5"/>
      <c r="I119" s="5"/>
      <c r="J119" s="25">
        <f>F119-C119</f>
        <v>3</v>
      </c>
      <c r="K119" s="4">
        <f>F119/C119-1</f>
        <v>4.6082949308756671E-3</v>
      </c>
      <c r="L119" s="5"/>
      <c r="M119" s="5">
        <v>293.91000000000003</v>
      </c>
      <c r="N119" s="5">
        <v>271.95999999999998</v>
      </c>
      <c r="O119" s="5"/>
      <c r="P119" s="5"/>
      <c r="Q119" s="139">
        <v>1416.17</v>
      </c>
      <c r="R119" s="5"/>
      <c r="S119" s="5"/>
      <c r="T119" s="114">
        <f>N119-M119</f>
        <v>-21.950000000000045</v>
      </c>
      <c r="U119" s="4">
        <f>IF(M119=0,0,N119/M119-1)</f>
        <v>-7.4682726004559385E-2</v>
      </c>
      <c r="V119" s="5"/>
      <c r="W119" s="5"/>
      <c r="X119" s="5"/>
      <c r="Y119" s="5"/>
      <c r="Z119" s="15"/>
      <c r="AA119" s="18">
        <v>9107.07</v>
      </c>
      <c r="AB119" s="18">
        <v>9148.34</v>
      </c>
      <c r="AC119" s="4">
        <f>AB119/AA119-1</f>
        <v>4.5316440962901439E-3</v>
      </c>
    </row>
    <row r="120" spans="1:30">
      <c r="A120" t="s">
        <v>1099</v>
      </c>
      <c r="B120" t="s">
        <v>1100</v>
      </c>
      <c r="C120" s="19">
        <v>691</v>
      </c>
      <c r="E120" t="s">
        <v>1100</v>
      </c>
      <c r="F120" s="19">
        <v>710</v>
      </c>
      <c r="G120" t="b">
        <f>IF(B120=E120,TRUE,FALSE)</f>
        <v>1</v>
      </c>
      <c r="J120" s="25">
        <f>F120-C120</f>
        <v>19</v>
      </c>
      <c r="K120" s="4">
        <f>F120/C120-1</f>
        <v>2.7496382054992718E-2</v>
      </c>
      <c r="M120" s="5">
        <v>512.97</v>
      </c>
      <c r="N120" s="5">
        <v>422.77</v>
      </c>
      <c r="Q120" s="139">
        <v>1713.15</v>
      </c>
      <c r="T120" s="114">
        <f>N120-M120</f>
        <v>-90.200000000000045</v>
      </c>
      <c r="U120" s="4">
        <f>IF(M120=0,0,N120/M120-1)</f>
        <v>-0.17583874300641367</v>
      </c>
      <c r="AA120" s="18">
        <v>15195.09</v>
      </c>
      <c r="AB120" s="18">
        <v>15612.68</v>
      </c>
      <c r="AC120" s="4">
        <f>AB120/AA120-1</f>
        <v>2.7481903693890697E-2</v>
      </c>
      <c r="AD120" s="5"/>
    </row>
    <row r="121" spans="1:30">
      <c r="A121" t="s">
        <v>1101</v>
      </c>
      <c r="B121" t="s">
        <v>1102</v>
      </c>
      <c r="C121" s="19">
        <v>881</v>
      </c>
      <c r="E121" t="s">
        <v>1102</v>
      </c>
      <c r="F121" s="19">
        <v>903</v>
      </c>
      <c r="G121" t="b">
        <f>IF(B121=E121,TRUE,FALSE)</f>
        <v>1</v>
      </c>
      <c r="J121" s="25">
        <f>F121-C121</f>
        <v>22</v>
      </c>
      <c r="K121" s="4">
        <f>F121/C121-1</f>
        <v>2.4971623155505052E-2</v>
      </c>
      <c r="M121" s="5">
        <v>475.34</v>
      </c>
      <c r="N121" s="5">
        <v>374.9</v>
      </c>
      <c r="Q121" s="139">
        <v>3763.5</v>
      </c>
      <c r="T121" s="114">
        <f>N121-M121</f>
        <v>-100.44</v>
      </c>
      <c r="U121" s="4">
        <f>IF(M121=0,0,N121/M121-1)</f>
        <v>-0.21130138427231038</v>
      </c>
      <c r="AA121" s="18">
        <v>25533.52</v>
      </c>
      <c r="AB121" s="18">
        <v>26171.01</v>
      </c>
      <c r="AC121" s="4">
        <f>AB121/AA121-1</f>
        <v>2.4966788754546831E-2</v>
      </c>
    </row>
    <row r="122" spans="1:30">
      <c r="A122" s="153" t="s">
        <v>1103</v>
      </c>
      <c r="B122" t="s">
        <v>1104</v>
      </c>
      <c r="C122" s="19">
        <v>635</v>
      </c>
      <c r="E122" t="s">
        <v>1104</v>
      </c>
      <c r="F122" s="19">
        <v>661</v>
      </c>
      <c r="G122" t="b">
        <f>IF(B122=E122,TRUE,FALSE)</f>
        <v>1</v>
      </c>
      <c r="J122" s="25">
        <f>F122-C122</f>
        <v>26</v>
      </c>
      <c r="K122" s="4">
        <f>F122/C122-1</f>
        <v>4.0944881889763751E-2</v>
      </c>
      <c r="M122" s="5">
        <v>1332.48</v>
      </c>
      <c r="N122" s="5">
        <v>904.2</v>
      </c>
      <c r="Q122" s="139">
        <v>3195.99</v>
      </c>
      <c r="T122" s="114">
        <f>N122-M122</f>
        <v>-428.28</v>
      </c>
      <c r="U122" s="4">
        <f>IF(M122=0,0,N122/M122-1)</f>
        <v>-0.3214157060518732</v>
      </c>
      <c r="AA122" s="18">
        <v>12148.35</v>
      </c>
      <c r="AB122" s="18">
        <v>13543.7</v>
      </c>
      <c r="AC122" s="4">
        <f>AB122/AA122-1</f>
        <v>0.11485921956479683</v>
      </c>
    </row>
    <row r="123" spans="1:30">
      <c r="A123" t="s">
        <v>1105</v>
      </c>
      <c r="B123" t="s">
        <v>1106</v>
      </c>
      <c r="C123" s="19">
        <v>1197</v>
      </c>
      <c r="D123" s="5"/>
      <c r="E123" t="s">
        <v>1106</v>
      </c>
      <c r="F123" s="19">
        <v>1226</v>
      </c>
      <c r="G123" t="b">
        <f>IF(B123=E123,TRUE,FALSE)</f>
        <v>1</v>
      </c>
      <c r="H123" s="5"/>
      <c r="I123" s="5"/>
      <c r="J123" s="25">
        <f>F123-C123</f>
        <v>29</v>
      </c>
      <c r="K123" s="4">
        <f>F123/C123-1</f>
        <v>2.4227234753550597E-2</v>
      </c>
      <c r="L123" s="5"/>
      <c r="M123" s="5">
        <v>1643.99</v>
      </c>
      <c r="N123" s="5">
        <v>1163.29</v>
      </c>
      <c r="O123" s="5"/>
      <c r="P123" s="5"/>
      <c r="Q123" s="139">
        <v>5950.16</v>
      </c>
      <c r="R123" s="5"/>
      <c r="S123" s="5"/>
      <c r="T123" s="114">
        <f>N123-M123</f>
        <v>-480.70000000000005</v>
      </c>
      <c r="U123" s="4">
        <f>IF(M123=0,0,N123/M123-1)</f>
        <v>-0.29239837225287257</v>
      </c>
      <c r="V123" s="5"/>
      <c r="W123" s="5"/>
      <c r="X123" s="5"/>
      <c r="Y123" s="5"/>
      <c r="Z123" s="15"/>
      <c r="AA123" s="18">
        <v>26317.41</v>
      </c>
      <c r="AB123" s="18">
        <v>26953.360000000001</v>
      </c>
      <c r="AC123" s="4">
        <f>AB123/AA123-1</f>
        <v>2.4164611943196634E-2</v>
      </c>
    </row>
    <row r="124" spans="1:30">
      <c r="A124" t="s">
        <v>1107</v>
      </c>
      <c r="B124" t="s">
        <v>1108</v>
      </c>
      <c r="C124" s="19">
        <v>421</v>
      </c>
      <c r="E124" t="s">
        <v>1108</v>
      </c>
      <c r="F124" s="19">
        <v>458</v>
      </c>
      <c r="G124" t="b">
        <f>IF(B124=E124,TRUE,FALSE)</f>
        <v>1</v>
      </c>
      <c r="J124" s="25">
        <f>F124-C124</f>
        <v>37</v>
      </c>
      <c r="K124" s="4">
        <f>F124/C124-1</f>
        <v>8.7885985748218598E-2</v>
      </c>
      <c r="M124" s="5">
        <v>174.74</v>
      </c>
      <c r="N124" s="5">
        <v>145.28</v>
      </c>
      <c r="Q124" s="139">
        <v>441.61</v>
      </c>
      <c r="T124" s="114">
        <f>N124-M124</f>
        <v>-29.460000000000008</v>
      </c>
      <c r="U124" s="4">
        <f>IF(M124=0,0,N124/M124-1)</f>
        <v>-0.16859333867460236</v>
      </c>
      <c r="AA124" s="18">
        <v>7994.79</v>
      </c>
      <c r="AB124" s="18">
        <v>8619.4</v>
      </c>
      <c r="AC124" s="4">
        <f>AB124/AA124-1</f>
        <v>7.8127130293603742E-2</v>
      </c>
      <c r="AD124" s="5"/>
    </row>
    <row r="125" spans="1:30">
      <c r="A125" t="s">
        <v>1109</v>
      </c>
      <c r="B125" t="s">
        <v>1110</v>
      </c>
      <c r="C125" s="19">
        <v>944</v>
      </c>
      <c r="E125" t="s">
        <v>1110</v>
      </c>
      <c r="F125" s="19">
        <v>985</v>
      </c>
      <c r="G125" t="b">
        <f>IF(B125=E125,TRUE,FALSE)</f>
        <v>1</v>
      </c>
      <c r="J125" s="25">
        <f>F125-C125</f>
        <v>41</v>
      </c>
      <c r="K125" s="4">
        <f>F125/C125-1</f>
        <v>4.3432203389830448E-2</v>
      </c>
      <c r="M125" s="5">
        <v>610.38</v>
      </c>
      <c r="N125" s="5">
        <v>624.55999999999995</v>
      </c>
      <c r="Q125" s="139">
        <v>3700.2</v>
      </c>
      <c r="T125" s="114">
        <f>N125-M125</f>
        <v>14.17999999999995</v>
      </c>
      <c r="U125" s="4">
        <f>IF(M125=0,0,N125/M125-1)</f>
        <v>2.3231429601231923E-2</v>
      </c>
      <c r="AA125" s="18">
        <v>18198.560000000001</v>
      </c>
      <c r="AB125" s="18">
        <v>19688.75</v>
      </c>
      <c r="AC125" s="4">
        <f>AB125/AA125-1</f>
        <v>8.1885050245733559E-2</v>
      </c>
      <c r="AD125" s="5"/>
    </row>
    <row r="126" spans="1:30">
      <c r="A126" t="s">
        <v>1111</v>
      </c>
      <c r="B126" t="s">
        <v>1112</v>
      </c>
      <c r="C126" s="19">
        <v>587</v>
      </c>
      <c r="E126" t="s">
        <v>1112</v>
      </c>
      <c r="F126" s="19">
        <v>655</v>
      </c>
      <c r="G126" t="b">
        <f>IF(B126=E126,TRUE,FALSE)</f>
        <v>1</v>
      </c>
      <c r="J126" s="25">
        <f>F126-C126</f>
        <v>68</v>
      </c>
      <c r="K126" s="4">
        <f>F126/C126-1</f>
        <v>0.11584327086882462</v>
      </c>
      <c r="M126" s="5">
        <v>419.14</v>
      </c>
      <c r="N126" s="5">
        <v>366.52</v>
      </c>
      <c r="Q126" s="139">
        <v>1556.75</v>
      </c>
      <c r="T126" s="114">
        <f>N126-M126</f>
        <v>-52.620000000000005</v>
      </c>
      <c r="U126" s="4">
        <f>IF(M126=0,0,N126/M126-1)</f>
        <v>-0.12554277806938019</v>
      </c>
      <c r="AA126" s="18">
        <v>14058.65</v>
      </c>
      <c r="AB126" s="18">
        <v>15687.25</v>
      </c>
      <c r="AC126" s="4">
        <f>AB126/AA126-1</f>
        <v>0.11584327086882462</v>
      </c>
      <c r="AD126" s="5"/>
    </row>
    <row r="127" spans="1:30">
      <c r="A127" t="s">
        <v>1113</v>
      </c>
      <c r="B127" s="27" t="s">
        <v>1114</v>
      </c>
      <c r="C127" s="19">
        <v>633</v>
      </c>
      <c r="E127" s="27" t="s">
        <v>1114</v>
      </c>
      <c r="F127" s="19">
        <v>711</v>
      </c>
      <c r="G127" t="b">
        <f>IF(B127=E127,TRUE,FALSE)</f>
        <v>1</v>
      </c>
      <c r="J127" s="25">
        <f>F127-C127</f>
        <v>78</v>
      </c>
      <c r="K127" s="4">
        <f>F127/C127-1</f>
        <v>0.12322274881516582</v>
      </c>
      <c r="M127" s="5">
        <v>254.13</v>
      </c>
      <c r="N127" s="5">
        <v>350.3</v>
      </c>
      <c r="Q127" s="139">
        <v>1665.19</v>
      </c>
      <c r="T127" s="114">
        <f>N127-M127</f>
        <v>96.170000000000016</v>
      </c>
      <c r="U127" s="4">
        <f>IF(M127=0,0,N127/M127-1)</f>
        <v>0.37842836343603681</v>
      </c>
      <c r="AA127" s="18">
        <v>13918.57</v>
      </c>
      <c r="AB127" s="18">
        <v>15634.23</v>
      </c>
      <c r="AC127" s="4">
        <f>AB127/AA127-1</f>
        <v>0.1232640996884018</v>
      </c>
    </row>
    <row r="128" spans="1:30">
      <c r="A128" t="s">
        <v>1115</v>
      </c>
      <c r="B128" t="s">
        <v>1116</v>
      </c>
      <c r="C128" s="19">
        <v>623</v>
      </c>
      <c r="E128" t="s">
        <v>1116</v>
      </c>
      <c r="F128" s="19">
        <v>714</v>
      </c>
      <c r="G128" t="b">
        <f>IF(B128=E128,TRUE,FALSE)</f>
        <v>1</v>
      </c>
      <c r="J128" s="25">
        <f>F128-C128</f>
        <v>91</v>
      </c>
      <c r="K128" s="4">
        <f>F128/C128-1</f>
        <v>0.14606741573033699</v>
      </c>
      <c r="M128" s="5">
        <v>343.05</v>
      </c>
      <c r="N128" s="5">
        <v>388.15</v>
      </c>
      <c r="Q128" s="139">
        <v>4018.26</v>
      </c>
      <c r="T128" s="114">
        <f>N128-M128</f>
        <v>45.099999999999966</v>
      </c>
      <c r="U128" s="4">
        <f>IF(M128=0,0,N128/M128-1)</f>
        <v>0.13146771607637353</v>
      </c>
      <c r="AA128" s="18">
        <v>12052.77</v>
      </c>
      <c r="AB128" s="18">
        <v>14271.26</v>
      </c>
      <c r="AC128" s="4">
        <f>AB128/AA128-1</f>
        <v>0.18406474196388056</v>
      </c>
      <c r="AD128" s="5"/>
    </row>
    <row r="129" spans="1:30">
      <c r="A129" t="s">
        <v>1117</v>
      </c>
      <c r="B129" t="s">
        <v>1118</v>
      </c>
      <c r="C129" s="19">
        <v>398</v>
      </c>
      <c r="E129" t="s">
        <v>1118</v>
      </c>
      <c r="F129" s="19">
        <v>491</v>
      </c>
      <c r="G129" t="b">
        <f>IF(B129=E129,TRUE,FALSE)</f>
        <v>1</v>
      </c>
      <c r="J129" s="25">
        <f>F129-C129</f>
        <v>93</v>
      </c>
      <c r="K129" s="4">
        <f>F129/C129-1</f>
        <v>0.23366834170854278</v>
      </c>
      <c r="M129" s="5">
        <v>0</v>
      </c>
      <c r="N129" s="5">
        <v>0</v>
      </c>
      <c r="Q129" s="139">
        <v>0</v>
      </c>
      <c r="T129" s="114">
        <f>N129-M129</f>
        <v>0</v>
      </c>
      <c r="U129" s="4">
        <f>IF(M129=0,0,N129/M129-1)</f>
        <v>0</v>
      </c>
      <c r="Z129" s="122"/>
      <c r="AA129" s="18">
        <v>12711.62</v>
      </c>
      <c r="AB129" s="18">
        <v>15682.97</v>
      </c>
      <c r="AC129" s="4">
        <f>AB129/AA129-1</f>
        <v>0.23375069424668116</v>
      </c>
      <c r="AD129" s="5"/>
    </row>
    <row r="130" spans="1:30">
      <c r="A130" s="54" t="s">
        <v>1119</v>
      </c>
      <c r="B130" s="37" t="s">
        <v>1120</v>
      </c>
      <c r="C130" s="19">
        <v>0</v>
      </c>
      <c r="E130" s="37" t="s">
        <v>1120</v>
      </c>
      <c r="F130" s="19">
        <v>130</v>
      </c>
      <c r="G130" t="b">
        <f>IF(B130=E130,TRUE,FALSE)</f>
        <v>1</v>
      </c>
      <c r="J130" s="25">
        <f>F130-C130</f>
        <v>130</v>
      </c>
      <c r="K130" s="4" t="e">
        <f>F130/C130-1</f>
        <v>#DIV/0!</v>
      </c>
      <c r="M130" s="5">
        <v>0</v>
      </c>
      <c r="N130" s="5">
        <v>527.89</v>
      </c>
      <c r="Q130" s="139">
        <v>2466.52</v>
      </c>
      <c r="T130" s="114">
        <f>N130-M130</f>
        <v>527.89</v>
      </c>
      <c r="U130" s="4">
        <f>IF(M130=0,0,N130/M130-1)</f>
        <v>0</v>
      </c>
      <c r="Z130" s="122"/>
      <c r="AA130" s="18">
        <v>0</v>
      </c>
      <c r="AB130" s="18">
        <v>2598.5</v>
      </c>
      <c r="AC130" s="4" t="e">
        <f>AB130/AA130-1</f>
        <v>#DIV/0!</v>
      </c>
    </row>
    <row r="131" spans="1:30">
      <c r="A131" s="54" t="s">
        <v>1121</v>
      </c>
      <c r="B131" s="37" t="s">
        <v>1122</v>
      </c>
      <c r="C131" s="19">
        <v>682</v>
      </c>
      <c r="E131" s="37" t="s">
        <v>1122</v>
      </c>
      <c r="F131" s="19">
        <v>853</v>
      </c>
      <c r="G131" t="b">
        <f>IF(B131=E131,TRUE,FALSE)</f>
        <v>1</v>
      </c>
      <c r="J131" s="25">
        <f>F131-C131</f>
        <v>171</v>
      </c>
      <c r="K131" s="4">
        <f>F131/C131-1</f>
        <v>0.25073313782991202</v>
      </c>
      <c r="M131" s="5">
        <v>1178.6400000000001</v>
      </c>
      <c r="N131" s="5">
        <v>1487.78</v>
      </c>
      <c r="Q131" s="139">
        <v>5351.32</v>
      </c>
      <c r="T131" s="114">
        <f>N131-M131</f>
        <v>309.13999999999987</v>
      </c>
      <c r="U131" s="4">
        <f>IF(M131=0,0,N131/M131-1)</f>
        <v>0.26228534582230356</v>
      </c>
      <c r="Z131" s="122"/>
      <c r="AA131" s="18">
        <v>7823.18</v>
      </c>
      <c r="AB131" s="18">
        <v>11389.19</v>
      </c>
      <c r="AC131" s="4">
        <f>AB131/AA131-1</f>
        <v>0.4558261474234262</v>
      </c>
      <c r="AD131" t="s">
        <v>1123</v>
      </c>
    </row>
    <row r="132" spans="1:30">
      <c r="A132" t="s">
        <v>1124</v>
      </c>
      <c r="B132" t="s">
        <v>1125</v>
      </c>
      <c r="C132" s="19">
        <v>590</v>
      </c>
      <c r="E132" t="s">
        <v>1125</v>
      </c>
      <c r="F132" s="19">
        <v>802</v>
      </c>
      <c r="G132" t="b">
        <f>IF(B132=E132,TRUE,FALSE)</f>
        <v>1</v>
      </c>
      <c r="J132" s="25">
        <f>F132-C132</f>
        <v>212</v>
      </c>
      <c r="K132" s="4">
        <f>F132/C132-1</f>
        <v>0.35932203389830519</v>
      </c>
      <c r="M132" s="5">
        <v>142.74</v>
      </c>
      <c r="N132" s="5">
        <v>176.68</v>
      </c>
      <c r="Q132" s="139">
        <v>1513.73</v>
      </c>
      <c r="T132" s="114">
        <f>N132-M132</f>
        <v>33.94</v>
      </c>
      <c r="U132" s="4">
        <f>IF(M132=0,0,N132/M132-1)</f>
        <v>0.23777497547989346</v>
      </c>
      <c r="Z132" s="122"/>
      <c r="AA132" s="18">
        <v>21234.1</v>
      </c>
      <c r="AB132" s="18">
        <v>25469.51</v>
      </c>
      <c r="AC132" s="4">
        <f>AB132/AA132-1</f>
        <v>0.19946265676435537</v>
      </c>
    </row>
    <row r="133" spans="1:30">
      <c r="A133" t="s">
        <v>1126</v>
      </c>
      <c r="B133" t="s">
        <v>1127</v>
      </c>
      <c r="C133" s="19">
        <v>551</v>
      </c>
      <c r="D133" s="5"/>
      <c r="E133" t="s">
        <v>1127</v>
      </c>
      <c r="F133" s="19">
        <v>771</v>
      </c>
      <c r="G133" t="b">
        <f>IF(B133=E133,TRUE,FALSE)</f>
        <v>1</v>
      </c>
      <c r="H133" s="5"/>
      <c r="I133" s="5"/>
      <c r="J133" s="25">
        <f>F133-C133</f>
        <v>220</v>
      </c>
      <c r="K133" s="4">
        <f>F133/C133-1</f>
        <v>0.39927404718693293</v>
      </c>
      <c r="L133" s="5"/>
      <c r="M133" s="5">
        <v>300.38</v>
      </c>
      <c r="N133" s="5">
        <v>628.02</v>
      </c>
      <c r="O133" s="5"/>
      <c r="P133" s="5"/>
      <c r="Q133" s="139">
        <v>2918.43</v>
      </c>
      <c r="R133" s="5"/>
      <c r="S133" s="5"/>
      <c r="T133" s="114">
        <f>N133-M133</f>
        <v>327.64</v>
      </c>
      <c r="U133" s="4">
        <f>IF(M133=0,0,N133/M133-1)</f>
        <v>1.090751714494973</v>
      </c>
      <c r="V133" s="5"/>
      <c r="W133" s="5"/>
      <c r="X133" s="5"/>
      <c r="Y133" s="5"/>
      <c r="Z133" s="151"/>
      <c r="AA133" s="18">
        <v>14870.95</v>
      </c>
      <c r="AB133" s="18">
        <v>20807.669999999998</v>
      </c>
      <c r="AC133" s="4">
        <f>AB133/AA133-1</f>
        <v>0.39921592097344138</v>
      </c>
    </row>
    <row r="134" spans="1:30">
      <c r="A134" t="s">
        <v>1128</v>
      </c>
      <c r="B134" t="s">
        <v>1129</v>
      </c>
      <c r="C134" s="19">
        <v>455</v>
      </c>
      <c r="E134" t="s">
        <v>1129</v>
      </c>
      <c r="F134" s="19">
        <v>678</v>
      </c>
      <c r="G134" t="b">
        <f>IF(B134=E134,TRUE,FALSE)</f>
        <v>1</v>
      </c>
      <c r="J134" s="25">
        <f>F134-C134</f>
        <v>223</v>
      </c>
      <c r="K134" s="4">
        <f>F134/C134-1</f>
        <v>0.49010989010989015</v>
      </c>
      <c r="M134" s="5">
        <v>133.01</v>
      </c>
      <c r="N134" s="5">
        <v>386.88</v>
      </c>
      <c r="Q134" s="139">
        <v>1439.25</v>
      </c>
      <c r="T134" s="114">
        <f>N134-M134</f>
        <v>253.87</v>
      </c>
      <c r="U134" s="4">
        <f>IF(M134=0,0,N134/M134-1)</f>
        <v>1.9086534847003986</v>
      </c>
      <c r="Y134" t="s">
        <v>1130</v>
      </c>
      <c r="Z134" s="122"/>
      <c r="AA134" s="18">
        <v>8639.69</v>
      </c>
      <c r="AB134" s="18">
        <v>12874.46</v>
      </c>
      <c r="AC134" s="4">
        <f>AB134/AA134-1</f>
        <v>0.4901530031748822</v>
      </c>
      <c r="AD134" s="5"/>
    </row>
    <row r="135" spans="1:30">
      <c r="A135" s="54" t="s">
        <v>1131</v>
      </c>
      <c r="B135" s="37" t="s">
        <v>1132</v>
      </c>
      <c r="C135" s="19">
        <v>0</v>
      </c>
      <c r="E135" s="37" t="s">
        <v>1132</v>
      </c>
      <c r="F135" s="19">
        <v>268</v>
      </c>
      <c r="G135" t="b">
        <f>IF(B135=E135,TRUE,FALSE)</f>
        <v>1</v>
      </c>
      <c r="J135" s="25">
        <f>F135-C135</f>
        <v>268</v>
      </c>
      <c r="K135" s="4" t="e">
        <f>F135/C135-1</f>
        <v>#DIV/0!</v>
      </c>
      <c r="M135" s="5">
        <v>0</v>
      </c>
      <c r="N135" s="5">
        <v>1203.26</v>
      </c>
      <c r="Q135" s="139">
        <v>6267.43</v>
      </c>
      <c r="T135" s="114">
        <f>N135-M135</f>
        <v>1203.26</v>
      </c>
      <c r="U135" s="4">
        <f>IF(M135=0,0,N135/M135-1)</f>
        <v>0</v>
      </c>
      <c r="Z135" s="122"/>
      <c r="AA135" s="18">
        <v>0</v>
      </c>
      <c r="AB135" s="18">
        <v>5356.52</v>
      </c>
      <c r="AC135" s="4" t="e">
        <f>AB135/AA135-1</f>
        <v>#DIV/0!</v>
      </c>
    </row>
    <row r="136" spans="1:30">
      <c r="A136" s="153" t="s">
        <v>1133</v>
      </c>
      <c r="B136" s="5" t="s">
        <v>1134</v>
      </c>
      <c r="C136" s="19">
        <v>739</v>
      </c>
      <c r="D136" s="5"/>
      <c r="E136" t="s">
        <v>1134</v>
      </c>
      <c r="F136" s="19">
        <v>1013</v>
      </c>
      <c r="G136" t="b">
        <f>IF(B136=E136,TRUE,FALSE)</f>
        <v>1</v>
      </c>
      <c r="H136" s="5"/>
      <c r="I136" s="5"/>
      <c r="J136" s="25">
        <f>F136-C136</f>
        <v>274</v>
      </c>
      <c r="K136" s="4">
        <f>F136/C136-1</f>
        <v>0.37077131258457374</v>
      </c>
      <c r="L136" s="5"/>
      <c r="M136" s="5">
        <v>463.14</v>
      </c>
      <c r="N136" s="5">
        <v>1165.3800000000001</v>
      </c>
      <c r="O136" s="5"/>
      <c r="P136" s="5"/>
      <c r="Q136" s="139">
        <v>2034</v>
      </c>
      <c r="R136" s="5"/>
      <c r="S136" s="5"/>
      <c r="T136" s="114">
        <f>N136-M136</f>
        <v>702.24000000000012</v>
      </c>
      <c r="U136" s="4">
        <f>IF(M136=0,0,N136/M136-1)</f>
        <v>1.5162585827179691</v>
      </c>
      <c r="V136" s="5"/>
      <c r="W136" s="5"/>
      <c r="X136" s="5"/>
      <c r="Y136" s="5"/>
      <c r="Z136" s="151"/>
      <c r="AA136" s="18">
        <v>14769.01</v>
      </c>
      <c r="AB136" s="18">
        <v>20389.879999999997</v>
      </c>
      <c r="AC136" s="4">
        <f>AB136/AA136-1</f>
        <v>0.38058542854260358</v>
      </c>
    </row>
    <row r="137" spans="1:30">
      <c r="A137" t="s">
        <v>1135</v>
      </c>
      <c r="B137" t="s">
        <v>1136</v>
      </c>
      <c r="C137" s="19">
        <v>570</v>
      </c>
      <c r="E137" t="s">
        <v>1136</v>
      </c>
      <c r="F137" s="19">
        <v>964</v>
      </c>
      <c r="G137" t="b">
        <f>IF(B137=E137,TRUE,FALSE)</f>
        <v>1</v>
      </c>
      <c r="J137" s="25">
        <f>F137-C137</f>
        <v>394</v>
      </c>
      <c r="K137" s="4">
        <f>F137/C137-1</f>
        <v>0.69122807017543852</v>
      </c>
      <c r="M137" s="5">
        <v>143.51</v>
      </c>
      <c r="N137" s="5">
        <v>304.82</v>
      </c>
      <c r="Q137" s="139">
        <v>1220.1600000000001</v>
      </c>
      <c r="T137" s="114">
        <f>N137-M137</f>
        <v>161.31</v>
      </c>
      <c r="U137" s="4">
        <f>IF(M137=0,0,N137/M137-1)</f>
        <v>1.1240331684203193</v>
      </c>
      <c r="Z137" s="122"/>
      <c r="AA137" s="18">
        <v>12533.86</v>
      </c>
      <c r="AB137" s="18">
        <v>21196.6</v>
      </c>
      <c r="AC137" s="4">
        <f>AB137/AA137-1</f>
        <v>0.6911470209496513</v>
      </c>
    </row>
    <row r="138" spans="1:30">
      <c r="A138" s="153" t="s">
        <v>1137</v>
      </c>
      <c r="B138" t="s">
        <v>1138</v>
      </c>
      <c r="C138" s="19">
        <v>1069</v>
      </c>
      <c r="E138" t="s">
        <v>1138</v>
      </c>
      <c r="F138" s="19">
        <v>1465</v>
      </c>
      <c r="G138" t="b">
        <f>IF(B138=E138,TRUE,FALSE)</f>
        <v>1</v>
      </c>
      <c r="J138" s="25">
        <f>F138-C138</f>
        <v>396</v>
      </c>
      <c r="K138" s="4">
        <f>F138/C138-1</f>
        <v>0.37043966323666977</v>
      </c>
      <c r="M138" s="5">
        <v>1221.76</v>
      </c>
      <c r="N138" s="5">
        <v>635.21</v>
      </c>
      <c r="Q138" s="139">
        <v>2961.9</v>
      </c>
      <c r="T138" s="114">
        <f>N138-M138</f>
        <v>-586.54999999999995</v>
      </c>
      <c r="U138" s="4">
        <f>IF(M138=0,0,N138/M138-1)</f>
        <v>-0.48008610529072815</v>
      </c>
      <c r="Z138" s="122"/>
      <c r="AA138" s="18">
        <v>32006.05</v>
      </c>
      <c r="AB138" s="18">
        <v>45253.5</v>
      </c>
      <c r="AC138" s="4">
        <f>AB138/AA138-1</f>
        <v>0.41390455866937659</v>
      </c>
    </row>
    <row r="139" spans="1:30">
      <c r="A139" s="154" t="s">
        <v>1139</v>
      </c>
      <c r="B139" s="27" t="s">
        <v>1140</v>
      </c>
      <c r="C139" s="19">
        <v>6</v>
      </c>
      <c r="E139" s="27" t="s">
        <v>1140</v>
      </c>
      <c r="F139" s="19">
        <v>498</v>
      </c>
      <c r="G139" t="b">
        <f>IF(B139=E139,TRUE,FALSE)</f>
        <v>1</v>
      </c>
      <c r="J139" s="25">
        <f>F139-C139</f>
        <v>492</v>
      </c>
      <c r="K139" s="4">
        <f>F139/C139-1</f>
        <v>82</v>
      </c>
      <c r="M139" s="5">
        <v>0</v>
      </c>
      <c r="N139" s="5">
        <v>863.5</v>
      </c>
      <c r="Q139" s="139">
        <v>1675.57</v>
      </c>
      <c r="T139" s="114">
        <f>N139-M139</f>
        <v>863.5</v>
      </c>
      <c r="U139" s="4">
        <f>IF(M139=0,0,N139/M139-1)</f>
        <v>0</v>
      </c>
      <c r="Z139" s="122"/>
      <c r="AA139" s="18">
        <v>95.94</v>
      </c>
      <c r="AB139" s="18">
        <v>10951.019999999999</v>
      </c>
      <c r="AC139" s="4">
        <f>AB139/AA139-1</f>
        <v>113.14446529080674</v>
      </c>
    </row>
    <row r="140" spans="1:30">
      <c r="A140" s="153" t="s">
        <v>1141</v>
      </c>
      <c r="B140" s="5" t="s">
        <v>1142</v>
      </c>
      <c r="C140" s="19">
        <v>446</v>
      </c>
      <c r="E140" t="s">
        <v>1142</v>
      </c>
      <c r="F140" s="19">
        <v>1115</v>
      </c>
      <c r="G140" t="b">
        <f>IF(B140=E140,TRUE,FALSE)</f>
        <v>1</v>
      </c>
      <c r="J140" s="25">
        <f>F140-C140</f>
        <v>669</v>
      </c>
      <c r="K140" s="4">
        <f>F140/C140-1</f>
        <v>1.5</v>
      </c>
      <c r="M140" s="5">
        <v>431.36</v>
      </c>
      <c r="N140" s="5">
        <v>1713</v>
      </c>
      <c r="Q140" s="139">
        <v>3823.44</v>
      </c>
      <c r="T140" s="114">
        <f>N140-M140</f>
        <v>1281.6399999999999</v>
      </c>
      <c r="U140" s="4">
        <f>IF(M140=0,0,N140/M140-1)</f>
        <v>2.9711609792284865</v>
      </c>
      <c r="Z140" s="122"/>
      <c r="AA140" s="18">
        <v>10233.86</v>
      </c>
      <c r="AB140" s="18">
        <v>25589.25</v>
      </c>
      <c r="AC140" s="4">
        <f>AB140/AA140-1</f>
        <v>1.5004494882673791</v>
      </c>
    </row>
    <row r="141" spans="1:30">
      <c r="A141" s="5" t="s">
        <v>1143</v>
      </c>
      <c r="B141" s="5" t="s">
        <v>1144</v>
      </c>
      <c r="C141" s="19">
        <v>530</v>
      </c>
      <c r="D141" s="5"/>
      <c r="E141" t="s">
        <v>1144</v>
      </c>
      <c r="F141" s="19">
        <v>1360</v>
      </c>
      <c r="G141" t="b">
        <f>IF(B141=E141,TRUE,FALSE)</f>
        <v>1</v>
      </c>
      <c r="H141" s="5"/>
      <c r="I141" s="5"/>
      <c r="J141" s="25">
        <f>F141-C141</f>
        <v>830</v>
      </c>
      <c r="K141" s="4">
        <f>F141/C141-1</f>
        <v>1.5660377358490565</v>
      </c>
      <c r="L141" s="5"/>
      <c r="M141" s="5">
        <v>0</v>
      </c>
      <c r="N141" s="5">
        <v>0</v>
      </c>
      <c r="O141" s="5"/>
      <c r="P141" s="5"/>
      <c r="Q141" s="139">
        <v>0</v>
      </c>
      <c r="R141" s="5"/>
      <c r="S141" s="5"/>
      <c r="T141" s="114">
        <f>N141-M141</f>
        <v>0</v>
      </c>
      <c r="U141" s="4">
        <f>IF(M141=0,0,N141/M141-1)</f>
        <v>0</v>
      </c>
      <c r="V141" s="5"/>
      <c r="W141" s="5"/>
      <c r="X141" s="5"/>
      <c r="Y141" s="5"/>
      <c r="Z141" s="151"/>
      <c r="AA141" s="18">
        <v>15894.4</v>
      </c>
      <c r="AB141" s="18">
        <v>40784</v>
      </c>
      <c r="AC141" s="4">
        <f>AB141/AA141-1</f>
        <v>1.5659351721360983</v>
      </c>
    </row>
    <row r="142" spans="1:30">
      <c r="A142" s="153" t="s">
        <v>1145</v>
      </c>
      <c r="B142" t="s">
        <v>1146</v>
      </c>
      <c r="C142" s="19">
        <v>17</v>
      </c>
      <c r="E142" t="s">
        <v>1146</v>
      </c>
      <c r="F142" s="19">
        <v>848</v>
      </c>
      <c r="G142" t="b">
        <f>IF(B142=E142,TRUE,FALSE)</f>
        <v>1</v>
      </c>
      <c r="J142" s="25">
        <f>F142-C142</f>
        <v>831</v>
      </c>
      <c r="K142" s="4">
        <f>F142/C142-1</f>
        <v>48.882352941176471</v>
      </c>
      <c r="M142" s="5">
        <v>10.65</v>
      </c>
      <c r="N142" s="5">
        <v>1625.12</v>
      </c>
      <c r="Q142" s="139">
        <v>3339.58</v>
      </c>
      <c r="T142" s="114">
        <f>N142-M142</f>
        <v>1614.4699999999998</v>
      </c>
      <c r="U142" s="4">
        <f>IF(M142=0,0,N142/M142-1)</f>
        <v>151.59342723004693</v>
      </c>
      <c r="Z142" s="122"/>
      <c r="AA142" s="18">
        <v>339.83</v>
      </c>
      <c r="AB142" s="18">
        <v>21157.599999999999</v>
      </c>
      <c r="AC142" s="4">
        <f>AB142/AA142-1</f>
        <v>61.259364976605951</v>
      </c>
    </row>
    <row r="143" spans="1:30">
      <c r="A143" s="153" t="s">
        <v>1147</v>
      </c>
      <c r="B143" t="s">
        <v>1148</v>
      </c>
      <c r="C143" s="19">
        <v>157</v>
      </c>
      <c r="E143" t="s">
        <v>1148</v>
      </c>
      <c r="F143" s="19">
        <v>1518</v>
      </c>
      <c r="G143" t="b">
        <f>IF(B143=E143,TRUE,FALSE)</f>
        <v>1</v>
      </c>
      <c r="J143" s="25">
        <f>F143-C143</f>
        <v>1361</v>
      </c>
      <c r="K143" s="4">
        <f>F143/C143-1</f>
        <v>8.6687898089171966</v>
      </c>
      <c r="M143" s="5">
        <v>33.69</v>
      </c>
      <c r="N143" s="5">
        <v>3463.2599999999998</v>
      </c>
      <c r="Q143" s="139">
        <v>6775.66</v>
      </c>
      <c r="T143" s="114">
        <f>N143-M143</f>
        <v>3429.5699999999997</v>
      </c>
      <c r="U143" s="4">
        <f>IF(M143=0,0,N143/M143-1)</f>
        <v>101.79786286731968</v>
      </c>
      <c r="Z143" s="122"/>
      <c r="AA143" s="18">
        <v>4701.87</v>
      </c>
      <c r="AB143" s="18">
        <v>45524.82</v>
      </c>
      <c r="AC143" s="4">
        <f>AB143/AA143-1</f>
        <v>8.6822796036470589</v>
      </c>
    </row>
    <row r="144" spans="1:30">
      <c r="A144" s="153" t="s">
        <v>1149</v>
      </c>
      <c r="B144" t="s">
        <v>1150</v>
      </c>
      <c r="C144" s="19">
        <v>176</v>
      </c>
      <c r="E144" t="s">
        <v>1150</v>
      </c>
      <c r="F144" s="19">
        <v>1552</v>
      </c>
      <c r="G144" t="b">
        <f>IF(B144=E144,TRUE,FALSE)</f>
        <v>1</v>
      </c>
      <c r="J144" s="25">
        <f>F144-C144</f>
        <v>1376</v>
      </c>
      <c r="K144" s="4">
        <f>F144/C144-1</f>
        <v>7.8181818181818183</v>
      </c>
      <c r="M144" s="5">
        <v>2.58</v>
      </c>
      <c r="N144" s="5">
        <v>2570.36</v>
      </c>
      <c r="Q144" s="139">
        <v>5942.9</v>
      </c>
      <c r="T144" s="114">
        <f>N144-M144</f>
        <v>2567.7800000000002</v>
      </c>
      <c r="U144" s="4">
        <f>IF(M144=0,0,N144/M144-1)</f>
        <v>995.26356589147292</v>
      </c>
      <c r="Z144" s="122"/>
      <c r="AA144" s="18">
        <v>3867.78</v>
      </c>
      <c r="AB144" s="18">
        <v>34128.480000000003</v>
      </c>
      <c r="AC144" s="4">
        <f>AB144/AA144-1</f>
        <v>7.8237903913873073</v>
      </c>
    </row>
    <row r="145" spans="1:29">
      <c r="A145" s="153" t="s">
        <v>1151</v>
      </c>
      <c r="B145" t="s">
        <v>1152</v>
      </c>
      <c r="C145" s="19">
        <v>2795</v>
      </c>
      <c r="E145" t="s">
        <v>1152</v>
      </c>
      <c r="F145" s="19">
        <v>4376</v>
      </c>
      <c r="G145" t="b">
        <f>IF(B145=E145,TRUE,FALSE)</f>
        <v>1</v>
      </c>
      <c r="J145" s="25">
        <f>F145-C145</f>
        <v>1581</v>
      </c>
      <c r="K145" s="4">
        <f>F145/C145-1</f>
        <v>0.56565295169946328</v>
      </c>
      <c r="M145" s="5">
        <v>2824.41</v>
      </c>
      <c r="N145" s="5">
        <v>8688.24</v>
      </c>
      <c r="Q145" s="139">
        <v>17422.45</v>
      </c>
      <c r="T145" s="114">
        <f>N145-M145</f>
        <v>5863.83</v>
      </c>
      <c r="U145" s="4">
        <f>IF(M145=0,0,N145/M145-1)</f>
        <v>2.0761256333181088</v>
      </c>
      <c r="Z145" s="122"/>
      <c r="AA145" s="18">
        <v>80959.820000000007</v>
      </c>
      <c r="AB145" s="18">
        <v>127126</v>
      </c>
      <c r="AC145" s="4">
        <f>AB145/AA145-1</f>
        <v>0.57023570457543005</v>
      </c>
    </row>
    <row r="146" spans="1:29">
      <c r="A146" s="153" t="s">
        <v>1153</v>
      </c>
      <c r="B146" t="s">
        <v>1154</v>
      </c>
      <c r="C146" s="19">
        <v>1429</v>
      </c>
      <c r="E146" t="s">
        <v>1154</v>
      </c>
      <c r="F146" s="19">
        <v>3170</v>
      </c>
      <c r="G146" t="b">
        <f>IF(B146=E146,TRUE,FALSE)</f>
        <v>1</v>
      </c>
      <c r="J146" s="25">
        <f>F146-C146</f>
        <v>1741</v>
      </c>
      <c r="K146" s="4">
        <f>F146/C146-1</f>
        <v>1.2183344996501049</v>
      </c>
      <c r="M146" s="5">
        <v>563.91</v>
      </c>
      <c r="N146" s="5">
        <v>4688.3999999999996</v>
      </c>
      <c r="Q146" s="139">
        <v>6980.02</v>
      </c>
      <c r="T146" s="114">
        <f>N146-M146</f>
        <v>4124.49</v>
      </c>
      <c r="U146" s="4">
        <f>IF(M146=0,0,N146/M146-1)</f>
        <v>7.3140926743629304</v>
      </c>
      <c r="Z146" s="122"/>
      <c r="AA146" s="18">
        <v>32822.99</v>
      </c>
      <c r="AB146" s="18">
        <v>72855.31</v>
      </c>
      <c r="AC146" s="4">
        <f>AB146/AA146-1</f>
        <v>1.2196426955618609</v>
      </c>
    </row>
    <row r="147" spans="1:29">
      <c r="A147" s="153" t="s">
        <v>1155</v>
      </c>
      <c r="B147" t="s">
        <v>1156</v>
      </c>
      <c r="C147" s="19">
        <v>7315</v>
      </c>
      <c r="E147" t="s">
        <v>1156</v>
      </c>
      <c r="F147" s="19">
        <v>9160</v>
      </c>
      <c r="G147" t="b">
        <f>IF(B147=E147,TRUE,FALSE)</f>
        <v>1</v>
      </c>
      <c r="J147" s="25">
        <f>F147-C147</f>
        <v>1845</v>
      </c>
      <c r="K147" s="4">
        <f>F147/C147-1</f>
        <v>0.25222146274777857</v>
      </c>
      <c r="M147" s="5">
        <v>3111.56</v>
      </c>
      <c r="N147" s="5">
        <v>6638.18</v>
      </c>
      <c r="Q147" s="139">
        <v>25292.77</v>
      </c>
      <c r="T147" s="114">
        <f>N147-M147</f>
        <v>3526.6200000000003</v>
      </c>
      <c r="U147" s="4">
        <f>IF(M147=0,0,N147/M147-1)</f>
        <v>1.1333928961678388</v>
      </c>
      <c r="W147" t="s">
        <v>1157</v>
      </c>
      <c r="Y147" t="s">
        <v>1158</v>
      </c>
      <c r="Z147" s="122"/>
      <c r="AA147" s="18">
        <v>136547.54999999999</v>
      </c>
      <c r="AB147" s="18">
        <v>161300.26</v>
      </c>
      <c r="AC147" s="4">
        <f>AB147/AA147-1</f>
        <v>0.18127538721859171</v>
      </c>
    </row>
    <row r="148" spans="1:29">
      <c r="A148" s="142" t="s">
        <v>1159</v>
      </c>
      <c r="B148" s="37" t="s">
        <v>1160</v>
      </c>
      <c r="C148">
        <v>1180</v>
      </c>
      <c r="E148" s="37" t="s">
        <v>1160</v>
      </c>
      <c r="F148">
        <v>3292</v>
      </c>
      <c r="G148" t="b">
        <f>IF(B148=E148,TRUE,FALSE)</f>
        <v>1</v>
      </c>
      <c r="J148" s="25">
        <f>F148-C148</f>
        <v>2112</v>
      </c>
      <c r="K148" s="4">
        <f>F148/C148-1</f>
        <v>1.7898305084745765</v>
      </c>
      <c r="M148" s="131">
        <v>532.66</v>
      </c>
      <c r="N148" s="131">
        <v>1927.02</v>
      </c>
      <c r="Q148" s="139">
        <v>10629.26</v>
      </c>
      <c r="T148" s="114">
        <f>N148-M148</f>
        <v>1394.3600000000001</v>
      </c>
      <c r="U148" s="4">
        <f>IF(M148=0,0,N148/M148-1)</f>
        <v>2.617729883978523</v>
      </c>
      <c r="Z148" s="122"/>
      <c r="AA148">
        <v>34496.410000000003</v>
      </c>
      <c r="AB148">
        <v>82720.7</v>
      </c>
      <c r="AC148" s="4">
        <f>AB148/AA148-1</f>
        <v>1.3979509751884325</v>
      </c>
    </row>
    <row r="149" spans="1:29">
      <c r="A149" s="153" t="s">
        <v>1161</v>
      </c>
      <c r="B149" t="s">
        <v>1162</v>
      </c>
      <c r="C149" s="19">
        <v>44</v>
      </c>
      <c r="E149" t="s">
        <v>1162</v>
      </c>
      <c r="F149" s="19">
        <v>3065</v>
      </c>
      <c r="G149" t="b">
        <f>IF(B149=E149,TRUE,FALSE)</f>
        <v>1</v>
      </c>
      <c r="J149" s="25">
        <f>F149-C149</f>
        <v>3021</v>
      </c>
      <c r="K149" s="4">
        <f>F149/C149-1</f>
        <v>68.659090909090907</v>
      </c>
      <c r="M149" s="5">
        <v>0</v>
      </c>
      <c r="N149" s="5">
        <v>7137.31</v>
      </c>
      <c r="Q149" s="139">
        <v>18177.53</v>
      </c>
      <c r="T149" s="114">
        <f>N149-M149</f>
        <v>7137.31</v>
      </c>
      <c r="U149" s="4">
        <f>IF(M149=0,0,N149/M149-1)</f>
        <v>0</v>
      </c>
      <c r="Z149" s="122"/>
      <c r="AA149" s="18">
        <v>1187.56</v>
      </c>
      <c r="AB149" s="18">
        <v>82697.36</v>
      </c>
      <c r="AC149" s="4">
        <f>AB149/AA149-1</f>
        <v>68.63636363636364</v>
      </c>
    </row>
    <row r="150" spans="1:29">
      <c r="A150" s="153" t="s">
        <v>1163</v>
      </c>
      <c r="B150" t="s">
        <v>1164</v>
      </c>
      <c r="C150" s="19">
        <v>50</v>
      </c>
      <c r="E150" t="s">
        <v>1164</v>
      </c>
      <c r="F150" s="19">
        <v>4182</v>
      </c>
      <c r="G150" t="b">
        <f>IF(B150=E150,TRUE,FALSE)</f>
        <v>1</v>
      </c>
      <c r="J150" s="25">
        <f>F150-C150</f>
        <v>4132</v>
      </c>
      <c r="K150" s="4">
        <f>F150/C150-1</f>
        <v>82.64</v>
      </c>
      <c r="M150" s="5">
        <v>0</v>
      </c>
      <c r="N150" s="5">
        <v>8609.49</v>
      </c>
      <c r="Q150" s="139">
        <v>30648.45</v>
      </c>
      <c r="T150" s="114">
        <f>N150-M150</f>
        <v>8609.49</v>
      </c>
      <c r="U150" s="4">
        <f>IF(M150=0,0,N150/M150-1)</f>
        <v>0</v>
      </c>
      <c r="W150" t="s">
        <v>1165</v>
      </c>
      <c r="Z150" s="122"/>
      <c r="AA150" s="18">
        <v>1248.5</v>
      </c>
      <c r="AB150" s="18">
        <v>104508.18</v>
      </c>
      <c r="AC150" s="4">
        <f>AB150/AA150-1</f>
        <v>82.706992390869033</v>
      </c>
    </row>
    <row r="151" spans="1:29">
      <c r="A151" s="153" t="s">
        <v>1166</v>
      </c>
      <c r="B151" t="s">
        <v>1167</v>
      </c>
      <c r="C151" s="19">
        <v>14</v>
      </c>
      <c r="E151" t="s">
        <v>1167</v>
      </c>
      <c r="F151" s="19">
        <v>4340</v>
      </c>
      <c r="G151" t="b">
        <f>IF(B151=E151,TRUE,FALSE)</f>
        <v>1</v>
      </c>
      <c r="J151" s="25">
        <f>F151-C151</f>
        <v>4326</v>
      </c>
      <c r="K151" s="4">
        <f>F151/C151-1</f>
        <v>309</v>
      </c>
      <c r="M151" s="5">
        <v>0</v>
      </c>
      <c r="N151" s="5">
        <v>10105.969999999999</v>
      </c>
      <c r="Q151" s="139">
        <v>22938.23</v>
      </c>
      <c r="T151" s="114">
        <f>N151-M151</f>
        <v>10105.969999999999</v>
      </c>
      <c r="U151" s="4">
        <f>IF(M151=0,0,N151/M151-1)</f>
        <v>0</v>
      </c>
      <c r="Z151" s="122"/>
      <c r="AA151" s="18">
        <v>391.3</v>
      </c>
      <c r="AB151" s="18">
        <v>121476.59999999999</v>
      </c>
      <c r="AC151" s="4">
        <f>AB151/AA151-1</f>
        <v>309.4436493738819</v>
      </c>
    </row>
    <row r="152" spans="1:29">
      <c r="A152" s="54"/>
      <c r="B152" s="37"/>
      <c r="C152" s="19"/>
      <c r="E152" s="37"/>
      <c r="F152" s="19"/>
      <c r="J152" s="25"/>
      <c r="K152" s="4"/>
      <c r="Q152" s="139"/>
      <c r="T152" s="114"/>
      <c r="U152" s="4"/>
      <c r="Z152" s="122"/>
      <c r="AA152" s="18"/>
      <c r="AB152" s="18"/>
      <c r="AC152" s="4"/>
    </row>
    <row r="153" spans="1:29">
      <c r="F153" s="19"/>
      <c r="K153" s="4"/>
      <c r="N153" s="4"/>
      <c r="Z153" s="122"/>
    </row>
    <row r="154" spans="1:29">
      <c r="C154" s="3" t="s">
        <v>819</v>
      </c>
      <c r="D154" s="3"/>
      <c r="E154" s="3"/>
      <c r="F154" s="3" t="s">
        <v>819</v>
      </c>
      <c r="G154" s="3"/>
      <c r="H154" s="3"/>
      <c r="I154" s="3"/>
      <c r="J154" s="3" t="s">
        <v>820</v>
      </c>
      <c r="K154" s="31"/>
      <c r="L154" s="3"/>
      <c r="M154" s="33" t="s">
        <v>821</v>
      </c>
      <c r="N154" s="33" t="s">
        <v>821</v>
      </c>
      <c r="O154" s="3"/>
      <c r="Q154" s="140" t="s">
        <v>1168</v>
      </c>
      <c r="R154" s="3"/>
      <c r="T154" s="115" t="s">
        <v>823</v>
      </c>
      <c r="U154" s="3"/>
      <c r="V154" s="3"/>
      <c r="W154" s="3"/>
      <c r="X154" s="3"/>
      <c r="Y154" s="34"/>
      <c r="Z154" s="35" t="s">
        <v>3</v>
      </c>
      <c r="AA154" s="35" t="s">
        <v>3</v>
      </c>
      <c r="AB154" s="35" t="s">
        <v>3</v>
      </c>
    </row>
    <row r="155" spans="1:29">
      <c r="C155" s="19">
        <f>SUM(C3:C151)</f>
        <v>243053</v>
      </c>
      <c r="F155" s="19">
        <f>SUM(F3:F151)</f>
        <v>210935</v>
      </c>
      <c r="J155" s="19">
        <f>SUM(J3:J151)</f>
        <v>-30880</v>
      </c>
      <c r="K155" s="4"/>
      <c r="M155" s="19">
        <f>SUM(M3:M151)</f>
        <v>216765.3900000001</v>
      </c>
      <c r="N155" s="5">
        <f>SUM(N3:N151)</f>
        <v>203776.84999999989</v>
      </c>
      <c r="Q155" s="134">
        <f>SUM(Q3:Q151)</f>
        <v>895265.20000000054</v>
      </c>
      <c r="T155" s="117">
        <f>SUM(T3:T151)</f>
        <v>-12988.539999999981</v>
      </c>
      <c r="U155" s="4">
        <f>IF(M155=0,0,N155/M155-1)</f>
        <v>-5.9919805463410025E-2</v>
      </c>
      <c r="AA155" s="30">
        <f>SUM(AA3:AA151)</f>
        <v>5019313.1099999985</v>
      </c>
      <c r="AB155" s="30">
        <f>SUM(AB3:AB151)</f>
        <v>4870128.7599999988</v>
      </c>
      <c r="AC155" s="4">
        <f>AB155/AA155-1</f>
        <v>-2.9722064898238587E-2</v>
      </c>
    </row>
    <row r="156" spans="1:29">
      <c r="K156" s="4"/>
      <c r="P156" s="138"/>
      <c r="U156" s="4"/>
    </row>
    <row r="157" spans="1:29">
      <c r="F157" s="25">
        <f>F155-C155</f>
        <v>-32118</v>
      </c>
      <c r="K157" s="4"/>
      <c r="N157" s="33" t="s">
        <v>824</v>
      </c>
      <c r="Q157" s="26">
        <f>N155/Q155</f>
        <v>0.22761618568442041</v>
      </c>
      <c r="U157" s="4"/>
      <c r="AA157" s="3" t="s">
        <v>825</v>
      </c>
      <c r="AB157" s="3" t="s">
        <v>825</v>
      </c>
    </row>
    <row r="158" spans="1:29">
      <c r="F158" s="4">
        <f>F155/C155-1</f>
        <v>-0.13214401797138897</v>
      </c>
      <c r="K158" s="4"/>
      <c r="U158" s="4"/>
      <c r="AA158" s="32">
        <f>M155/AA155</f>
        <v>4.3186265779701513E-2</v>
      </c>
      <c r="AB158" s="32">
        <f>N155/AB155</f>
        <v>4.1842189404454257E-2</v>
      </c>
    </row>
    <row r="159" spans="1:29">
      <c r="K159" s="4"/>
      <c r="U159" s="4"/>
    </row>
    <row r="160" spans="1:29">
      <c r="K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6"/>
      <c r="M202" s="11"/>
      <c r="N202" s="11"/>
      <c r="T202" s="118"/>
      <c r="U202" s="6"/>
    </row>
    <row r="203" spans="11:21" ht="15" customHeight="1">
      <c r="K203" s="6"/>
      <c r="M203" s="11"/>
      <c r="N203" s="11"/>
      <c r="T203" s="118"/>
      <c r="U203" s="6"/>
    </row>
    <row r="204" spans="11:21" ht="15" customHeight="1">
      <c r="K204" s="6"/>
      <c r="M204" s="11"/>
      <c r="N204" s="11"/>
      <c r="T204" s="118"/>
      <c r="U204" s="6"/>
    </row>
    <row r="205" spans="11:21" ht="15" customHeight="1">
      <c r="K205" s="6"/>
      <c r="M205" s="11"/>
      <c r="N205" s="11"/>
      <c r="T205" s="118"/>
      <c r="U205" s="6"/>
    </row>
    <row r="206" spans="11:21" ht="15" customHeight="1">
      <c r="K206" s="6"/>
      <c r="M206" s="11"/>
      <c r="N206" s="11"/>
      <c r="T206" s="118"/>
      <c r="U206" s="6"/>
    </row>
    <row r="207" spans="11:21" ht="15" customHeight="1">
      <c r="K207" s="6"/>
      <c r="M207" s="11"/>
      <c r="N207" s="11"/>
      <c r="T207" s="118"/>
      <c r="U207" s="6"/>
    </row>
    <row r="208" spans="11:21" ht="15" customHeight="1">
      <c r="K208" s="6"/>
      <c r="M208" s="11"/>
      <c r="N208" s="11"/>
      <c r="T208" s="118"/>
      <c r="U208" s="6"/>
    </row>
    <row r="209" spans="3:21" ht="15" customHeight="1">
      <c r="K209" s="6"/>
      <c r="M209" s="11"/>
      <c r="N209" s="11"/>
      <c r="T209" s="118"/>
      <c r="U209" s="6"/>
    </row>
    <row r="210" spans="3:21" ht="15" customHeight="1">
      <c r="K210" s="6"/>
      <c r="M210" s="11"/>
      <c r="N210" s="11"/>
      <c r="T210" s="118"/>
      <c r="U210" s="6"/>
    </row>
    <row r="211" spans="3:21">
      <c r="M211" s="11"/>
      <c r="N211" s="11"/>
      <c r="T211" s="118"/>
    </row>
    <row r="212" spans="3:21" ht="15" customHeight="1">
      <c r="C212" s="8"/>
      <c r="F212" s="8"/>
      <c r="J212" s="8"/>
      <c r="M212" s="11"/>
      <c r="N212" s="11"/>
      <c r="T212" s="118"/>
    </row>
    <row r="213" spans="3:21">
      <c r="M213" s="11"/>
      <c r="N213" s="11"/>
      <c r="T213" s="118"/>
    </row>
    <row r="214" spans="3:21" ht="15" customHeight="1">
      <c r="M214" s="11"/>
      <c r="N214" s="11"/>
      <c r="T214" s="118"/>
    </row>
    <row r="215" spans="3:21" ht="15" customHeight="1">
      <c r="C215" s="9"/>
      <c r="F215" s="9"/>
      <c r="M215" s="7"/>
      <c r="N215" s="7"/>
    </row>
    <row r="217" spans="3:21" ht="15" customHeight="1">
      <c r="C217" s="8"/>
      <c r="F217" s="8"/>
    </row>
    <row r="220" spans="3:21" ht="15" customHeight="1">
      <c r="C220" s="9"/>
      <c r="F220" s="9"/>
      <c r="M220" s="7"/>
      <c r="N220" s="7"/>
    </row>
  </sheetData>
  <autoFilter ref="A2:AE2" xr:uid="{97EDC353-A3BB-4027-BC75-3196C26C68C7}">
    <sortState xmlns:xlrd2="http://schemas.microsoft.com/office/spreadsheetml/2017/richdata2" ref="A3:AD151">
      <sortCondition ref="J2"/>
    </sortState>
  </autoFilter>
  <mergeCells count="7">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11">
    <cfRule type="cellIs" dxfId="27" priority="1" operator="greaterThan">
      <formula>500</formula>
    </cfRule>
  </conditionalFormatting>
  <conditionalFormatting sqref="J3:J210">
    <cfRule type="cellIs" dxfId="26" priority="2" operator="lessThan">
      <formula>-100</formula>
    </cfRule>
  </conditionalFormatting>
  <conditionalFormatting sqref="J213:J1048576">
    <cfRule type="cellIs" dxfId="25" priority="19" operator="greaterThan">
      <formula>500</formula>
    </cfRule>
  </conditionalFormatting>
  <conditionalFormatting sqref="K2">
    <cfRule type="cellIs" dxfId="24" priority="20" operator="lessThan">
      <formula>-20%</formula>
    </cfRule>
  </conditionalFormatting>
  <conditionalFormatting sqref="K3:K210">
    <cfRule type="cellIs" dxfId="23" priority="5" operator="greaterThan">
      <formula>0.2</formula>
    </cfRule>
  </conditionalFormatting>
  <conditionalFormatting sqref="K3:K1048576">
    <cfRule type="cellIs" dxfId="22" priority="3" operator="lessThan">
      <formula>-0.2</formula>
    </cfRule>
  </conditionalFormatting>
  <conditionalFormatting sqref="U155:U159 U161:U210 U3:U151">
    <cfRule type="cellIs" dxfId="21" priority="12" operator="greaterThan">
      <formula>0.5</formula>
    </cfRule>
  </conditionalFormatting>
  <conditionalFormatting sqref="AC3:AC152">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55">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E203"/>
  <sheetViews>
    <sheetView zoomScaleNormal="100" workbookViewId="0">
      <pane xSplit="2" ySplit="2" topLeftCell="C137" activePane="bottomRight" state="frozen"/>
      <selection pane="bottomRight" activeCell="C137" sqref="C137"/>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2"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14"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 min="39" max="39" width="0.7109375" customWidth="1"/>
  </cols>
  <sheetData>
    <row r="1" spans="1:31">
      <c r="B1" s="158">
        <v>45962</v>
      </c>
      <c r="C1" s="157"/>
      <c r="E1" s="158">
        <v>45992</v>
      </c>
      <c r="F1" s="157"/>
      <c r="J1" s="159"/>
      <c r="K1" s="159"/>
      <c r="L1" s="1"/>
      <c r="N1" s="160" t="s">
        <v>0</v>
      </c>
      <c r="O1" s="160"/>
      <c r="Q1" s="10" t="s">
        <v>1</v>
      </c>
      <c r="R1" s="1"/>
      <c r="T1" s="157" t="s">
        <v>2</v>
      </c>
      <c r="U1" s="157"/>
      <c r="X1" s="159" t="s">
        <v>826</v>
      </c>
      <c r="Y1" s="159"/>
      <c r="Z1" s="159"/>
      <c r="AA1" s="159"/>
      <c r="AB1" s="157" t="s">
        <v>3</v>
      </c>
      <c r="AC1" s="157"/>
    </row>
    <row r="2" spans="1:31">
      <c r="A2" s="3" t="s">
        <v>4</v>
      </c>
      <c r="B2" s="3" t="s">
        <v>5</v>
      </c>
      <c r="C2" s="3" t="s">
        <v>6</v>
      </c>
      <c r="E2" s="3" t="s">
        <v>5</v>
      </c>
      <c r="F2" s="3" t="s">
        <v>6</v>
      </c>
      <c r="G2" t="s">
        <v>7</v>
      </c>
      <c r="J2" t="s">
        <v>8</v>
      </c>
      <c r="K2" t="s">
        <v>9</v>
      </c>
      <c r="N2" t="s">
        <v>14</v>
      </c>
      <c r="O2" t="s">
        <v>15</v>
      </c>
      <c r="Q2" s="5" t="s">
        <v>12</v>
      </c>
      <c r="T2" s="114" t="s">
        <v>13</v>
      </c>
      <c r="U2" t="s">
        <v>9</v>
      </c>
      <c r="X2" t="s">
        <v>19</v>
      </c>
      <c r="Y2" t="s">
        <v>16</v>
      </c>
      <c r="Z2" t="s">
        <v>1169</v>
      </c>
      <c r="AB2" t="s">
        <v>14</v>
      </c>
      <c r="AC2" t="s">
        <v>15</v>
      </c>
      <c r="AD2" t="s">
        <v>9</v>
      </c>
      <c r="AE2" s="3" t="s">
        <v>1170</v>
      </c>
    </row>
    <row r="3" spans="1:31" ht="13.9" customHeight="1">
      <c r="A3" t="s">
        <v>1171</v>
      </c>
      <c r="B3" t="s">
        <v>1172</v>
      </c>
      <c r="C3">
        <v>15628</v>
      </c>
      <c r="E3" t="s">
        <v>1172</v>
      </c>
      <c r="F3">
        <v>10984</v>
      </c>
      <c r="G3" t="b">
        <f t="shared" ref="G3:G34" si="0">IF(B3=E3,TRUE,FALSE)</f>
        <v>1</v>
      </c>
      <c r="J3">
        <f t="shared" ref="J3:J34" si="1">F3-C3</f>
        <v>-4644</v>
      </c>
      <c r="K3" s="4">
        <f t="shared" ref="K3:K34" si="2">F3/C3-1</f>
        <v>-0.29715894548246735</v>
      </c>
      <c r="L3" s="4"/>
      <c r="N3" s="5">
        <v>12773.37</v>
      </c>
      <c r="O3" s="5">
        <v>8101.28</v>
      </c>
      <c r="Q3" s="5">
        <v>35620.199999999997</v>
      </c>
      <c r="T3" s="114">
        <f t="shared" ref="T3:T34" si="3">O3-N3</f>
        <v>-4672.0900000000011</v>
      </c>
      <c r="U3" s="4">
        <f>IF(N3=0,0,O3/N3-1)</f>
        <v>-0.36576800014404975</v>
      </c>
      <c r="X3" t="s">
        <v>1173</v>
      </c>
      <c r="AB3" s="18">
        <v>261518.2</v>
      </c>
      <c r="AC3" s="18">
        <v>215252.75000000003</v>
      </c>
      <c r="AD3" s="4">
        <f t="shared" ref="AD3:AD14" si="4">AC3/AB3-1</f>
        <v>-0.17691101422386657</v>
      </c>
      <c r="AE3" t="s">
        <v>1174</v>
      </c>
    </row>
    <row r="4" spans="1:31" ht="13.9" customHeight="1">
      <c r="A4" t="s">
        <v>1175</v>
      </c>
      <c r="B4" t="s">
        <v>1176</v>
      </c>
      <c r="C4">
        <v>6047</v>
      </c>
      <c r="E4" t="s">
        <v>1176</v>
      </c>
      <c r="F4">
        <v>4469</v>
      </c>
      <c r="G4" t="b">
        <f t="shared" si="0"/>
        <v>1</v>
      </c>
      <c r="J4">
        <f t="shared" si="1"/>
        <v>-1578</v>
      </c>
      <c r="K4" s="4">
        <f t="shared" si="2"/>
        <v>-0.26095584587398712</v>
      </c>
      <c r="L4" s="4"/>
      <c r="N4" s="5">
        <v>4573.09</v>
      </c>
      <c r="O4" s="5">
        <v>2843.57</v>
      </c>
      <c r="Q4" s="5">
        <v>10992.72</v>
      </c>
      <c r="T4" s="114">
        <f t="shared" si="3"/>
        <v>-1729.52</v>
      </c>
      <c r="U4" s="4">
        <f>IF(N4=0,0,O4/N4-1)</f>
        <v>-0.37819504973661133</v>
      </c>
      <c r="AB4" s="18">
        <v>100948.73</v>
      </c>
      <c r="AC4" s="18">
        <v>87483.13</v>
      </c>
      <c r="AD4" s="4">
        <f t="shared" si="4"/>
        <v>-0.13339048445681279</v>
      </c>
    </row>
    <row r="5" spans="1:31" ht="13.9" customHeight="1">
      <c r="A5" s="54" t="s">
        <v>1177</v>
      </c>
      <c r="B5" s="37" t="s">
        <v>1178</v>
      </c>
      <c r="C5">
        <v>2607</v>
      </c>
      <c r="E5" s="37" t="s">
        <v>1178</v>
      </c>
      <c r="F5">
        <v>1289</v>
      </c>
      <c r="G5" t="b">
        <f t="shared" si="0"/>
        <v>1</v>
      </c>
      <c r="J5">
        <f t="shared" si="1"/>
        <v>-1318</v>
      </c>
      <c r="K5" s="4">
        <f t="shared" si="2"/>
        <v>-0.50556194859992321</v>
      </c>
      <c r="L5" s="4"/>
      <c r="N5" s="5">
        <v>1969.56</v>
      </c>
      <c r="O5" s="5">
        <v>807.75</v>
      </c>
      <c r="Q5" s="5">
        <v>4087.99</v>
      </c>
      <c r="T5" s="114">
        <f t="shared" si="3"/>
        <v>-1161.81</v>
      </c>
      <c r="U5" s="4">
        <f>IF(N6=0,0,O5/N6-1)</f>
        <v>-0.75183340655694386</v>
      </c>
      <c r="AB5" s="18">
        <v>48571.35</v>
      </c>
      <c r="AC5" s="18">
        <v>28340.93</v>
      </c>
      <c r="AD5" s="4">
        <f t="shared" si="4"/>
        <v>-0.41650932082390135</v>
      </c>
    </row>
    <row r="6" spans="1:31" ht="13.9" customHeight="1">
      <c r="A6" t="s">
        <v>1179</v>
      </c>
      <c r="B6" t="s">
        <v>1180</v>
      </c>
      <c r="C6">
        <v>5201</v>
      </c>
      <c r="E6" t="s">
        <v>1180</v>
      </c>
      <c r="F6">
        <v>3539</v>
      </c>
      <c r="G6" t="b">
        <f t="shared" si="0"/>
        <v>1</v>
      </c>
      <c r="J6">
        <f t="shared" si="1"/>
        <v>-1662</v>
      </c>
      <c r="K6" s="4">
        <f t="shared" si="2"/>
        <v>-0.3195539319361661</v>
      </c>
      <c r="L6" s="4"/>
      <c r="N6" s="5">
        <v>3254.87</v>
      </c>
      <c r="O6" s="5">
        <v>3089.21</v>
      </c>
      <c r="Q6" s="5">
        <v>13748.96</v>
      </c>
      <c r="T6" s="114">
        <f t="shared" si="3"/>
        <v>-165.65999999999985</v>
      </c>
      <c r="U6" s="4">
        <f>IF(N7=0,0,O6/N7-1)</f>
        <v>0.16161479425887704</v>
      </c>
      <c r="AB6" s="18">
        <v>91548.66</v>
      </c>
      <c r="AC6" s="18">
        <v>70570.3</v>
      </c>
      <c r="AD6" s="4">
        <f t="shared" si="4"/>
        <v>-0.22914983135744427</v>
      </c>
    </row>
    <row r="7" spans="1:31" ht="13.9" customHeight="1">
      <c r="A7" t="s">
        <v>1181</v>
      </c>
      <c r="B7" t="s">
        <v>1182</v>
      </c>
      <c r="C7">
        <v>2339</v>
      </c>
      <c r="E7" t="s">
        <v>1182</v>
      </c>
      <c r="F7">
        <v>1506</v>
      </c>
      <c r="G7" t="b">
        <f t="shared" si="0"/>
        <v>1</v>
      </c>
      <c r="J7">
        <f t="shared" si="1"/>
        <v>-833</v>
      </c>
      <c r="K7" s="4">
        <f t="shared" si="2"/>
        <v>-0.3561351004702864</v>
      </c>
      <c r="L7" s="4"/>
      <c r="N7" s="5">
        <v>2659.41</v>
      </c>
      <c r="O7" s="5">
        <v>1323.8</v>
      </c>
      <c r="Q7" s="5">
        <v>6403.97</v>
      </c>
      <c r="T7" s="114">
        <f t="shared" si="3"/>
        <v>-1335.61</v>
      </c>
      <c r="U7" s="4">
        <f t="shared" ref="U7:U25" si="5">IF(N7=0,0,O7/N7-1)</f>
        <v>-0.5022204173106064</v>
      </c>
      <c r="AB7" s="18">
        <v>37383.24</v>
      </c>
      <c r="AC7" s="18">
        <v>28595.14</v>
      </c>
      <c r="AD7" s="4">
        <f t="shared" si="4"/>
        <v>-0.2350812824142583</v>
      </c>
    </row>
    <row r="8" spans="1:31" ht="13.9" customHeight="1">
      <c r="A8" s="54" t="s">
        <v>1183</v>
      </c>
      <c r="B8" s="37" t="s">
        <v>1184</v>
      </c>
      <c r="C8">
        <v>1737</v>
      </c>
      <c r="E8" s="37" t="s">
        <v>1184</v>
      </c>
      <c r="F8">
        <v>757</v>
      </c>
      <c r="G8" t="b">
        <f t="shared" si="0"/>
        <v>1</v>
      </c>
      <c r="J8">
        <f t="shared" si="1"/>
        <v>-980</v>
      </c>
      <c r="K8" s="4">
        <f t="shared" si="2"/>
        <v>-0.56419113413932065</v>
      </c>
      <c r="L8" s="4"/>
      <c r="N8" s="5">
        <v>1937.53</v>
      </c>
      <c r="O8" s="5">
        <v>942.23</v>
      </c>
      <c r="Q8" s="5">
        <v>4765.25</v>
      </c>
      <c r="T8" s="114">
        <f t="shared" si="3"/>
        <v>-995.3</v>
      </c>
      <c r="U8" s="4">
        <f t="shared" si="5"/>
        <v>-0.51369527181514607</v>
      </c>
      <c r="AB8" s="18">
        <v>27839.23</v>
      </c>
      <c r="AC8" s="18">
        <v>13422.03</v>
      </c>
      <c r="AD8" s="4">
        <f t="shared" si="4"/>
        <v>-0.51787351877189125</v>
      </c>
    </row>
    <row r="9" spans="1:31" ht="13.9" customHeight="1">
      <c r="A9" s="54" t="s">
        <v>1185</v>
      </c>
      <c r="B9" s="37" t="s">
        <v>1186</v>
      </c>
      <c r="C9">
        <v>1498</v>
      </c>
      <c r="E9" s="37" t="s">
        <v>1186</v>
      </c>
      <c r="F9">
        <v>738</v>
      </c>
      <c r="G9" t="b">
        <f t="shared" si="0"/>
        <v>1</v>
      </c>
      <c r="J9">
        <f t="shared" si="1"/>
        <v>-760</v>
      </c>
      <c r="K9" s="4">
        <f t="shared" si="2"/>
        <v>-0.50734312416555405</v>
      </c>
      <c r="L9" s="4"/>
      <c r="N9" s="5">
        <v>1655.56</v>
      </c>
      <c r="O9" s="5">
        <v>1481.98</v>
      </c>
      <c r="Q9" s="5">
        <v>4904.8</v>
      </c>
      <c r="T9" s="114">
        <f t="shared" si="3"/>
        <v>-173.57999999999993</v>
      </c>
      <c r="U9" s="4">
        <f t="shared" si="5"/>
        <v>-0.1048466983981251</v>
      </c>
      <c r="AB9" s="18">
        <v>24980.18</v>
      </c>
      <c r="AC9" s="18">
        <v>14751.22</v>
      </c>
      <c r="AD9" s="4">
        <f t="shared" si="4"/>
        <v>-0.40948303815264742</v>
      </c>
    </row>
    <row r="10" spans="1:31" ht="13.9" customHeight="1">
      <c r="A10" t="s">
        <v>1187</v>
      </c>
      <c r="B10" t="s">
        <v>1188</v>
      </c>
      <c r="C10">
        <v>2829</v>
      </c>
      <c r="E10" t="s">
        <v>1188</v>
      </c>
      <c r="F10">
        <v>2051</v>
      </c>
      <c r="G10" t="b">
        <f t="shared" si="0"/>
        <v>1</v>
      </c>
      <c r="J10">
        <f t="shared" si="1"/>
        <v>-778</v>
      </c>
      <c r="K10" s="4">
        <f t="shared" si="2"/>
        <v>-0.27500883704489221</v>
      </c>
      <c r="L10" s="4"/>
      <c r="N10" s="5">
        <v>2333.5</v>
      </c>
      <c r="O10" s="5">
        <v>1798.87</v>
      </c>
      <c r="Q10" s="5">
        <v>11087.14</v>
      </c>
      <c r="T10" s="114">
        <f t="shared" si="3"/>
        <v>-534.63000000000011</v>
      </c>
      <c r="U10" s="4">
        <f t="shared" si="5"/>
        <v>-0.22911077780158562</v>
      </c>
      <c r="AB10" s="18">
        <v>65456.82</v>
      </c>
      <c r="AC10" s="18">
        <v>51166.95</v>
      </c>
      <c r="AD10" s="4">
        <f t="shared" si="4"/>
        <v>-0.21830987206527908</v>
      </c>
    </row>
    <row r="11" spans="1:31" ht="13.9" customHeight="1">
      <c r="A11" s="54" t="s">
        <v>1189</v>
      </c>
      <c r="B11" t="s">
        <v>1190</v>
      </c>
      <c r="C11">
        <v>878</v>
      </c>
      <c r="E11" t="s">
        <v>1190</v>
      </c>
      <c r="F11">
        <v>272</v>
      </c>
      <c r="G11" t="b">
        <f t="shared" si="0"/>
        <v>1</v>
      </c>
      <c r="J11">
        <f t="shared" si="1"/>
        <v>-606</v>
      </c>
      <c r="K11" s="4">
        <f t="shared" si="2"/>
        <v>-0.69020501138952162</v>
      </c>
      <c r="L11" s="4"/>
      <c r="N11" s="5">
        <v>1340.34</v>
      </c>
      <c r="O11" s="5">
        <v>386.11</v>
      </c>
      <c r="Q11" s="5">
        <v>1523.33</v>
      </c>
      <c r="T11" s="114">
        <f t="shared" si="3"/>
        <v>-954.2299999999999</v>
      </c>
      <c r="U11" s="4">
        <f t="shared" si="5"/>
        <v>-0.71193130101317581</v>
      </c>
      <c r="AB11" s="18">
        <v>12263.24</v>
      </c>
      <c r="AC11" s="18">
        <v>5164.71</v>
      </c>
      <c r="AD11" s="4">
        <f t="shared" si="4"/>
        <v>-0.57884621030005112</v>
      </c>
    </row>
    <row r="12" spans="1:31" ht="13.9" customHeight="1">
      <c r="A12" s="54" t="s">
        <v>1191</v>
      </c>
      <c r="B12" s="141" t="s">
        <v>1192</v>
      </c>
      <c r="C12">
        <v>955</v>
      </c>
      <c r="E12" s="141" t="s">
        <v>1192</v>
      </c>
      <c r="F12">
        <v>360</v>
      </c>
      <c r="G12" t="b">
        <f t="shared" si="0"/>
        <v>1</v>
      </c>
      <c r="J12">
        <f t="shared" si="1"/>
        <v>-595</v>
      </c>
      <c r="K12" s="4">
        <f t="shared" si="2"/>
        <v>-0.62303664921465973</v>
      </c>
      <c r="L12" s="4"/>
      <c r="N12" s="5">
        <v>1388.77</v>
      </c>
      <c r="O12" s="5">
        <v>743.89</v>
      </c>
      <c r="Q12" s="5">
        <v>4851.5200000000004</v>
      </c>
      <c r="T12" s="114">
        <f t="shared" si="3"/>
        <v>-644.88</v>
      </c>
      <c r="U12" s="4">
        <f t="shared" si="5"/>
        <v>-0.46435334864664413</v>
      </c>
      <c r="AB12" s="18">
        <v>18144.05</v>
      </c>
      <c r="AC12" s="18">
        <v>8172.96</v>
      </c>
      <c r="AD12" s="4">
        <f t="shared" si="4"/>
        <v>-0.54955150586555923</v>
      </c>
    </row>
    <row r="13" spans="1:31" ht="13.9" customHeight="1">
      <c r="A13" s="27" t="s">
        <v>1193</v>
      </c>
      <c r="B13" t="s">
        <v>1194</v>
      </c>
      <c r="C13">
        <v>829</v>
      </c>
      <c r="E13" t="s">
        <v>1194</v>
      </c>
      <c r="F13">
        <v>135</v>
      </c>
      <c r="G13" t="b">
        <f t="shared" si="0"/>
        <v>1</v>
      </c>
      <c r="J13">
        <f t="shared" si="1"/>
        <v>-694</v>
      </c>
      <c r="K13" s="4">
        <f t="shared" si="2"/>
        <v>-0.8371531966224367</v>
      </c>
      <c r="L13" s="4"/>
      <c r="N13" s="5">
        <v>1256.1500000000001</v>
      </c>
      <c r="O13" s="5">
        <v>363.33</v>
      </c>
      <c r="Q13" s="5">
        <v>1916.92</v>
      </c>
      <c r="T13" s="114">
        <f t="shared" si="3"/>
        <v>-892.82000000000016</v>
      </c>
      <c r="U13" s="4">
        <f t="shared" si="5"/>
        <v>-0.71075906539824074</v>
      </c>
      <c r="AB13" s="18">
        <v>15812.12</v>
      </c>
      <c r="AC13" s="18">
        <v>3637.71</v>
      </c>
      <c r="AD13" s="4">
        <f t="shared" si="4"/>
        <v>-0.76994166500127748</v>
      </c>
    </row>
    <row r="14" spans="1:31" ht="13.9" customHeight="1">
      <c r="A14" s="144" t="s">
        <v>1195</v>
      </c>
      <c r="B14" s="144" t="s">
        <v>1196</v>
      </c>
      <c r="C14">
        <v>1118</v>
      </c>
      <c r="E14" s="144" t="s">
        <v>1196</v>
      </c>
      <c r="F14">
        <v>283</v>
      </c>
      <c r="G14" t="b">
        <f t="shared" si="0"/>
        <v>1</v>
      </c>
      <c r="J14">
        <f t="shared" si="1"/>
        <v>-835</v>
      </c>
      <c r="K14" s="4">
        <f t="shared" si="2"/>
        <v>-0.7468694096601074</v>
      </c>
      <c r="L14" s="4"/>
      <c r="N14" s="5">
        <v>1980.41</v>
      </c>
      <c r="O14" s="5">
        <v>1221.47</v>
      </c>
      <c r="Q14" s="5">
        <v>5285.52</v>
      </c>
      <c r="T14" s="114">
        <f t="shared" si="3"/>
        <v>-758.94</v>
      </c>
      <c r="U14" s="4">
        <f t="shared" si="5"/>
        <v>-0.38322367590549433</v>
      </c>
      <c r="AB14" s="18">
        <v>19691.439999999999</v>
      </c>
      <c r="AC14" s="18">
        <v>7071.67</v>
      </c>
      <c r="AD14" s="4">
        <f t="shared" si="4"/>
        <v>-0.64087593390833786</v>
      </c>
    </row>
    <row r="15" spans="1:31" ht="13.9" customHeight="1">
      <c r="A15" s="54" t="s">
        <v>1197</v>
      </c>
      <c r="B15" s="37" t="s">
        <v>1198</v>
      </c>
      <c r="C15">
        <v>427</v>
      </c>
      <c r="E15" s="37" t="s">
        <v>1198</v>
      </c>
      <c r="F15">
        <v>361</v>
      </c>
      <c r="G15" t="b">
        <f t="shared" si="0"/>
        <v>1</v>
      </c>
      <c r="J15">
        <f t="shared" si="1"/>
        <v>-66</v>
      </c>
      <c r="K15" s="4">
        <f t="shared" si="2"/>
        <v>-0.15456674473067911</v>
      </c>
      <c r="L15" s="4"/>
      <c r="N15" s="5">
        <v>445.09</v>
      </c>
      <c r="O15" s="5">
        <v>449.81</v>
      </c>
      <c r="Q15" s="5">
        <v>3152.02</v>
      </c>
      <c r="T15" s="114">
        <f t="shared" si="3"/>
        <v>4.7200000000000273</v>
      </c>
      <c r="U15" s="4">
        <f t="shared" si="5"/>
        <v>1.0604596823114543E-2</v>
      </c>
      <c r="AB15" s="18">
        <v>9747.23</v>
      </c>
      <c r="AC15" s="18">
        <v>9521.09</v>
      </c>
      <c r="AD15" s="4"/>
    </row>
    <row r="16" spans="1:31" ht="13.9" customHeight="1">
      <c r="A16" t="s">
        <v>1199</v>
      </c>
      <c r="B16" t="s">
        <v>1200</v>
      </c>
      <c r="C16">
        <v>1526</v>
      </c>
      <c r="E16" t="s">
        <v>1200</v>
      </c>
      <c r="F16">
        <v>1404</v>
      </c>
      <c r="G16" t="b">
        <f t="shared" si="0"/>
        <v>1</v>
      </c>
      <c r="J16">
        <f t="shared" si="1"/>
        <v>-122</v>
      </c>
      <c r="K16" s="4">
        <f t="shared" si="2"/>
        <v>-7.9947575360419409E-2</v>
      </c>
      <c r="L16" s="4"/>
      <c r="N16" s="5">
        <v>2585.4</v>
      </c>
      <c r="O16" s="5">
        <v>2568.7199999999998</v>
      </c>
      <c r="Q16" s="5">
        <v>20942.009999999998</v>
      </c>
      <c r="T16" s="114">
        <f t="shared" si="3"/>
        <v>-16.680000000000291</v>
      </c>
      <c r="U16" s="4">
        <f t="shared" si="5"/>
        <v>-6.4516129032259339E-3</v>
      </c>
      <c r="Y16" t="s">
        <v>1201</v>
      </c>
      <c r="AB16" s="18">
        <v>41173.78</v>
      </c>
      <c r="AC16" s="18">
        <v>37881.35</v>
      </c>
      <c r="AD16" s="4">
        <f t="shared" ref="AD16:AD47" si="6">AC16/AB16-1</f>
        <v>-7.9964239377584456E-2</v>
      </c>
    </row>
    <row r="17" spans="1:30" ht="13.9" customHeight="1">
      <c r="A17" t="s">
        <v>1202</v>
      </c>
      <c r="B17" t="s">
        <v>1203</v>
      </c>
      <c r="C17">
        <v>784</v>
      </c>
      <c r="E17" t="s">
        <v>1203</v>
      </c>
      <c r="F17">
        <v>59</v>
      </c>
      <c r="G17" t="b">
        <f t="shared" si="0"/>
        <v>1</v>
      </c>
      <c r="J17">
        <f t="shared" si="1"/>
        <v>-725</v>
      </c>
      <c r="K17" s="4">
        <f t="shared" si="2"/>
        <v>-0.92474489795918369</v>
      </c>
      <c r="L17" s="4"/>
      <c r="N17" s="5">
        <v>291.26</v>
      </c>
      <c r="O17" s="5">
        <v>15.55</v>
      </c>
      <c r="Q17" s="5">
        <v>87.96</v>
      </c>
      <c r="T17" s="114">
        <f t="shared" si="3"/>
        <v>-275.70999999999998</v>
      </c>
      <c r="U17" s="4">
        <f t="shared" si="5"/>
        <v>-0.94661127514935106</v>
      </c>
      <c r="AB17" s="18">
        <v>15524.38</v>
      </c>
      <c r="AC17" s="18">
        <v>1297.4100000000001</v>
      </c>
      <c r="AD17" s="4">
        <f t="shared" si="6"/>
        <v>-0.91642758036069716</v>
      </c>
    </row>
    <row r="18" spans="1:30" ht="13.9" customHeight="1">
      <c r="A18" s="144" t="s">
        <v>1204</v>
      </c>
      <c r="B18" s="144" t="s">
        <v>1205</v>
      </c>
      <c r="C18">
        <v>632</v>
      </c>
      <c r="E18" s="144" t="s">
        <v>1205</v>
      </c>
      <c r="F18">
        <v>394</v>
      </c>
      <c r="G18" t="b">
        <f t="shared" si="0"/>
        <v>1</v>
      </c>
      <c r="J18">
        <f t="shared" si="1"/>
        <v>-238</v>
      </c>
      <c r="K18" s="4">
        <f t="shared" si="2"/>
        <v>-0.37658227848101267</v>
      </c>
      <c r="L18" s="4"/>
      <c r="N18" s="5">
        <v>65.48</v>
      </c>
      <c r="O18" s="5">
        <v>80.12</v>
      </c>
      <c r="Q18" s="5">
        <v>1203.97</v>
      </c>
      <c r="T18" s="114">
        <f t="shared" si="3"/>
        <v>14.64</v>
      </c>
      <c r="U18" s="4">
        <f t="shared" si="5"/>
        <v>0.22357971899816742</v>
      </c>
      <c r="AB18" s="18">
        <v>23049.71</v>
      </c>
      <c r="AC18" s="18">
        <v>15359.33</v>
      </c>
      <c r="AD18" s="4">
        <f t="shared" si="6"/>
        <v>-0.33364324323386274</v>
      </c>
    </row>
    <row r="19" spans="1:30" ht="13.9" customHeight="1">
      <c r="A19" t="s">
        <v>1206</v>
      </c>
      <c r="B19" t="s">
        <v>1207</v>
      </c>
      <c r="C19">
        <v>1423</v>
      </c>
      <c r="E19" t="s">
        <v>1207</v>
      </c>
      <c r="F19">
        <v>1177</v>
      </c>
      <c r="G19" t="b">
        <f t="shared" si="0"/>
        <v>1</v>
      </c>
      <c r="J19">
        <f t="shared" si="1"/>
        <v>-246</v>
      </c>
      <c r="K19" s="4">
        <f t="shared" si="2"/>
        <v>-0.17287420941672527</v>
      </c>
      <c r="L19" s="4"/>
      <c r="N19" s="5">
        <v>895.56</v>
      </c>
      <c r="O19" s="5">
        <v>705.01</v>
      </c>
      <c r="Q19" s="5">
        <v>3884.59</v>
      </c>
      <c r="T19" s="114">
        <f t="shared" si="3"/>
        <v>-190.54999999999995</v>
      </c>
      <c r="U19" s="4">
        <f t="shared" si="5"/>
        <v>-0.21277189691366294</v>
      </c>
      <c r="AB19" s="18">
        <v>31827.05</v>
      </c>
      <c r="AC19" s="18">
        <v>28230.23</v>
      </c>
      <c r="AD19" s="4">
        <f t="shared" si="6"/>
        <v>-0.11301141638951773</v>
      </c>
    </row>
    <row r="20" spans="1:30" ht="13.9" customHeight="1">
      <c r="A20" t="s">
        <v>1208</v>
      </c>
      <c r="B20" t="s">
        <v>1209</v>
      </c>
      <c r="C20">
        <v>1927</v>
      </c>
      <c r="E20" t="s">
        <v>1209</v>
      </c>
      <c r="F20">
        <v>1566</v>
      </c>
      <c r="G20" t="b">
        <f t="shared" si="0"/>
        <v>1</v>
      </c>
      <c r="J20">
        <f t="shared" si="1"/>
        <v>-361</v>
      </c>
      <c r="K20" s="4">
        <f t="shared" si="2"/>
        <v>-0.18733783082511679</v>
      </c>
      <c r="L20" s="4"/>
      <c r="N20" s="5">
        <v>2207.84</v>
      </c>
      <c r="O20" s="5">
        <v>1962.36</v>
      </c>
      <c r="Q20" s="5">
        <v>11437.68</v>
      </c>
      <c r="T20" s="114">
        <f t="shared" si="3"/>
        <v>-245.48000000000025</v>
      </c>
      <c r="U20" s="4">
        <f t="shared" si="5"/>
        <v>-0.11118559315892462</v>
      </c>
      <c r="AB20" s="18">
        <v>46396.23</v>
      </c>
      <c r="AC20" s="18">
        <v>39157.58</v>
      </c>
      <c r="AD20" s="4">
        <f t="shared" si="6"/>
        <v>-0.15601806439876686</v>
      </c>
    </row>
    <row r="21" spans="1:30" ht="13.9" customHeight="1">
      <c r="A21" t="s">
        <v>1210</v>
      </c>
      <c r="B21" t="s">
        <v>1211</v>
      </c>
      <c r="C21">
        <v>5667</v>
      </c>
      <c r="E21" t="s">
        <v>1211</v>
      </c>
      <c r="F21">
        <v>5219</v>
      </c>
      <c r="G21" t="b">
        <f t="shared" si="0"/>
        <v>1</v>
      </c>
      <c r="J21">
        <f t="shared" si="1"/>
        <v>-448</v>
      </c>
      <c r="K21" s="4">
        <f t="shared" si="2"/>
        <v>-7.90541732839245E-2</v>
      </c>
      <c r="L21" s="4"/>
      <c r="N21" s="5">
        <v>3545.1099999999997</v>
      </c>
      <c r="O21" s="5">
        <v>3246.94</v>
      </c>
      <c r="Q21" s="5">
        <v>25214.95</v>
      </c>
      <c r="T21" s="114">
        <f t="shared" si="3"/>
        <v>-298.16999999999962</v>
      </c>
      <c r="U21" s="4">
        <f t="shared" si="5"/>
        <v>-8.4107404283646936E-2</v>
      </c>
      <c r="X21" t="s">
        <v>1212</v>
      </c>
      <c r="AB21" s="18">
        <v>143646.31</v>
      </c>
      <c r="AC21" s="18">
        <v>140758.18</v>
      </c>
      <c r="AD21" s="4">
        <f t="shared" si="6"/>
        <v>-2.0105841911288946E-2</v>
      </c>
    </row>
    <row r="22" spans="1:30" ht="13.9" customHeight="1">
      <c r="A22" t="s">
        <v>1213</v>
      </c>
      <c r="B22" t="s">
        <v>1214</v>
      </c>
      <c r="C22">
        <v>631</v>
      </c>
      <c r="E22" t="s">
        <v>1214</v>
      </c>
      <c r="F22">
        <v>664</v>
      </c>
      <c r="G22" t="b">
        <f t="shared" si="0"/>
        <v>1</v>
      </c>
      <c r="J22">
        <f t="shared" si="1"/>
        <v>33</v>
      </c>
      <c r="K22" s="4">
        <f t="shared" si="2"/>
        <v>5.229793977813002E-2</v>
      </c>
      <c r="L22" s="4"/>
      <c r="N22" s="5">
        <v>1034.24</v>
      </c>
      <c r="O22" s="5">
        <v>1088.6400000000001</v>
      </c>
      <c r="Q22" s="5">
        <v>7104.93</v>
      </c>
      <c r="T22" s="114">
        <f t="shared" si="3"/>
        <v>54.400000000000091</v>
      </c>
      <c r="U22" s="4">
        <f t="shared" si="5"/>
        <v>5.259900990099009E-2</v>
      </c>
      <c r="X22" t="s">
        <v>1215</v>
      </c>
      <c r="AB22" s="18">
        <v>15135.05</v>
      </c>
      <c r="AC22" s="18">
        <v>15920</v>
      </c>
      <c r="AD22" s="4">
        <f t="shared" si="6"/>
        <v>5.1863059586853E-2</v>
      </c>
    </row>
    <row r="23" spans="1:30" ht="13.9" customHeight="1">
      <c r="A23" t="s">
        <v>1216</v>
      </c>
      <c r="B23" t="s">
        <v>1217</v>
      </c>
      <c r="C23">
        <v>1677</v>
      </c>
      <c r="E23" t="s">
        <v>1217</v>
      </c>
      <c r="F23">
        <v>1121</v>
      </c>
      <c r="G23" t="b">
        <f t="shared" si="0"/>
        <v>1</v>
      </c>
      <c r="J23">
        <f t="shared" si="1"/>
        <v>-556</v>
      </c>
      <c r="K23" s="4">
        <f t="shared" si="2"/>
        <v>-0.33154442456768041</v>
      </c>
      <c r="L23" s="4"/>
      <c r="N23" s="5">
        <v>1334.47</v>
      </c>
      <c r="O23" s="5">
        <v>857.19</v>
      </c>
      <c r="Q23" s="5">
        <v>3052.83</v>
      </c>
      <c r="T23" s="114">
        <f t="shared" si="3"/>
        <v>-477.28</v>
      </c>
      <c r="U23" s="4">
        <f t="shared" si="5"/>
        <v>-0.35765509902807857</v>
      </c>
      <c r="AB23" s="18">
        <v>33775.230000000003</v>
      </c>
      <c r="AC23" s="18">
        <v>25624.63</v>
      </c>
      <c r="AD23" s="4">
        <f t="shared" si="6"/>
        <v>-0.2413188600048024</v>
      </c>
    </row>
    <row r="24" spans="1:30" ht="13.9" customHeight="1">
      <c r="A24" t="s">
        <v>1218</v>
      </c>
      <c r="B24" t="s">
        <v>1219</v>
      </c>
      <c r="C24">
        <v>2718</v>
      </c>
      <c r="E24" t="s">
        <v>1219</v>
      </c>
      <c r="F24">
        <v>2312</v>
      </c>
      <c r="G24" t="b">
        <f t="shared" si="0"/>
        <v>1</v>
      </c>
      <c r="J24">
        <f t="shared" si="1"/>
        <v>-406</v>
      </c>
      <c r="K24" s="4">
        <f t="shared" si="2"/>
        <v>-0.14937454010301687</v>
      </c>
      <c r="L24" s="4"/>
      <c r="N24" s="5">
        <v>1875.37</v>
      </c>
      <c r="O24" s="5">
        <v>1412.19</v>
      </c>
      <c r="Q24" s="5">
        <v>8060.94</v>
      </c>
      <c r="T24" s="114">
        <f t="shared" si="3"/>
        <v>-463.17999999999984</v>
      </c>
      <c r="U24" s="4">
        <f t="shared" si="5"/>
        <v>-0.2469805958290896</v>
      </c>
      <c r="AB24" s="18">
        <v>57319.78</v>
      </c>
      <c r="AC24" s="18">
        <v>50836.26</v>
      </c>
      <c r="AD24" s="4">
        <f t="shared" si="6"/>
        <v>-0.11311139016932714</v>
      </c>
    </row>
    <row r="25" spans="1:30" ht="13.9" customHeight="1">
      <c r="A25" t="s">
        <v>1220</v>
      </c>
      <c r="B25" t="s">
        <v>1221</v>
      </c>
      <c r="C25">
        <v>681</v>
      </c>
      <c r="E25" t="s">
        <v>1221</v>
      </c>
      <c r="F25">
        <v>608</v>
      </c>
      <c r="G25" t="b">
        <f t="shared" si="0"/>
        <v>1</v>
      </c>
      <c r="J25">
        <f t="shared" si="1"/>
        <v>-73</v>
      </c>
      <c r="K25" s="4">
        <f t="shared" si="2"/>
        <v>-0.10719530102790009</v>
      </c>
      <c r="L25" s="4"/>
      <c r="N25" s="5">
        <v>877.89</v>
      </c>
      <c r="O25" s="5">
        <v>924.57</v>
      </c>
      <c r="Q25" s="5">
        <v>4867.1499999999996</v>
      </c>
      <c r="T25" s="114">
        <f t="shared" si="3"/>
        <v>46.680000000000064</v>
      </c>
      <c r="U25" s="4">
        <f t="shared" si="5"/>
        <v>5.3172948774903528E-2</v>
      </c>
      <c r="AB25" s="18">
        <v>12701.27</v>
      </c>
      <c r="AC25" s="18">
        <v>12808.26</v>
      </c>
      <c r="AD25" s="4">
        <f t="shared" si="6"/>
        <v>8.4235670921095629E-3</v>
      </c>
    </row>
    <row r="26" spans="1:30">
      <c r="A26" t="s">
        <v>1222</v>
      </c>
      <c r="B26" t="s">
        <v>1223</v>
      </c>
      <c r="C26">
        <v>1010</v>
      </c>
      <c r="E26" t="s">
        <v>1223</v>
      </c>
      <c r="F26">
        <v>871</v>
      </c>
      <c r="G26" t="b">
        <f t="shared" si="0"/>
        <v>1</v>
      </c>
      <c r="J26">
        <f t="shared" si="1"/>
        <v>-139</v>
      </c>
      <c r="K26" s="4">
        <f t="shared" si="2"/>
        <v>-0.13762376237623763</v>
      </c>
      <c r="L26" s="4"/>
      <c r="N26" s="5">
        <v>806.34</v>
      </c>
      <c r="O26" s="5">
        <v>656.8</v>
      </c>
      <c r="Q26" s="5">
        <v>2929.04</v>
      </c>
      <c r="T26" s="114">
        <f t="shared" si="3"/>
        <v>-149.54000000000008</v>
      </c>
      <c r="U26" s="4" t="e">
        <f>IF(#REF!=0,0,O26/#REF!-1)</f>
        <v>#REF!</v>
      </c>
      <c r="AB26" s="18">
        <v>24224.38</v>
      </c>
      <c r="AC26" s="18">
        <v>20891.21</v>
      </c>
      <c r="AD26" s="4">
        <f t="shared" si="6"/>
        <v>-0.13759567840332765</v>
      </c>
    </row>
    <row r="27" spans="1:30">
      <c r="A27" s="55" t="s">
        <v>1224</v>
      </c>
      <c r="B27" s="37" t="s">
        <v>1225</v>
      </c>
      <c r="C27">
        <v>832</v>
      </c>
      <c r="E27" s="37" t="s">
        <v>1225</v>
      </c>
      <c r="F27">
        <v>555</v>
      </c>
      <c r="G27" t="b">
        <f t="shared" si="0"/>
        <v>1</v>
      </c>
      <c r="J27">
        <f t="shared" si="1"/>
        <v>-277</v>
      </c>
      <c r="K27" s="4">
        <f t="shared" si="2"/>
        <v>-0.33293269230769229</v>
      </c>
      <c r="L27" s="4"/>
      <c r="N27" s="5">
        <v>1282.0899999999999</v>
      </c>
      <c r="O27" s="5">
        <v>961.12</v>
      </c>
      <c r="Q27" s="5">
        <v>3194.19</v>
      </c>
      <c r="T27" s="114">
        <f t="shared" si="3"/>
        <v>-320.96999999999991</v>
      </c>
      <c r="U27" s="4">
        <f t="shared" ref="U27:U33" si="7">IF(N27=0,0,O27/N27-1)</f>
        <v>-0.25034903945900833</v>
      </c>
      <c r="AB27" s="18">
        <v>12635.17</v>
      </c>
      <c r="AC27" s="18">
        <v>9428.26</v>
      </c>
      <c r="AD27" s="4">
        <f t="shared" si="6"/>
        <v>-0.25380821943828213</v>
      </c>
    </row>
    <row r="28" spans="1:30">
      <c r="A28" t="s">
        <v>1226</v>
      </c>
      <c r="B28" t="s">
        <v>1227</v>
      </c>
      <c r="C28">
        <v>2554</v>
      </c>
      <c r="E28" t="s">
        <v>1227</v>
      </c>
      <c r="F28">
        <v>2344</v>
      </c>
      <c r="G28" t="b">
        <f t="shared" si="0"/>
        <v>1</v>
      </c>
      <c r="J28">
        <f t="shared" si="1"/>
        <v>-210</v>
      </c>
      <c r="K28" s="4">
        <f t="shared" si="2"/>
        <v>-8.2223962411902884E-2</v>
      </c>
      <c r="L28" s="6"/>
      <c r="N28" s="5">
        <v>2348.0500000000002</v>
      </c>
      <c r="O28" s="5">
        <v>2027.99</v>
      </c>
      <c r="Q28" s="5">
        <v>9848.07</v>
      </c>
      <c r="T28" s="114">
        <f t="shared" si="3"/>
        <v>-320.06000000000017</v>
      </c>
      <c r="U28" s="4">
        <f t="shared" si="7"/>
        <v>-0.1363088520261494</v>
      </c>
      <c r="AB28" s="18">
        <v>61215.81</v>
      </c>
      <c r="AC28" s="18">
        <v>58450.35</v>
      </c>
      <c r="AD28" s="4">
        <f t="shared" si="6"/>
        <v>-4.5175584542620606E-2</v>
      </c>
    </row>
    <row r="29" spans="1:30">
      <c r="A29" t="s">
        <v>1228</v>
      </c>
      <c r="B29" t="s">
        <v>1229</v>
      </c>
      <c r="C29">
        <v>889</v>
      </c>
      <c r="E29" t="s">
        <v>1229</v>
      </c>
      <c r="F29">
        <v>775</v>
      </c>
      <c r="G29" t="b">
        <f t="shared" si="0"/>
        <v>1</v>
      </c>
      <c r="J29">
        <f t="shared" si="1"/>
        <v>-114</v>
      </c>
      <c r="K29" s="4">
        <f t="shared" si="2"/>
        <v>-0.12823397075365583</v>
      </c>
      <c r="L29" s="4"/>
      <c r="N29" s="5">
        <v>800.19</v>
      </c>
      <c r="O29" s="5">
        <v>615.9</v>
      </c>
      <c r="Q29" s="5">
        <v>2885.0099999999998</v>
      </c>
      <c r="T29" s="114">
        <f t="shared" si="3"/>
        <v>-184.29000000000008</v>
      </c>
      <c r="U29" s="4">
        <f t="shared" si="7"/>
        <v>-0.23030780189704958</v>
      </c>
      <c r="AB29" s="18">
        <v>16156.59</v>
      </c>
      <c r="AC29" s="18">
        <v>14704.7</v>
      </c>
      <c r="AD29" s="4">
        <f t="shared" si="6"/>
        <v>-8.9863640780635023E-2</v>
      </c>
    </row>
    <row r="30" spans="1:30">
      <c r="A30" t="s">
        <v>1230</v>
      </c>
      <c r="B30" t="s">
        <v>1231</v>
      </c>
      <c r="C30">
        <v>3443</v>
      </c>
      <c r="E30" t="s">
        <v>1231</v>
      </c>
      <c r="F30">
        <v>3338</v>
      </c>
      <c r="G30" t="b">
        <f t="shared" si="0"/>
        <v>1</v>
      </c>
      <c r="J30">
        <f t="shared" si="1"/>
        <v>-105</v>
      </c>
      <c r="K30" s="4">
        <f t="shared" si="2"/>
        <v>-3.0496659889631128E-2</v>
      </c>
      <c r="L30" s="4"/>
      <c r="N30" s="5">
        <v>1445.06</v>
      </c>
      <c r="O30" s="5">
        <v>1680.62</v>
      </c>
      <c r="Q30" s="5">
        <v>6258.74</v>
      </c>
      <c r="T30" s="114">
        <f t="shared" si="3"/>
        <v>235.55999999999995</v>
      </c>
      <c r="U30" s="4">
        <f t="shared" si="7"/>
        <v>0.16301053243463937</v>
      </c>
      <c r="X30" s="5"/>
      <c r="Y30" s="5" t="s">
        <v>1232</v>
      </c>
      <c r="Z30" s="5"/>
      <c r="AA30" s="17"/>
      <c r="AB30" s="18">
        <v>66491.17</v>
      </c>
      <c r="AC30" s="18">
        <v>66721.820000000007</v>
      </c>
      <c r="AD30" s="4">
        <f t="shared" si="6"/>
        <v>3.4688816575194625E-3</v>
      </c>
    </row>
    <row r="31" spans="1:30">
      <c r="A31" t="s">
        <v>1233</v>
      </c>
      <c r="B31" t="s">
        <v>1234</v>
      </c>
      <c r="C31">
        <v>512</v>
      </c>
      <c r="E31" t="s">
        <v>1234</v>
      </c>
      <c r="F31">
        <v>391</v>
      </c>
      <c r="G31" t="b">
        <f t="shared" si="0"/>
        <v>1</v>
      </c>
      <c r="J31">
        <f t="shared" si="1"/>
        <v>-121</v>
      </c>
      <c r="K31" s="4">
        <f t="shared" si="2"/>
        <v>-0.236328125</v>
      </c>
      <c r="L31" s="4"/>
      <c r="N31" s="5">
        <v>109.21</v>
      </c>
      <c r="O31" s="5">
        <v>76.83</v>
      </c>
      <c r="Q31" s="5">
        <v>402.27</v>
      </c>
      <c r="T31" s="114">
        <f t="shared" si="3"/>
        <v>-32.379999999999995</v>
      </c>
      <c r="U31" s="4">
        <f t="shared" si="7"/>
        <v>-0.29649299514696459</v>
      </c>
      <c r="AB31" s="18">
        <v>9751.8799999999992</v>
      </c>
      <c r="AC31" s="18">
        <v>8179.44</v>
      </c>
      <c r="AD31" s="4">
        <f t="shared" si="6"/>
        <v>-0.16124480612968983</v>
      </c>
    </row>
    <row r="32" spans="1:30">
      <c r="A32" t="s">
        <v>1235</v>
      </c>
      <c r="B32" t="s">
        <v>1236</v>
      </c>
      <c r="C32">
        <v>927</v>
      </c>
      <c r="E32" t="s">
        <v>1236</v>
      </c>
      <c r="F32">
        <v>783</v>
      </c>
      <c r="G32" t="b">
        <f t="shared" si="0"/>
        <v>1</v>
      </c>
      <c r="J32">
        <f t="shared" si="1"/>
        <v>-144</v>
      </c>
      <c r="K32" s="4">
        <f t="shared" si="2"/>
        <v>-0.15533980582524276</v>
      </c>
      <c r="N32" s="5">
        <v>608.30999999999995</v>
      </c>
      <c r="O32" s="5">
        <v>582.94000000000005</v>
      </c>
      <c r="Q32" s="5">
        <v>2539.9499999999998</v>
      </c>
      <c r="T32" s="114">
        <f t="shared" si="3"/>
        <v>-25.369999999999891</v>
      </c>
      <c r="U32" s="4">
        <f t="shared" si="7"/>
        <v>-4.1705709260080992E-2</v>
      </c>
      <c r="AB32" s="18">
        <v>17179.84</v>
      </c>
      <c r="AC32" s="18">
        <v>15620.05</v>
      </c>
      <c r="AD32" s="4">
        <f t="shared" si="6"/>
        <v>-9.0791881647326211E-2</v>
      </c>
    </row>
    <row r="33" spans="1:30">
      <c r="A33" t="s">
        <v>1237</v>
      </c>
      <c r="B33" t="s">
        <v>1238</v>
      </c>
      <c r="C33">
        <v>934</v>
      </c>
      <c r="E33" t="s">
        <v>1238</v>
      </c>
      <c r="F33">
        <v>829</v>
      </c>
      <c r="G33" t="b">
        <f t="shared" si="0"/>
        <v>1</v>
      </c>
      <c r="J33">
        <f t="shared" si="1"/>
        <v>-105</v>
      </c>
      <c r="K33" s="4">
        <f t="shared" si="2"/>
        <v>-0.11241970021413272</v>
      </c>
      <c r="L33" s="4"/>
      <c r="N33" s="5">
        <v>1334.75</v>
      </c>
      <c r="O33" s="5">
        <v>1308.0899999999999</v>
      </c>
      <c r="Q33" s="5">
        <v>4952.59</v>
      </c>
      <c r="T33" s="114">
        <f t="shared" si="3"/>
        <v>-26.660000000000082</v>
      </c>
      <c r="U33" s="4">
        <f t="shared" si="7"/>
        <v>-1.9973777861022723E-2</v>
      </c>
      <c r="X33" t="s">
        <v>1239</v>
      </c>
      <c r="AB33" s="18">
        <v>15698.46</v>
      </c>
      <c r="AC33" s="18">
        <v>15763.92</v>
      </c>
      <c r="AD33" s="4">
        <f t="shared" si="6"/>
        <v>4.169835767330099E-3</v>
      </c>
    </row>
    <row r="34" spans="1:30">
      <c r="A34" s="54" t="s">
        <v>1240</v>
      </c>
      <c r="B34" s="27" t="s">
        <v>1241</v>
      </c>
      <c r="C34">
        <v>911</v>
      </c>
      <c r="E34" s="27" t="s">
        <v>1241</v>
      </c>
      <c r="F34">
        <v>800</v>
      </c>
      <c r="G34" t="b">
        <f t="shared" si="0"/>
        <v>1</v>
      </c>
      <c r="J34">
        <f t="shared" si="1"/>
        <v>-111</v>
      </c>
      <c r="K34" s="4">
        <f t="shared" si="2"/>
        <v>-0.12184412733260153</v>
      </c>
      <c r="L34" s="4"/>
      <c r="N34" s="5">
        <v>1924.55</v>
      </c>
      <c r="O34" s="5">
        <v>2246.34</v>
      </c>
      <c r="Q34" s="5">
        <v>8733.2000000000007</v>
      </c>
      <c r="T34" s="114">
        <f t="shared" si="3"/>
        <v>321.79000000000019</v>
      </c>
      <c r="U34" s="4">
        <f>IF(N35=0,0,O34/N35-1)</f>
        <v>18.359993105231407</v>
      </c>
      <c r="AB34" s="18">
        <v>20434.09</v>
      </c>
      <c r="AC34" s="18">
        <v>19263.25</v>
      </c>
      <c r="AD34" s="4">
        <f t="shared" si="6"/>
        <v>-5.7298367580841614E-2</v>
      </c>
    </row>
    <row r="35" spans="1:30">
      <c r="A35" t="s">
        <v>1242</v>
      </c>
      <c r="B35" t="s">
        <v>1243</v>
      </c>
      <c r="C35">
        <v>113</v>
      </c>
      <c r="E35" t="s">
        <v>1243</v>
      </c>
      <c r="F35">
        <v>58</v>
      </c>
      <c r="G35" t="b">
        <f t="shared" ref="G35:G66" si="8">IF(B35=E35,TRUE,FALSE)</f>
        <v>1</v>
      </c>
      <c r="J35">
        <f t="shared" ref="J35:J66" si="9">F35-C35</f>
        <v>-55</v>
      </c>
      <c r="K35" s="4">
        <f t="shared" ref="K35:K66" si="10">F35/C35-1</f>
        <v>-0.48672566371681414</v>
      </c>
      <c r="L35" s="4"/>
      <c r="N35" s="5">
        <v>116.03</v>
      </c>
      <c r="O35" s="5">
        <v>24.15</v>
      </c>
      <c r="Q35" s="5">
        <v>156.63</v>
      </c>
      <c r="T35" s="114">
        <f t="shared" ref="T35:T66" si="11">O35-N35</f>
        <v>-91.88</v>
      </c>
      <c r="U35" s="4">
        <f t="shared" ref="U35:U63" si="12">IF(N35=0,0,O35/N35-1)</f>
        <v>-0.79186417305869172</v>
      </c>
      <c r="AB35" s="18">
        <v>1915.29</v>
      </c>
      <c r="AC35" s="18">
        <v>1067.47</v>
      </c>
      <c r="AD35" s="4">
        <f t="shared" si="6"/>
        <v>-0.44265881406993191</v>
      </c>
    </row>
    <row r="36" spans="1:30">
      <c r="A36" s="54" t="s">
        <v>1244</v>
      </c>
      <c r="B36" s="37" t="s">
        <v>1245</v>
      </c>
      <c r="C36">
        <v>320</v>
      </c>
      <c r="E36" s="37" t="s">
        <v>1245</v>
      </c>
      <c r="F36">
        <v>258</v>
      </c>
      <c r="G36" t="b">
        <f t="shared" si="8"/>
        <v>1</v>
      </c>
      <c r="J36">
        <f t="shared" si="9"/>
        <v>-62</v>
      </c>
      <c r="K36" s="4">
        <f t="shared" si="10"/>
        <v>-0.19374999999999998</v>
      </c>
      <c r="L36" s="4"/>
      <c r="N36" s="5">
        <v>1257.55</v>
      </c>
      <c r="O36" s="5">
        <v>874.98</v>
      </c>
      <c r="Q36" s="5">
        <v>4286.03</v>
      </c>
      <c r="T36" s="114">
        <f t="shared" si="11"/>
        <v>-382.56999999999994</v>
      </c>
      <c r="U36" s="4">
        <f t="shared" si="12"/>
        <v>-0.30421852013836426</v>
      </c>
      <c r="AB36" s="18">
        <v>7921.33</v>
      </c>
      <c r="AC36" s="18">
        <v>6446.92</v>
      </c>
      <c r="AD36" s="4">
        <f t="shared" si="6"/>
        <v>-0.186131621836232</v>
      </c>
    </row>
    <row r="37" spans="1:30">
      <c r="A37" t="s">
        <v>1246</v>
      </c>
      <c r="B37" t="s">
        <v>1247</v>
      </c>
      <c r="C37">
        <v>1125</v>
      </c>
      <c r="D37" s="5"/>
      <c r="E37" t="s">
        <v>1247</v>
      </c>
      <c r="F37">
        <v>1091</v>
      </c>
      <c r="G37" t="b">
        <f t="shared" si="8"/>
        <v>1</v>
      </c>
      <c r="H37" s="5"/>
      <c r="I37" s="5"/>
      <c r="J37">
        <f t="shared" si="9"/>
        <v>-34</v>
      </c>
      <c r="K37" s="4">
        <f t="shared" si="10"/>
        <v>-3.0222222222222261E-2</v>
      </c>
      <c r="L37" s="5"/>
      <c r="M37" s="5"/>
      <c r="N37" s="5">
        <v>2204.4299999999998</v>
      </c>
      <c r="O37" s="5">
        <v>1273.1099999999999</v>
      </c>
      <c r="Q37" s="5">
        <v>9448.94</v>
      </c>
      <c r="T37" s="114">
        <f t="shared" si="11"/>
        <v>-931.31999999999994</v>
      </c>
      <c r="U37" s="4">
        <f t="shared" si="12"/>
        <v>-0.42247655856615995</v>
      </c>
      <c r="X37" s="5"/>
      <c r="Y37" s="5"/>
      <c r="Z37" s="5"/>
      <c r="AA37" s="17"/>
      <c r="AB37" s="18">
        <v>39348</v>
      </c>
      <c r="AC37" s="18">
        <v>38159.74</v>
      </c>
      <c r="AD37" s="4">
        <f t="shared" si="6"/>
        <v>-3.0198739453085377E-2</v>
      </c>
    </row>
    <row r="38" spans="1:30">
      <c r="A38" t="s">
        <v>1248</v>
      </c>
      <c r="B38" t="s">
        <v>1249</v>
      </c>
      <c r="C38">
        <v>785</v>
      </c>
      <c r="E38" t="s">
        <v>1249</v>
      </c>
      <c r="F38">
        <v>644</v>
      </c>
      <c r="G38" t="b">
        <f t="shared" si="8"/>
        <v>1</v>
      </c>
      <c r="J38">
        <f t="shared" si="9"/>
        <v>-141</v>
      </c>
      <c r="K38" s="4">
        <f t="shared" si="10"/>
        <v>-0.17961783439490442</v>
      </c>
      <c r="L38" s="4"/>
      <c r="N38" s="5">
        <v>622.32000000000005</v>
      </c>
      <c r="O38" s="5">
        <v>464.36</v>
      </c>
      <c r="Q38" s="5">
        <v>2466.88</v>
      </c>
      <c r="T38" s="114">
        <f t="shared" si="11"/>
        <v>-157.96000000000004</v>
      </c>
      <c r="U38" s="4">
        <f t="shared" si="12"/>
        <v>-0.25382439902301068</v>
      </c>
      <c r="AB38" s="18">
        <v>21780.53</v>
      </c>
      <c r="AC38" s="18">
        <v>18641.189999999999</v>
      </c>
      <c r="AD38" s="4">
        <f t="shared" si="6"/>
        <v>-0.14413515189942583</v>
      </c>
    </row>
    <row r="39" spans="1:30">
      <c r="A39" t="s">
        <v>1250</v>
      </c>
      <c r="B39" t="s">
        <v>1251</v>
      </c>
      <c r="C39">
        <v>332</v>
      </c>
      <c r="E39" t="s">
        <v>1251</v>
      </c>
      <c r="F39">
        <v>257</v>
      </c>
      <c r="G39" t="b">
        <f t="shared" si="8"/>
        <v>1</v>
      </c>
      <c r="J39">
        <f t="shared" si="9"/>
        <v>-75</v>
      </c>
      <c r="K39" s="4">
        <f t="shared" si="10"/>
        <v>-0.22590361445783136</v>
      </c>
      <c r="L39" s="4"/>
      <c r="N39" s="5">
        <v>0</v>
      </c>
      <c r="O39" s="5">
        <v>0</v>
      </c>
      <c r="Q39" s="5">
        <v>0</v>
      </c>
      <c r="T39" s="114">
        <f t="shared" si="11"/>
        <v>0</v>
      </c>
      <c r="U39" s="4">
        <f t="shared" si="12"/>
        <v>0</v>
      </c>
      <c r="AB39" s="18">
        <v>3316.38</v>
      </c>
      <c r="AC39" s="18">
        <v>2566.9299999999998</v>
      </c>
      <c r="AD39" s="4">
        <f t="shared" si="6"/>
        <v>-0.22598435643683779</v>
      </c>
    </row>
    <row r="40" spans="1:30">
      <c r="A40" s="54" t="s">
        <v>1252</v>
      </c>
      <c r="B40" s="37" t="s">
        <v>1253</v>
      </c>
      <c r="C40">
        <v>438</v>
      </c>
      <c r="E40" s="37" t="s">
        <v>1253</v>
      </c>
      <c r="F40">
        <v>452</v>
      </c>
      <c r="G40" t="b">
        <f t="shared" si="8"/>
        <v>1</v>
      </c>
      <c r="J40">
        <f t="shared" si="9"/>
        <v>14</v>
      </c>
      <c r="K40" s="4">
        <f t="shared" si="10"/>
        <v>3.1963470319634757E-2</v>
      </c>
      <c r="L40" s="4"/>
      <c r="N40" s="5">
        <v>950.57</v>
      </c>
      <c r="O40" s="5">
        <v>552.80999999999995</v>
      </c>
      <c r="Q40" s="5">
        <v>3098.79</v>
      </c>
      <c r="T40" s="114">
        <f t="shared" si="11"/>
        <v>-397.7600000000001</v>
      </c>
      <c r="U40" s="4">
        <f t="shared" si="12"/>
        <v>-0.41844367063972154</v>
      </c>
      <c r="AB40" s="18">
        <v>10026.66</v>
      </c>
      <c r="AC40" s="18">
        <v>10840.36</v>
      </c>
      <c r="AD40" s="4">
        <f t="shared" si="6"/>
        <v>8.1153644384072132E-2</v>
      </c>
    </row>
    <row r="41" spans="1:30">
      <c r="A41" t="s">
        <v>1254</v>
      </c>
      <c r="B41" t="s">
        <v>1255</v>
      </c>
      <c r="C41">
        <v>744</v>
      </c>
      <c r="E41" t="s">
        <v>1255</v>
      </c>
      <c r="F41">
        <v>880</v>
      </c>
      <c r="G41" t="b">
        <f t="shared" si="8"/>
        <v>1</v>
      </c>
      <c r="J41">
        <f t="shared" si="9"/>
        <v>136</v>
      </c>
      <c r="K41" s="4">
        <f t="shared" si="10"/>
        <v>0.18279569892473124</v>
      </c>
      <c r="L41" s="4"/>
      <c r="N41" s="5">
        <v>578.6</v>
      </c>
      <c r="O41" s="5">
        <v>537.94000000000005</v>
      </c>
      <c r="Q41" s="5">
        <v>4099.3</v>
      </c>
      <c r="T41" s="114">
        <f t="shared" si="11"/>
        <v>-40.659999999999968</v>
      </c>
      <c r="U41" s="4">
        <f t="shared" si="12"/>
        <v>-7.0273072934669889E-2</v>
      </c>
      <c r="AB41" s="18">
        <v>21562.47</v>
      </c>
      <c r="AC41" s="18">
        <v>25500.76</v>
      </c>
      <c r="AD41" s="4">
        <f t="shared" si="6"/>
        <v>0.18264558744893322</v>
      </c>
    </row>
    <row r="42" spans="1:30">
      <c r="A42" t="s">
        <v>1256</v>
      </c>
      <c r="B42" t="s">
        <v>1257</v>
      </c>
      <c r="C42">
        <v>530</v>
      </c>
      <c r="E42" t="s">
        <v>1257</v>
      </c>
      <c r="F42">
        <v>586</v>
      </c>
      <c r="G42" t="b">
        <f t="shared" si="8"/>
        <v>1</v>
      </c>
      <c r="J42">
        <f t="shared" si="9"/>
        <v>56</v>
      </c>
      <c r="K42" s="4">
        <f t="shared" si="10"/>
        <v>0.10566037735849054</v>
      </c>
      <c r="L42" s="4"/>
      <c r="N42" s="5">
        <v>622.34</v>
      </c>
      <c r="O42" s="5">
        <v>575.20000000000005</v>
      </c>
      <c r="Q42" s="5">
        <v>3532.71</v>
      </c>
      <c r="T42" s="114">
        <f t="shared" si="11"/>
        <v>-47.139999999999986</v>
      </c>
      <c r="U42" s="4">
        <f t="shared" si="12"/>
        <v>-7.5746376578718966E-2</v>
      </c>
      <c r="AB42" s="18">
        <v>9003.98</v>
      </c>
      <c r="AC42" s="18">
        <v>9953.93</v>
      </c>
      <c r="AD42" s="4">
        <f t="shared" si="6"/>
        <v>0.10550334407673057</v>
      </c>
    </row>
    <row r="43" spans="1:30">
      <c r="A43" t="s">
        <v>1258</v>
      </c>
      <c r="B43" t="s">
        <v>1259</v>
      </c>
      <c r="C43">
        <v>311</v>
      </c>
      <c r="E43" t="s">
        <v>1259</v>
      </c>
      <c r="F43">
        <v>260</v>
      </c>
      <c r="G43" t="b">
        <f t="shared" si="8"/>
        <v>1</v>
      </c>
      <c r="J43">
        <f t="shared" si="9"/>
        <v>-51</v>
      </c>
      <c r="K43" s="4">
        <f t="shared" si="10"/>
        <v>-0.16398713826366562</v>
      </c>
      <c r="N43" s="5">
        <v>316.22000000000003</v>
      </c>
      <c r="O43" s="5">
        <v>237.15</v>
      </c>
      <c r="Q43" s="5">
        <v>1632.76</v>
      </c>
      <c r="T43" s="114">
        <f t="shared" si="11"/>
        <v>-79.070000000000022</v>
      </c>
      <c r="U43" s="4">
        <f t="shared" si="12"/>
        <v>-0.25004743532983376</v>
      </c>
      <c r="AB43" s="18">
        <v>5385.49</v>
      </c>
      <c r="AC43" s="18">
        <v>4927</v>
      </c>
      <c r="AD43" s="4">
        <f t="shared" si="6"/>
        <v>-8.5134314612040796E-2</v>
      </c>
    </row>
    <row r="44" spans="1:30">
      <c r="A44" t="s">
        <v>1260</v>
      </c>
      <c r="B44" t="s">
        <v>1261</v>
      </c>
      <c r="C44">
        <v>1224</v>
      </c>
      <c r="E44" t="s">
        <v>1261</v>
      </c>
      <c r="F44">
        <v>1213</v>
      </c>
      <c r="G44" t="b">
        <f t="shared" si="8"/>
        <v>1</v>
      </c>
      <c r="J44">
        <f t="shared" si="9"/>
        <v>-11</v>
      </c>
      <c r="K44" s="4">
        <f t="shared" si="10"/>
        <v>-8.9869281045751315E-3</v>
      </c>
      <c r="L44" s="4"/>
      <c r="N44" s="5">
        <v>1307.6600000000001</v>
      </c>
      <c r="O44" s="5">
        <v>1432.76</v>
      </c>
      <c r="Q44" s="5">
        <v>6607.87</v>
      </c>
      <c r="T44" s="114">
        <f t="shared" si="11"/>
        <v>125.09999999999991</v>
      </c>
      <c r="U44" s="4">
        <f t="shared" si="12"/>
        <v>9.566706942171499E-2</v>
      </c>
      <c r="AB44" s="18">
        <v>23256.51</v>
      </c>
      <c r="AC44" s="18">
        <v>24198.35</v>
      </c>
      <c r="AD44" s="4">
        <f t="shared" si="6"/>
        <v>4.0497907897616647E-2</v>
      </c>
    </row>
    <row r="45" spans="1:30">
      <c r="A45" t="s">
        <v>1262</v>
      </c>
      <c r="B45" t="s">
        <v>1263</v>
      </c>
      <c r="C45">
        <v>1050</v>
      </c>
      <c r="E45" t="s">
        <v>1263</v>
      </c>
      <c r="F45">
        <v>921</v>
      </c>
      <c r="G45" t="b">
        <f t="shared" si="8"/>
        <v>1</v>
      </c>
      <c r="J45">
        <f t="shared" si="9"/>
        <v>-129</v>
      </c>
      <c r="K45" s="4">
        <f t="shared" si="10"/>
        <v>-0.12285714285714289</v>
      </c>
      <c r="L45" s="4"/>
      <c r="N45" s="5">
        <v>795.94</v>
      </c>
      <c r="O45" s="5">
        <v>608.41</v>
      </c>
      <c r="Q45" s="5">
        <v>4581.1899999999996</v>
      </c>
      <c r="T45" s="114">
        <f t="shared" si="11"/>
        <v>-187.53000000000009</v>
      </c>
      <c r="U45" s="4">
        <f t="shared" si="12"/>
        <v>-0.23560821167424695</v>
      </c>
      <c r="AB45" s="18">
        <v>17837.29</v>
      </c>
      <c r="AC45" s="18">
        <v>15645.41</v>
      </c>
      <c r="AD45" s="4">
        <f t="shared" si="6"/>
        <v>-0.12288189517578063</v>
      </c>
    </row>
    <row r="46" spans="1:30">
      <c r="A46" t="s">
        <v>1264</v>
      </c>
      <c r="B46" t="s">
        <v>1265</v>
      </c>
      <c r="C46">
        <v>1216</v>
      </c>
      <c r="E46" t="s">
        <v>1265</v>
      </c>
      <c r="F46">
        <v>991</v>
      </c>
      <c r="G46" t="b">
        <f t="shared" si="8"/>
        <v>1</v>
      </c>
      <c r="J46">
        <f t="shared" si="9"/>
        <v>-225</v>
      </c>
      <c r="K46" s="4">
        <f t="shared" si="10"/>
        <v>-0.18503289473684215</v>
      </c>
      <c r="L46" s="4"/>
      <c r="N46" s="5">
        <v>1101.9100000000001</v>
      </c>
      <c r="O46" s="5">
        <v>898.36</v>
      </c>
      <c r="Q46" s="5">
        <v>6086.32</v>
      </c>
      <c r="T46" s="114">
        <f t="shared" si="11"/>
        <v>-203.55000000000007</v>
      </c>
      <c r="U46" s="4">
        <f t="shared" si="12"/>
        <v>-0.18472470528446072</v>
      </c>
      <c r="AB46" s="18">
        <v>44684.639999999999</v>
      </c>
      <c r="AC46" s="18">
        <v>39623.29</v>
      </c>
      <c r="AD46" s="4">
        <f t="shared" si="6"/>
        <v>-0.11326822818758298</v>
      </c>
    </row>
    <row r="47" spans="1:30">
      <c r="A47" s="54" t="s">
        <v>1266</v>
      </c>
      <c r="B47" t="s">
        <v>1267</v>
      </c>
      <c r="C47">
        <v>3351</v>
      </c>
      <c r="E47" t="s">
        <v>1267</v>
      </c>
      <c r="F47">
        <v>4366</v>
      </c>
      <c r="G47" t="b">
        <f t="shared" si="8"/>
        <v>1</v>
      </c>
      <c r="J47">
        <f t="shared" si="9"/>
        <v>1015</v>
      </c>
      <c r="K47" s="4">
        <f t="shared" si="10"/>
        <v>0.30289465831095197</v>
      </c>
      <c r="L47" s="4"/>
      <c r="N47" s="5">
        <v>5511.04</v>
      </c>
      <c r="O47" s="5">
        <v>6580.92</v>
      </c>
      <c r="Q47" s="5">
        <v>53608.52</v>
      </c>
      <c r="T47" s="114">
        <f t="shared" si="11"/>
        <v>1069.8800000000001</v>
      </c>
      <c r="U47" s="4">
        <f t="shared" si="12"/>
        <v>0.19413395656718158</v>
      </c>
      <c r="AB47" s="18">
        <v>100476.69</v>
      </c>
      <c r="AC47" s="18">
        <v>130905.44</v>
      </c>
      <c r="AD47" s="4">
        <f t="shared" si="6"/>
        <v>0.30284387353922582</v>
      </c>
    </row>
    <row r="48" spans="1:30">
      <c r="A48" t="s">
        <v>1268</v>
      </c>
      <c r="B48" t="s">
        <v>1269</v>
      </c>
      <c r="C48">
        <v>1729</v>
      </c>
      <c r="E48" t="s">
        <v>1269</v>
      </c>
      <c r="F48">
        <v>1396</v>
      </c>
      <c r="G48" t="b">
        <f t="shared" si="8"/>
        <v>1</v>
      </c>
      <c r="J48">
        <f t="shared" si="9"/>
        <v>-333</v>
      </c>
      <c r="K48" s="4">
        <f t="shared" si="10"/>
        <v>-0.19259687680740312</v>
      </c>
      <c r="L48" s="6"/>
      <c r="N48" s="5">
        <v>2799.94</v>
      </c>
      <c r="O48" s="5">
        <v>1966.27</v>
      </c>
      <c r="Q48" s="5">
        <v>12692.43</v>
      </c>
      <c r="T48" s="114">
        <f t="shared" si="11"/>
        <v>-833.67000000000007</v>
      </c>
      <c r="U48" s="4">
        <f t="shared" si="12"/>
        <v>-0.29774566597855667</v>
      </c>
      <c r="AB48" s="18">
        <v>36813.129999999997</v>
      </c>
      <c r="AC48" s="18">
        <v>30691.22</v>
      </c>
      <c r="AD48" s="4">
        <f t="shared" ref="AD48:AD79" si="13">AC48/AB48-1</f>
        <v>-0.16629691634479316</v>
      </c>
    </row>
    <row r="49" spans="1:30">
      <c r="A49" t="s">
        <v>1270</v>
      </c>
      <c r="B49" t="s">
        <v>1271</v>
      </c>
      <c r="C49">
        <v>753</v>
      </c>
      <c r="E49" t="s">
        <v>1271</v>
      </c>
      <c r="F49">
        <v>630</v>
      </c>
      <c r="G49" t="b">
        <f t="shared" si="8"/>
        <v>1</v>
      </c>
      <c r="J49">
        <f t="shared" si="9"/>
        <v>-123</v>
      </c>
      <c r="K49" s="4">
        <f t="shared" si="10"/>
        <v>-0.1633466135458167</v>
      </c>
      <c r="L49" s="4"/>
      <c r="N49" s="5">
        <v>1312.06</v>
      </c>
      <c r="O49" s="5">
        <v>932.39</v>
      </c>
      <c r="Q49" s="5">
        <v>6618.44</v>
      </c>
      <c r="T49" s="114">
        <f t="shared" si="11"/>
        <v>-379.66999999999996</v>
      </c>
      <c r="U49" s="4">
        <f t="shared" si="12"/>
        <v>-0.28936938859503369</v>
      </c>
      <c r="X49" s="5"/>
      <c r="Y49" s="5"/>
      <c r="Z49" s="5"/>
      <c r="AA49" s="17"/>
      <c r="AB49" s="18">
        <v>18710.13</v>
      </c>
      <c r="AC49" s="18">
        <v>16370.32</v>
      </c>
      <c r="AD49" s="4">
        <f t="shared" si="13"/>
        <v>-0.12505578528850425</v>
      </c>
    </row>
    <row r="50" spans="1:30">
      <c r="A50" t="s">
        <v>1272</v>
      </c>
      <c r="B50" t="s">
        <v>1273</v>
      </c>
      <c r="C50">
        <v>0</v>
      </c>
      <c r="E50" t="s">
        <v>1273</v>
      </c>
      <c r="F50">
        <v>63</v>
      </c>
      <c r="G50" t="b">
        <f t="shared" si="8"/>
        <v>1</v>
      </c>
      <c r="J50">
        <f t="shared" si="9"/>
        <v>63</v>
      </c>
      <c r="K50" s="4" t="e">
        <f t="shared" si="10"/>
        <v>#DIV/0!</v>
      </c>
      <c r="L50" s="4"/>
      <c r="N50" s="5">
        <v>0</v>
      </c>
      <c r="O50" s="5">
        <v>3.28</v>
      </c>
      <c r="Q50" s="5">
        <v>19.989999999999998</v>
      </c>
      <c r="T50" s="114">
        <f t="shared" si="11"/>
        <v>3.28</v>
      </c>
      <c r="U50" s="4">
        <f t="shared" si="12"/>
        <v>0</v>
      </c>
      <c r="X50" t="s">
        <v>1274</v>
      </c>
      <c r="AB50" s="18">
        <v>0</v>
      </c>
      <c r="AC50" s="18">
        <v>1259.3699999999999</v>
      </c>
      <c r="AD50" s="4" t="e">
        <f t="shared" si="13"/>
        <v>#DIV/0!</v>
      </c>
    </row>
    <row r="51" spans="1:30">
      <c r="A51" t="s">
        <v>1275</v>
      </c>
      <c r="B51" t="s">
        <v>1276</v>
      </c>
      <c r="C51">
        <v>0</v>
      </c>
      <c r="E51" t="s">
        <v>1276</v>
      </c>
      <c r="F51">
        <v>0</v>
      </c>
      <c r="G51" t="b">
        <f t="shared" si="8"/>
        <v>1</v>
      </c>
      <c r="J51">
        <f t="shared" si="9"/>
        <v>0</v>
      </c>
      <c r="K51" s="4" t="e">
        <f t="shared" si="10"/>
        <v>#DIV/0!</v>
      </c>
      <c r="L51" s="4"/>
      <c r="N51" s="5">
        <v>0</v>
      </c>
      <c r="O51" s="5">
        <v>0</v>
      </c>
      <c r="Q51" s="5">
        <v>0</v>
      </c>
      <c r="T51" s="114">
        <f t="shared" si="11"/>
        <v>0</v>
      </c>
      <c r="U51" s="4">
        <f t="shared" si="12"/>
        <v>0</v>
      </c>
      <c r="AB51" s="18">
        <v>0</v>
      </c>
      <c r="AC51" s="18">
        <v>0</v>
      </c>
      <c r="AD51" s="4" t="e">
        <f t="shared" si="13"/>
        <v>#DIV/0!</v>
      </c>
    </row>
    <row r="52" spans="1:30">
      <c r="A52" s="55" t="s">
        <v>1277</v>
      </c>
      <c r="B52" s="37" t="s">
        <v>1278</v>
      </c>
      <c r="C52">
        <v>0</v>
      </c>
      <c r="E52" s="37" t="s">
        <v>1278</v>
      </c>
      <c r="F52">
        <v>0</v>
      </c>
      <c r="G52" t="b">
        <f t="shared" si="8"/>
        <v>1</v>
      </c>
      <c r="J52">
        <f t="shared" si="9"/>
        <v>0</v>
      </c>
      <c r="K52" s="4" t="e">
        <f t="shared" si="10"/>
        <v>#DIV/0!</v>
      </c>
      <c r="L52" s="4"/>
      <c r="N52" s="5">
        <v>0</v>
      </c>
      <c r="O52" s="5">
        <v>0</v>
      </c>
      <c r="Q52" s="5">
        <v>0</v>
      </c>
      <c r="T52" s="114">
        <f t="shared" si="11"/>
        <v>0</v>
      </c>
      <c r="U52" s="4">
        <f t="shared" si="12"/>
        <v>0</v>
      </c>
      <c r="AB52" s="18">
        <v>0</v>
      </c>
      <c r="AC52" s="18">
        <v>0</v>
      </c>
      <c r="AD52" s="4" t="e">
        <f t="shared" si="13"/>
        <v>#DIV/0!</v>
      </c>
    </row>
    <row r="53" spans="1:30">
      <c r="A53" t="s">
        <v>1279</v>
      </c>
      <c r="B53" t="s">
        <v>1280</v>
      </c>
      <c r="C53">
        <v>0</v>
      </c>
      <c r="E53" t="s">
        <v>1280</v>
      </c>
      <c r="F53">
        <v>0</v>
      </c>
      <c r="G53" t="b">
        <f t="shared" si="8"/>
        <v>1</v>
      </c>
      <c r="J53">
        <f t="shared" si="9"/>
        <v>0</v>
      </c>
      <c r="K53" s="4" t="e">
        <f t="shared" si="10"/>
        <v>#DIV/0!</v>
      </c>
      <c r="L53" s="4"/>
      <c r="N53" s="5">
        <v>0</v>
      </c>
      <c r="O53" s="5">
        <v>0</v>
      </c>
      <c r="Q53" s="5">
        <v>0</v>
      </c>
      <c r="T53" s="114">
        <f t="shared" si="11"/>
        <v>0</v>
      </c>
      <c r="U53" s="4">
        <f t="shared" si="12"/>
        <v>0</v>
      </c>
      <c r="AB53" s="18">
        <v>0</v>
      </c>
      <c r="AC53" s="18">
        <v>0</v>
      </c>
      <c r="AD53" s="4" t="e">
        <f t="shared" si="13"/>
        <v>#DIV/0!</v>
      </c>
    </row>
    <row r="54" spans="1:30">
      <c r="A54" t="s">
        <v>1281</v>
      </c>
      <c r="B54" t="s">
        <v>1282</v>
      </c>
      <c r="C54">
        <v>0</v>
      </c>
      <c r="E54" t="s">
        <v>1282</v>
      </c>
      <c r="F54">
        <v>0</v>
      </c>
      <c r="G54" t="b">
        <f t="shared" si="8"/>
        <v>1</v>
      </c>
      <c r="J54">
        <f t="shared" si="9"/>
        <v>0</v>
      </c>
      <c r="K54" s="4" t="e">
        <f t="shared" si="10"/>
        <v>#DIV/0!</v>
      </c>
      <c r="L54" s="4"/>
      <c r="N54" s="5">
        <v>0</v>
      </c>
      <c r="O54" s="5">
        <v>0</v>
      </c>
      <c r="Q54" s="5">
        <v>0</v>
      </c>
      <c r="T54" s="114">
        <f t="shared" si="11"/>
        <v>0</v>
      </c>
      <c r="U54" s="4">
        <f t="shared" si="12"/>
        <v>0</v>
      </c>
      <c r="X54" t="s">
        <v>1283</v>
      </c>
      <c r="AB54" s="18">
        <v>0</v>
      </c>
      <c r="AC54" s="18">
        <v>0</v>
      </c>
      <c r="AD54" s="4" t="e">
        <f t="shared" si="13"/>
        <v>#DIV/0!</v>
      </c>
    </row>
    <row r="55" spans="1:30">
      <c r="A55" t="s">
        <v>1284</v>
      </c>
      <c r="B55" t="s">
        <v>1285</v>
      </c>
      <c r="C55">
        <v>0</v>
      </c>
      <c r="E55" t="s">
        <v>1285</v>
      </c>
      <c r="F55">
        <v>0</v>
      </c>
      <c r="G55" t="b">
        <f t="shared" si="8"/>
        <v>1</v>
      </c>
      <c r="J55">
        <f t="shared" si="9"/>
        <v>0</v>
      </c>
      <c r="K55" s="4" t="e">
        <f t="shared" si="10"/>
        <v>#DIV/0!</v>
      </c>
      <c r="N55" s="5">
        <v>0</v>
      </c>
      <c r="O55" s="5">
        <v>0</v>
      </c>
      <c r="Q55" s="5">
        <v>0</v>
      </c>
      <c r="T55" s="114">
        <f t="shared" si="11"/>
        <v>0</v>
      </c>
      <c r="U55" s="4">
        <f t="shared" si="12"/>
        <v>0</v>
      </c>
      <c r="AB55" s="18">
        <v>0</v>
      </c>
      <c r="AC55" s="18">
        <v>0</v>
      </c>
      <c r="AD55" s="4" t="e">
        <f t="shared" si="13"/>
        <v>#DIV/0!</v>
      </c>
    </row>
    <row r="56" spans="1:30">
      <c r="A56" t="s">
        <v>1286</v>
      </c>
      <c r="B56" t="s">
        <v>1287</v>
      </c>
      <c r="C56">
        <v>0</v>
      </c>
      <c r="E56" t="s">
        <v>1287</v>
      </c>
      <c r="F56">
        <v>0</v>
      </c>
      <c r="G56" t="b">
        <f t="shared" si="8"/>
        <v>1</v>
      </c>
      <c r="J56">
        <f t="shared" si="9"/>
        <v>0</v>
      </c>
      <c r="K56" s="4" t="e">
        <f t="shared" si="10"/>
        <v>#DIV/0!</v>
      </c>
      <c r="L56" s="4"/>
      <c r="N56" s="5">
        <v>0</v>
      </c>
      <c r="O56" s="5">
        <v>0</v>
      </c>
      <c r="Q56" s="5">
        <v>0</v>
      </c>
      <c r="T56" s="114">
        <f t="shared" si="11"/>
        <v>0</v>
      </c>
      <c r="U56" s="4">
        <f t="shared" si="12"/>
        <v>0</v>
      </c>
      <c r="AB56" s="18">
        <v>0</v>
      </c>
      <c r="AC56" s="18">
        <v>0</v>
      </c>
      <c r="AD56" s="4" t="e">
        <f t="shared" si="13"/>
        <v>#DIV/0!</v>
      </c>
    </row>
    <row r="57" spans="1:30">
      <c r="A57" t="s">
        <v>1288</v>
      </c>
      <c r="B57" t="s">
        <v>1289</v>
      </c>
      <c r="C57">
        <v>0</v>
      </c>
      <c r="E57" t="s">
        <v>1289</v>
      </c>
      <c r="F57">
        <v>0</v>
      </c>
      <c r="G57" t="b">
        <f t="shared" si="8"/>
        <v>1</v>
      </c>
      <c r="J57">
        <f t="shared" si="9"/>
        <v>0</v>
      </c>
      <c r="K57" s="4" t="e">
        <f t="shared" si="10"/>
        <v>#DIV/0!</v>
      </c>
      <c r="L57" s="4"/>
      <c r="N57" s="5">
        <v>0</v>
      </c>
      <c r="O57" s="5">
        <v>0</v>
      </c>
      <c r="Q57" s="5">
        <v>0</v>
      </c>
      <c r="T57" s="114">
        <f t="shared" si="11"/>
        <v>0</v>
      </c>
      <c r="U57" s="4">
        <f t="shared" si="12"/>
        <v>0</v>
      </c>
      <c r="AB57" s="18">
        <v>0</v>
      </c>
      <c r="AC57" s="18">
        <v>0</v>
      </c>
      <c r="AD57" s="4" t="e">
        <f t="shared" si="13"/>
        <v>#DIV/0!</v>
      </c>
    </row>
    <row r="58" spans="1:30">
      <c r="A58" t="s">
        <v>1290</v>
      </c>
      <c r="B58" t="s">
        <v>1291</v>
      </c>
      <c r="C58">
        <v>0</v>
      </c>
      <c r="E58" t="s">
        <v>1291</v>
      </c>
      <c r="F58">
        <v>0</v>
      </c>
      <c r="G58" t="b">
        <f t="shared" si="8"/>
        <v>1</v>
      </c>
      <c r="J58">
        <f t="shared" si="9"/>
        <v>0</v>
      </c>
      <c r="K58" s="4" t="e">
        <f t="shared" si="10"/>
        <v>#DIV/0!</v>
      </c>
      <c r="L58" s="4"/>
      <c r="N58" s="5">
        <v>0</v>
      </c>
      <c r="O58" s="5">
        <v>0</v>
      </c>
      <c r="Q58" s="5">
        <v>0</v>
      </c>
      <c r="T58" s="114">
        <f t="shared" si="11"/>
        <v>0</v>
      </c>
      <c r="U58" s="4">
        <f t="shared" si="12"/>
        <v>0</v>
      </c>
      <c r="AB58" s="18">
        <v>0</v>
      </c>
      <c r="AC58" s="18">
        <v>0</v>
      </c>
      <c r="AD58" s="4" t="e">
        <f t="shared" si="13"/>
        <v>#DIV/0!</v>
      </c>
    </row>
    <row r="59" spans="1:30">
      <c r="A59" t="s">
        <v>1292</v>
      </c>
      <c r="B59" t="s">
        <v>1293</v>
      </c>
      <c r="C59">
        <v>332</v>
      </c>
      <c r="E59" t="s">
        <v>1293</v>
      </c>
      <c r="F59">
        <v>246</v>
      </c>
      <c r="G59" t="b">
        <f t="shared" si="8"/>
        <v>1</v>
      </c>
      <c r="J59">
        <f t="shared" si="9"/>
        <v>-86</v>
      </c>
      <c r="K59" s="4">
        <f t="shared" si="10"/>
        <v>-0.25903614457831325</v>
      </c>
      <c r="L59" s="4"/>
      <c r="N59" s="5">
        <v>622.63</v>
      </c>
      <c r="O59" s="5">
        <v>348.63</v>
      </c>
      <c r="Q59" s="5">
        <v>2134.44</v>
      </c>
      <c r="T59" s="114">
        <f t="shared" si="11"/>
        <v>-274</v>
      </c>
      <c r="U59" s="4">
        <f t="shared" si="12"/>
        <v>-0.44006874066460022</v>
      </c>
      <c r="AB59" s="18">
        <v>9912.25</v>
      </c>
      <c r="AC59" s="18">
        <v>7335.05</v>
      </c>
      <c r="AD59" s="4">
        <f t="shared" si="13"/>
        <v>-0.26000151327902343</v>
      </c>
    </row>
    <row r="60" spans="1:30" ht="13.9" customHeight="1">
      <c r="A60" t="s">
        <v>1294</v>
      </c>
      <c r="B60" t="s">
        <v>1295</v>
      </c>
      <c r="C60">
        <v>13</v>
      </c>
      <c r="E60" t="s">
        <v>1295</v>
      </c>
      <c r="F60">
        <v>11</v>
      </c>
      <c r="G60" t="b">
        <f t="shared" si="8"/>
        <v>1</v>
      </c>
      <c r="J60">
        <f t="shared" si="9"/>
        <v>-2</v>
      </c>
      <c r="K60" s="4">
        <f t="shared" si="10"/>
        <v>-0.15384615384615385</v>
      </c>
      <c r="L60" s="4"/>
      <c r="N60" s="5">
        <v>25.68</v>
      </c>
      <c r="O60" s="5">
        <v>20.62</v>
      </c>
      <c r="Q60" s="5">
        <v>63.94</v>
      </c>
      <c r="T60" s="114">
        <f t="shared" si="11"/>
        <v>-5.0599999999999987</v>
      </c>
      <c r="U60" s="4">
        <f t="shared" si="12"/>
        <v>-0.1970404984423676</v>
      </c>
      <c r="AB60" s="18">
        <v>506.35</v>
      </c>
      <c r="AC60" s="18">
        <v>428.45</v>
      </c>
      <c r="AD60" s="4">
        <f t="shared" si="13"/>
        <v>-0.15384615384615385</v>
      </c>
    </row>
    <row r="61" spans="1:30" ht="13.9" customHeight="1">
      <c r="A61" t="s">
        <v>1296</v>
      </c>
      <c r="B61" t="s">
        <v>1297</v>
      </c>
      <c r="C61">
        <v>1261</v>
      </c>
      <c r="E61" t="s">
        <v>1297</v>
      </c>
      <c r="F61">
        <v>1157</v>
      </c>
      <c r="G61" t="b">
        <f t="shared" si="8"/>
        <v>1</v>
      </c>
      <c r="J61">
        <f t="shared" si="9"/>
        <v>-104</v>
      </c>
      <c r="K61" s="4">
        <f t="shared" si="10"/>
        <v>-8.2474226804123751E-2</v>
      </c>
      <c r="L61" s="4"/>
      <c r="N61" s="5">
        <v>667.68</v>
      </c>
      <c r="O61" s="5">
        <v>526.24</v>
      </c>
      <c r="Q61" s="5">
        <v>2776.74</v>
      </c>
      <c r="T61" s="114">
        <f t="shared" si="11"/>
        <v>-141.43999999999994</v>
      </c>
      <c r="U61" s="4">
        <f t="shared" si="12"/>
        <v>-0.21183800623052951</v>
      </c>
      <c r="X61" t="s">
        <v>1298</v>
      </c>
      <c r="AB61" s="18">
        <v>28930.880000000001</v>
      </c>
      <c r="AC61" s="18">
        <v>27708.95</v>
      </c>
      <c r="AD61" s="4">
        <f t="shared" si="13"/>
        <v>-4.2236185003705407E-2</v>
      </c>
    </row>
    <row r="62" spans="1:30" ht="13.9" customHeight="1">
      <c r="A62" s="27" t="s">
        <v>1299</v>
      </c>
      <c r="B62" s="27" t="s">
        <v>1300</v>
      </c>
      <c r="C62">
        <v>351</v>
      </c>
      <c r="E62" s="27" t="s">
        <v>1300</v>
      </c>
      <c r="F62">
        <v>167</v>
      </c>
      <c r="G62" t="b">
        <f t="shared" si="8"/>
        <v>1</v>
      </c>
      <c r="J62">
        <f t="shared" si="9"/>
        <v>-184</v>
      </c>
      <c r="K62" s="4">
        <f t="shared" si="10"/>
        <v>-0.5242165242165242</v>
      </c>
      <c r="L62" s="4"/>
      <c r="N62" s="5">
        <v>739.3</v>
      </c>
      <c r="O62" s="5">
        <v>329.47</v>
      </c>
      <c r="Q62" s="5">
        <v>1779.52</v>
      </c>
      <c r="T62" s="114">
        <f t="shared" si="11"/>
        <v>-409.82999999999993</v>
      </c>
      <c r="U62" s="4">
        <f t="shared" si="12"/>
        <v>-0.55434870823752191</v>
      </c>
      <c r="AB62" s="18">
        <v>9471.8700000000008</v>
      </c>
      <c r="AC62" s="18">
        <v>4506.79</v>
      </c>
      <c r="AD62" s="4">
        <f t="shared" si="13"/>
        <v>-0.52419216057652829</v>
      </c>
    </row>
    <row r="63" spans="1:30" ht="13.9" customHeight="1">
      <c r="A63" t="s">
        <v>1301</v>
      </c>
      <c r="B63" t="s">
        <v>1302</v>
      </c>
      <c r="C63">
        <v>1082</v>
      </c>
      <c r="E63" t="s">
        <v>1302</v>
      </c>
      <c r="F63">
        <v>920</v>
      </c>
      <c r="G63" t="b">
        <f t="shared" si="8"/>
        <v>1</v>
      </c>
      <c r="J63">
        <f t="shared" si="9"/>
        <v>-162</v>
      </c>
      <c r="K63" s="4">
        <f t="shared" si="10"/>
        <v>-0.14972273567467653</v>
      </c>
      <c r="L63" s="4"/>
      <c r="N63" s="5">
        <v>1434.94</v>
      </c>
      <c r="O63" s="5">
        <v>424.34</v>
      </c>
      <c r="Q63" s="5">
        <v>3448.97</v>
      </c>
      <c r="T63" s="114">
        <f t="shared" si="11"/>
        <v>-1010.6000000000001</v>
      </c>
      <c r="U63" s="4">
        <f t="shared" si="12"/>
        <v>-0.7042803183408366</v>
      </c>
      <c r="AB63" s="18">
        <v>24965.74</v>
      </c>
      <c r="AC63" s="18">
        <v>22021.14</v>
      </c>
      <c r="AD63" s="4">
        <f t="shared" si="13"/>
        <v>-0.11794563269504532</v>
      </c>
    </row>
    <row r="64" spans="1:30" ht="13.9" customHeight="1">
      <c r="A64" s="55" t="s">
        <v>1303</v>
      </c>
      <c r="B64" s="37" t="s">
        <v>1304</v>
      </c>
      <c r="C64">
        <v>1765</v>
      </c>
      <c r="E64" s="37" t="s">
        <v>1304</v>
      </c>
      <c r="F64">
        <v>1635</v>
      </c>
      <c r="G64" t="b">
        <f t="shared" si="8"/>
        <v>1</v>
      </c>
      <c r="J64">
        <f t="shared" si="9"/>
        <v>-130</v>
      </c>
      <c r="K64" s="4">
        <f t="shared" si="10"/>
        <v>-7.3654390934844161E-2</v>
      </c>
      <c r="L64" s="4"/>
      <c r="N64" s="5">
        <v>2125.67</v>
      </c>
      <c r="O64" s="5">
        <v>1809.6</v>
      </c>
      <c r="Q64" s="5">
        <v>10170.950000000001</v>
      </c>
      <c r="T64" s="114">
        <f t="shared" si="11"/>
        <v>-316.07000000000016</v>
      </c>
      <c r="U64" s="4">
        <f>IF(N65=0,0,O64/N65-1)</f>
        <v>1.995282628486303</v>
      </c>
      <c r="AB64" s="18">
        <v>35554.629999999997</v>
      </c>
      <c r="AC64" s="18">
        <v>32680.05</v>
      </c>
      <c r="AD64" s="4">
        <f t="shared" si="13"/>
        <v>-8.0849667117897095E-2</v>
      </c>
    </row>
    <row r="65" spans="1:30" ht="13.9" customHeight="1">
      <c r="A65" s="54" t="s">
        <v>1305</v>
      </c>
      <c r="B65" s="37" t="s">
        <v>1306</v>
      </c>
      <c r="C65">
        <v>654</v>
      </c>
      <c r="E65" s="37" t="s">
        <v>1306</v>
      </c>
      <c r="F65">
        <v>576</v>
      </c>
      <c r="G65" t="b">
        <f t="shared" si="8"/>
        <v>1</v>
      </c>
      <c r="J65">
        <f t="shared" si="9"/>
        <v>-78</v>
      </c>
      <c r="K65" s="4">
        <f t="shared" si="10"/>
        <v>-0.11926605504587151</v>
      </c>
      <c r="L65" s="4"/>
      <c r="N65" s="5">
        <v>604.15</v>
      </c>
      <c r="O65" s="5">
        <v>421.34</v>
      </c>
      <c r="Q65" s="5">
        <v>1639.98</v>
      </c>
      <c r="T65" s="114">
        <f t="shared" si="11"/>
        <v>-182.81</v>
      </c>
      <c r="U65" s="4">
        <f>IF(N66=0,0,O65/N66-1)</f>
        <v>-0.78391934028062693</v>
      </c>
      <c r="AB65" s="18">
        <v>10456.98</v>
      </c>
      <c r="AC65" s="18">
        <v>9209.2800000000007</v>
      </c>
      <c r="AD65" s="4">
        <f t="shared" si="13"/>
        <v>-0.11931743199279321</v>
      </c>
    </row>
    <row r="66" spans="1:30" ht="13.9" customHeight="1">
      <c r="A66" t="s">
        <v>1307</v>
      </c>
      <c r="B66" t="s">
        <v>1308</v>
      </c>
      <c r="C66">
        <v>1999</v>
      </c>
      <c r="E66" t="s">
        <v>1308</v>
      </c>
      <c r="F66">
        <v>1682</v>
      </c>
      <c r="G66" t="b">
        <f t="shared" si="8"/>
        <v>1</v>
      </c>
      <c r="J66">
        <f t="shared" si="9"/>
        <v>-317</v>
      </c>
      <c r="K66" s="4">
        <f t="shared" si="10"/>
        <v>-0.15857928964482237</v>
      </c>
      <c r="L66" s="6"/>
      <c r="N66" s="5">
        <v>1949.92</v>
      </c>
      <c r="O66" s="5">
        <v>910.49</v>
      </c>
      <c r="Q66" s="5">
        <v>6135.94</v>
      </c>
      <c r="T66" s="114">
        <f t="shared" si="11"/>
        <v>-1039.43</v>
      </c>
      <c r="U66" s="4">
        <f t="shared" ref="U66:U74" si="14">IF(N66=0,0,O66/N66-1)</f>
        <v>-0.53306289488799541</v>
      </c>
      <c r="AB66" s="18">
        <v>41082.61</v>
      </c>
      <c r="AC66" s="18">
        <v>36977.5</v>
      </c>
      <c r="AD66" s="4">
        <f t="shared" si="13"/>
        <v>-9.9923300880835009E-2</v>
      </c>
    </row>
    <row r="67" spans="1:30" ht="13.9" customHeight="1">
      <c r="A67" t="s">
        <v>1309</v>
      </c>
      <c r="B67" t="s">
        <v>1310</v>
      </c>
      <c r="C67">
        <v>251</v>
      </c>
      <c r="E67" t="s">
        <v>1310</v>
      </c>
      <c r="F67">
        <v>245</v>
      </c>
      <c r="G67" t="b">
        <f t="shared" ref="G67:G98" si="15">IF(B67=E67,TRUE,FALSE)</f>
        <v>1</v>
      </c>
      <c r="J67">
        <f t="shared" ref="J67:J98" si="16">F67-C67</f>
        <v>-6</v>
      </c>
      <c r="K67" s="4">
        <f t="shared" ref="K67:K98" si="17">F67/C67-1</f>
        <v>-2.3904382470119501E-2</v>
      </c>
      <c r="L67" s="4"/>
      <c r="N67" s="5">
        <v>470.61</v>
      </c>
      <c r="O67" s="5">
        <v>337.58</v>
      </c>
      <c r="Q67" s="5">
        <v>2383.96</v>
      </c>
      <c r="T67" s="114">
        <f t="shared" ref="T67:T98" si="18">O67-N67</f>
        <v>-133.03000000000003</v>
      </c>
      <c r="U67" s="4">
        <f t="shared" si="14"/>
        <v>-0.28267567624997347</v>
      </c>
      <c r="AB67" s="18">
        <v>7244.59</v>
      </c>
      <c r="AC67" s="18">
        <v>7345.15</v>
      </c>
      <c r="AD67" s="4">
        <f t="shared" si="13"/>
        <v>1.3880702703672698E-2</v>
      </c>
    </row>
    <row r="68" spans="1:30" ht="13.9" customHeight="1">
      <c r="A68" t="s">
        <v>1311</v>
      </c>
      <c r="B68" t="s">
        <v>1312</v>
      </c>
      <c r="C68">
        <v>4641</v>
      </c>
      <c r="E68" t="s">
        <v>1312</v>
      </c>
      <c r="F68">
        <v>3598</v>
      </c>
      <c r="G68" t="b">
        <f t="shared" si="15"/>
        <v>1</v>
      </c>
      <c r="J68">
        <f t="shared" si="16"/>
        <v>-1043</v>
      </c>
      <c r="K68" s="4">
        <f t="shared" si="17"/>
        <v>-0.22473604826546001</v>
      </c>
      <c r="L68" s="4"/>
      <c r="N68" s="5">
        <v>3839.51</v>
      </c>
      <c r="O68" s="5">
        <v>2646.5</v>
      </c>
      <c r="Q68" s="5">
        <v>12722.16</v>
      </c>
      <c r="T68" s="114">
        <f t="shared" si="18"/>
        <v>-1193.0100000000002</v>
      </c>
      <c r="U68" s="4">
        <f t="shared" si="14"/>
        <v>-0.31071933658201178</v>
      </c>
      <c r="Y68" t="s">
        <v>1313</v>
      </c>
      <c r="AB68" s="18">
        <v>82761.200000000012</v>
      </c>
      <c r="AC68" s="18">
        <v>68304.37</v>
      </c>
      <c r="AD68" s="4">
        <f t="shared" si="13"/>
        <v>-0.1746812516009919</v>
      </c>
    </row>
    <row r="69" spans="1:30" ht="13.9" customHeight="1">
      <c r="A69" t="s">
        <v>1314</v>
      </c>
      <c r="B69" t="s">
        <v>1315</v>
      </c>
      <c r="C69">
        <v>461</v>
      </c>
      <c r="E69" t="s">
        <v>1315</v>
      </c>
      <c r="F69">
        <v>410</v>
      </c>
      <c r="G69" t="b">
        <f t="shared" si="15"/>
        <v>1</v>
      </c>
      <c r="J69">
        <f t="shared" si="16"/>
        <v>-51</v>
      </c>
      <c r="K69" s="4">
        <f t="shared" si="17"/>
        <v>-0.11062906724511934</v>
      </c>
      <c r="L69" s="6"/>
      <c r="N69" s="5">
        <v>768.33</v>
      </c>
      <c r="O69" s="5">
        <v>553.35</v>
      </c>
      <c r="Q69" s="5">
        <v>2372.35</v>
      </c>
      <c r="T69" s="114">
        <f t="shared" si="18"/>
        <v>-214.98000000000002</v>
      </c>
      <c r="U69" s="4">
        <f t="shared" si="14"/>
        <v>-0.27980164772949123</v>
      </c>
      <c r="AB69" s="18">
        <v>9779.89</v>
      </c>
      <c r="AC69" s="18">
        <v>9015.02</v>
      </c>
      <c r="AD69" s="4">
        <f t="shared" si="13"/>
        <v>-7.820844610726696E-2</v>
      </c>
    </row>
    <row r="70" spans="1:30" ht="14.25" customHeight="1">
      <c r="A70" t="s">
        <v>1316</v>
      </c>
      <c r="B70" t="s">
        <v>1317</v>
      </c>
      <c r="C70">
        <v>3359</v>
      </c>
      <c r="E70" t="s">
        <v>1317</v>
      </c>
      <c r="F70">
        <v>2780</v>
      </c>
      <c r="G70" t="b">
        <f t="shared" si="15"/>
        <v>1</v>
      </c>
      <c r="J70">
        <f t="shared" si="16"/>
        <v>-579</v>
      </c>
      <c r="K70" s="4">
        <f t="shared" si="17"/>
        <v>-0.17237272997916042</v>
      </c>
      <c r="L70" s="4"/>
      <c r="N70" s="5">
        <v>1645.47</v>
      </c>
      <c r="O70" s="5">
        <v>2056.31</v>
      </c>
      <c r="Q70" s="5">
        <v>9436.2800000000007</v>
      </c>
      <c r="T70" s="114">
        <f t="shared" si="18"/>
        <v>410.83999999999992</v>
      </c>
      <c r="U70" s="4">
        <f t="shared" si="14"/>
        <v>0.24967942290044776</v>
      </c>
      <c r="AB70" s="18">
        <v>63541.55</v>
      </c>
      <c r="AC70" s="18">
        <v>55453.8</v>
      </c>
      <c r="AD70" s="4">
        <f t="shared" si="13"/>
        <v>-0.12728285665049088</v>
      </c>
    </row>
    <row r="71" spans="1:30" ht="13.9" customHeight="1">
      <c r="A71" t="s">
        <v>1318</v>
      </c>
      <c r="B71" t="s">
        <v>1319</v>
      </c>
      <c r="C71">
        <v>322</v>
      </c>
      <c r="E71" t="s">
        <v>1319</v>
      </c>
      <c r="F71">
        <v>323</v>
      </c>
      <c r="G71" t="b">
        <f t="shared" si="15"/>
        <v>1</v>
      </c>
      <c r="J71">
        <f t="shared" si="16"/>
        <v>1</v>
      </c>
      <c r="K71" s="4">
        <f t="shared" si="17"/>
        <v>3.1055900621117516E-3</v>
      </c>
      <c r="L71" s="4"/>
      <c r="N71" s="5">
        <v>198</v>
      </c>
      <c r="O71" s="5">
        <v>147.53</v>
      </c>
      <c r="Q71" s="5">
        <v>1365.48</v>
      </c>
      <c r="T71" s="114">
        <f t="shared" si="18"/>
        <v>-50.47</v>
      </c>
      <c r="U71" s="4">
        <f t="shared" si="14"/>
        <v>-0.25489898989898985</v>
      </c>
      <c r="AB71" s="18">
        <v>12540.73</v>
      </c>
      <c r="AC71" s="18">
        <v>12579.68</v>
      </c>
      <c r="AD71" s="4">
        <f t="shared" si="13"/>
        <v>3.10587980125554E-3</v>
      </c>
    </row>
    <row r="72" spans="1:30" ht="13.9" customHeight="1">
      <c r="A72" t="s">
        <v>1320</v>
      </c>
      <c r="B72" t="s">
        <v>1321</v>
      </c>
      <c r="C72">
        <v>1024</v>
      </c>
      <c r="E72" t="s">
        <v>1321</v>
      </c>
      <c r="F72">
        <v>897</v>
      </c>
      <c r="G72" t="b">
        <f t="shared" si="15"/>
        <v>1</v>
      </c>
      <c r="J72">
        <f t="shared" si="16"/>
        <v>-127</v>
      </c>
      <c r="K72" s="4">
        <f t="shared" si="17"/>
        <v>-0.1240234375</v>
      </c>
      <c r="L72" s="4"/>
      <c r="N72" s="5">
        <v>706.23</v>
      </c>
      <c r="O72" s="5">
        <v>459.29</v>
      </c>
      <c r="Q72" s="5">
        <v>2391.79</v>
      </c>
      <c r="T72" s="114">
        <f t="shared" si="18"/>
        <v>-246.94</v>
      </c>
      <c r="U72" s="4">
        <f t="shared" si="14"/>
        <v>-0.34965945938292053</v>
      </c>
      <c r="AB72" s="18">
        <v>19674.96</v>
      </c>
      <c r="AC72" s="18">
        <v>17929.03</v>
      </c>
      <c r="AD72" s="4">
        <f t="shared" si="13"/>
        <v>-8.8738681044332468E-2</v>
      </c>
    </row>
    <row r="73" spans="1:30">
      <c r="A73" t="s">
        <v>1322</v>
      </c>
      <c r="B73" t="s">
        <v>1323</v>
      </c>
      <c r="C73">
        <v>1611</v>
      </c>
      <c r="E73" t="s">
        <v>1323</v>
      </c>
      <c r="F73">
        <v>1419</v>
      </c>
      <c r="G73" t="b">
        <f t="shared" si="15"/>
        <v>1</v>
      </c>
      <c r="J73">
        <f t="shared" si="16"/>
        <v>-192</v>
      </c>
      <c r="K73" s="4">
        <f t="shared" si="17"/>
        <v>-0.11918063314711358</v>
      </c>
      <c r="L73" s="4"/>
      <c r="N73" s="5">
        <v>1605.86</v>
      </c>
      <c r="O73" s="5">
        <v>1639.82</v>
      </c>
      <c r="Q73" s="5">
        <v>8825.32</v>
      </c>
      <c r="T73" s="114">
        <f t="shared" si="18"/>
        <v>33.960000000000036</v>
      </c>
      <c r="U73" s="4">
        <f t="shared" si="14"/>
        <v>2.114754710871436E-2</v>
      </c>
      <c r="AB73" s="18">
        <v>30685.71</v>
      </c>
      <c r="AC73" s="18">
        <v>28739.200000000001</v>
      </c>
      <c r="AD73" s="4">
        <f t="shared" si="13"/>
        <v>-6.3433761187210558E-2</v>
      </c>
    </row>
    <row r="74" spans="1:30">
      <c r="A74" t="s">
        <v>1324</v>
      </c>
      <c r="B74" t="s">
        <v>1325</v>
      </c>
      <c r="C74">
        <v>1299</v>
      </c>
      <c r="E74" t="s">
        <v>1325</v>
      </c>
      <c r="F74">
        <v>1180</v>
      </c>
      <c r="G74" t="b">
        <f t="shared" si="15"/>
        <v>1</v>
      </c>
      <c r="J74">
        <f t="shared" si="16"/>
        <v>-119</v>
      </c>
      <c r="K74" s="4">
        <f t="shared" si="17"/>
        <v>-9.1608929946112361E-2</v>
      </c>
      <c r="L74" s="6"/>
      <c r="N74" s="5">
        <v>1237.2</v>
      </c>
      <c r="O74" s="5">
        <v>1210.3</v>
      </c>
      <c r="Q74" s="5">
        <v>9163.17</v>
      </c>
      <c r="T74" s="114">
        <f t="shared" si="18"/>
        <v>-26.900000000000091</v>
      </c>
      <c r="U74" s="4">
        <f t="shared" si="14"/>
        <v>-2.1742644681539081E-2</v>
      </c>
      <c r="X74" t="s">
        <v>1326</v>
      </c>
      <c r="AB74" s="18">
        <v>38951.01</v>
      </c>
      <c r="AC74" s="18">
        <v>35379.800000000003</v>
      </c>
      <c r="AD74" s="4">
        <f t="shared" si="13"/>
        <v>-9.1684657214280207E-2</v>
      </c>
    </row>
    <row r="75" spans="1:30">
      <c r="A75" s="54" t="s">
        <v>1327</v>
      </c>
      <c r="B75" s="37" t="s">
        <v>1328</v>
      </c>
      <c r="C75">
        <v>1058</v>
      </c>
      <c r="E75" s="37" t="s">
        <v>1328</v>
      </c>
      <c r="F75">
        <v>855</v>
      </c>
      <c r="G75" t="b">
        <f t="shared" si="15"/>
        <v>1</v>
      </c>
      <c r="J75">
        <f t="shared" si="16"/>
        <v>-203</v>
      </c>
      <c r="K75" s="4">
        <f t="shared" si="17"/>
        <v>-0.19187145557655949</v>
      </c>
      <c r="L75" s="4"/>
      <c r="N75" s="5">
        <v>875.73</v>
      </c>
      <c r="O75" s="5">
        <v>317.42</v>
      </c>
      <c r="Q75" s="5">
        <v>1568.99</v>
      </c>
      <c r="T75" s="114">
        <f t="shared" si="18"/>
        <v>-558.30999999999995</v>
      </c>
      <c r="U75" s="4">
        <f>IF(N76=0,0,O75/N76-1)</f>
        <v>-0.79737251998059389</v>
      </c>
      <c r="AB75" s="18">
        <v>20352.84</v>
      </c>
      <c r="AC75" s="18">
        <v>17109.439999999999</v>
      </c>
      <c r="AD75" s="4">
        <f t="shared" si="13"/>
        <v>-0.15935859565544663</v>
      </c>
    </row>
    <row r="76" spans="1:30">
      <c r="A76" t="s">
        <v>1329</v>
      </c>
      <c r="B76" t="s">
        <v>1330</v>
      </c>
      <c r="C76">
        <v>1069</v>
      </c>
      <c r="E76" t="s">
        <v>1330</v>
      </c>
      <c r="F76">
        <v>905</v>
      </c>
      <c r="G76" t="b">
        <f t="shared" si="15"/>
        <v>1</v>
      </c>
      <c r="J76">
        <f t="shared" si="16"/>
        <v>-164</v>
      </c>
      <c r="K76" s="4">
        <f t="shared" si="17"/>
        <v>-0.1534144059869037</v>
      </c>
      <c r="L76" s="4"/>
      <c r="N76" s="5">
        <v>1566.52</v>
      </c>
      <c r="O76" s="5">
        <v>1092.29</v>
      </c>
      <c r="Q76" s="5">
        <v>4894.7299999999996</v>
      </c>
      <c r="T76" s="114">
        <f t="shared" si="18"/>
        <v>-474.23</v>
      </c>
      <c r="U76" s="4">
        <f t="shared" ref="U76:U104" si="19">IF(N76=0,0,O76/N76-1)</f>
        <v>-0.30272834052549602</v>
      </c>
      <c r="X76" s="5"/>
      <c r="Y76" s="5"/>
      <c r="Z76" s="5"/>
      <c r="AA76" s="17"/>
      <c r="AB76" s="18">
        <v>25601.08</v>
      </c>
      <c r="AC76" s="18">
        <v>22613.200000000001</v>
      </c>
      <c r="AD76" s="4">
        <f t="shared" si="13"/>
        <v>-0.11670913883320555</v>
      </c>
    </row>
    <row r="77" spans="1:30">
      <c r="A77" t="s">
        <v>1331</v>
      </c>
      <c r="B77" t="s">
        <v>1332</v>
      </c>
      <c r="C77">
        <v>1539</v>
      </c>
      <c r="E77" t="s">
        <v>1332</v>
      </c>
      <c r="F77">
        <v>1430</v>
      </c>
      <c r="G77" t="b">
        <f t="shared" si="15"/>
        <v>1</v>
      </c>
      <c r="J77">
        <f t="shared" si="16"/>
        <v>-109</v>
      </c>
      <c r="K77" s="4">
        <f t="shared" si="17"/>
        <v>-7.0825211176088421E-2</v>
      </c>
      <c r="L77" s="4"/>
      <c r="N77" s="5">
        <v>1417.31</v>
      </c>
      <c r="O77" s="5">
        <v>1408.95</v>
      </c>
      <c r="Q77" s="5">
        <v>5405.47</v>
      </c>
      <c r="T77" s="114">
        <f t="shared" si="18"/>
        <v>-8.3599999999999</v>
      </c>
      <c r="U77" s="4">
        <f t="shared" si="19"/>
        <v>-5.8984978586194003E-3</v>
      </c>
      <c r="AB77" s="18">
        <v>29707.21</v>
      </c>
      <c r="AC77" s="18">
        <v>28582.9</v>
      </c>
      <c r="AD77" s="4">
        <f t="shared" si="13"/>
        <v>-3.7846367935595371E-2</v>
      </c>
    </row>
    <row r="78" spans="1:30">
      <c r="A78" t="s">
        <v>1333</v>
      </c>
      <c r="B78" t="s">
        <v>1334</v>
      </c>
      <c r="C78">
        <v>243</v>
      </c>
      <c r="E78" t="s">
        <v>1334</v>
      </c>
      <c r="F78">
        <v>194</v>
      </c>
      <c r="G78" t="b">
        <f t="shared" si="15"/>
        <v>1</v>
      </c>
      <c r="J78">
        <f t="shared" si="16"/>
        <v>-49</v>
      </c>
      <c r="K78" s="4">
        <f t="shared" si="17"/>
        <v>-0.20164609053497939</v>
      </c>
      <c r="L78" s="4"/>
      <c r="N78" s="5">
        <v>0</v>
      </c>
      <c r="O78" s="5">
        <v>0</v>
      </c>
      <c r="Q78" s="5">
        <v>0</v>
      </c>
      <c r="T78" s="114">
        <f t="shared" si="18"/>
        <v>0</v>
      </c>
      <c r="U78" s="4">
        <f t="shared" si="19"/>
        <v>0</v>
      </c>
      <c r="AB78" s="18">
        <v>4847.05</v>
      </c>
      <c r="AC78" s="18">
        <v>3870.1</v>
      </c>
      <c r="AD78" s="4">
        <f t="shared" si="13"/>
        <v>-0.20155558535604134</v>
      </c>
    </row>
    <row r="79" spans="1:30">
      <c r="A79" t="s">
        <v>1335</v>
      </c>
      <c r="B79" t="s">
        <v>1336</v>
      </c>
      <c r="C79">
        <v>506</v>
      </c>
      <c r="E79" t="s">
        <v>1336</v>
      </c>
      <c r="F79">
        <v>458</v>
      </c>
      <c r="G79" t="b">
        <f t="shared" si="15"/>
        <v>1</v>
      </c>
      <c r="J79">
        <f t="shared" si="16"/>
        <v>-48</v>
      </c>
      <c r="K79" s="4">
        <f t="shared" si="17"/>
        <v>-9.4861660079051391E-2</v>
      </c>
      <c r="L79" s="4"/>
      <c r="N79" s="5">
        <v>379.96</v>
      </c>
      <c r="O79" s="5">
        <v>421.77</v>
      </c>
      <c r="Q79" s="5">
        <v>2139.79</v>
      </c>
      <c r="T79" s="114">
        <f t="shared" si="18"/>
        <v>41.81</v>
      </c>
      <c r="U79" s="4">
        <f t="shared" si="19"/>
        <v>0.11003789872618164</v>
      </c>
      <c r="AB79" s="18">
        <v>8596.56</v>
      </c>
      <c r="AC79" s="18">
        <v>7781.54</v>
      </c>
      <c r="AD79" s="4">
        <f t="shared" si="13"/>
        <v>-9.4807690518067589E-2</v>
      </c>
    </row>
    <row r="80" spans="1:30">
      <c r="A80" t="s">
        <v>1337</v>
      </c>
      <c r="B80" t="s">
        <v>1338</v>
      </c>
      <c r="C80">
        <v>769</v>
      </c>
      <c r="E80" t="s">
        <v>1338</v>
      </c>
      <c r="F80">
        <v>911</v>
      </c>
      <c r="G80" t="b">
        <f t="shared" si="15"/>
        <v>1</v>
      </c>
      <c r="J80">
        <f t="shared" si="16"/>
        <v>142</v>
      </c>
      <c r="K80" s="4">
        <f t="shared" si="17"/>
        <v>0.18465539661898567</v>
      </c>
      <c r="N80" s="5">
        <v>654.6</v>
      </c>
      <c r="O80" s="5">
        <v>1017.16</v>
      </c>
      <c r="Q80" s="5">
        <v>4652.21</v>
      </c>
      <c r="T80" s="114">
        <f t="shared" si="18"/>
        <v>362.55999999999995</v>
      </c>
      <c r="U80" s="4">
        <f t="shared" si="19"/>
        <v>0.5538649556981361</v>
      </c>
      <c r="X80" s="5"/>
      <c r="Y80" s="5"/>
      <c r="Z80" s="5"/>
      <c r="AA80" s="17"/>
      <c r="AB80" s="18">
        <v>17861.75</v>
      </c>
      <c r="AC80" s="18">
        <v>21852.73</v>
      </c>
      <c r="AD80" s="4">
        <f t="shared" ref="AD80:AD111" si="20">AC80/AB80-1</f>
        <v>0.2234372331938359</v>
      </c>
    </row>
    <row r="81" spans="1:30">
      <c r="A81" t="s">
        <v>1339</v>
      </c>
      <c r="B81" t="s">
        <v>1340</v>
      </c>
      <c r="C81">
        <v>700</v>
      </c>
      <c r="E81" t="s">
        <v>1340</v>
      </c>
      <c r="F81">
        <v>667</v>
      </c>
      <c r="G81" t="b">
        <f t="shared" si="15"/>
        <v>1</v>
      </c>
      <c r="J81">
        <f t="shared" si="16"/>
        <v>-33</v>
      </c>
      <c r="K81" s="4">
        <f t="shared" si="17"/>
        <v>-4.7142857142857153E-2</v>
      </c>
      <c r="L81" s="4"/>
      <c r="N81" s="5">
        <v>566.41</v>
      </c>
      <c r="O81" s="5">
        <v>292.32</v>
      </c>
      <c r="Q81" s="5">
        <v>1403.15</v>
      </c>
      <c r="T81" s="114">
        <f t="shared" si="18"/>
        <v>-274.08999999999997</v>
      </c>
      <c r="U81" s="4">
        <f t="shared" si="19"/>
        <v>-0.4839074168888261</v>
      </c>
      <c r="AB81" s="18">
        <v>11892.66</v>
      </c>
      <c r="AC81" s="18">
        <v>11331.48</v>
      </c>
      <c r="AD81" s="4">
        <f t="shared" si="20"/>
        <v>-4.7187088506692398E-2</v>
      </c>
    </row>
    <row r="82" spans="1:30">
      <c r="A82" t="s">
        <v>1341</v>
      </c>
      <c r="B82" t="s">
        <v>1342</v>
      </c>
      <c r="C82">
        <v>1329</v>
      </c>
      <c r="E82" t="s">
        <v>1342</v>
      </c>
      <c r="F82">
        <v>951</v>
      </c>
      <c r="G82" t="b">
        <f t="shared" si="15"/>
        <v>1</v>
      </c>
      <c r="J82">
        <f t="shared" si="16"/>
        <v>-378</v>
      </c>
      <c r="K82" s="4">
        <f t="shared" si="17"/>
        <v>-0.28442437923250563</v>
      </c>
      <c r="L82" s="4"/>
      <c r="N82" s="5">
        <v>1589.45</v>
      </c>
      <c r="O82" s="5">
        <v>717.58</v>
      </c>
      <c r="Q82" s="5">
        <v>3403.65</v>
      </c>
      <c r="T82" s="114">
        <f t="shared" si="18"/>
        <v>-871.87</v>
      </c>
      <c r="U82" s="4">
        <f t="shared" si="19"/>
        <v>-0.54853565698826645</v>
      </c>
      <c r="AB82" s="18">
        <v>29851.61</v>
      </c>
      <c r="AC82" s="18">
        <v>22812.57</v>
      </c>
      <c r="AD82" s="4">
        <f t="shared" si="20"/>
        <v>-0.23580101709757029</v>
      </c>
    </row>
    <row r="83" spans="1:30">
      <c r="A83" s="142" t="s">
        <v>1343</v>
      </c>
      <c r="B83" s="37" t="s">
        <v>1344</v>
      </c>
      <c r="C83">
        <v>364</v>
      </c>
      <c r="E83" s="37" t="s">
        <v>1344</v>
      </c>
      <c r="F83">
        <v>153</v>
      </c>
      <c r="G83" t="b">
        <f t="shared" si="15"/>
        <v>1</v>
      </c>
      <c r="J83">
        <f t="shared" si="16"/>
        <v>-211</v>
      </c>
      <c r="K83" s="4">
        <f t="shared" si="17"/>
        <v>-0.57967032967032961</v>
      </c>
      <c r="L83" s="4"/>
      <c r="N83" s="5">
        <v>722.7</v>
      </c>
      <c r="O83" s="5">
        <v>382.73</v>
      </c>
      <c r="Q83" s="5">
        <v>1373.87</v>
      </c>
      <c r="T83" s="114">
        <f t="shared" si="18"/>
        <v>-339.97</v>
      </c>
      <c r="U83" s="4">
        <f t="shared" si="19"/>
        <v>-0.47041649370416494</v>
      </c>
      <c r="AB83" s="18">
        <v>5813.95</v>
      </c>
      <c r="AC83" s="18">
        <v>3057.87</v>
      </c>
      <c r="AD83" s="4">
        <f t="shared" si="20"/>
        <v>-0.47404604442762666</v>
      </c>
    </row>
    <row r="84" spans="1:30">
      <c r="A84" t="s">
        <v>1345</v>
      </c>
      <c r="B84" t="s">
        <v>1346</v>
      </c>
      <c r="C84">
        <v>1165</v>
      </c>
      <c r="E84" t="s">
        <v>1346</v>
      </c>
      <c r="F84">
        <v>1076</v>
      </c>
      <c r="G84" t="b">
        <f t="shared" si="15"/>
        <v>1</v>
      </c>
      <c r="J84">
        <f t="shared" si="16"/>
        <v>-89</v>
      </c>
      <c r="K84" s="4">
        <f t="shared" si="17"/>
        <v>-7.639484978540767E-2</v>
      </c>
      <c r="L84" s="4"/>
      <c r="N84" s="5">
        <v>1619.19</v>
      </c>
      <c r="O84" s="5">
        <v>1594.1</v>
      </c>
      <c r="Q84" s="5">
        <v>11044.96</v>
      </c>
      <c r="T84" s="114">
        <f t="shared" si="18"/>
        <v>-25.090000000000146</v>
      </c>
      <c r="U84" s="4">
        <f t="shared" si="19"/>
        <v>-1.5495402021998728E-2</v>
      </c>
      <c r="X84" s="5"/>
      <c r="Y84" s="5"/>
      <c r="Z84" s="5"/>
      <c r="AA84" s="17"/>
      <c r="AB84" s="18">
        <v>41126.82</v>
      </c>
      <c r="AC84" s="18">
        <v>39753.760000000002</v>
      </c>
      <c r="AD84" s="4">
        <f t="shared" si="20"/>
        <v>-3.3385999695575763E-2</v>
      </c>
    </row>
    <row r="85" spans="1:30">
      <c r="A85" s="27" t="s">
        <v>1347</v>
      </c>
      <c r="B85" s="27" t="s">
        <v>1348</v>
      </c>
      <c r="C85">
        <v>262</v>
      </c>
      <c r="E85" s="27" t="s">
        <v>1348</v>
      </c>
      <c r="F85">
        <v>249</v>
      </c>
      <c r="G85" t="b">
        <f t="shared" si="15"/>
        <v>1</v>
      </c>
      <c r="J85">
        <f t="shared" si="16"/>
        <v>-13</v>
      </c>
      <c r="K85" s="4">
        <f t="shared" si="17"/>
        <v>-4.961832061068705E-2</v>
      </c>
      <c r="L85" s="4"/>
      <c r="N85" s="5">
        <v>130.07</v>
      </c>
      <c r="O85" s="5">
        <v>123.49</v>
      </c>
      <c r="Q85" s="5">
        <v>693.16</v>
      </c>
      <c r="T85" s="114">
        <f t="shared" si="18"/>
        <v>-6.5799999999999983</v>
      </c>
      <c r="U85" s="4">
        <f t="shared" si="19"/>
        <v>-5.0588144845083449E-2</v>
      </c>
      <c r="AB85" s="18">
        <v>5944.47</v>
      </c>
      <c r="AC85" s="18">
        <v>5973.03</v>
      </c>
      <c r="AD85" s="4">
        <f t="shared" si="20"/>
        <v>4.8044653265975068E-3</v>
      </c>
    </row>
    <row r="86" spans="1:30">
      <c r="A86" t="s">
        <v>1349</v>
      </c>
      <c r="B86" t="s">
        <v>1350</v>
      </c>
      <c r="C86">
        <v>724</v>
      </c>
      <c r="E86" t="s">
        <v>1350</v>
      </c>
      <c r="F86">
        <v>899</v>
      </c>
      <c r="G86" t="b">
        <f t="shared" si="15"/>
        <v>1</v>
      </c>
      <c r="J86">
        <f t="shared" si="16"/>
        <v>175</v>
      </c>
      <c r="K86" s="4">
        <f t="shared" si="17"/>
        <v>0.24171270718232041</v>
      </c>
      <c r="L86" s="4"/>
      <c r="N86" s="5">
        <v>649.39</v>
      </c>
      <c r="O86" s="5">
        <v>529.74</v>
      </c>
      <c r="Q86" s="5">
        <v>6217.53</v>
      </c>
      <c r="T86" s="114">
        <f t="shared" si="18"/>
        <v>-119.64999999999998</v>
      </c>
      <c r="U86" s="4">
        <f t="shared" si="19"/>
        <v>-0.18424983446003174</v>
      </c>
      <c r="AB86" s="18">
        <v>23634.240000000002</v>
      </c>
      <c r="AC86" s="18">
        <v>31413.750000000004</v>
      </c>
      <c r="AD86" s="4">
        <f t="shared" si="20"/>
        <v>0.32916268938624649</v>
      </c>
    </row>
    <row r="87" spans="1:30">
      <c r="A87" t="s">
        <v>1351</v>
      </c>
      <c r="B87" t="s">
        <v>1352</v>
      </c>
      <c r="C87">
        <v>1384</v>
      </c>
      <c r="E87" t="s">
        <v>1352</v>
      </c>
      <c r="F87">
        <v>1404</v>
      </c>
      <c r="G87" t="b">
        <f t="shared" si="15"/>
        <v>1</v>
      </c>
      <c r="J87">
        <f t="shared" si="16"/>
        <v>20</v>
      </c>
      <c r="K87" s="4">
        <f t="shared" si="17"/>
        <v>1.4450867052023142E-2</v>
      </c>
      <c r="L87" s="4"/>
      <c r="N87" s="5">
        <v>1119.08</v>
      </c>
      <c r="O87" s="5">
        <v>1087.28</v>
      </c>
      <c r="Q87" s="5">
        <v>3749.37</v>
      </c>
      <c r="T87" s="114">
        <f t="shared" si="18"/>
        <v>-31.799999999999955</v>
      </c>
      <c r="U87" s="4">
        <f t="shared" si="19"/>
        <v>-2.8416199020624089E-2</v>
      </c>
      <c r="AB87" s="18">
        <v>29215.48</v>
      </c>
      <c r="AC87" s="18">
        <v>31700.89</v>
      </c>
      <c r="AD87" s="4">
        <f t="shared" si="20"/>
        <v>8.5071681177238956E-2</v>
      </c>
    </row>
    <row r="88" spans="1:30">
      <c r="A88" s="37" t="s">
        <v>1353</v>
      </c>
      <c r="B88" s="37" t="s">
        <v>1354</v>
      </c>
      <c r="C88">
        <v>852</v>
      </c>
      <c r="E88" s="37" t="s">
        <v>1354</v>
      </c>
      <c r="F88">
        <v>744</v>
      </c>
      <c r="G88" t="b">
        <f t="shared" si="15"/>
        <v>1</v>
      </c>
      <c r="J88">
        <f t="shared" si="16"/>
        <v>-108</v>
      </c>
      <c r="K88" s="4">
        <f t="shared" si="17"/>
        <v>-0.12676056338028174</v>
      </c>
      <c r="L88" s="4"/>
      <c r="N88" s="5">
        <v>1546.35</v>
      </c>
      <c r="O88" s="5">
        <v>1054.8</v>
      </c>
      <c r="Q88" s="5">
        <v>6574.11</v>
      </c>
      <c r="T88" s="114">
        <f t="shared" si="18"/>
        <v>-491.54999999999995</v>
      </c>
      <c r="U88" s="4">
        <f t="shared" si="19"/>
        <v>-0.31787758269473276</v>
      </c>
      <c r="AB88" s="18">
        <v>19514.53</v>
      </c>
      <c r="AC88" s="18">
        <v>17846.88</v>
      </c>
      <c r="AD88" s="4">
        <f t="shared" si="20"/>
        <v>-8.5456836521299651E-2</v>
      </c>
    </row>
    <row r="89" spans="1:30">
      <c r="A89" t="s">
        <v>1355</v>
      </c>
      <c r="B89" t="s">
        <v>1356</v>
      </c>
      <c r="C89">
        <v>914</v>
      </c>
      <c r="E89" t="s">
        <v>1356</v>
      </c>
      <c r="F89">
        <v>847</v>
      </c>
      <c r="G89" t="b">
        <f t="shared" si="15"/>
        <v>1</v>
      </c>
      <c r="J89">
        <f t="shared" si="16"/>
        <v>-67</v>
      </c>
      <c r="K89" s="4">
        <f t="shared" si="17"/>
        <v>-7.3304157549234139E-2</v>
      </c>
      <c r="L89" s="4"/>
      <c r="N89" s="5">
        <v>523.5</v>
      </c>
      <c r="O89" s="5">
        <v>358.69</v>
      </c>
      <c r="Q89" s="5">
        <v>1709.69</v>
      </c>
      <c r="T89" s="114">
        <f t="shared" si="18"/>
        <v>-164.81</v>
      </c>
      <c r="U89" s="4">
        <f t="shared" si="19"/>
        <v>-0.31482330468003816</v>
      </c>
      <c r="AB89" s="18">
        <v>15380.28</v>
      </c>
      <c r="AC89" s="18">
        <v>14389.34</v>
      </c>
      <c r="AD89" s="4">
        <f t="shared" si="20"/>
        <v>-6.4429256164387105E-2</v>
      </c>
    </row>
    <row r="90" spans="1:30">
      <c r="A90" s="37" t="s">
        <v>1357</v>
      </c>
      <c r="B90" s="37" t="s">
        <v>1358</v>
      </c>
      <c r="C90">
        <v>374</v>
      </c>
      <c r="E90" s="37" t="s">
        <v>1358</v>
      </c>
      <c r="F90">
        <v>336</v>
      </c>
      <c r="G90" t="b">
        <f t="shared" si="15"/>
        <v>1</v>
      </c>
      <c r="J90">
        <f t="shared" si="16"/>
        <v>-38</v>
      </c>
      <c r="K90" s="4">
        <f t="shared" si="17"/>
        <v>-0.10160427807486627</v>
      </c>
      <c r="L90" s="4"/>
      <c r="N90" s="5">
        <v>1302.0899999999999</v>
      </c>
      <c r="O90" s="5">
        <v>943.45</v>
      </c>
      <c r="Q90" s="5">
        <v>4363.05</v>
      </c>
      <c r="T90" s="114">
        <f t="shared" si="18"/>
        <v>-358.63999999999987</v>
      </c>
      <c r="U90" s="4">
        <f t="shared" si="19"/>
        <v>-0.27543410977735783</v>
      </c>
      <c r="AB90" s="18">
        <v>9344.26</v>
      </c>
      <c r="AC90" s="18">
        <v>8395.64</v>
      </c>
      <c r="AD90" s="4">
        <f t="shared" si="20"/>
        <v>-0.10151900739063346</v>
      </c>
    </row>
    <row r="91" spans="1:30">
      <c r="A91" t="s">
        <v>1359</v>
      </c>
      <c r="B91" t="s">
        <v>1360</v>
      </c>
      <c r="C91">
        <v>1652</v>
      </c>
      <c r="E91" t="s">
        <v>1360</v>
      </c>
      <c r="F91">
        <v>1843</v>
      </c>
      <c r="G91" t="b">
        <f t="shared" si="15"/>
        <v>1</v>
      </c>
      <c r="J91">
        <f t="shared" si="16"/>
        <v>191</v>
      </c>
      <c r="K91" s="4">
        <f t="shared" si="17"/>
        <v>0.11561743341404362</v>
      </c>
      <c r="L91" s="4"/>
      <c r="N91" s="5">
        <v>1965.86</v>
      </c>
      <c r="O91" s="5">
        <v>1915.18</v>
      </c>
      <c r="Q91" s="5">
        <v>8723.99</v>
      </c>
      <c r="T91" s="114">
        <f t="shared" si="18"/>
        <v>-50.679999999999836</v>
      </c>
      <c r="U91" s="4">
        <f t="shared" si="19"/>
        <v>-2.5780065721872303E-2</v>
      </c>
      <c r="AB91" s="18">
        <v>38106.04</v>
      </c>
      <c r="AC91" s="18">
        <v>44229.88</v>
      </c>
      <c r="AD91" s="4">
        <f t="shared" si="20"/>
        <v>0.16070523203145748</v>
      </c>
    </row>
    <row r="92" spans="1:30">
      <c r="A92" t="s">
        <v>1361</v>
      </c>
      <c r="B92" t="s">
        <v>1362</v>
      </c>
      <c r="C92">
        <v>972</v>
      </c>
      <c r="E92" t="s">
        <v>1362</v>
      </c>
      <c r="F92">
        <v>924</v>
      </c>
      <c r="G92" t="b">
        <f t="shared" si="15"/>
        <v>1</v>
      </c>
      <c r="J92">
        <f t="shared" si="16"/>
        <v>-48</v>
      </c>
      <c r="K92" s="4">
        <f t="shared" si="17"/>
        <v>-4.9382716049382713E-2</v>
      </c>
      <c r="L92" s="4"/>
      <c r="N92" s="5">
        <v>617.16999999999996</v>
      </c>
      <c r="O92" s="5">
        <v>562.15</v>
      </c>
      <c r="Q92" s="5">
        <v>2531.61</v>
      </c>
      <c r="T92" s="114">
        <f t="shared" si="18"/>
        <v>-55.019999999999982</v>
      </c>
      <c r="U92" s="4">
        <f t="shared" si="19"/>
        <v>-8.9148856878979887E-2</v>
      </c>
      <c r="AB92" s="18">
        <v>18788.88</v>
      </c>
      <c r="AC92" s="18">
        <v>18469.759999999998</v>
      </c>
      <c r="AD92" s="4">
        <f t="shared" si="20"/>
        <v>-1.6984514244595905E-2</v>
      </c>
    </row>
    <row r="93" spans="1:30">
      <c r="A93" t="s">
        <v>1363</v>
      </c>
      <c r="B93" t="s">
        <v>1364</v>
      </c>
      <c r="C93">
        <v>1009</v>
      </c>
      <c r="E93" t="s">
        <v>1364</v>
      </c>
      <c r="F93">
        <v>800</v>
      </c>
      <c r="G93" t="b">
        <f t="shared" si="15"/>
        <v>1</v>
      </c>
      <c r="J93">
        <f t="shared" si="16"/>
        <v>-209</v>
      </c>
      <c r="K93" s="4">
        <f t="shared" si="17"/>
        <v>-0.20713577799801786</v>
      </c>
      <c r="L93" s="4"/>
      <c r="N93" s="5">
        <v>1794.25</v>
      </c>
      <c r="O93" s="5">
        <v>994.72</v>
      </c>
      <c r="Q93" s="5">
        <v>7143.41</v>
      </c>
      <c r="T93" s="114">
        <f t="shared" si="18"/>
        <v>-799.53</v>
      </c>
      <c r="U93" s="4">
        <f t="shared" si="19"/>
        <v>-0.44560679949839765</v>
      </c>
      <c r="AB93" s="18">
        <v>22938.57</v>
      </c>
      <c r="AC93" s="18">
        <v>19182.400000000001</v>
      </c>
      <c r="AD93" s="4">
        <f t="shared" si="20"/>
        <v>-0.1637490915955091</v>
      </c>
    </row>
    <row r="94" spans="1:30">
      <c r="A94" t="s">
        <v>1365</v>
      </c>
      <c r="B94" t="s">
        <v>1366</v>
      </c>
      <c r="C94">
        <v>1726</v>
      </c>
      <c r="E94" t="s">
        <v>1366</v>
      </c>
      <c r="F94">
        <v>1773</v>
      </c>
      <c r="G94" t="b">
        <f t="shared" si="15"/>
        <v>1</v>
      </c>
      <c r="J94">
        <f t="shared" si="16"/>
        <v>47</v>
      </c>
      <c r="K94" s="4">
        <f t="shared" si="17"/>
        <v>2.7230590961761392E-2</v>
      </c>
      <c r="N94" s="5">
        <v>1266.3599999999999</v>
      </c>
      <c r="O94" s="5">
        <v>1282.8800000000001</v>
      </c>
      <c r="Q94" s="5">
        <v>7197.14</v>
      </c>
      <c r="T94" s="114">
        <f t="shared" si="18"/>
        <v>16.520000000000209</v>
      </c>
      <c r="U94" s="4">
        <f t="shared" si="19"/>
        <v>1.3045263590132583E-2</v>
      </c>
      <c r="X94" s="5"/>
      <c r="Y94" s="5"/>
      <c r="Z94" s="5"/>
      <c r="AA94" s="17"/>
      <c r="AB94" s="18">
        <v>49696.03</v>
      </c>
      <c r="AC94" s="18">
        <v>53092.65</v>
      </c>
      <c r="AD94" s="4">
        <f t="shared" si="20"/>
        <v>6.8347914310257885E-2</v>
      </c>
    </row>
    <row r="95" spans="1:30">
      <c r="A95" s="54" t="s">
        <v>1367</v>
      </c>
      <c r="B95" s="37" t="s">
        <v>1368</v>
      </c>
      <c r="C95">
        <v>2365</v>
      </c>
      <c r="E95" s="37" t="s">
        <v>1368</v>
      </c>
      <c r="F95">
        <v>2218</v>
      </c>
      <c r="G95" t="b">
        <f t="shared" si="15"/>
        <v>1</v>
      </c>
      <c r="J95">
        <f t="shared" si="16"/>
        <v>-147</v>
      </c>
      <c r="K95" s="4">
        <f t="shared" si="17"/>
        <v>-6.2156448202959846E-2</v>
      </c>
      <c r="L95" s="4"/>
      <c r="N95" s="5">
        <v>4926.92</v>
      </c>
      <c r="O95" s="5">
        <v>5303.19</v>
      </c>
      <c r="Q95" s="5">
        <v>27721.14</v>
      </c>
      <c r="T95" s="114">
        <f t="shared" si="18"/>
        <v>376.26999999999953</v>
      </c>
      <c r="U95" s="4">
        <f t="shared" si="19"/>
        <v>7.6370227241359556E-2</v>
      </c>
      <c r="AB95" s="18">
        <v>47272.95</v>
      </c>
      <c r="AC95" s="18">
        <v>44335.02</v>
      </c>
      <c r="AD95" s="4">
        <f t="shared" si="20"/>
        <v>-6.2148226417010122E-2</v>
      </c>
    </row>
    <row r="96" spans="1:30" ht="15" customHeight="1">
      <c r="A96" t="s">
        <v>1369</v>
      </c>
      <c r="B96" t="s">
        <v>1370</v>
      </c>
      <c r="C96">
        <v>1053</v>
      </c>
      <c r="E96" t="s">
        <v>1370</v>
      </c>
      <c r="F96">
        <v>991</v>
      </c>
      <c r="G96" t="b">
        <f t="shared" si="15"/>
        <v>1</v>
      </c>
      <c r="J96">
        <f t="shared" si="16"/>
        <v>-62</v>
      </c>
      <c r="K96" s="4">
        <f t="shared" si="17"/>
        <v>-5.8879392212725534E-2</v>
      </c>
      <c r="L96" s="4"/>
      <c r="N96" s="5">
        <v>755.26</v>
      </c>
      <c r="O96" s="5">
        <v>529.38</v>
      </c>
      <c r="Q96" s="5">
        <v>2746.78</v>
      </c>
      <c r="T96" s="114">
        <f t="shared" si="18"/>
        <v>-225.88</v>
      </c>
      <c r="U96" s="4">
        <f t="shared" si="19"/>
        <v>-0.29907581495114266</v>
      </c>
      <c r="AB96" s="18">
        <v>20287.27</v>
      </c>
      <c r="AC96" s="18">
        <v>19806.29</v>
      </c>
      <c r="AD96" s="4">
        <f t="shared" si="20"/>
        <v>-2.3708463484736986E-2</v>
      </c>
    </row>
    <row r="97" spans="1:30" ht="15" customHeight="1">
      <c r="A97" t="s">
        <v>1371</v>
      </c>
      <c r="B97" t="s">
        <v>1372</v>
      </c>
      <c r="C97">
        <v>2846</v>
      </c>
      <c r="E97" t="s">
        <v>1372</v>
      </c>
      <c r="F97">
        <v>2670</v>
      </c>
      <c r="G97" t="b">
        <f t="shared" si="15"/>
        <v>1</v>
      </c>
      <c r="J97">
        <f t="shared" si="16"/>
        <v>-176</v>
      </c>
      <c r="K97" s="4">
        <f t="shared" si="17"/>
        <v>-6.1841180604356949E-2</v>
      </c>
      <c r="L97" s="6"/>
      <c r="N97" s="5">
        <v>3404.7999999999997</v>
      </c>
      <c r="O97" s="5">
        <v>2704.24</v>
      </c>
      <c r="Q97" s="5">
        <v>14837.23</v>
      </c>
      <c r="T97" s="114">
        <f t="shared" si="18"/>
        <v>-700.56</v>
      </c>
      <c r="U97" s="4">
        <f t="shared" si="19"/>
        <v>-0.20575657894736843</v>
      </c>
      <c r="AB97" s="18">
        <v>73430.06</v>
      </c>
      <c r="AC97" s="18">
        <v>71945.740000000005</v>
      </c>
      <c r="AD97" s="4">
        <f t="shared" si="20"/>
        <v>-2.0214064921096231E-2</v>
      </c>
    </row>
    <row r="98" spans="1:30" ht="15" customHeight="1">
      <c r="A98" t="s">
        <v>1373</v>
      </c>
      <c r="B98" t="s">
        <v>1374</v>
      </c>
      <c r="C98">
        <v>784</v>
      </c>
      <c r="E98" t="s">
        <v>1374</v>
      </c>
      <c r="F98">
        <v>664</v>
      </c>
      <c r="G98" t="b">
        <f t="shared" si="15"/>
        <v>1</v>
      </c>
      <c r="J98">
        <f t="shared" si="16"/>
        <v>-120</v>
      </c>
      <c r="K98" s="4">
        <f t="shared" si="17"/>
        <v>-0.15306122448979587</v>
      </c>
      <c r="L98" s="4"/>
      <c r="N98" s="5">
        <v>1579.09</v>
      </c>
      <c r="O98" s="5">
        <v>1104.6500000000001</v>
      </c>
      <c r="Q98" s="5">
        <v>6410.8</v>
      </c>
      <c r="T98" s="114">
        <f t="shared" si="18"/>
        <v>-474.43999999999983</v>
      </c>
      <c r="U98" s="4">
        <f t="shared" si="19"/>
        <v>-0.30045152587882884</v>
      </c>
      <c r="AB98" s="18">
        <v>20431.72</v>
      </c>
      <c r="AC98" s="18">
        <v>17894.259999999998</v>
      </c>
      <c r="AD98" s="4">
        <f t="shared" si="20"/>
        <v>-0.12419218744187976</v>
      </c>
    </row>
    <row r="99" spans="1:30" ht="15" customHeight="1">
      <c r="A99" t="s">
        <v>1375</v>
      </c>
      <c r="B99" t="s">
        <v>1376</v>
      </c>
      <c r="C99">
        <v>766</v>
      </c>
      <c r="E99" t="s">
        <v>1376</v>
      </c>
      <c r="F99">
        <v>675</v>
      </c>
      <c r="G99" t="b">
        <f t="shared" ref="G99:G132" si="21">IF(B99=E99,TRUE,FALSE)</f>
        <v>1</v>
      </c>
      <c r="J99">
        <f t="shared" ref="J99:J132" si="22">F99-C99</f>
        <v>-91</v>
      </c>
      <c r="K99" s="4">
        <f t="shared" ref="K99:K132" si="23">F99/C99-1</f>
        <v>-0.11879895561357701</v>
      </c>
      <c r="L99" s="4"/>
      <c r="N99" s="5">
        <v>639.82000000000005</v>
      </c>
      <c r="O99" s="5">
        <v>404.4</v>
      </c>
      <c r="Q99" s="5">
        <v>1537.62</v>
      </c>
      <c r="T99" s="114">
        <f t="shared" ref="T99:T120" si="24">O99-N99</f>
        <v>-235.42000000000007</v>
      </c>
      <c r="U99" s="4">
        <f t="shared" si="19"/>
        <v>-0.36794723515988881</v>
      </c>
      <c r="AB99" s="18">
        <v>14761.14</v>
      </c>
      <c r="AC99" s="18">
        <v>13491.45</v>
      </c>
      <c r="AD99" s="4">
        <f t="shared" si="20"/>
        <v>-8.6015714233453444E-2</v>
      </c>
    </row>
    <row r="100" spans="1:30" ht="15" customHeight="1">
      <c r="A100" t="s">
        <v>1377</v>
      </c>
      <c r="B100" t="s">
        <v>1378</v>
      </c>
      <c r="C100">
        <v>994</v>
      </c>
      <c r="E100" t="s">
        <v>1378</v>
      </c>
      <c r="F100">
        <v>966</v>
      </c>
      <c r="G100" t="b">
        <f t="shared" si="21"/>
        <v>1</v>
      </c>
      <c r="J100">
        <f t="shared" si="22"/>
        <v>-28</v>
      </c>
      <c r="K100" s="4">
        <f t="shared" si="23"/>
        <v>-2.8169014084507005E-2</v>
      </c>
      <c r="N100" s="5">
        <v>446.95</v>
      </c>
      <c r="O100" s="5">
        <v>342.16</v>
      </c>
      <c r="Q100" s="5">
        <v>1909.76</v>
      </c>
      <c r="T100" s="114">
        <f t="shared" si="24"/>
        <v>-104.78999999999996</v>
      </c>
      <c r="U100" s="4">
        <f t="shared" si="19"/>
        <v>-0.23445575567736876</v>
      </c>
      <c r="X100" s="5"/>
      <c r="Y100" s="5"/>
      <c r="Z100" s="5"/>
      <c r="AA100" s="17"/>
      <c r="AB100" s="18">
        <v>20901.54</v>
      </c>
      <c r="AC100" s="18">
        <v>21239.919999999998</v>
      </c>
      <c r="AD100" s="4">
        <f t="shared" si="20"/>
        <v>1.6189237730808159E-2</v>
      </c>
    </row>
    <row r="101" spans="1:30" ht="15" customHeight="1">
      <c r="A101" t="s">
        <v>1379</v>
      </c>
      <c r="B101" t="s">
        <v>1380</v>
      </c>
      <c r="C101">
        <v>1192</v>
      </c>
      <c r="E101" t="s">
        <v>1380</v>
      </c>
      <c r="F101">
        <v>1065</v>
      </c>
      <c r="G101" t="b">
        <f t="shared" si="21"/>
        <v>1</v>
      </c>
      <c r="J101">
        <f t="shared" si="22"/>
        <v>-127</v>
      </c>
      <c r="K101" s="4">
        <f t="shared" si="23"/>
        <v>-0.10654362416107388</v>
      </c>
      <c r="L101" s="4"/>
      <c r="N101" s="5">
        <v>1078.8</v>
      </c>
      <c r="O101" s="5">
        <v>937.71</v>
      </c>
      <c r="Q101" s="5">
        <v>3658.03</v>
      </c>
      <c r="T101" s="114">
        <f t="shared" si="24"/>
        <v>-141.08999999999992</v>
      </c>
      <c r="U101" s="4">
        <f t="shared" si="19"/>
        <v>-0.13078420467185758</v>
      </c>
      <c r="AB101" s="18">
        <v>27672.33</v>
      </c>
      <c r="AC101" s="18">
        <v>26172.35</v>
      </c>
      <c r="AD101" s="4">
        <f t="shared" si="20"/>
        <v>-5.4205048870116901E-2</v>
      </c>
    </row>
    <row r="102" spans="1:30" ht="15" customHeight="1">
      <c r="A102" t="s">
        <v>1381</v>
      </c>
      <c r="B102" t="s">
        <v>1382</v>
      </c>
      <c r="C102">
        <v>1539</v>
      </c>
      <c r="E102" t="s">
        <v>1382</v>
      </c>
      <c r="F102">
        <v>1326</v>
      </c>
      <c r="G102" t="b">
        <f t="shared" si="21"/>
        <v>1</v>
      </c>
      <c r="J102">
        <f t="shared" si="22"/>
        <v>-213</v>
      </c>
      <c r="K102" s="4">
        <f t="shared" si="23"/>
        <v>-0.13840155945419108</v>
      </c>
      <c r="L102" s="4"/>
      <c r="N102" s="5">
        <v>1543.33</v>
      </c>
      <c r="O102" s="5">
        <v>1081.48</v>
      </c>
      <c r="Q102" s="5">
        <v>7543.76</v>
      </c>
      <c r="T102" s="114">
        <f t="shared" si="24"/>
        <v>-461.84999999999991</v>
      </c>
      <c r="U102" s="4">
        <f t="shared" si="19"/>
        <v>-0.2992555059514167</v>
      </c>
      <c r="AB102" s="18">
        <v>35055.599999999999</v>
      </c>
      <c r="AC102" s="18">
        <v>32400.45</v>
      </c>
      <c r="AD102" s="4">
        <f t="shared" si="20"/>
        <v>-7.574110841063908E-2</v>
      </c>
    </row>
    <row r="103" spans="1:30" ht="15" customHeight="1">
      <c r="A103" s="27" t="s">
        <v>1383</v>
      </c>
      <c r="B103" s="27" t="s">
        <v>1384</v>
      </c>
      <c r="C103">
        <v>1299</v>
      </c>
      <c r="E103" s="27" t="s">
        <v>1384</v>
      </c>
      <c r="F103">
        <v>1270</v>
      </c>
      <c r="G103" t="b">
        <f t="shared" si="21"/>
        <v>1</v>
      </c>
      <c r="J103">
        <f t="shared" si="22"/>
        <v>-29</v>
      </c>
      <c r="K103" s="4">
        <f t="shared" si="23"/>
        <v>-2.2324865280985429E-2</v>
      </c>
      <c r="L103" s="4"/>
      <c r="N103" s="5">
        <v>1951.04</v>
      </c>
      <c r="O103" s="5">
        <v>1492.08</v>
      </c>
      <c r="Q103" s="5">
        <v>7862.36</v>
      </c>
      <c r="T103" s="114">
        <f t="shared" si="24"/>
        <v>-458.96000000000004</v>
      </c>
      <c r="U103" s="4">
        <f t="shared" si="19"/>
        <v>-0.23523864195505984</v>
      </c>
      <c r="AB103" s="18">
        <v>29854.87</v>
      </c>
      <c r="AC103" s="18">
        <v>30413.86</v>
      </c>
      <c r="AD103" s="4">
        <f t="shared" si="20"/>
        <v>1.8723578431257604E-2</v>
      </c>
    </row>
    <row r="104" spans="1:30" ht="15" customHeight="1">
      <c r="A104" t="s">
        <v>1385</v>
      </c>
      <c r="B104" t="s">
        <v>1386</v>
      </c>
      <c r="C104">
        <v>2116</v>
      </c>
      <c r="E104" t="s">
        <v>1386</v>
      </c>
      <c r="F104">
        <v>1938</v>
      </c>
      <c r="G104" t="b">
        <f t="shared" si="21"/>
        <v>1</v>
      </c>
      <c r="J104">
        <f t="shared" si="22"/>
        <v>-178</v>
      </c>
      <c r="K104" s="4">
        <f t="shared" si="23"/>
        <v>-8.4120982986767512E-2</v>
      </c>
      <c r="L104" s="4"/>
      <c r="N104" s="5">
        <v>1090.46</v>
      </c>
      <c r="O104" s="5">
        <v>1088.33</v>
      </c>
      <c r="Q104" s="5">
        <v>7055.45</v>
      </c>
      <c r="T104" s="114">
        <f t="shared" si="24"/>
        <v>-2.1300000000001091</v>
      </c>
      <c r="U104" s="4">
        <f t="shared" si="19"/>
        <v>-1.9533041101921222E-3</v>
      </c>
      <c r="AB104" s="18">
        <v>40559.54</v>
      </c>
      <c r="AC104" s="18">
        <v>38659.9</v>
      </c>
      <c r="AD104" s="4">
        <f t="shared" si="20"/>
        <v>-4.6835836895586125E-2</v>
      </c>
    </row>
    <row r="105" spans="1:30" ht="15" customHeight="1">
      <c r="A105" s="55" t="s">
        <v>1387</v>
      </c>
      <c r="B105" s="37" t="s">
        <v>1388</v>
      </c>
      <c r="C105">
        <v>1516</v>
      </c>
      <c r="E105" s="37" t="s">
        <v>1388</v>
      </c>
      <c r="F105">
        <v>1317</v>
      </c>
      <c r="G105" t="b">
        <f t="shared" si="21"/>
        <v>1</v>
      </c>
      <c r="J105">
        <f t="shared" si="22"/>
        <v>-199</v>
      </c>
      <c r="K105" s="4">
        <f t="shared" si="23"/>
        <v>-0.1312664907651715</v>
      </c>
      <c r="L105" s="4"/>
      <c r="N105" s="5">
        <v>2241.84</v>
      </c>
      <c r="O105" s="5">
        <v>1370.33</v>
      </c>
      <c r="Q105" s="5">
        <v>7000.96</v>
      </c>
      <c r="T105" s="114">
        <f t="shared" si="24"/>
        <v>-871.51000000000022</v>
      </c>
      <c r="U105" s="4">
        <f>IF(N106=0,0,O105/N106-1)</f>
        <v>0.666946451597207</v>
      </c>
      <c r="AB105" s="18">
        <v>34037.24</v>
      </c>
      <c r="AC105" s="18">
        <v>31593.39</v>
      </c>
      <c r="AD105" s="4">
        <f t="shared" si="20"/>
        <v>-7.1799299825720309E-2</v>
      </c>
    </row>
    <row r="106" spans="1:30" ht="15" customHeight="1">
      <c r="A106" t="s">
        <v>1389</v>
      </c>
      <c r="B106" t="s">
        <v>1390</v>
      </c>
      <c r="C106">
        <v>1485</v>
      </c>
      <c r="E106" t="s">
        <v>1390</v>
      </c>
      <c r="F106">
        <v>1060</v>
      </c>
      <c r="G106" t="b">
        <f t="shared" si="21"/>
        <v>1</v>
      </c>
      <c r="J106">
        <f t="shared" si="22"/>
        <v>-425</v>
      </c>
      <c r="K106" s="4">
        <f t="shared" si="23"/>
        <v>-0.28619528619528622</v>
      </c>
      <c r="L106" s="4"/>
      <c r="N106" s="5">
        <v>822.06</v>
      </c>
      <c r="O106" s="5">
        <v>325.48</v>
      </c>
      <c r="Q106" s="5">
        <v>1958.14</v>
      </c>
      <c r="T106" s="114">
        <f t="shared" si="24"/>
        <v>-496.57999999999993</v>
      </c>
      <c r="U106" s="4">
        <f t="shared" ref="U106:U120" si="25">IF(N106=0,0,O106/N106-1)</f>
        <v>-0.60406782959881267</v>
      </c>
      <c r="AB106" s="18">
        <v>28195.73</v>
      </c>
      <c r="AC106" s="18">
        <v>21145</v>
      </c>
      <c r="AD106" s="4">
        <f t="shared" si="20"/>
        <v>-0.25006375078779663</v>
      </c>
    </row>
    <row r="107" spans="1:30" ht="15" customHeight="1">
      <c r="A107" t="s">
        <v>1391</v>
      </c>
      <c r="B107" t="s">
        <v>1392</v>
      </c>
      <c r="C107">
        <v>5225</v>
      </c>
      <c r="E107" t="s">
        <v>1392</v>
      </c>
      <c r="F107">
        <v>4729</v>
      </c>
      <c r="G107" t="b">
        <f t="shared" si="21"/>
        <v>1</v>
      </c>
      <c r="J107">
        <f t="shared" si="22"/>
        <v>-496</v>
      </c>
      <c r="K107" s="4">
        <f t="shared" si="23"/>
        <v>-9.4928229665071751E-2</v>
      </c>
      <c r="L107" s="4"/>
      <c r="N107" s="5">
        <v>4217.04</v>
      </c>
      <c r="O107" s="5">
        <v>3256.45</v>
      </c>
      <c r="Q107" s="5">
        <v>20784.32</v>
      </c>
      <c r="T107" s="114">
        <f t="shared" si="24"/>
        <v>-960.59000000000015</v>
      </c>
      <c r="U107" s="4">
        <f t="shared" si="25"/>
        <v>-0.22778773737028823</v>
      </c>
      <c r="AB107" s="18">
        <v>165370.82999999999</v>
      </c>
      <c r="AC107" s="18">
        <v>160444.21</v>
      </c>
      <c r="AD107" s="4">
        <f t="shared" si="20"/>
        <v>-2.9791348329085587E-2</v>
      </c>
    </row>
    <row r="108" spans="1:30" ht="15" customHeight="1">
      <c r="A108" t="s">
        <v>1393</v>
      </c>
      <c r="B108" t="s">
        <v>1394</v>
      </c>
      <c r="C108">
        <v>1521</v>
      </c>
      <c r="E108" t="s">
        <v>1394</v>
      </c>
      <c r="F108">
        <v>1407</v>
      </c>
      <c r="G108" t="b">
        <f t="shared" si="21"/>
        <v>1</v>
      </c>
      <c r="J108">
        <f t="shared" si="22"/>
        <v>-114</v>
      </c>
      <c r="K108" s="4">
        <f t="shared" si="23"/>
        <v>-7.495069033530577E-2</v>
      </c>
      <c r="L108" s="6"/>
      <c r="N108" s="5">
        <v>2473</v>
      </c>
      <c r="O108" s="5">
        <v>1608.82</v>
      </c>
      <c r="Q108" s="5">
        <v>9808.08</v>
      </c>
      <c r="T108" s="114">
        <f t="shared" si="24"/>
        <v>-864.18000000000006</v>
      </c>
      <c r="U108" s="4">
        <f t="shared" si="25"/>
        <v>-0.34944601698342093</v>
      </c>
      <c r="AB108" s="18">
        <v>43698.69</v>
      </c>
      <c r="AC108" s="18">
        <v>42190.23</v>
      </c>
      <c r="AD108" s="4">
        <f t="shared" si="20"/>
        <v>-3.4519570266294042E-2</v>
      </c>
    </row>
    <row r="109" spans="1:30" ht="15" customHeight="1">
      <c r="A109" t="s">
        <v>1395</v>
      </c>
      <c r="B109" t="s">
        <v>1396</v>
      </c>
      <c r="C109">
        <v>1194</v>
      </c>
      <c r="E109" t="s">
        <v>1396</v>
      </c>
      <c r="F109">
        <v>960</v>
      </c>
      <c r="G109" t="b">
        <f t="shared" si="21"/>
        <v>1</v>
      </c>
      <c r="J109">
        <f t="shared" si="22"/>
        <v>-234</v>
      </c>
      <c r="K109" s="4">
        <f t="shared" si="23"/>
        <v>-0.1959798994974874</v>
      </c>
      <c r="L109" s="4"/>
      <c r="N109" s="5">
        <v>1053.3</v>
      </c>
      <c r="O109" s="5">
        <v>922.55</v>
      </c>
      <c r="Q109" s="5">
        <v>4854.09</v>
      </c>
      <c r="T109" s="114">
        <f t="shared" si="24"/>
        <v>-130.75</v>
      </c>
      <c r="U109" s="4">
        <f t="shared" si="25"/>
        <v>-0.12413367511630113</v>
      </c>
      <c r="X109" t="s">
        <v>1397</v>
      </c>
      <c r="AB109" s="18">
        <v>25181.3</v>
      </c>
      <c r="AC109" s="18">
        <v>21106.66</v>
      </c>
      <c r="AD109" s="4">
        <f t="shared" si="20"/>
        <v>-0.1618121383725224</v>
      </c>
    </row>
    <row r="110" spans="1:30" ht="15" customHeight="1">
      <c r="A110" t="s">
        <v>1398</v>
      </c>
      <c r="B110" t="s">
        <v>1399</v>
      </c>
      <c r="C110">
        <v>826</v>
      </c>
      <c r="E110" t="s">
        <v>1399</v>
      </c>
      <c r="F110">
        <v>773</v>
      </c>
      <c r="G110" t="b">
        <f t="shared" si="21"/>
        <v>1</v>
      </c>
      <c r="J110">
        <f t="shared" si="22"/>
        <v>-53</v>
      </c>
      <c r="K110" s="4">
        <f t="shared" si="23"/>
        <v>-6.4164648910411626E-2</v>
      </c>
      <c r="N110" s="5">
        <v>1235.43</v>
      </c>
      <c r="O110" s="5">
        <v>477.98</v>
      </c>
      <c r="Q110" s="5">
        <v>3488.44</v>
      </c>
      <c r="T110" s="114">
        <f t="shared" si="24"/>
        <v>-757.45</v>
      </c>
      <c r="U110" s="4">
        <f t="shared" si="25"/>
        <v>-0.61310636782334904</v>
      </c>
      <c r="X110" s="5"/>
      <c r="Y110" s="5"/>
      <c r="Z110" s="5"/>
      <c r="AA110" s="17"/>
      <c r="AB110" s="18">
        <v>33023.74</v>
      </c>
      <c r="AC110" s="18">
        <v>30903.07</v>
      </c>
      <c r="AD110" s="4">
        <f t="shared" si="20"/>
        <v>-6.4216530290027718E-2</v>
      </c>
    </row>
    <row r="111" spans="1:30" ht="15" customHeight="1">
      <c r="A111" t="s">
        <v>1400</v>
      </c>
      <c r="B111" t="s">
        <v>1401</v>
      </c>
      <c r="C111">
        <v>908</v>
      </c>
      <c r="E111" t="s">
        <v>1401</v>
      </c>
      <c r="F111">
        <v>797</v>
      </c>
      <c r="G111" t="b">
        <f t="shared" si="21"/>
        <v>1</v>
      </c>
      <c r="J111">
        <f t="shared" si="22"/>
        <v>-111</v>
      </c>
      <c r="K111" s="4">
        <f t="shared" si="23"/>
        <v>-0.1222466960352423</v>
      </c>
      <c r="L111" s="4"/>
      <c r="N111" s="5">
        <v>1112.19</v>
      </c>
      <c r="O111" s="5">
        <v>1093.3499999999999</v>
      </c>
      <c r="Q111" s="5">
        <v>5053.29</v>
      </c>
      <c r="T111" s="114">
        <f t="shared" si="24"/>
        <v>-18.840000000000146</v>
      </c>
      <c r="U111" s="4">
        <f t="shared" si="25"/>
        <v>-1.6939551695304034E-2</v>
      </c>
      <c r="AB111" s="18">
        <v>25143.22</v>
      </c>
      <c r="AC111" s="18">
        <v>23900.23</v>
      </c>
      <c r="AD111" s="4">
        <f t="shared" si="20"/>
        <v>-4.9436388815752408E-2</v>
      </c>
    </row>
    <row r="112" spans="1:30" ht="15" customHeight="1">
      <c r="A112" t="s">
        <v>1402</v>
      </c>
      <c r="B112" t="s">
        <v>1403</v>
      </c>
      <c r="C112">
        <v>2123</v>
      </c>
      <c r="E112" t="s">
        <v>1403</v>
      </c>
      <c r="F112">
        <v>1802</v>
      </c>
      <c r="G112" t="b">
        <f t="shared" si="21"/>
        <v>1</v>
      </c>
      <c r="J112">
        <f t="shared" si="22"/>
        <v>-321</v>
      </c>
      <c r="K112" s="4">
        <f t="shared" si="23"/>
        <v>-0.15120113047574191</v>
      </c>
      <c r="L112" s="6"/>
      <c r="N112" s="5">
        <v>2207.2600000000002</v>
      </c>
      <c r="O112" s="5">
        <v>1881.81</v>
      </c>
      <c r="Q112" s="5">
        <v>10538.65</v>
      </c>
      <c r="T112" s="114">
        <f t="shared" si="24"/>
        <v>-325.45000000000027</v>
      </c>
      <c r="U112" s="4">
        <f t="shared" si="25"/>
        <v>-0.14744524886057842</v>
      </c>
      <c r="AB112" s="18">
        <v>39613.760000000002</v>
      </c>
      <c r="AC112" s="18">
        <v>35903</v>
      </c>
      <c r="AD112" s="4">
        <f t="shared" ref="AD112:AD148" si="26">AC112/AB112-1</f>
        <v>-9.3673511426332734E-2</v>
      </c>
    </row>
    <row r="113" spans="1:31" ht="15" customHeight="1">
      <c r="A113" t="s">
        <v>1404</v>
      </c>
      <c r="B113" t="s">
        <v>1405</v>
      </c>
      <c r="C113">
        <v>530</v>
      </c>
      <c r="E113" t="s">
        <v>1405</v>
      </c>
      <c r="F113">
        <v>191</v>
      </c>
      <c r="G113" t="b">
        <f t="shared" si="21"/>
        <v>1</v>
      </c>
      <c r="J113">
        <f t="shared" si="22"/>
        <v>-339</v>
      </c>
      <c r="K113" s="4">
        <f t="shared" si="23"/>
        <v>-0.63962264150943393</v>
      </c>
      <c r="L113" s="4"/>
      <c r="N113" s="5">
        <v>842.13</v>
      </c>
      <c r="O113" s="5">
        <v>257</v>
      </c>
      <c r="Q113" s="5">
        <v>1203.74</v>
      </c>
      <c r="T113" s="114">
        <f t="shared" si="24"/>
        <v>-585.13</v>
      </c>
      <c r="U113" s="4">
        <f t="shared" si="25"/>
        <v>-0.6948214646194768</v>
      </c>
      <c r="AB113" s="18">
        <v>9328.2099999999991</v>
      </c>
      <c r="AC113" s="18">
        <v>3618.69</v>
      </c>
      <c r="AD113" s="4">
        <f t="shared" si="26"/>
        <v>-0.61207026857242708</v>
      </c>
    </row>
    <row r="114" spans="1:31" ht="15" customHeight="1">
      <c r="A114" t="s">
        <v>1406</v>
      </c>
      <c r="B114" t="s">
        <v>1407</v>
      </c>
      <c r="C114">
        <v>775</v>
      </c>
      <c r="E114" t="s">
        <v>1407</v>
      </c>
      <c r="F114">
        <v>767</v>
      </c>
      <c r="G114" t="b">
        <f t="shared" si="21"/>
        <v>1</v>
      </c>
      <c r="J114">
        <f t="shared" si="22"/>
        <v>-8</v>
      </c>
      <c r="K114" s="4">
        <f t="shared" si="23"/>
        <v>-1.0322580645161339E-2</v>
      </c>
      <c r="L114" s="4"/>
      <c r="N114" s="5">
        <v>710.74</v>
      </c>
      <c r="O114" s="5">
        <v>447.11</v>
      </c>
      <c r="Q114" s="5">
        <v>3427.44</v>
      </c>
      <c r="T114" s="114">
        <f t="shared" si="24"/>
        <v>-263.63</v>
      </c>
      <c r="U114" s="4">
        <f t="shared" si="25"/>
        <v>-0.37092326307791879</v>
      </c>
      <c r="AB114" s="18">
        <v>17009.93</v>
      </c>
      <c r="AC114" s="18">
        <v>16834.77</v>
      </c>
      <c r="AD114" s="4">
        <f t="shared" si="26"/>
        <v>-1.0297514451852563E-2</v>
      </c>
    </row>
    <row r="115" spans="1:31" ht="15" customHeight="1">
      <c r="A115" t="s">
        <v>1408</v>
      </c>
      <c r="B115" t="s">
        <v>1409</v>
      </c>
      <c r="C115">
        <v>999</v>
      </c>
      <c r="E115" t="s">
        <v>1409</v>
      </c>
      <c r="F115">
        <v>752</v>
      </c>
      <c r="G115" t="b">
        <f t="shared" si="21"/>
        <v>1</v>
      </c>
      <c r="J115">
        <f t="shared" si="22"/>
        <v>-247</v>
      </c>
      <c r="K115" s="4">
        <f t="shared" si="23"/>
        <v>-0.24724724724724723</v>
      </c>
      <c r="N115" s="5">
        <v>1343.71</v>
      </c>
      <c r="O115" s="5">
        <v>744.49</v>
      </c>
      <c r="Q115" s="5">
        <v>3624.8199999999997</v>
      </c>
      <c r="T115" s="114">
        <f t="shared" si="24"/>
        <v>-599.22</v>
      </c>
      <c r="U115" s="4">
        <f t="shared" si="25"/>
        <v>-0.44594443741581147</v>
      </c>
      <c r="X115" s="5"/>
      <c r="Y115" s="5"/>
      <c r="Z115" s="5"/>
      <c r="AA115" s="17"/>
      <c r="AB115" s="18">
        <v>18378.41</v>
      </c>
      <c r="AC115" s="18">
        <v>15019.32</v>
      </c>
      <c r="AD115" s="4">
        <f t="shared" si="26"/>
        <v>-0.18277370022760397</v>
      </c>
    </row>
    <row r="116" spans="1:31" ht="15" customHeight="1">
      <c r="A116" t="s">
        <v>1410</v>
      </c>
      <c r="B116" t="s">
        <v>1411</v>
      </c>
      <c r="C116">
        <v>1778</v>
      </c>
      <c r="E116" t="s">
        <v>1411</v>
      </c>
      <c r="F116">
        <v>1670</v>
      </c>
      <c r="G116" t="b">
        <f t="shared" si="21"/>
        <v>1</v>
      </c>
      <c r="J116">
        <f t="shared" si="22"/>
        <v>-108</v>
      </c>
      <c r="K116" s="4">
        <f t="shared" si="23"/>
        <v>-6.0742407199100068E-2</v>
      </c>
      <c r="L116" s="4"/>
      <c r="N116" s="5">
        <v>1428.32</v>
      </c>
      <c r="O116" s="5">
        <v>2199.11</v>
      </c>
      <c r="Q116" s="5">
        <v>11210.52</v>
      </c>
      <c r="T116" s="114">
        <f t="shared" si="24"/>
        <v>770.79000000000019</v>
      </c>
      <c r="U116" s="4">
        <f t="shared" si="25"/>
        <v>0.53964797804413589</v>
      </c>
      <c r="AB116" s="18">
        <v>67142.17</v>
      </c>
      <c r="AC116" s="18">
        <v>65080.92</v>
      </c>
      <c r="AD116" s="4">
        <f t="shared" si="26"/>
        <v>-3.0699782267984532E-2</v>
      </c>
    </row>
    <row r="117" spans="1:31" ht="15" customHeight="1">
      <c r="A117" t="s">
        <v>1412</v>
      </c>
      <c r="B117" t="s">
        <v>1413</v>
      </c>
      <c r="C117">
        <v>1037</v>
      </c>
      <c r="E117" t="s">
        <v>1413</v>
      </c>
      <c r="F117">
        <v>917</v>
      </c>
      <c r="G117" t="b">
        <f t="shared" si="21"/>
        <v>1</v>
      </c>
      <c r="J117">
        <f t="shared" si="22"/>
        <v>-120</v>
      </c>
      <c r="K117" s="4">
        <f t="shared" si="23"/>
        <v>-0.11571841851494691</v>
      </c>
      <c r="L117" s="4"/>
      <c r="N117" s="5">
        <v>1096.8699999999999</v>
      </c>
      <c r="O117" s="5">
        <v>1011.76</v>
      </c>
      <c r="Q117" s="5">
        <v>3911.39</v>
      </c>
      <c r="T117" s="114">
        <f t="shared" si="24"/>
        <v>-85.1099999999999</v>
      </c>
      <c r="U117" s="4">
        <f t="shared" si="25"/>
        <v>-7.7593516095799786E-2</v>
      </c>
      <c r="AB117" s="18">
        <v>19905.03</v>
      </c>
      <c r="AC117" s="18">
        <v>18328.23</v>
      </c>
      <c r="AD117" s="4">
        <f t="shared" si="26"/>
        <v>-7.921615792591119E-2</v>
      </c>
    </row>
    <row r="118" spans="1:31" ht="15" customHeight="1">
      <c r="A118" t="s">
        <v>1414</v>
      </c>
      <c r="B118" t="s">
        <v>1415</v>
      </c>
      <c r="C118">
        <v>1321</v>
      </c>
      <c r="E118" t="s">
        <v>1415</v>
      </c>
      <c r="F118">
        <v>1265</v>
      </c>
      <c r="G118" t="b">
        <f t="shared" si="21"/>
        <v>1</v>
      </c>
      <c r="J118">
        <f t="shared" si="22"/>
        <v>-56</v>
      </c>
      <c r="K118" s="4">
        <f t="shared" si="23"/>
        <v>-4.2392127176381522E-2</v>
      </c>
      <c r="L118" s="4"/>
      <c r="N118" s="5">
        <v>818.49</v>
      </c>
      <c r="O118" s="5">
        <v>535.71</v>
      </c>
      <c r="Q118" s="5">
        <v>2556.5700000000002</v>
      </c>
      <c r="T118" s="114">
        <f t="shared" si="24"/>
        <v>-282.77999999999997</v>
      </c>
      <c r="U118" s="4">
        <f t="shared" si="25"/>
        <v>-0.34548986548400096</v>
      </c>
      <c r="AB118" s="18">
        <v>25463.19</v>
      </c>
      <c r="AC118" s="18">
        <v>25283.75</v>
      </c>
      <c r="AD118" s="4">
        <f t="shared" si="26"/>
        <v>-7.0470353478884196E-3</v>
      </c>
    </row>
    <row r="119" spans="1:31" ht="15" customHeight="1">
      <c r="A119" t="s">
        <v>1416</v>
      </c>
      <c r="B119" t="s">
        <v>1417</v>
      </c>
      <c r="C119">
        <v>633</v>
      </c>
      <c r="E119" t="s">
        <v>1417</v>
      </c>
      <c r="F119">
        <v>627</v>
      </c>
      <c r="G119" t="b">
        <f t="shared" si="21"/>
        <v>1</v>
      </c>
      <c r="J119">
        <f t="shared" si="22"/>
        <v>-6</v>
      </c>
      <c r="K119" s="4">
        <f t="shared" si="23"/>
        <v>-9.4786729857819774E-3</v>
      </c>
      <c r="N119" s="5">
        <v>466.14</v>
      </c>
      <c r="O119" s="5">
        <v>285.66000000000003</v>
      </c>
      <c r="Q119" s="5">
        <v>1356.12</v>
      </c>
      <c r="T119" s="114">
        <f t="shared" si="24"/>
        <v>-180.47999999999996</v>
      </c>
      <c r="U119" s="4">
        <f t="shared" si="25"/>
        <v>-0.38717981722229367</v>
      </c>
      <c r="AB119" s="18">
        <v>11994.59</v>
      </c>
      <c r="AC119" s="18">
        <v>11880.51</v>
      </c>
      <c r="AD119" s="4">
        <f t="shared" si="26"/>
        <v>-9.5109545219970171E-3</v>
      </c>
    </row>
    <row r="120" spans="1:31" ht="15" customHeight="1">
      <c r="A120" s="54" t="s">
        <v>963</v>
      </c>
      <c r="B120" s="37" t="s">
        <v>1418</v>
      </c>
      <c r="C120">
        <v>655</v>
      </c>
      <c r="E120" s="37" t="s">
        <v>1418</v>
      </c>
      <c r="F120">
        <v>721</v>
      </c>
      <c r="G120" t="b">
        <f t="shared" si="21"/>
        <v>1</v>
      </c>
      <c r="J120">
        <f t="shared" si="22"/>
        <v>66</v>
      </c>
      <c r="K120" s="4">
        <f t="shared" si="23"/>
        <v>0.10076335877862586</v>
      </c>
      <c r="L120" s="4"/>
      <c r="N120" s="5">
        <v>1865.38</v>
      </c>
      <c r="O120" s="5">
        <v>2406.75</v>
      </c>
      <c r="Q120" s="5">
        <v>9759.2099999999991</v>
      </c>
      <c r="T120" s="114">
        <f t="shared" si="24"/>
        <v>541.36999999999989</v>
      </c>
      <c r="U120" s="4">
        <f t="shared" si="25"/>
        <v>0.29021968714149393</v>
      </c>
      <c r="AB120" s="18">
        <v>12323.12</v>
      </c>
      <c r="AC120" s="18">
        <v>13689.89</v>
      </c>
      <c r="AD120" s="4">
        <f t="shared" si="26"/>
        <v>0.11091103551697934</v>
      </c>
    </row>
    <row r="121" spans="1:31" ht="15" customHeight="1">
      <c r="A121" s="54" t="s">
        <v>1419</v>
      </c>
      <c r="B121" s="37" t="s">
        <v>1420</v>
      </c>
      <c r="C121">
        <v>645</v>
      </c>
      <c r="E121" s="37" t="s">
        <v>1420</v>
      </c>
      <c r="F121">
        <v>599</v>
      </c>
      <c r="G121" t="b">
        <f t="shared" si="21"/>
        <v>1</v>
      </c>
      <c r="J121">
        <f t="shared" si="22"/>
        <v>-46</v>
      </c>
      <c r="K121" s="4">
        <f t="shared" si="23"/>
        <v>-7.1317829457364312E-2</v>
      </c>
      <c r="L121" s="4"/>
      <c r="N121" s="5">
        <v>1808.17</v>
      </c>
      <c r="O121" s="5">
        <v>1384.59</v>
      </c>
      <c r="Q121" s="5">
        <v>7404.3</v>
      </c>
      <c r="U121" s="4"/>
      <c r="AB121" s="18">
        <v>14099.3</v>
      </c>
      <c r="AC121" s="18">
        <v>14405.51</v>
      </c>
      <c r="AD121" s="4">
        <f t="shared" si="26"/>
        <v>2.1718099480116049E-2</v>
      </c>
    </row>
    <row r="122" spans="1:31" ht="15" customHeight="1">
      <c r="A122" t="s">
        <v>1421</v>
      </c>
      <c r="B122" t="s">
        <v>1422</v>
      </c>
      <c r="C122">
        <v>4194</v>
      </c>
      <c r="E122" t="s">
        <v>1422</v>
      </c>
      <c r="F122">
        <v>3680</v>
      </c>
      <c r="G122" t="b">
        <f t="shared" si="21"/>
        <v>1</v>
      </c>
      <c r="J122">
        <f t="shared" si="22"/>
        <v>-514</v>
      </c>
      <c r="K122" s="4">
        <f t="shared" si="23"/>
        <v>-0.12255603242727708</v>
      </c>
      <c r="N122" s="5">
        <v>5060.59</v>
      </c>
      <c r="O122" s="5">
        <v>5816.31</v>
      </c>
      <c r="Q122" s="5">
        <v>21116.13</v>
      </c>
      <c r="T122" s="114">
        <f t="shared" ref="T122:T128" si="27">O122-N122</f>
        <v>755.72000000000025</v>
      </c>
      <c r="U122" s="4">
        <f t="shared" ref="U122:U128" si="28">IF(N122=0,0,O122/N122-1)</f>
        <v>0.1493343661509825</v>
      </c>
      <c r="X122" s="5"/>
      <c r="Y122" s="5"/>
      <c r="Z122" s="5"/>
      <c r="AA122" s="17"/>
      <c r="AB122" s="18">
        <v>66371.539999999994</v>
      </c>
      <c r="AC122" s="18">
        <v>62518.27</v>
      </c>
      <c r="AD122" s="4">
        <f t="shared" si="26"/>
        <v>-5.8056058364775009E-2</v>
      </c>
    </row>
    <row r="123" spans="1:31" ht="15" customHeight="1">
      <c r="A123" t="s">
        <v>1423</v>
      </c>
      <c r="B123" t="s">
        <v>1424</v>
      </c>
      <c r="C123">
        <v>2820</v>
      </c>
      <c r="E123" t="s">
        <v>1424</v>
      </c>
      <c r="F123">
        <v>2854</v>
      </c>
      <c r="G123" t="b">
        <f t="shared" si="21"/>
        <v>1</v>
      </c>
      <c r="J123">
        <f t="shared" si="22"/>
        <v>34</v>
      </c>
      <c r="K123" s="4">
        <f t="shared" si="23"/>
        <v>1.2056737588652444E-2</v>
      </c>
      <c r="L123" s="4"/>
      <c r="N123" s="5">
        <v>3713.99</v>
      </c>
      <c r="O123" s="5">
        <v>3330.89</v>
      </c>
      <c r="Q123" s="5">
        <v>17935.59</v>
      </c>
      <c r="T123" s="114">
        <f t="shared" si="27"/>
        <v>-383.09999999999991</v>
      </c>
      <c r="U123" s="4">
        <f t="shared" si="28"/>
        <v>-0.10315052006063563</v>
      </c>
      <c r="AB123" s="18">
        <v>68104.800000000003</v>
      </c>
      <c r="AC123" s="18">
        <v>71313.710000000006</v>
      </c>
      <c r="AD123" s="4">
        <f t="shared" si="26"/>
        <v>4.7117236964208109E-2</v>
      </c>
    </row>
    <row r="124" spans="1:31" ht="15" customHeight="1">
      <c r="A124" s="142" t="s">
        <v>1425</v>
      </c>
      <c r="B124" s="37" t="s">
        <v>1426</v>
      </c>
      <c r="C124">
        <v>161</v>
      </c>
      <c r="E124" s="37" t="s">
        <v>1426</v>
      </c>
      <c r="F124">
        <v>173</v>
      </c>
      <c r="G124" t="b">
        <f t="shared" si="21"/>
        <v>1</v>
      </c>
      <c r="J124">
        <f t="shared" si="22"/>
        <v>12</v>
      </c>
      <c r="K124" s="4">
        <f t="shared" si="23"/>
        <v>7.4534161490683148E-2</v>
      </c>
      <c r="L124" s="4"/>
      <c r="N124" s="5">
        <v>740.37</v>
      </c>
      <c r="O124" s="5">
        <v>770.56</v>
      </c>
      <c r="Q124" s="5">
        <v>2472.25</v>
      </c>
      <c r="T124" s="114">
        <f t="shared" si="27"/>
        <v>30.189999999999941</v>
      </c>
      <c r="U124" s="4">
        <f t="shared" si="28"/>
        <v>4.077690884287577E-2</v>
      </c>
      <c r="AB124" s="18">
        <v>3418.39</v>
      </c>
      <c r="AC124" s="18">
        <v>3458.07</v>
      </c>
      <c r="AD124" s="4">
        <f t="shared" si="26"/>
        <v>1.1607803673659323E-2</v>
      </c>
    </row>
    <row r="125" spans="1:31" ht="15" customHeight="1">
      <c r="A125" t="s">
        <v>1427</v>
      </c>
      <c r="B125" t="s">
        <v>1428</v>
      </c>
      <c r="C125">
        <v>3178</v>
      </c>
      <c r="E125" t="s">
        <v>1428</v>
      </c>
      <c r="F125">
        <v>2915</v>
      </c>
      <c r="G125" t="b">
        <f t="shared" si="21"/>
        <v>1</v>
      </c>
      <c r="J125">
        <f t="shared" si="22"/>
        <v>-263</v>
      </c>
      <c r="K125" s="4">
        <f t="shared" si="23"/>
        <v>-8.2756450597860298E-2</v>
      </c>
      <c r="L125" s="4"/>
      <c r="N125" s="5">
        <v>1083.1600000000001</v>
      </c>
      <c r="O125" s="5">
        <v>753.57</v>
      </c>
      <c r="Q125" s="5">
        <v>4927.5600000000004</v>
      </c>
      <c r="T125" s="114">
        <f t="shared" si="27"/>
        <v>-329.59000000000003</v>
      </c>
      <c r="U125" s="4">
        <f t="shared" si="28"/>
        <v>-0.30428560877432698</v>
      </c>
      <c r="X125" t="s">
        <v>1429</v>
      </c>
      <c r="AB125" s="18">
        <v>65285.34</v>
      </c>
      <c r="AC125" s="18">
        <v>63050.13</v>
      </c>
      <c r="AD125" s="4">
        <f t="shared" si="26"/>
        <v>-3.4237548582882416E-2</v>
      </c>
    </row>
    <row r="126" spans="1:31" ht="13.5" customHeight="1">
      <c r="A126" t="s">
        <v>1430</v>
      </c>
      <c r="B126" t="s">
        <v>1431</v>
      </c>
      <c r="C126">
        <v>4219</v>
      </c>
      <c r="E126" t="s">
        <v>1431</v>
      </c>
      <c r="F126">
        <v>3442</v>
      </c>
      <c r="G126" t="b">
        <f t="shared" si="21"/>
        <v>1</v>
      </c>
      <c r="J126">
        <f t="shared" si="22"/>
        <v>-777</v>
      </c>
      <c r="K126" s="4">
        <f t="shared" si="23"/>
        <v>-0.18416686418582606</v>
      </c>
      <c r="L126" s="4"/>
      <c r="N126" s="5">
        <v>1999.94</v>
      </c>
      <c r="O126" s="5">
        <v>1324.5</v>
      </c>
      <c r="Q126" s="5">
        <v>4516.07</v>
      </c>
      <c r="T126" s="114">
        <f t="shared" si="27"/>
        <v>-675.44</v>
      </c>
      <c r="U126" s="4">
        <f t="shared" si="28"/>
        <v>-0.33773013190395718</v>
      </c>
      <c r="AB126" s="18">
        <v>42136.32</v>
      </c>
      <c r="AC126" s="18">
        <v>34384.58</v>
      </c>
      <c r="AD126" s="4">
        <f t="shared" si="26"/>
        <v>-0.1839681301072329</v>
      </c>
      <c r="AE126" s="122"/>
    </row>
    <row r="127" spans="1:31" ht="13.5" customHeight="1">
      <c r="A127" t="s">
        <v>1432</v>
      </c>
      <c r="B127" t="s">
        <v>1433</v>
      </c>
      <c r="C127">
        <v>3000</v>
      </c>
      <c r="E127" t="s">
        <v>1433</v>
      </c>
      <c r="F127">
        <v>3058</v>
      </c>
      <c r="G127" t="b">
        <f t="shared" si="21"/>
        <v>1</v>
      </c>
      <c r="J127">
        <f t="shared" si="22"/>
        <v>58</v>
      </c>
      <c r="K127" s="4">
        <f t="shared" si="23"/>
        <v>1.9333333333333425E-2</v>
      </c>
      <c r="L127" s="4"/>
      <c r="N127" s="5">
        <v>1859.26</v>
      </c>
      <c r="O127" s="5">
        <v>2964.9</v>
      </c>
      <c r="Q127" s="5">
        <v>16159.19</v>
      </c>
      <c r="T127" s="114">
        <f t="shared" si="27"/>
        <v>1105.6400000000001</v>
      </c>
      <c r="U127" s="4">
        <f t="shared" si="28"/>
        <v>0.59466669535191419</v>
      </c>
      <c r="AB127" s="18">
        <v>74941.02</v>
      </c>
      <c r="AC127" s="18">
        <v>76376.87</v>
      </c>
      <c r="AD127" s="4">
        <f t="shared" si="26"/>
        <v>1.9159733881390917E-2</v>
      </c>
    </row>
    <row r="128" spans="1:31" ht="13.5" customHeight="1">
      <c r="A128" t="s">
        <v>1434</v>
      </c>
      <c r="B128" t="s">
        <v>1435</v>
      </c>
      <c r="C128">
        <v>0</v>
      </c>
      <c r="E128" t="s">
        <v>1435</v>
      </c>
      <c r="F128">
        <v>95</v>
      </c>
      <c r="G128" t="b">
        <f t="shared" si="21"/>
        <v>1</v>
      </c>
      <c r="J128">
        <f t="shared" si="22"/>
        <v>95</v>
      </c>
      <c r="K128" s="4" t="e">
        <f t="shared" si="23"/>
        <v>#DIV/0!</v>
      </c>
      <c r="L128" s="4"/>
      <c r="N128" s="5">
        <v>0</v>
      </c>
      <c r="O128" s="5">
        <v>146.65</v>
      </c>
      <c r="Q128" s="5">
        <v>412.81</v>
      </c>
      <c r="T128" s="114">
        <f t="shared" si="27"/>
        <v>146.65</v>
      </c>
      <c r="U128" s="4">
        <f t="shared" si="28"/>
        <v>0</v>
      </c>
      <c r="AB128" s="18">
        <v>0</v>
      </c>
      <c r="AC128" s="18">
        <v>1899.05</v>
      </c>
      <c r="AD128" s="4" t="e">
        <f t="shared" si="26"/>
        <v>#DIV/0!</v>
      </c>
    </row>
    <row r="129" spans="1:30" ht="13.5" customHeight="1">
      <c r="A129" t="s">
        <v>1436</v>
      </c>
      <c r="B129" t="s">
        <v>1437</v>
      </c>
      <c r="C129">
        <v>0</v>
      </c>
      <c r="E129" t="s">
        <v>1437</v>
      </c>
      <c r="F129">
        <v>48</v>
      </c>
      <c r="G129" t="b">
        <f t="shared" si="21"/>
        <v>1</v>
      </c>
      <c r="J129">
        <f t="shared" si="22"/>
        <v>48</v>
      </c>
      <c r="K129" s="4" t="e">
        <f t="shared" si="23"/>
        <v>#DIV/0!</v>
      </c>
      <c r="L129" s="4"/>
      <c r="N129" s="5">
        <v>0</v>
      </c>
      <c r="O129" s="5">
        <v>183.8</v>
      </c>
      <c r="Q129" s="5">
        <v>622.46</v>
      </c>
      <c r="U129" s="4"/>
      <c r="AB129" s="18">
        <v>0</v>
      </c>
      <c r="AC129" s="18">
        <v>1197.5999999999999</v>
      </c>
      <c r="AD129" s="4" t="e">
        <f t="shared" si="26"/>
        <v>#DIV/0!</v>
      </c>
    </row>
    <row r="130" spans="1:30" ht="13.5" customHeight="1">
      <c r="A130" t="s">
        <v>1438</v>
      </c>
      <c r="B130" t="s">
        <v>1439</v>
      </c>
      <c r="C130">
        <v>0</v>
      </c>
      <c r="E130" t="s">
        <v>1439</v>
      </c>
      <c r="F130">
        <v>50</v>
      </c>
      <c r="G130" t="b">
        <f t="shared" si="21"/>
        <v>1</v>
      </c>
      <c r="J130">
        <f t="shared" si="22"/>
        <v>50</v>
      </c>
      <c r="K130" s="4" t="e">
        <f t="shared" si="23"/>
        <v>#DIV/0!</v>
      </c>
      <c r="L130" s="4"/>
      <c r="N130" s="5">
        <v>0</v>
      </c>
      <c r="O130" s="5">
        <v>80.75</v>
      </c>
      <c r="Q130" s="5">
        <v>403.81</v>
      </c>
      <c r="U130" s="4"/>
      <c r="AB130" s="18">
        <v>0</v>
      </c>
      <c r="AC130" s="18">
        <v>1349.23</v>
      </c>
      <c r="AD130" s="4" t="e">
        <f t="shared" si="26"/>
        <v>#DIV/0!</v>
      </c>
    </row>
    <row r="131" spans="1:30" ht="13.5" customHeight="1">
      <c r="A131" t="s">
        <v>1440</v>
      </c>
      <c r="B131" t="s">
        <v>1441</v>
      </c>
      <c r="C131">
        <v>0</v>
      </c>
      <c r="E131" t="s">
        <v>1441</v>
      </c>
      <c r="F131">
        <v>69</v>
      </c>
      <c r="G131" t="b">
        <f t="shared" si="21"/>
        <v>1</v>
      </c>
      <c r="J131">
        <f t="shared" si="22"/>
        <v>69</v>
      </c>
      <c r="K131" s="4" t="e">
        <f t="shared" si="23"/>
        <v>#DIV/0!</v>
      </c>
      <c r="L131" s="4"/>
      <c r="N131" s="5">
        <v>0</v>
      </c>
      <c r="O131" s="5">
        <v>74.97</v>
      </c>
      <c r="Q131" s="5">
        <v>326.81</v>
      </c>
      <c r="U131" s="4"/>
      <c r="AB131" s="18">
        <v>0</v>
      </c>
      <c r="AC131" s="18">
        <v>1861.5</v>
      </c>
      <c r="AD131" s="4" t="e">
        <f t="shared" si="26"/>
        <v>#DIV/0!</v>
      </c>
    </row>
    <row r="132" spans="1:30" ht="13.5" customHeight="1">
      <c r="A132" t="s">
        <v>1442</v>
      </c>
      <c r="B132" t="s">
        <v>1443</v>
      </c>
      <c r="C132">
        <v>0</v>
      </c>
      <c r="E132" t="s">
        <v>1443</v>
      </c>
      <c r="F132">
        <v>4</v>
      </c>
      <c r="G132" t="b">
        <f t="shared" si="21"/>
        <v>1</v>
      </c>
      <c r="J132">
        <f t="shared" si="22"/>
        <v>4</v>
      </c>
      <c r="K132" s="4" t="e">
        <f t="shared" si="23"/>
        <v>#DIV/0!</v>
      </c>
      <c r="L132" s="4"/>
      <c r="N132" s="5">
        <v>0</v>
      </c>
      <c r="O132" s="5">
        <v>20.170000000000002</v>
      </c>
      <c r="Q132" s="5">
        <v>75.97</v>
      </c>
      <c r="U132" s="4"/>
      <c r="AB132" s="18">
        <v>0</v>
      </c>
      <c r="AC132" s="18">
        <v>107.96</v>
      </c>
      <c r="AD132" s="4" t="e">
        <f t="shared" si="26"/>
        <v>#DIV/0!</v>
      </c>
    </row>
    <row r="133" spans="1:30" ht="15" customHeight="1">
      <c r="K133" s="4"/>
      <c r="L133" s="4"/>
      <c r="U133" s="4"/>
      <c r="AB133" s="18"/>
      <c r="AC133" s="18"/>
      <c r="AD133" s="4"/>
    </row>
    <row r="134" spans="1:30" ht="15" customHeight="1">
      <c r="C134" s="19"/>
      <c r="F134" s="19"/>
      <c r="K134" s="4"/>
      <c r="L134" s="4"/>
      <c r="U134" s="4"/>
      <c r="AB134" s="18"/>
      <c r="AC134" s="18"/>
      <c r="AD134" s="4"/>
    </row>
    <row r="135" spans="1:30" ht="13.5" customHeight="1">
      <c r="C135" s="3" t="s">
        <v>819</v>
      </c>
      <c r="D135" s="3"/>
      <c r="E135" s="3"/>
      <c r="F135" s="3" t="s">
        <v>819</v>
      </c>
      <c r="G135" s="3"/>
      <c r="H135" s="3"/>
      <c r="I135" s="3"/>
      <c r="J135" s="3" t="s">
        <v>820</v>
      </c>
      <c r="K135" s="31"/>
      <c r="L135" s="31"/>
      <c r="M135" s="3"/>
      <c r="N135" s="33" t="s">
        <v>821</v>
      </c>
      <c r="O135" s="33" t="s">
        <v>821</v>
      </c>
      <c r="P135" s="3"/>
      <c r="Q135" s="33" t="s">
        <v>1168</v>
      </c>
      <c r="R135" s="3"/>
      <c r="S135" s="3"/>
      <c r="T135" s="115" t="s">
        <v>823</v>
      </c>
      <c r="U135" s="31"/>
      <c r="V135" s="3"/>
      <c r="W135" s="3"/>
      <c r="X135" s="3"/>
      <c r="Y135" s="3"/>
      <c r="Z135" s="3"/>
      <c r="AA135" s="34"/>
      <c r="AB135" s="35" t="s">
        <v>3</v>
      </c>
      <c r="AC135" s="35" t="s">
        <v>3</v>
      </c>
    </row>
    <row r="136" spans="1:30">
      <c r="C136" s="19">
        <f>SUM(C3:C127)</f>
        <v>180525</v>
      </c>
      <c r="F136" s="19">
        <f>SUM(F3:F132)</f>
        <v>151210</v>
      </c>
      <c r="J136" s="19">
        <f>SUM(J3:J132)</f>
        <v>-29315</v>
      </c>
      <c r="K136" s="4"/>
      <c r="L136" s="4"/>
      <c r="N136" s="5">
        <f>SUM(N3:N132)</f>
        <v>178998.45</v>
      </c>
      <c r="O136" s="5">
        <f>SUM(O3:O132)</f>
        <v>144135.06000000008</v>
      </c>
      <c r="Q136" s="5">
        <f>SUM(Q3:Q132)</f>
        <v>774669.73999999976</v>
      </c>
      <c r="T136" s="114">
        <f>O136-N136</f>
        <v>-34863.389999999927</v>
      </c>
      <c r="U136" s="4">
        <f>IF(N136=0,0,O136/N136-1)</f>
        <v>-0.19476922844862576</v>
      </c>
      <c r="X136" s="5"/>
      <c r="Y136" s="5"/>
      <c r="Z136" s="5"/>
      <c r="AA136" s="17"/>
      <c r="AB136" s="18">
        <v>3760231.34</v>
      </c>
      <c r="AC136" s="18">
        <f>SUM(AC3:AC132)</f>
        <v>3501121.1799999988</v>
      </c>
      <c r="AD136" s="4">
        <f>AC136/AB136-1</f>
        <v>-6.8908036918813864E-2</v>
      </c>
    </row>
    <row r="137" spans="1:30">
      <c r="K137" s="4"/>
      <c r="L137" s="4"/>
      <c r="U137" s="4"/>
      <c r="X137" s="5"/>
      <c r="Y137" s="5"/>
      <c r="Z137" s="5"/>
      <c r="AA137" s="17"/>
    </row>
    <row r="138" spans="1:30">
      <c r="C138" s="4"/>
      <c r="F138" s="19">
        <f>F136-C136</f>
        <v>-29315</v>
      </c>
      <c r="K138" s="4"/>
      <c r="L138" s="4"/>
      <c r="N138" s="4"/>
      <c r="O138" s="31" t="s">
        <v>824</v>
      </c>
      <c r="Q138" s="26">
        <f>O136/Q136</f>
        <v>0.18606001055365881</v>
      </c>
      <c r="U138" s="4"/>
      <c r="AB138" s="3" t="s">
        <v>825</v>
      </c>
      <c r="AC138" s="3" t="s">
        <v>825</v>
      </c>
    </row>
    <row r="139" spans="1:30">
      <c r="F139" s="4">
        <f>F136/C136-1</f>
        <v>-0.16238748095831601</v>
      </c>
      <c r="K139" s="4"/>
      <c r="L139" s="4"/>
      <c r="Q139" s="13"/>
      <c r="U139" s="4"/>
      <c r="AB139" s="32">
        <f>N136/AB136</f>
        <v>4.7603041891566174E-2</v>
      </c>
      <c r="AC139" s="32">
        <f>O136/AC136</f>
        <v>4.1168257992144144E-2</v>
      </c>
    </row>
    <row r="140" spans="1:30">
      <c r="K140" s="4"/>
      <c r="L140" s="4"/>
      <c r="U140" s="4"/>
    </row>
    <row r="141" spans="1:30">
      <c r="K141" s="4"/>
      <c r="L141" s="4"/>
      <c r="U141" s="4"/>
    </row>
    <row r="142" spans="1:30">
      <c r="K142" s="4"/>
      <c r="L142" s="4"/>
      <c r="U142" s="4"/>
    </row>
    <row r="143" spans="1:30">
      <c r="K143" s="4"/>
      <c r="L143" s="4"/>
      <c r="U143" s="4"/>
    </row>
    <row r="144" spans="1:30">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11:21">
      <c r="K177" s="4"/>
      <c r="L177" s="4"/>
      <c r="U177" s="4"/>
    </row>
    <row r="178" spans="11:21">
      <c r="K178" s="4"/>
      <c r="L178" s="4"/>
      <c r="U178" s="4"/>
    </row>
    <row r="179" spans="11:21">
      <c r="K179" s="4"/>
      <c r="L179" s="4"/>
      <c r="U179" s="4"/>
    </row>
    <row r="180" spans="11:21">
      <c r="K180" s="4"/>
      <c r="L180" s="4"/>
      <c r="U180" s="4"/>
    </row>
    <row r="181" spans="11:21">
      <c r="K181" s="4"/>
      <c r="L181" s="4"/>
      <c r="U181" s="4"/>
    </row>
    <row r="182" spans="11:21">
      <c r="K182" s="4"/>
      <c r="L182" s="4"/>
      <c r="U182" s="4"/>
    </row>
    <row r="183" spans="11:21">
      <c r="K183" s="4"/>
      <c r="L183" s="4"/>
      <c r="U183" s="4"/>
    </row>
    <row r="184" spans="11:21">
      <c r="K184" s="4"/>
      <c r="L184" s="4"/>
      <c r="U184" s="4"/>
    </row>
    <row r="185" spans="11:21">
      <c r="K185" s="6"/>
      <c r="L185" s="6"/>
      <c r="N185" s="11"/>
      <c r="O185" s="11"/>
      <c r="T185" s="119"/>
      <c r="U185" s="6"/>
    </row>
    <row r="186" spans="11:21" ht="15" customHeight="1">
      <c r="K186" s="6"/>
      <c r="L186" s="6"/>
      <c r="N186" s="11"/>
      <c r="O186" s="11"/>
      <c r="T186" s="119"/>
      <c r="U186" s="6"/>
    </row>
    <row r="187" spans="11:21" ht="15" customHeight="1">
      <c r="K187" s="6"/>
      <c r="L187" s="6"/>
      <c r="N187" s="11"/>
      <c r="O187" s="11"/>
      <c r="T187" s="119"/>
      <c r="U187" s="6"/>
    </row>
    <row r="188" spans="11:21" ht="15" customHeight="1">
      <c r="K188" s="6"/>
      <c r="L188" s="6"/>
      <c r="N188" s="11"/>
      <c r="O188" s="11"/>
      <c r="T188" s="119"/>
      <c r="U188" s="6"/>
    </row>
    <row r="189" spans="11:21" ht="15" customHeight="1">
      <c r="K189" s="6"/>
      <c r="N189" s="11"/>
      <c r="O189" s="11"/>
      <c r="T189" s="119"/>
      <c r="U189" s="6"/>
    </row>
    <row r="190" spans="11:21" ht="15" customHeight="1">
      <c r="K190" s="6"/>
      <c r="L190" s="6"/>
      <c r="N190" s="11"/>
      <c r="O190" s="11"/>
      <c r="T190" s="119"/>
      <c r="U190" s="6"/>
    </row>
    <row r="191" spans="11:21" ht="15" customHeight="1">
      <c r="K191" s="6"/>
      <c r="L191" s="6"/>
      <c r="N191" s="11"/>
      <c r="O191" s="11"/>
      <c r="T191" s="119"/>
      <c r="U191" s="6"/>
    </row>
    <row r="192" spans="11:21" ht="15" customHeight="1">
      <c r="K192" s="6"/>
      <c r="L192" s="6"/>
      <c r="N192" s="11"/>
      <c r="O192" s="11"/>
      <c r="T192" s="119"/>
      <c r="U192" s="6"/>
    </row>
    <row r="193" spans="3:21" ht="15" customHeight="1">
      <c r="K193" s="6"/>
      <c r="L193" s="6"/>
      <c r="N193" s="11"/>
      <c r="O193" s="11"/>
      <c r="T193" s="119"/>
      <c r="U193" s="6"/>
    </row>
    <row r="194" spans="3:21">
      <c r="N194" s="11"/>
      <c r="O194" s="11"/>
      <c r="T194" s="119"/>
    </row>
    <row r="195" spans="3:21" ht="15" customHeight="1">
      <c r="C195" s="8"/>
      <c r="F195" s="8"/>
      <c r="J195" s="8"/>
      <c r="N195" s="11"/>
      <c r="O195" s="11"/>
      <c r="T195" s="119"/>
    </row>
    <row r="196" spans="3:21">
      <c r="N196" s="11"/>
      <c r="O196" s="11"/>
      <c r="T196" s="119"/>
    </row>
    <row r="197" spans="3:21" ht="15" customHeight="1">
      <c r="N197" s="11"/>
      <c r="O197" s="11"/>
      <c r="T197" s="119"/>
    </row>
    <row r="198" spans="3:21" ht="15" customHeight="1">
      <c r="C198" s="9"/>
      <c r="F198" s="9"/>
    </row>
    <row r="200" spans="3:21" ht="15" customHeight="1">
      <c r="C200" s="8"/>
      <c r="F200" s="8"/>
    </row>
    <row r="203" spans="3:21" ht="15" customHeight="1">
      <c r="C203" s="9"/>
      <c r="F203" s="9"/>
    </row>
  </sheetData>
  <autoFilter ref="A2:AE2" xr:uid="{A0872D2E-CA91-4628-AF55-6EA17D54F5B9}"/>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S84">
    <cfRule type="cellIs" dxfId="14" priority="17" operator="greaterThan">
      <formula>500</formula>
    </cfRule>
    <cfRule type="cellIs" dxfId="13" priority="18" operator="lessThan">
      <formula>-100</formula>
    </cfRule>
  </conditionalFormatting>
  <conditionalFormatting sqref="J137:J143 J145:J194 J2:J135">
    <cfRule type="cellIs" dxfId="12" priority="7" operator="greaterThan">
      <formula>500</formula>
    </cfRule>
  </conditionalFormatting>
  <conditionalFormatting sqref="J137:J143 J145:J193 J3:J135">
    <cfRule type="cellIs" dxfId="11" priority="11" operator="lessThan">
      <formula>-100</formula>
    </cfRule>
  </conditionalFormatting>
  <conditionalFormatting sqref="J196:J1048576">
    <cfRule type="cellIs" dxfId="10" priority="30" operator="greaterThan">
      <formula>500</formula>
    </cfRule>
  </conditionalFormatting>
  <conditionalFormatting sqref="K2">
    <cfRule type="cellIs" dxfId="9" priority="31" operator="lessThan">
      <formula>-20%</formula>
    </cfRule>
  </conditionalFormatting>
  <conditionalFormatting sqref="K145:K1048576 K3:K143">
    <cfRule type="cellIs" dxfId="8" priority="14" operator="lessThan">
      <formula>-0.2</formula>
    </cfRule>
  </conditionalFormatting>
  <conditionalFormatting sqref="K3:L3 L4:L72 L74:L83 L85:L143 L145:L189 K145:K193 K4:K143">
    <cfRule type="cellIs" dxfId="7" priority="35" operator="greaterThan">
      <formula>0.2</formula>
    </cfRule>
  </conditionalFormatting>
  <conditionalFormatting sqref="U3:U193">
    <cfRule type="cellIs" dxfId="6" priority="33" operator="greaterThan">
      <formula>0.5</formula>
    </cfRule>
  </conditionalFormatting>
  <conditionalFormatting sqref="AD3:AD134">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6">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U54"/>
  <sheetViews>
    <sheetView zoomScale="85" zoomScaleNormal="85" workbookViewId="0">
      <pane xSplit="1" ySplit="1" topLeftCell="AE16" activePane="bottomRight" state="frozen"/>
      <selection pane="bottomRight" activeCell="AN11" sqref="AN11"/>
      <selection pane="bottomLeft"/>
      <selection pane="topRight"/>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 min="30" max="30" width="16.42578125" customWidth="1"/>
    <col min="31" max="33" width="16.5703125" customWidth="1"/>
    <col min="34" max="38" width="20.5703125" customWidth="1"/>
  </cols>
  <sheetData>
    <row r="1" spans="1:38" ht="15.75" thickBot="1">
      <c r="A1" s="36" t="s">
        <v>1444</v>
      </c>
      <c r="B1" s="56" t="s">
        <v>1445</v>
      </c>
      <c r="C1" s="56" t="s">
        <v>1446</v>
      </c>
      <c r="D1" s="56" t="s">
        <v>1447</v>
      </c>
      <c r="E1" s="56" t="s">
        <v>1448</v>
      </c>
      <c r="F1" s="56" t="s">
        <v>1449</v>
      </c>
      <c r="G1" s="56" t="s">
        <v>1450</v>
      </c>
      <c r="H1" s="56" t="s">
        <v>1451</v>
      </c>
      <c r="I1" s="56" t="s">
        <v>1452</v>
      </c>
      <c r="J1" s="56" t="s">
        <v>1453</v>
      </c>
      <c r="K1" s="56" t="s">
        <v>1454</v>
      </c>
      <c r="L1" s="56" t="s">
        <v>1455</v>
      </c>
      <c r="M1" s="56" t="s">
        <v>1456</v>
      </c>
      <c r="N1" s="56" t="s">
        <v>1457</v>
      </c>
      <c r="O1" s="56" t="s">
        <v>1458</v>
      </c>
      <c r="P1" s="56" t="s">
        <v>1459</v>
      </c>
      <c r="Q1" s="56" t="s">
        <v>1460</v>
      </c>
      <c r="R1" s="56" t="s">
        <v>1461</v>
      </c>
      <c r="S1" s="56" t="s">
        <v>1462</v>
      </c>
      <c r="T1" s="56" t="s">
        <v>1463</v>
      </c>
      <c r="U1" s="56" t="s">
        <v>1464</v>
      </c>
      <c r="V1" s="56" t="s">
        <v>1465</v>
      </c>
      <c r="W1" s="56" t="s">
        <v>1466</v>
      </c>
      <c r="X1" s="56" t="s">
        <v>1467</v>
      </c>
      <c r="Y1" s="57" t="s">
        <v>1468</v>
      </c>
      <c r="Z1" s="57" t="s">
        <v>1469</v>
      </c>
      <c r="AA1" s="57" t="s">
        <v>1470</v>
      </c>
      <c r="AB1" s="57" t="s">
        <v>1471</v>
      </c>
      <c r="AC1" s="57" t="s">
        <v>1472</v>
      </c>
      <c r="AD1" s="57" t="s">
        <v>1473</v>
      </c>
      <c r="AE1" s="57" t="s">
        <v>1474</v>
      </c>
      <c r="AF1" s="57" t="s">
        <v>1475</v>
      </c>
      <c r="AG1" s="57" t="s">
        <v>1476</v>
      </c>
      <c r="AH1" s="57" t="s">
        <v>1477</v>
      </c>
      <c r="AI1" s="57" t="s">
        <v>1478</v>
      </c>
      <c r="AJ1" s="57" t="s">
        <v>1479</v>
      </c>
      <c r="AK1" s="57" t="s">
        <v>1480</v>
      </c>
      <c r="AL1" s="57" t="s">
        <v>1481</v>
      </c>
    </row>
    <row r="2" spans="1:38">
      <c r="A2" s="58" t="s">
        <v>1482</v>
      </c>
      <c r="B2" s="59">
        <v>4932070</v>
      </c>
      <c r="C2" s="59">
        <v>4882291</v>
      </c>
      <c r="D2" s="59">
        <v>5747107</v>
      </c>
      <c r="E2" s="59">
        <v>5558578</v>
      </c>
      <c r="F2" s="59">
        <v>5608447</v>
      </c>
      <c r="G2" s="59">
        <v>5365821</v>
      </c>
      <c r="H2" s="59">
        <v>6175048</v>
      </c>
      <c r="I2" s="59">
        <v>6208913</v>
      </c>
      <c r="J2" s="59">
        <v>6107157</v>
      </c>
      <c r="K2" s="59">
        <v>6062880</v>
      </c>
      <c r="L2" s="59">
        <v>6409021</v>
      </c>
      <c r="M2" s="59">
        <v>5849059</v>
      </c>
      <c r="N2" s="94">
        <v>7678962</v>
      </c>
      <c r="O2" s="59">
        <v>8708296</v>
      </c>
      <c r="P2" s="59">
        <v>10429669.960000001</v>
      </c>
      <c r="Q2" s="59">
        <v>12527965</v>
      </c>
      <c r="R2" s="59">
        <v>12400737</v>
      </c>
      <c r="S2" s="59">
        <v>12318165</v>
      </c>
      <c r="T2" s="59">
        <v>13296822</v>
      </c>
      <c r="U2" s="59">
        <v>12427810.4</v>
      </c>
      <c r="V2" s="59">
        <v>12425462.310000001</v>
      </c>
      <c r="W2" s="59">
        <v>13116754.92</v>
      </c>
      <c r="X2" s="59">
        <v>13168808.529999999</v>
      </c>
      <c r="Y2" s="59">
        <v>13467008.08</v>
      </c>
      <c r="Z2" s="94">
        <v>16902826.940000001</v>
      </c>
      <c r="AA2" s="59">
        <v>17685415.640000001</v>
      </c>
      <c r="AB2" s="59">
        <v>17844095.539999999</v>
      </c>
      <c r="AC2" s="59">
        <v>20055646.200000003</v>
      </c>
      <c r="AD2" s="59">
        <v>18715254.290000007</v>
      </c>
      <c r="AE2" s="59">
        <v>17998376.469999991</v>
      </c>
      <c r="AF2" s="59">
        <v>18949710.699999999</v>
      </c>
      <c r="AG2" s="59">
        <v>19163616.800000001</v>
      </c>
      <c r="AH2" s="59">
        <v>22100782.419999994</v>
      </c>
      <c r="AI2" s="146">
        <v>24012240.110000011</v>
      </c>
      <c r="AJ2" s="146">
        <v>22549338</v>
      </c>
      <c r="AK2" s="146">
        <v>21615527.730000008</v>
      </c>
      <c r="AL2" s="59">
        <f>SUM(Z2:AK2)</f>
        <v>237592830.84</v>
      </c>
    </row>
    <row r="3" spans="1:38">
      <c r="A3" s="61" t="s">
        <v>1483</v>
      </c>
      <c r="B3" s="62">
        <v>2297147</v>
      </c>
      <c r="C3" s="62">
        <v>2150420</v>
      </c>
      <c r="D3" s="62">
        <v>2629984</v>
      </c>
      <c r="E3" s="62">
        <v>2521569</v>
      </c>
      <c r="F3" s="62">
        <v>2259914</v>
      </c>
      <c r="G3" s="62">
        <v>2519256</v>
      </c>
      <c r="H3" s="62">
        <v>2827089</v>
      </c>
      <c r="I3" s="62">
        <v>2875100</v>
      </c>
      <c r="J3" s="62">
        <v>3207713</v>
      </c>
      <c r="K3" s="62">
        <v>2859584</v>
      </c>
      <c r="L3" s="62">
        <v>3081446</v>
      </c>
      <c r="M3" s="62">
        <v>3056146</v>
      </c>
      <c r="N3" s="95">
        <v>3844080</v>
      </c>
      <c r="O3" s="62">
        <v>3634529</v>
      </c>
      <c r="P3" s="62">
        <v>3706201</v>
      </c>
      <c r="Q3" s="62">
        <v>3814600</v>
      </c>
      <c r="R3" s="62">
        <v>3900991</v>
      </c>
      <c r="S3" s="62">
        <v>3690019</v>
      </c>
      <c r="T3" s="62">
        <v>3951398</v>
      </c>
      <c r="U3" s="62">
        <v>3583522.44</v>
      </c>
      <c r="V3" s="62">
        <v>3864300.73</v>
      </c>
      <c r="W3" s="62">
        <v>4230378.59</v>
      </c>
      <c r="X3" s="62">
        <v>4478555.7300000004</v>
      </c>
      <c r="Y3" s="62">
        <v>4536415</v>
      </c>
      <c r="Z3" s="95">
        <v>5536315.4100000001</v>
      </c>
      <c r="AA3" s="62">
        <v>5487073.7100000009</v>
      </c>
      <c r="AB3" s="62">
        <v>5227360</v>
      </c>
      <c r="AC3" s="62">
        <v>5178806.76</v>
      </c>
      <c r="AD3" s="62">
        <v>5401656.5199999977</v>
      </c>
      <c r="AE3" s="62">
        <v>5377394.1300000018</v>
      </c>
      <c r="AF3" s="62">
        <v>5402282.9000000004</v>
      </c>
      <c r="AG3" s="62">
        <v>5390114.6100000003</v>
      </c>
      <c r="AH3" s="62">
        <v>5207401.6900000004</v>
      </c>
      <c r="AI3" s="147">
        <v>4994037.29</v>
      </c>
      <c r="AJ3" s="147">
        <f>4924597.11+551480</f>
        <v>5476077.1100000003</v>
      </c>
      <c r="AK3" s="147">
        <v>4870128.759999997</v>
      </c>
      <c r="AL3" s="62">
        <f t="shared" ref="AL3:AL4" si="0">SUM(Z3:AK3)</f>
        <v>63548648.889999993</v>
      </c>
    </row>
    <row r="4" spans="1:38">
      <c r="A4" s="63" t="s">
        <v>1484</v>
      </c>
      <c r="B4" s="64">
        <v>1279804</v>
      </c>
      <c r="C4" s="64">
        <v>1268372</v>
      </c>
      <c r="D4" s="64">
        <v>1573830</v>
      </c>
      <c r="E4" s="64">
        <v>1506528</v>
      </c>
      <c r="F4" s="64">
        <v>1655029</v>
      </c>
      <c r="G4" s="64">
        <v>1700272</v>
      </c>
      <c r="H4" s="64">
        <v>2169477</v>
      </c>
      <c r="I4" s="64">
        <v>2248226</v>
      </c>
      <c r="J4" s="64">
        <v>2556442</v>
      </c>
      <c r="K4" s="64">
        <v>2514905</v>
      </c>
      <c r="L4" s="64">
        <v>2557339</v>
      </c>
      <c r="M4" s="64">
        <v>2415591</v>
      </c>
      <c r="N4" s="96">
        <v>2984457</v>
      </c>
      <c r="O4" s="64">
        <v>2977315</v>
      </c>
      <c r="P4" s="64">
        <v>3001644</v>
      </c>
      <c r="Q4" s="64">
        <v>3078498</v>
      </c>
      <c r="R4" s="64">
        <v>3417854</v>
      </c>
      <c r="S4" s="64">
        <v>2883462</v>
      </c>
      <c r="T4" s="64">
        <v>2983823.16</v>
      </c>
      <c r="U4" s="64">
        <v>2907226.21</v>
      </c>
      <c r="V4" s="64">
        <v>3099136.78</v>
      </c>
      <c r="W4" s="64">
        <v>3166072.06</v>
      </c>
      <c r="X4" s="64">
        <v>3138932.53</v>
      </c>
      <c r="Y4" s="64">
        <v>2941749.11</v>
      </c>
      <c r="Z4" s="96">
        <v>3609131</v>
      </c>
      <c r="AA4" s="64">
        <v>3670417.9999999991</v>
      </c>
      <c r="AB4" s="64">
        <v>3674547</v>
      </c>
      <c r="AC4" s="64">
        <v>3639874.11</v>
      </c>
      <c r="AD4" s="64">
        <v>3427273.69</v>
      </c>
      <c r="AE4" s="64">
        <v>3583478.2000000016</v>
      </c>
      <c r="AF4" s="64">
        <v>3585858.0100000007</v>
      </c>
      <c r="AG4" s="64">
        <v>3428271.4200000004</v>
      </c>
      <c r="AH4" s="64">
        <v>3396470.02</v>
      </c>
      <c r="AI4" s="148">
        <v>3753527.5</v>
      </c>
      <c r="AJ4" s="148">
        <v>3760231.34</v>
      </c>
      <c r="AK4" s="148">
        <v>3501121.1799999988</v>
      </c>
      <c r="AL4" s="64">
        <f t="shared" si="0"/>
        <v>43030201.470000006</v>
      </c>
    </row>
    <row r="5" spans="1:38" ht="15.75" thickBot="1">
      <c r="A5" s="65" t="s">
        <v>1485</v>
      </c>
      <c r="B5" s="66">
        <v>8509021</v>
      </c>
      <c r="C5" s="66">
        <v>8301083</v>
      </c>
      <c r="D5" s="66">
        <v>9950921</v>
      </c>
      <c r="E5" s="66">
        <v>9586675</v>
      </c>
      <c r="F5" s="66">
        <v>9523390</v>
      </c>
      <c r="G5" s="66">
        <v>9585349</v>
      </c>
      <c r="H5" s="66">
        <v>11171614</v>
      </c>
      <c r="I5" s="66">
        <v>11332239</v>
      </c>
      <c r="J5" s="66">
        <v>11871312</v>
      </c>
      <c r="K5" s="66">
        <v>11437369</v>
      </c>
      <c r="L5" s="66">
        <v>12047806</v>
      </c>
      <c r="M5" s="66">
        <v>11320796</v>
      </c>
      <c r="N5" s="97">
        <v>12628864.18</v>
      </c>
      <c r="O5" s="66">
        <v>16108151.67</v>
      </c>
      <c r="P5" s="66">
        <v>15844970.02</v>
      </c>
      <c r="Q5" s="66">
        <v>17343410.66</v>
      </c>
      <c r="R5" s="66">
        <v>20732208.739999998</v>
      </c>
      <c r="S5" s="66">
        <v>21204443.170000002</v>
      </c>
      <c r="T5" s="66">
        <v>20467074.469999999</v>
      </c>
      <c r="U5" s="66">
        <v>21955258.789999999</v>
      </c>
      <c r="V5" s="66">
        <v>21173733.73</v>
      </c>
      <c r="W5" s="66">
        <v>20946702.440000001</v>
      </c>
      <c r="X5" s="66">
        <v>22668986.91</v>
      </c>
      <c r="Y5" s="66">
        <v>23669129.640000001</v>
      </c>
      <c r="Z5" s="97">
        <v>29093762.670000002</v>
      </c>
      <c r="AA5" s="66">
        <v>27077762.399999999</v>
      </c>
      <c r="AB5" s="66">
        <v>29605212.449999999</v>
      </c>
      <c r="AC5" s="66">
        <v>30739369.93</v>
      </c>
      <c r="AD5" s="66">
        <v>30046162.420000002</v>
      </c>
      <c r="AE5" s="66">
        <v>28797217.039999999</v>
      </c>
      <c r="AF5" s="66">
        <v>30904968.91</v>
      </c>
      <c r="AG5" s="66">
        <v>31542653.84</v>
      </c>
      <c r="AH5" s="66">
        <v>31563079.879999999</v>
      </c>
      <c r="AI5" s="66">
        <v>33208009.559999999</v>
      </c>
      <c r="AJ5" s="66">
        <v>31234166</v>
      </c>
      <c r="AK5" s="156">
        <f>SUM(AK2:AK4)</f>
        <v>29986777.670000006</v>
      </c>
      <c r="AL5" s="66">
        <f>SUM(Z5:AK5)</f>
        <v>363799142.77000004</v>
      </c>
    </row>
    <row r="6" spans="1:38">
      <c r="A6" s="67"/>
      <c r="B6" s="67"/>
      <c r="C6" s="67"/>
      <c r="D6" s="67"/>
      <c r="E6" s="67"/>
      <c r="F6" s="67"/>
      <c r="G6" s="67"/>
      <c r="H6" s="67"/>
      <c r="I6" s="67"/>
      <c r="J6" s="67"/>
      <c r="K6" s="67"/>
      <c r="L6" s="67"/>
      <c r="M6" s="67"/>
      <c r="N6" s="67"/>
      <c r="O6" s="67"/>
      <c r="P6" s="67"/>
      <c r="Q6" s="67"/>
      <c r="R6" s="67"/>
      <c r="S6" s="67"/>
      <c r="T6" s="67"/>
      <c r="U6" s="60"/>
      <c r="V6" s="60"/>
      <c r="W6" s="60"/>
      <c r="X6" s="60"/>
      <c r="Y6" s="60"/>
      <c r="Z6" s="60"/>
      <c r="AA6" s="60"/>
      <c r="AB6" s="60"/>
      <c r="AC6" s="60"/>
      <c r="AH6" s="27"/>
      <c r="AI6" s="27"/>
      <c r="AJ6" s="27"/>
      <c r="AK6" s="27"/>
      <c r="AL6" s="27"/>
    </row>
    <row r="7" spans="1:38" ht="15.75"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D7" s="27"/>
      <c r="AE7" s="27"/>
      <c r="AF7" s="27"/>
      <c r="AG7" s="27"/>
      <c r="AH7" s="27"/>
      <c r="AI7" s="27"/>
      <c r="AJ7" s="27"/>
      <c r="AK7" s="27"/>
      <c r="AL7" s="60"/>
    </row>
    <row r="8" spans="1:38" ht="15.75" thickBot="1">
      <c r="A8" s="36" t="s">
        <v>1486</v>
      </c>
      <c r="B8" s="56" t="s">
        <v>1445</v>
      </c>
      <c r="C8" s="56" t="s">
        <v>1446</v>
      </c>
      <c r="D8" s="56" t="s">
        <v>1447</v>
      </c>
      <c r="E8" s="56" t="s">
        <v>1448</v>
      </c>
      <c r="F8" s="56" t="s">
        <v>1449</v>
      </c>
      <c r="G8" s="56" t="s">
        <v>1450</v>
      </c>
      <c r="H8" s="56" t="s">
        <v>1451</v>
      </c>
      <c r="I8" s="56" t="s">
        <v>1452</v>
      </c>
      <c r="J8" s="56" t="s">
        <v>1453</v>
      </c>
      <c r="K8" s="56" t="s">
        <v>1454</v>
      </c>
      <c r="L8" s="56" t="s">
        <v>1455</v>
      </c>
      <c r="M8" s="56" t="s">
        <v>1456</v>
      </c>
      <c r="N8" s="56" t="s">
        <v>1457</v>
      </c>
      <c r="O8" s="56" t="s">
        <v>1458</v>
      </c>
      <c r="P8" s="56" t="s">
        <v>1459</v>
      </c>
      <c r="Q8" s="56" t="s">
        <v>1460</v>
      </c>
      <c r="R8" s="56" t="s">
        <v>1461</v>
      </c>
      <c r="S8" s="56" t="s">
        <v>1462</v>
      </c>
      <c r="T8" s="56" t="s">
        <v>1463</v>
      </c>
      <c r="U8" s="56" t="s">
        <v>1464</v>
      </c>
      <c r="V8" s="56" t="s">
        <v>1465</v>
      </c>
      <c r="W8" s="56" t="s">
        <v>1466</v>
      </c>
      <c r="X8" s="56" t="s">
        <v>1467</v>
      </c>
      <c r="Y8" s="57" t="s">
        <v>1468</v>
      </c>
      <c r="Z8" s="57" t="s">
        <v>1469</v>
      </c>
      <c r="AA8" s="57" t="s">
        <v>1470</v>
      </c>
      <c r="AB8" s="57" t="s">
        <v>1471</v>
      </c>
      <c r="AC8" s="57" t="s">
        <v>1472</v>
      </c>
      <c r="AD8" s="57" t="s">
        <v>1473</v>
      </c>
      <c r="AE8" s="57" t="s">
        <v>1474</v>
      </c>
      <c r="AF8" s="57" t="s">
        <v>1475</v>
      </c>
      <c r="AG8" s="57" t="s">
        <v>1476</v>
      </c>
      <c r="AH8" s="57" t="s">
        <v>1477</v>
      </c>
      <c r="AI8" s="57" t="s">
        <v>1478</v>
      </c>
      <c r="AJ8" s="57" t="s">
        <v>1479</v>
      </c>
      <c r="AK8" s="57" t="s">
        <v>1480</v>
      </c>
      <c r="AL8" s="57" t="s">
        <v>1481</v>
      </c>
    </row>
    <row r="9" spans="1:38">
      <c r="A9" s="58" t="s">
        <v>1482</v>
      </c>
      <c r="B9" s="68"/>
      <c r="C9" s="68"/>
      <c r="D9" s="68"/>
      <c r="E9" s="68"/>
      <c r="F9" s="68"/>
      <c r="G9" s="68"/>
      <c r="H9" s="68"/>
      <c r="I9" s="59">
        <v>1904424</v>
      </c>
      <c r="J9" s="59">
        <v>1695098</v>
      </c>
      <c r="K9" s="59">
        <v>1666813</v>
      </c>
      <c r="L9" s="59">
        <v>1750099</v>
      </c>
      <c r="M9" s="59">
        <v>1643527</v>
      </c>
      <c r="N9" s="94">
        <v>2406151</v>
      </c>
      <c r="O9" s="59">
        <v>2919412.87</v>
      </c>
      <c r="P9" s="59">
        <v>3048758.81</v>
      </c>
      <c r="Q9" s="59">
        <v>3106780.26</v>
      </c>
      <c r="R9" s="59">
        <v>2784737.18</v>
      </c>
      <c r="S9" s="59">
        <v>3492681.52</v>
      </c>
      <c r="T9" s="59">
        <v>4066064.7</v>
      </c>
      <c r="U9" s="59">
        <v>3748577.68</v>
      </c>
      <c r="V9" s="59">
        <v>3443396.96</v>
      </c>
      <c r="W9" s="59">
        <v>3525797.52</v>
      </c>
      <c r="X9" s="59">
        <v>3658847.17</v>
      </c>
      <c r="Y9" s="59">
        <v>3834500.07</v>
      </c>
      <c r="Z9" s="59">
        <v>5020104.29</v>
      </c>
      <c r="AA9" s="59">
        <v>5590028.4100000001</v>
      </c>
      <c r="AB9" s="59">
        <v>5666226.75</v>
      </c>
      <c r="AC9" s="59">
        <v>5447442.3499999996</v>
      </c>
      <c r="AD9" s="59">
        <v>5556379.3300000019</v>
      </c>
      <c r="AE9" s="59">
        <v>5686329.8300000038</v>
      </c>
      <c r="AF9" s="59">
        <v>6201229.6000000006</v>
      </c>
      <c r="AG9" s="59">
        <v>6672753.96</v>
      </c>
      <c r="AH9" s="59">
        <v>7148035.9199999981</v>
      </c>
      <c r="AI9" s="59">
        <v>7449060.4700000025</v>
      </c>
      <c r="AJ9" s="59">
        <v>7139103.2299999986</v>
      </c>
      <c r="AK9" s="59">
        <v>6606186.3999999985</v>
      </c>
      <c r="AL9" s="59">
        <f>SUM(Z9:AK9)</f>
        <v>74182880.539999992</v>
      </c>
    </row>
    <row r="10" spans="1:38">
      <c r="A10" s="61" t="s">
        <v>1483</v>
      </c>
      <c r="B10" s="69"/>
      <c r="C10" s="69"/>
      <c r="D10" s="69"/>
      <c r="E10" s="69"/>
      <c r="F10" s="69"/>
      <c r="G10" s="69"/>
      <c r="H10" s="69"/>
      <c r="I10" s="62">
        <v>706024</v>
      </c>
      <c r="J10" s="62">
        <v>780336</v>
      </c>
      <c r="K10" s="62">
        <v>681505.29</v>
      </c>
      <c r="L10" s="62">
        <v>757472</v>
      </c>
      <c r="M10" s="62">
        <v>689408</v>
      </c>
      <c r="N10" s="95">
        <v>1042938</v>
      </c>
      <c r="O10" s="62">
        <v>993958</v>
      </c>
      <c r="P10" s="62">
        <v>1014061</v>
      </c>
      <c r="Q10" s="62">
        <v>988563</v>
      </c>
      <c r="R10" s="62">
        <v>976671</v>
      </c>
      <c r="S10" s="62">
        <v>810220</v>
      </c>
      <c r="T10" s="62">
        <v>880304</v>
      </c>
      <c r="U10" s="62">
        <v>819190</v>
      </c>
      <c r="V10" s="62">
        <v>844494</v>
      </c>
      <c r="W10" s="62">
        <v>986509</v>
      </c>
      <c r="X10" s="62">
        <v>1077277</v>
      </c>
      <c r="Y10" s="62">
        <v>1149351</v>
      </c>
      <c r="Z10" s="62">
        <v>1516609</v>
      </c>
      <c r="AA10" s="62">
        <v>1641173.6800000006</v>
      </c>
      <c r="AB10" s="62">
        <v>1512470</v>
      </c>
      <c r="AC10" s="62">
        <v>1319420</v>
      </c>
      <c r="AD10" s="62">
        <v>1455364.5700000005</v>
      </c>
      <c r="AE10" s="62">
        <v>1354767.88</v>
      </c>
      <c r="AF10" s="62">
        <v>1343264.7299999997</v>
      </c>
      <c r="AG10" s="62">
        <v>1451271.0299999998</v>
      </c>
      <c r="AH10" s="62">
        <v>1261035.78</v>
      </c>
      <c r="AI10" s="62">
        <v>1294220.6099999996</v>
      </c>
      <c r="AJ10" s="62">
        <f>1165841.08+128565</f>
        <v>1294406.08</v>
      </c>
      <c r="AK10" s="62">
        <v>895265.2</v>
      </c>
      <c r="AL10" s="62">
        <f t="shared" ref="AL10:AL11" si="1">SUM(Z10:AK10)</f>
        <v>16339268.559999999</v>
      </c>
    </row>
    <row r="11" spans="1:38">
      <c r="A11" s="63" t="s">
        <v>1484</v>
      </c>
      <c r="B11" s="70"/>
      <c r="C11" s="70"/>
      <c r="D11" s="70"/>
      <c r="E11" s="70"/>
      <c r="F11" s="70"/>
      <c r="G11" s="70"/>
      <c r="H11" s="70"/>
      <c r="I11" s="64">
        <v>601219</v>
      </c>
      <c r="J11" s="64">
        <v>693403</v>
      </c>
      <c r="K11" s="64">
        <v>656364.23</v>
      </c>
      <c r="L11" s="64">
        <v>695530</v>
      </c>
      <c r="M11" s="64">
        <v>708403</v>
      </c>
      <c r="N11" s="96">
        <v>973949</v>
      </c>
      <c r="O11" s="64">
        <v>951983</v>
      </c>
      <c r="P11" s="64">
        <v>931209</v>
      </c>
      <c r="Q11" s="64">
        <v>895312</v>
      </c>
      <c r="R11" s="64">
        <v>1019778</v>
      </c>
      <c r="S11" s="64">
        <v>790104</v>
      </c>
      <c r="T11" s="64">
        <v>808969</v>
      </c>
      <c r="U11" s="64">
        <v>809964</v>
      </c>
      <c r="V11" s="64">
        <v>874705</v>
      </c>
      <c r="W11" s="64">
        <v>857979</v>
      </c>
      <c r="X11" s="64">
        <v>789235</v>
      </c>
      <c r="Y11" s="64">
        <v>795115</v>
      </c>
      <c r="Z11" s="64">
        <v>1098357</v>
      </c>
      <c r="AA11" s="64">
        <v>1160975.4900000002</v>
      </c>
      <c r="AB11" s="64">
        <v>1171911</v>
      </c>
      <c r="AC11" s="64">
        <v>969742</v>
      </c>
      <c r="AD11" s="64">
        <v>1028082.6799999999</v>
      </c>
      <c r="AE11" s="64">
        <v>1013652.5499999993</v>
      </c>
      <c r="AF11" s="64">
        <v>1025221.4600000005</v>
      </c>
      <c r="AG11" s="64">
        <v>1066714.2000000004</v>
      </c>
      <c r="AH11" s="64">
        <v>1037751.5099999999</v>
      </c>
      <c r="AI11" s="64">
        <v>1121511.4700000004</v>
      </c>
      <c r="AJ11" s="64">
        <v>992893.74999999977</v>
      </c>
      <c r="AK11" s="64">
        <v>774669.73999999976</v>
      </c>
      <c r="AL11" s="64">
        <f t="shared" si="1"/>
        <v>12461482.850000001</v>
      </c>
    </row>
    <row r="12" spans="1:38" ht="15.75" thickBot="1">
      <c r="A12" s="65" t="s">
        <v>1485</v>
      </c>
      <c r="B12" s="71"/>
      <c r="C12" s="71"/>
      <c r="D12" s="71"/>
      <c r="E12" s="71"/>
      <c r="F12" s="71"/>
      <c r="G12" s="71"/>
      <c r="H12" s="71"/>
      <c r="I12" s="66">
        <v>3211667</v>
      </c>
      <c r="J12" s="66">
        <v>3168837</v>
      </c>
      <c r="K12" s="66">
        <v>3004682.52</v>
      </c>
      <c r="L12" s="66">
        <v>3203101</v>
      </c>
      <c r="M12" s="66">
        <v>3041338</v>
      </c>
      <c r="N12" s="97">
        <v>4423038</v>
      </c>
      <c r="O12" s="66">
        <v>4865353.87</v>
      </c>
      <c r="P12" s="66">
        <v>4994028.8099999996</v>
      </c>
      <c r="Q12" s="66">
        <v>4990655.26</v>
      </c>
      <c r="R12" s="66">
        <v>4781186.18</v>
      </c>
      <c r="S12" s="66">
        <v>5093005.5199999996</v>
      </c>
      <c r="T12" s="66">
        <v>5755337.7000000002</v>
      </c>
      <c r="U12" s="66">
        <v>5377731.6799999997</v>
      </c>
      <c r="V12" s="66">
        <v>5162595.96</v>
      </c>
      <c r="W12" s="66">
        <v>5370285.5199999996</v>
      </c>
      <c r="X12" s="66">
        <v>5525359.1699999999</v>
      </c>
      <c r="Y12" s="66">
        <v>5778966.0700000003</v>
      </c>
      <c r="Z12" s="66">
        <f t="shared" ref="Z12:AE12" si="2">SUM(Z9:Z11)</f>
        <v>7635070.29</v>
      </c>
      <c r="AA12" s="66">
        <f t="shared" si="2"/>
        <v>8392177.5800000019</v>
      </c>
      <c r="AB12" s="66">
        <f t="shared" si="2"/>
        <v>8350607.75</v>
      </c>
      <c r="AC12" s="66">
        <f t="shared" si="2"/>
        <v>7736604.3499999996</v>
      </c>
      <c r="AD12" s="66">
        <f t="shared" si="2"/>
        <v>8039826.5800000019</v>
      </c>
      <c r="AE12" s="66">
        <f t="shared" si="2"/>
        <v>8054750.2600000035</v>
      </c>
      <c r="AF12" s="66">
        <f>SUM(AF9:AF11)</f>
        <v>8569715.790000001</v>
      </c>
      <c r="AG12" s="66">
        <f>SUM(AG9:AG11)</f>
        <v>9190739.1900000013</v>
      </c>
      <c r="AH12" s="66">
        <f>SUM(AH9:AH11)</f>
        <v>9446823.2099999972</v>
      </c>
      <c r="AI12" s="66">
        <f>SUM(AI9:AI11)</f>
        <v>9864792.5500000026</v>
      </c>
      <c r="AJ12" s="66">
        <f>SUM(AJ9:AJ11)</f>
        <v>9426403.0599999987</v>
      </c>
      <c r="AK12" s="66">
        <f>SUM(AK9:AK11)</f>
        <v>8276121.339999998</v>
      </c>
      <c r="AL12" s="66">
        <f>SUM(Z12:AK12)</f>
        <v>102983631.95</v>
      </c>
    </row>
    <row r="13" spans="1:38">
      <c r="A13" s="67"/>
      <c r="B13" s="67"/>
      <c r="C13" s="67"/>
      <c r="D13" s="67"/>
      <c r="E13" s="67"/>
      <c r="F13" s="67"/>
      <c r="G13" s="67"/>
      <c r="H13" s="67"/>
      <c r="I13" s="67"/>
      <c r="J13" s="67"/>
      <c r="K13" s="67"/>
      <c r="L13" s="67"/>
      <c r="M13" s="67"/>
      <c r="N13" s="60"/>
      <c r="O13" s="60"/>
      <c r="P13" s="60"/>
      <c r="Q13" s="60"/>
      <c r="R13" s="60"/>
      <c r="S13" s="60"/>
      <c r="T13" s="60"/>
      <c r="U13" s="60"/>
      <c r="V13" s="60"/>
      <c r="W13" s="60"/>
      <c r="X13" s="60"/>
      <c r="Y13" s="60"/>
      <c r="Z13" s="60"/>
      <c r="AA13" s="27"/>
      <c r="AB13" s="27"/>
      <c r="AC13" s="27"/>
      <c r="AD13" s="27"/>
      <c r="AE13" s="27"/>
      <c r="AF13" s="27"/>
      <c r="AG13" s="27"/>
      <c r="AH13" s="27"/>
      <c r="AI13" s="27"/>
      <c r="AJ13" s="27"/>
      <c r="AK13" s="27"/>
      <c r="AL13" s="27"/>
    </row>
    <row r="14" spans="1:38" ht="15.75" thickBo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H14" s="27"/>
      <c r="AI14" s="27"/>
      <c r="AJ14" s="27"/>
      <c r="AK14" s="27"/>
      <c r="AL14" s="27"/>
    </row>
    <row r="15" spans="1:38" ht="15.75" thickBot="1">
      <c r="A15" s="36" t="s">
        <v>1487</v>
      </c>
      <c r="B15" s="56" t="s">
        <v>1445</v>
      </c>
      <c r="C15" s="56" t="s">
        <v>1446</v>
      </c>
      <c r="D15" s="56" t="s">
        <v>1447</v>
      </c>
      <c r="E15" s="56" t="s">
        <v>1448</v>
      </c>
      <c r="F15" s="56" t="s">
        <v>1449</v>
      </c>
      <c r="G15" s="56" t="s">
        <v>1450</v>
      </c>
      <c r="H15" s="56" t="s">
        <v>1451</v>
      </c>
      <c r="I15" s="56" t="s">
        <v>1452</v>
      </c>
      <c r="J15" s="56" t="s">
        <v>1453</v>
      </c>
      <c r="K15" s="56" t="s">
        <v>1454</v>
      </c>
      <c r="L15" s="56" t="s">
        <v>1455</v>
      </c>
      <c r="M15" s="56" t="s">
        <v>1456</v>
      </c>
      <c r="N15" s="56" t="s">
        <v>1457</v>
      </c>
      <c r="O15" s="56" t="s">
        <v>1458</v>
      </c>
      <c r="P15" s="56" t="s">
        <v>1459</v>
      </c>
      <c r="Q15" s="56" t="s">
        <v>1460</v>
      </c>
      <c r="R15" s="56" t="s">
        <v>1461</v>
      </c>
      <c r="S15" s="56" t="s">
        <v>1462</v>
      </c>
      <c r="T15" s="56" t="s">
        <v>1463</v>
      </c>
      <c r="U15" s="56" t="s">
        <v>1464</v>
      </c>
      <c r="V15" s="56" t="s">
        <v>1465</v>
      </c>
      <c r="W15" s="56" t="s">
        <v>1466</v>
      </c>
      <c r="X15" s="56" t="s">
        <v>1467</v>
      </c>
      <c r="Y15" s="57" t="s">
        <v>1468</v>
      </c>
      <c r="Z15" s="57" t="s">
        <v>1469</v>
      </c>
      <c r="AA15" s="57" t="s">
        <v>1470</v>
      </c>
      <c r="AB15" s="57" t="s">
        <v>1471</v>
      </c>
      <c r="AC15" s="57" t="s">
        <v>1472</v>
      </c>
      <c r="AD15" s="57" t="s">
        <v>1473</v>
      </c>
      <c r="AE15" s="57" t="s">
        <v>1474</v>
      </c>
      <c r="AF15" s="57" t="s">
        <v>1475</v>
      </c>
      <c r="AG15" s="57" t="s">
        <v>1476</v>
      </c>
      <c r="AH15" s="57" t="s">
        <v>1477</v>
      </c>
      <c r="AI15" s="57" t="s">
        <v>1478</v>
      </c>
      <c r="AJ15" s="57" t="s">
        <v>1479</v>
      </c>
      <c r="AK15" s="57" t="s">
        <v>1480</v>
      </c>
      <c r="AL15" s="57" t="s">
        <v>1481</v>
      </c>
    </row>
    <row r="16" spans="1:38">
      <c r="A16" s="58" t="s">
        <v>1482</v>
      </c>
      <c r="B16" s="68"/>
      <c r="C16" s="59">
        <v>281621</v>
      </c>
      <c r="D16" s="59">
        <v>273878</v>
      </c>
      <c r="E16" s="59">
        <v>277809</v>
      </c>
      <c r="F16" s="59">
        <v>254443</v>
      </c>
      <c r="G16" s="59">
        <v>260570</v>
      </c>
      <c r="H16" s="59">
        <v>336892</v>
      </c>
      <c r="I16" s="59">
        <v>353937</v>
      </c>
      <c r="J16" s="59">
        <v>290810</v>
      </c>
      <c r="K16" s="59">
        <v>287548</v>
      </c>
      <c r="L16" s="59">
        <v>293581</v>
      </c>
      <c r="M16" s="59">
        <v>260800</v>
      </c>
      <c r="N16" s="94">
        <v>391789.03</v>
      </c>
      <c r="O16" s="59">
        <v>456957.97</v>
      </c>
      <c r="P16" s="59">
        <v>433741.56</v>
      </c>
      <c r="Q16" s="59">
        <v>417240.93</v>
      </c>
      <c r="R16" s="59">
        <v>378268.57</v>
      </c>
      <c r="S16" s="59">
        <v>447394</v>
      </c>
      <c r="T16" s="59">
        <v>520052.15</v>
      </c>
      <c r="U16" s="59">
        <v>506057.84</v>
      </c>
      <c r="V16" s="59">
        <v>490372.32</v>
      </c>
      <c r="W16" s="59">
        <v>483724.33</v>
      </c>
      <c r="X16" s="59">
        <v>522704.26</v>
      </c>
      <c r="Y16" s="59">
        <v>560029.31999999995</v>
      </c>
      <c r="Z16" s="59">
        <v>771258.65</v>
      </c>
      <c r="AA16" s="59">
        <v>816469.8</v>
      </c>
      <c r="AB16" s="59">
        <v>775860.44</v>
      </c>
      <c r="AC16" s="59">
        <v>712776.75</v>
      </c>
      <c r="AD16" s="59">
        <v>749152.51000000071</v>
      </c>
      <c r="AE16" s="59">
        <v>784754.15999999898</v>
      </c>
      <c r="AF16" s="59">
        <v>879983.60000000033</v>
      </c>
      <c r="AG16" s="59">
        <v>999082.41999999993</v>
      </c>
      <c r="AH16" s="59">
        <v>997712.63</v>
      </c>
      <c r="AI16" s="59">
        <v>1043711.9800000004</v>
      </c>
      <c r="AJ16" s="59">
        <v>1051966.6800000013</v>
      </c>
      <c r="AK16" s="59">
        <v>955018.67999999993</v>
      </c>
      <c r="AL16" s="59">
        <f>SUM(Z16:AK16)</f>
        <v>10537748.300000003</v>
      </c>
    </row>
    <row r="17" spans="1:47">
      <c r="A17" s="61" t="s">
        <v>1483</v>
      </c>
      <c r="B17" s="69"/>
      <c r="C17" s="62">
        <v>157254</v>
      </c>
      <c r="D17" s="62">
        <v>174005</v>
      </c>
      <c r="E17" s="62">
        <v>171273</v>
      </c>
      <c r="F17" s="62">
        <v>118695</v>
      </c>
      <c r="G17" s="62">
        <v>125637</v>
      </c>
      <c r="H17" s="62">
        <v>173332</v>
      </c>
      <c r="I17" s="62">
        <v>150428</v>
      </c>
      <c r="J17" s="62">
        <v>151620</v>
      </c>
      <c r="K17" s="62">
        <v>124967</v>
      </c>
      <c r="L17" s="62">
        <v>130035</v>
      </c>
      <c r="M17" s="62">
        <v>120095.34</v>
      </c>
      <c r="N17" s="95">
        <v>195481</v>
      </c>
      <c r="O17" s="62">
        <v>192130</v>
      </c>
      <c r="P17" s="62">
        <v>176189</v>
      </c>
      <c r="Q17" s="62">
        <v>173609</v>
      </c>
      <c r="R17" s="62">
        <v>163129</v>
      </c>
      <c r="S17" s="62">
        <v>151125</v>
      </c>
      <c r="T17" s="62">
        <v>162391</v>
      </c>
      <c r="U17" s="62">
        <v>165932.48000000001</v>
      </c>
      <c r="V17" s="62">
        <v>174978.27</v>
      </c>
      <c r="W17" s="62">
        <v>190435</v>
      </c>
      <c r="X17" s="62">
        <v>218696</v>
      </c>
      <c r="Y17" s="62">
        <v>248084</v>
      </c>
      <c r="Z17" s="62">
        <v>331372</v>
      </c>
      <c r="AA17" s="62">
        <v>332112</v>
      </c>
      <c r="AB17" s="62">
        <v>291118</v>
      </c>
      <c r="AC17" s="62">
        <v>253586</v>
      </c>
      <c r="AD17" s="62">
        <v>279025.34999999998</v>
      </c>
      <c r="AE17" s="62">
        <v>263243.46999999997</v>
      </c>
      <c r="AF17" s="62">
        <v>247762.80000000016</v>
      </c>
      <c r="AG17" s="62">
        <v>283642.8600000001</v>
      </c>
      <c r="AH17" s="62">
        <v>233959.10999999993</v>
      </c>
      <c r="AI17" s="62">
        <v>237482.57000000007</v>
      </c>
      <c r="AJ17" s="62">
        <f>216765.39+35244</f>
        <v>252009.39</v>
      </c>
      <c r="AK17" s="62">
        <v>203776.84999999998</v>
      </c>
      <c r="AL17" s="62">
        <f t="shared" ref="AL17:AL18" si="3">SUM(Z17:AK17)</f>
        <v>3209090.4000000004</v>
      </c>
    </row>
    <row r="18" spans="1:47">
      <c r="A18" s="63" t="s">
        <v>1484</v>
      </c>
      <c r="B18" s="70"/>
      <c r="C18" s="64">
        <v>105644</v>
      </c>
      <c r="D18" s="64">
        <v>123530</v>
      </c>
      <c r="E18" s="64">
        <v>111756</v>
      </c>
      <c r="F18" s="64">
        <v>101708</v>
      </c>
      <c r="G18" s="64">
        <v>115414</v>
      </c>
      <c r="H18" s="64">
        <v>149559</v>
      </c>
      <c r="I18" s="64">
        <v>140607</v>
      </c>
      <c r="J18" s="64">
        <v>149786</v>
      </c>
      <c r="K18" s="64">
        <v>131233</v>
      </c>
      <c r="L18" s="64">
        <v>134895</v>
      </c>
      <c r="M18" s="64">
        <v>135219</v>
      </c>
      <c r="N18" s="96">
        <v>200784</v>
      </c>
      <c r="O18" s="64">
        <v>185443</v>
      </c>
      <c r="P18" s="64">
        <v>173278</v>
      </c>
      <c r="Q18" s="64">
        <v>161823</v>
      </c>
      <c r="R18" s="64">
        <v>174040</v>
      </c>
      <c r="S18" s="64">
        <v>147768</v>
      </c>
      <c r="T18" s="64">
        <v>154351</v>
      </c>
      <c r="U18" s="64">
        <v>166396.01999999999</v>
      </c>
      <c r="V18" s="64">
        <v>184384.8</v>
      </c>
      <c r="W18" s="64">
        <v>169616</v>
      </c>
      <c r="X18" s="64">
        <v>160236</v>
      </c>
      <c r="Y18" s="64">
        <v>168096</v>
      </c>
      <c r="Z18" s="64">
        <v>231151</v>
      </c>
      <c r="AA18" s="64">
        <v>232388</v>
      </c>
      <c r="AB18" s="64">
        <v>226071</v>
      </c>
      <c r="AC18" s="64">
        <v>182617</v>
      </c>
      <c r="AD18" s="64">
        <v>193963.78</v>
      </c>
      <c r="AE18" s="64">
        <v>188323.60999999993</v>
      </c>
      <c r="AF18" s="64">
        <v>190799.73999999993</v>
      </c>
      <c r="AG18" s="64">
        <v>207714.62</v>
      </c>
      <c r="AH18" s="64">
        <v>187393.60999999993</v>
      </c>
      <c r="AI18" s="64">
        <v>203596.23</v>
      </c>
      <c r="AJ18" s="64">
        <v>178998.45000000004</v>
      </c>
      <c r="AK18" s="64">
        <v>144135.06000000008</v>
      </c>
      <c r="AL18" s="64">
        <f t="shared" si="3"/>
        <v>2367152.1</v>
      </c>
    </row>
    <row r="19" spans="1:47" ht="15.75" thickBot="1">
      <c r="A19" s="65" t="s">
        <v>1485</v>
      </c>
      <c r="B19" s="71"/>
      <c r="C19" s="66">
        <v>544519</v>
      </c>
      <c r="D19" s="66">
        <v>571413</v>
      </c>
      <c r="E19" s="66">
        <v>560838</v>
      </c>
      <c r="F19" s="66">
        <v>474846</v>
      </c>
      <c r="G19" s="66">
        <v>501621</v>
      </c>
      <c r="H19" s="66">
        <v>659783</v>
      </c>
      <c r="I19" s="66">
        <v>644972</v>
      </c>
      <c r="J19" s="66">
        <v>592216</v>
      </c>
      <c r="K19" s="66">
        <v>543748</v>
      </c>
      <c r="L19" s="66">
        <v>558511</v>
      </c>
      <c r="M19" s="66">
        <v>516114.34</v>
      </c>
      <c r="N19" s="97">
        <v>788054.03</v>
      </c>
      <c r="O19" s="66">
        <v>834530.97</v>
      </c>
      <c r="P19" s="66">
        <v>783208.56</v>
      </c>
      <c r="Q19" s="66">
        <v>752672.93</v>
      </c>
      <c r="R19" s="66">
        <v>715437.57</v>
      </c>
      <c r="S19" s="66">
        <v>746287</v>
      </c>
      <c r="T19" s="66">
        <v>836794.15</v>
      </c>
      <c r="U19" s="66">
        <v>838386.34</v>
      </c>
      <c r="V19" s="66">
        <v>849735.39</v>
      </c>
      <c r="W19" s="66">
        <v>843775.33</v>
      </c>
      <c r="X19" s="66">
        <v>901636.26</v>
      </c>
      <c r="Y19" s="66">
        <v>976209.32</v>
      </c>
      <c r="Z19" s="66">
        <f t="shared" ref="Z19:AE19" si="4">SUM(Z16:Z18)</f>
        <v>1333781.6499999999</v>
      </c>
      <c r="AA19" s="66">
        <f t="shared" si="4"/>
        <v>1380969.8</v>
      </c>
      <c r="AB19" s="66">
        <f t="shared" si="4"/>
        <v>1293049.44</v>
      </c>
      <c r="AC19" s="66">
        <f t="shared" si="4"/>
        <v>1148979.75</v>
      </c>
      <c r="AD19" s="66">
        <f t="shared" si="4"/>
        <v>1222141.6400000006</v>
      </c>
      <c r="AE19" s="66">
        <f t="shared" si="4"/>
        <v>1236321.2399999988</v>
      </c>
      <c r="AF19" s="66">
        <f>SUM(AF16:AF18)</f>
        <v>1318546.1400000004</v>
      </c>
      <c r="AG19" s="66">
        <f>SUM(AG16:AG18)</f>
        <v>1490439.9</v>
      </c>
      <c r="AH19" s="66">
        <f>SUM(AH16:AH18)</f>
        <v>1419065.3499999999</v>
      </c>
      <c r="AI19" s="66">
        <f>SUM(AI16:AI18)</f>
        <v>1484790.7800000005</v>
      </c>
      <c r="AJ19" s="66">
        <f>SUM(AJ16:AJ18)</f>
        <v>1482974.5200000012</v>
      </c>
      <c r="AK19" s="66">
        <f>SUM(AK16:AK18)</f>
        <v>1302930.5899999999</v>
      </c>
      <c r="AL19" s="66">
        <f>SUM(Z19:AK19)</f>
        <v>16113990.800000003</v>
      </c>
    </row>
    <row r="20" spans="1:47">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row>
    <row r="21" spans="1:47" ht="15.75" thickBo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row>
    <row r="22" spans="1:47" ht="15.75" thickBot="1">
      <c r="A22" s="36" t="s">
        <v>825</v>
      </c>
      <c r="B22" s="56" t="s">
        <v>1445</v>
      </c>
      <c r="C22" s="56" t="s">
        <v>1446</v>
      </c>
      <c r="D22" s="56" t="s">
        <v>1447</v>
      </c>
      <c r="E22" s="56" t="s">
        <v>1448</v>
      </c>
      <c r="F22" s="56" t="s">
        <v>1449</v>
      </c>
      <c r="G22" s="56" t="s">
        <v>1450</v>
      </c>
      <c r="H22" s="56" t="s">
        <v>1451</v>
      </c>
      <c r="I22" s="56" t="s">
        <v>1452</v>
      </c>
      <c r="J22" s="56" t="s">
        <v>1453</v>
      </c>
      <c r="K22" s="56" t="s">
        <v>1454</v>
      </c>
      <c r="L22" s="56" t="s">
        <v>1455</v>
      </c>
      <c r="M22" s="56" t="s">
        <v>1456</v>
      </c>
      <c r="N22" s="56" t="s">
        <v>1457</v>
      </c>
      <c r="O22" s="56" t="s">
        <v>1458</v>
      </c>
      <c r="P22" s="56" t="s">
        <v>1459</v>
      </c>
      <c r="Q22" s="56" t="s">
        <v>1460</v>
      </c>
      <c r="R22" s="56" t="s">
        <v>1461</v>
      </c>
      <c r="S22" s="56" t="s">
        <v>1462</v>
      </c>
      <c r="T22" s="56" t="s">
        <v>1463</v>
      </c>
      <c r="U22" s="56" t="s">
        <v>1464</v>
      </c>
      <c r="V22" s="56" t="s">
        <v>1465</v>
      </c>
      <c r="W22" s="56" t="s">
        <v>1466</v>
      </c>
      <c r="X22" s="56" t="s">
        <v>1467</v>
      </c>
      <c r="Y22" s="57" t="s">
        <v>1468</v>
      </c>
      <c r="Z22" s="57" t="s">
        <v>1469</v>
      </c>
      <c r="AA22" s="57" t="s">
        <v>1470</v>
      </c>
      <c r="AB22" s="57" t="s">
        <v>1471</v>
      </c>
      <c r="AC22" s="57" t="s">
        <v>1472</v>
      </c>
      <c r="AD22" s="57" t="s">
        <v>1473</v>
      </c>
      <c r="AE22" s="57" t="s">
        <v>1474</v>
      </c>
      <c r="AF22" s="57" t="s">
        <v>1475</v>
      </c>
      <c r="AG22" s="57" t="s">
        <v>1476</v>
      </c>
      <c r="AH22" s="57" t="s">
        <v>1477</v>
      </c>
      <c r="AI22" s="57" t="s">
        <v>1478</v>
      </c>
      <c r="AJ22" s="56" t="s">
        <v>1479</v>
      </c>
      <c r="AK22" s="145" t="s">
        <v>1480</v>
      </c>
      <c r="AL22" s="67"/>
    </row>
    <row r="23" spans="1:47">
      <c r="A23" s="58" t="s">
        <v>1482</v>
      </c>
      <c r="B23" s="73">
        <v>0</v>
      </c>
      <c r="C23" s="73">
        <v>5.7700000000000001E-2</v>
      </c>
      <c r="D23" s="73">
        <v>4.7699999999999999E-2</v>
      </c>
      <c r="E23" s="73">
        <v>0.05</v>
      </c>
      <c r="F23" s="73">
        <v>4.5400000000000003E-2</v>
      </c>
      <c r="G23" s="73">
        <v>4.8599999999999997E-2</v>
      </c>
      <c r="H23" s="73">
        <v>5.4600000000000003E-2</v>
      </c>
      <c r="I23" s="73">
        <v>5.7000000000000002E-2</v>
      </c>
      <c r="J23" s="73">
        <v>4.7600000000000003E-2</v>
      </c>
      <c r="K23" s="73">
        <v>4.7399999999999998E-2</v>
      </c>
      <c r="L23" s="73">
        <v>4.58E-2</v>
      </c>
      <c r="M23" s="73">
        <v>4.4600000000000001E-2</v>
      </c>
      <c r="N23" s="98">
        <v>5.0999999999999997E-2</v>
      </c>
      <c r="O23" s="73">
        <v>5.2499999999999998E-2</v>
      </c>
      <c r="P23" s="73">
        <v>4.1599999999999998E-2</v>
      </c>
      <c r="Q23" s="73">
        <v>3.3300000000000003E-2</v>
      </c>
      <c r="R23" s="73">
        <v>3.0499999999999999E-2</v>
      </c>
      <c r="S23" s="73">
        <v>3.6299999999999999E-2</v>
      </c>
      <c r="T23" s="73">
        <v>3.9100000000000003E-2</v>
      </c>
      <c r="U23" s="73">
        <v>4.07E-2</v>
      </c>
      <c r="V23" s="73">
        <v>3.95E-2</v>
      </c>
      <c r="W23" s="73">
        <v>3.6900000000000002E-2</v>
      </c>
      <c r="X23" s="73">
        <v>3.9699999999999999E-2</v>
      </c>
      <c r="Y23" s="73">
        <v>3.9699999999999999E-2</v>
      </c>
      <c r="Z23" s="73">
        <f t="shared" ref="Z23:AA26" si="5">Z16/Z2</f>
        <v>4.5628973942509046E-2</v>
      </c>
      <c r="AA23" s="73">
        <f t="shared" si="5"/>
        <v>4.6166277152873296E-2</v>
      </c>
      <c r="AB23" s="73">
        <f t="shared" ref="AB23:AF23" si="6">AB16/AB2</f>
        <v>4.3479953257412336E-2</v>
      </c>
      <c r="AC23" s="73">
        <f t="shared" si="6"/>
        <v>3.5539954329669013E-2</v>
      </c>
      <c r="AD23" s="73">
        <f t="shared" si="6"/>
        <v>4.0028978414698338E-2</v>
      </c>
      <c r="AE23" s="73">
        <f t="shared" si="6"/>
        <v>4.3601386008790342E-2</v>
      </c>
      <c r="AF23" s="73">
        <f t="shared" si="6"/>
        <v>4.6437838230427464E-2</v>
      </c>
      <c r="AG23" s="73">
        <f t="shared" ref="AG23:AH25" si="7">AG16/AG2</f>
        <v>5.2134335101085921E-2</v>
      </c>
      <c r="AH23" s="73">
        <f>AH16/AH2</f>
        <v>4.5143769620442253E-2</v>
      </c>
      <c r="AI23" s="73">
        <f>AI16/AI2</f>
        <v>4.3465831393437619E-2</v>
      </c>
      <c r="AJ23" s="73">
        <f>AJ16/AJ2</f>
        <v>4.6651776650826794E-2</v>
      </c>
      <c r="AK23" s="73">
        <f>AK16/AK2</f>
        <v>4.41820663334783E-2</v>
      </c>
      <c r="AL23" s="60"/>
    </row>
    <row r="24" spans="1:47">
      <c r="A24" s="61" t="s">
        <v>1483</v>
      </c>
      <c r="B24" s="75">
        <v>0</v>
      </c>
      <c r="C24" s="75">
        <v>7.3099999999999998E-2</v>
      </c>
      <c r="D24" s="75">
        <v>6.6199999999999995E-2</v>
      </c>
      <c r="E24" s="75">
        <v>6.7900000000000002E-2</v>
      </c>
      <c r="F24" s="75">
        <v>5.2499999999999998E-2</v>
      </c>
      <c r="G24" s="75">
        <v>4.99E-2</v>
      </c>
      <c r="H24" s="75">
        <v>6.13E-2</v>
      </c>
      <c r="I24" s="75">
        <v>5.2299999999999999E-2</v>
      </c>
      <c r="J24" s="75">
        <v>4.7300000000000002E-2</v>
      </c>
      <c r="K24" s="75">
        <v>4.3700000000000003E-2</v>
      </c>
      <c r="L24" s="75">
        <v>4.2200000000000001E-2</v>
      </c>
      <c r="M24" s="75">
        <v>3.9300000000000002E-2</v>
      </c>
      <c r="N24" s="99">
        <v>5.0900000000000001E-2</v>
      </c>
      <c r="O24" s="75">
        <v>5.2900000000000003E-2</v>
      </c>
      <c r="P24" s="75">
        <v>4.7500000000000001E-2</v>
      </c>
      <c r="Q24" s="75">
        <v>4.5499999999999999E-2</v>
      </c>
      <c r="R24" s="75">
        <v>4.1799999999999997E-2</v>
      </c>
      <c r="S24" s="75">
        <v>4.1000000000000002E-2</v>
      </c>
      <c r="T24" s="75">
        <v>4.1099999999999998E-2</v>
      </c>
      <c r="U24" s="75">
        <v>4.6300000000000001E-2</v>
      </c>
      <c r="V24" s="75">
        <v>4.53E-2</v>
      </c>
      <c r="W24" s="75">
        <v>4.4999999999999998E-2</v>
      </c>
      <c r="X24" s="75">
        <v>4.8800000000000003E-2</v>
      </c>
      <c r="Y24" s="75">
        <v>4.8800000000000003E-2</v>
      </c>
      <c r="Z24" s="75">
        <f t="shared" si="5"/>
        <v>5.9854248802634603E-2</v>
      </c>
      <c r="AA24" s="75">
        <f t="shared" si="5"/>
        <v>6.05262508857385E-2</v>
      </c>
      <c r="AB24" s="75">
        <f t="shared" ref="AB24" si="8">AB17/AB3</f>
        <v>5.5691209329374672E-2</v>
      </c>
      <c r="AC24" s="75">
        <f>AC17/AC3</f>
        <v>4.8966105852538126E-2</v>
      </c>
      <c r="AD24" s="75">
        <f>AD17/AD3</f>
        <v>5.1655515112241916E-2</v>
      </c>
      <c r="AE24" s="75">
        <f>AE17/AE3</f>
        <v>4.8953724357191551E-2</v>
      </c>
      <c r="AF24" s="75">
        <f>AF17/AF3</f>
        <v>4.586261115647982E-2</v>
      </c>
      <c r="AG24" s="75">
        <f t="shared" si="7"/>
        <v>5.2622788293549862E-2</v>
      </c>
      <c r="AH24" s="75">
        <f t="shared" si="7"/>
        <v>4.4928185672574818E-2</v>
      </c>
      <c r="AI24" s="75">
        <f t="shared" ref="AI24:AJ24" si="9">AI17/AI3</f>
        <v>4.755322321592037E-2</v>
      </c>
      <c r="AJ24" s="75">
        <f t="shared" si="9"/>
        <v>4.6020058691248047E-2</v>
      </c>
      <c r="AK24" s="75">
        <f t="shared" ref="AK24" si="10">AK17/AK3</f>
        <v>4.1842189404454291E-2</v>
      </c>
      <c r="AL24" s="60"/>
    </row>
    <row r="25" spans="1:47">
      <c r="A25" s="63" t="s">
        <v>1484</v>
      </c>
      <c r="B25" s="77">
        <v>0</v>
      </c>
      <c r="C25" s="77">
        <v>8.3299999999999999E-2</v>
      </c>
      <c r="D25" s="77">
        <v>7.85E-2</v>
      </c>
      <c r="E25" s="77">
        <v>7.4200000000000002E-2</v>
      </c>
      <c r="F25" s="77">
        <v>6.1499999999999999E-2</v>
      </c>
      <c r="G25" s="77">
        <v>6.7900000000000002E-2</v>
      </c>
      <c r="H25" s="77">
        <v>6.8900000000000003E-2</v>
      </c>
      <c r="I25" s="77">
        <v>6.25E-2</v>
      </c>
      <c r="J25" s="77">
        <v>5.8599999999999999E-2</v>
      </c>
      <c r="K25" s="77">
        <v>5.2200000000000003E-2</v>
      </c>
      <c r="L25" s="77">
        <v>5.2699999999999997E-2</v>
      </c>
      <c r="M25" s="77">
        <v>5.6000000000000001E-2</v>
      </c>
      <c r="N25" s="100">
        <v>6.7299999999999999E-2</v>
      </c>
      <c r="O25" s="77">
        <v>6.2300000000000001E-2</v>
      </c>
      <c r="P25" s="77">
        <v>5.7700000000000001E-2</v>
      </c>
      <c r="Q25" s="77">
        <v>5.2600000000000001E-2</v>
      </c>
      <c r="R25" s="77">
        <v>5.0900000000000001E-2</v>
      </c>
      <c r="S25" s="77">
        <v>5.1200000000000002E-2</v>
      </c>
      <c r="T25" s="77">
        <v>5.1700000000000003E-2</v>
      </c>
      <c r="U25" s="77">
        <v>5.7200000000000001E-2</v>
      </c>
      <c r="V25" s="77">
        <v>5.9499999999999997E-2</v>
      </c>
      <c r="W25" s="77">
        <v>5.3600000000000002E-2</v>
      </c>
      <c r="X25" s="77">
        <v>5.0999999999999997E-2</v>
      </c>
      <c r="Y25" s="77">
        <v>5.0999999999999997E-2</v>
      </c>
      <c r="Z25" s="77">
        <f t="shared" si="5"/>
        <v>6.4046165129500704E-2</v>
      </c>
      <c r="AA25" s="77">
        <f t="shared" si="5"/>
        <v>6.3313769712332504E-2</v>
      </c>
      <c r="AB25" s="77">
        <f t="shared" ref="AB25" si="11">AB18/AB4</f>
        <v>6.1523502080664635E-2</v>
      </c>
      <c r="AC25" s="77">
        <f t="shared" ref="AC25:AD25" si="12">AC18/AC4</f>
        <v>5.0171240675134232E-2</v>
      </c>
      <c r="AD25" s="77">
        <f t="shared" si="12"/>
        <v>5.6594190468634564E-2</v>
      </c>
      <c r="AE25" s="77">
        <f t="shared" ref="AE25:AG26" si="13">AE18/AE4</f>
        <v>5.255330142653019E-2</v>
      </c>
      <c r="AF25" s="77">
        <f t="shared" si="13"/>
        <v>5.3208950122372499E-2</v>
      </c>
      <c r="AG25" s="77">
        <f t="shared" si="7"/>
        <v>6.058873249889881E-2</v>
      </c>
      <c r="AH25" s="77">
        <f t="shared" si="7"/>
        <v>5.5173049930233135E-2</v>
      </c>
      <c r="AI25" s="77">
        <f t="shared" ref="AI25:AJ25" si="14">AI18/AI4</f>
        <v>5.424130501241832E-2</v>
      </c>
      <c r="AJ25" s="77">
        <f t="shared" si="14"/>
        <v>4.7603041891566188E-2</v>
      </c>
      <c r="AK25" s="77">
        <f t="shared" ref="AK25" si="15">AK18/AK4</f>
        <v>4.1168257992144144E-2</v>
      </c>
      <c r="AL25" s="60"/>
    </row>
    <row r="26" spans="1:47" ht="15.75" thickBot="1">
      <c r="A26" s="65" t="s">
        <v>1485</v>
      </c>
      <c r="B26" s="79">
        <v>0</v>
      </c>
      <c r="C26" s="79">
        <v>6.5600000000000006E-2</v>
      </c>
      <c r="D26" s="79">
        <v>5.74E-2</v>
      </c>
      <c r="E26" s="79">
        <v>5.8500000000000003E-2</v>
      </c>
      <c r="F26" s="79">
        <v>4.99E-2</v>
      </c>
      <c r="G26" s="79">
        <v>5.2299999999999999E-2</v>
      </c>
      <c r="H26" s="79">
        <v>5.91E-2</v>
      </c>
      <c r="I26" s="79">
        <v>5.6899999999999999E-2</v>
      </c>
      <c r="J26" s="79">
        <v>4.99E-2</v>
      </c>
      <c r="K26" s="79">
        <v>4.7500000000000001E-2</v>
      </c>
      <c r="L26" s="79">
        <v>4.6399999999999997E-2</v>
      </c>
      <c r="M26" s="79">
        <v>4.5600000000000002E-2</v>
      </c>
      <c r="N26" s="101">
        <v>5.4300000000000001E-2</v>
      </c>
      <c r="O26" s="79">
        <v>5.45E-2</v>
      </c>
      <c r="P26" s="79">
        <v>4.5699999999999998E-2</v>
      </c>
      <c r="Q26" s="79">
        <v>3.8800000000000001E-2</v>
      </c>
      <c r="R26" s="79">
        <v>3.6299999999999999E-2</v>
      </c>
      <c r="S26" s="79">
        <v>3.95E-2</v>
      </c>
      <c r="T26" s="79">
        <v>4.1399999999999999E-2</v>
      </c>
      <c r="U26" s="79">
        <v>4.4299999999999999E-2</v>
      </c>
      <c r="V26" s="79">
        <v>4.3799999999999999E-2</v>
      </c>
      <c r="W26" s="79">
        <v>4.1099999999999998E-2</v>
      </c>
      <c r="X26" s="79">
        <v>4.3400000000000001E-2</v>
      </c>
      <c r="Y26" s="79">
        <v>4.3400000000000001E-2</v>
      </c>
      <c r="Z26" s="79">
        <f t="shared" si="5"/>
        <v>4.5844247274874739E-2</v>
      </c>
      <c r="AA26" s="79">
        <f t="shared" si="5"/>
        <v>5.1000144679606174E-2</v>
      </c>
      <c r="AB26" s="79">
        <f t="shared" ref="AB26" si="16">AB19/AB5</f>
        <v>4.3676411448957529E-2</v>
      </c>
      <c r="AC26" s="79">
        <f t="shared" ref="AC26" si="17">AC19/AC5</f>
        <v>3.7378116487633554E-2</v>
      </c>
      <c r="AD26" s="79">
        <f>AD19/AD5</f>
        <v>4.0675465402746115E-2</v>
      </c>
      <c r="AE26" s="79">
        <f t="shared" si="13"/>
        <v>4.2931969373384941E-2</v>
      </c>
      <c r="AF26" s="79">
        <f t="shared" si="13"/>
        <v>4.2664535396874481E-2</v>
      </c>
      <c r="AG26" s="79">
        <f t="shared" si="13"/>
        <v>4.7251569495713679E-2</v>
      </c>
      <c r="AH26" s="79">
        <f t="shared" ref="AH26:AI26" si="18">AH19/AH5</f>
        <v>4.4959660318167907E-2</v>
      </c>
      <c r="AI26" s="79">
        <f t="shared" si="18"/>
        <v>4.4711827046342266E-2</v>
      </c>
      <c r="AJ26" s="79">
        <f t="shared" ref="AJ26:AK26" si="19">AJ19/AJ5</f>
        <v>4.7479241802070242E-2</v>
      </c>
      <c r="AK26" s="79">
        <f t="shared" si="19"/>
        <v>4.3450170082913069E-2</v>
      </c>
      <c r="AL26" s="60"/>
    </row>
    <row r="27" spans="1:4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U27" t="s">
        <v>1488</v>
      </c>
    </row>
    <row r="28" spans="1:47" ht="15.75" thickBo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row>
    <row r="29" spans="1:47" ht="15.75" thickBot="1">
      <c r="A29" s="36" t="s">
        <v>1489</v>
      </c>
      <c r="B29" s="56" t="s">
        <v>1445</v>
      </c>
      <c r="C29" s="56" t="s">
        <v>1446</v>
      </c>
      <c r="D29" s="56" t="s">
        <v>1447</v>
      </c>
      <c r="E29" s="56" t="s">
        <v>1448</v>
      </c>
      <c r="F29" s="56" t="s">
        <v>1449</v>
      </c>
      <c r="G29" s="56" t="s">
        <v>1450</v>
      </c>
      <c r="H29" s="56" t="s">
        <v>1451</v>
      </c>
      <c r="I29" s="56" t="s">
        <v>1452</v>
      </c>
      <c r="J29" s="56" t="s">
        <v>1453</v>
      </c>
      <c r="K29" s="56" t="s">
        <v>1454</v>
      </c>
      <c r="L29" s="56" t="s">
        <v>1455</v>
      </c>
      <c r="M29" s="56" t="s">
        <v>1456</v>
      </c>
      <c r="N29" s="56" t="s">
        <v>1457</v>
      </c>
      <c r="O29" s="56" t="s">
        <v>1458</v>
      </c>
      <c r="P29" s="56" t="s">
        <v>1459</v>
      </c>
      <c r="Q29" s="56" t="s">
        <v>1460</v>
      </c>
      <c r="R29" s="56" t="s">
        <v>1461</v>
      </c>
      <c r="S29" s="56" t="s">
        <v>1462</v>
      </c>
      <c r="T29" s="56" t="s">
        <v>1463</v>
      </c>
      <c r="U29" s="56" t="s">
        <v>1464</v>
      </c>
      <c r="V29" s="56" t="s">
        <v>1465</v>
      </c>
      <c r="W29" s="56" t="s">
        <v>1466</v>
      </c>
      <c r="X29" s="56" t="s">
        <v>1467</v>
      </c>
      <c r="Y29" s="57" t="s">
        <v>1468</v>
      </c>
      <c r="Z29" s="57" t="s">
        <v>1469</v>
      </c>
      <c r="AA29" s="57" t="s">
        <v>1470</v>
      </c>
      <c r="AB29" s="57" t="s">
        <v>1471</v>
      </c>
      <c r="AC29" s="57" t="s">
        <v>1472</v>
      </c>
      <c r="AD29" s="57" t="s">
        <v>1473</v>
      </c>
      <c r="AE29" s="57" t="s">
        <v>1474</v>
      </c>
      <c r="AF29" s="57" t="s">
        <v>1475</v>
      </c>
      <c r="AG29" s="57" t="s">
        <v>1476</v>
      </c>
      <c r="AH29" s="57" t="s">
        <v>1477</v>
      </c>
      <c r="AI29" s="57" t="s">
        <v>1478</v>
      </c>
      <c r="AJ29" s="56" t="s">
        <v>1479</v>
      </c>
      <c r="AK29" s="145" t="s">
        <v>1480</v>
      </c>
      <c r="AL29" s="67"/>
    </row>
    <row r="30" spans="1:47">
      <c r="A30" s="58" t="s">
        <v>1482</v>
      </c>
      <c r="B30" s="72"/>
      <c r="C30" s="72"/>
      <c r="D30" s="68" t="e">
        <v>#DIV/0!</v>
      </c>
      <c r="E30" s="68" t="e">
        <v>#DIV/0!</v>
      </c>
      <c r="F30" s="68" t="e">
        <v>#DIV/0!</v>
      </c>
      <c r="G30" s="68" t="e">
        <v>#DIV/0!</v>
      </c>
      <c r="H30" s="68" t="e">
        <v>#DIV/0!</v>
      </c>
      <c r="I30" s="73">
        <v>0.18579999999999999</v>
      </c>
      <c r="J30" s="73">
        <v>0.1716</v>
      </c>
      <c r="K30" s="73">
        <v>0.17249999999999999</v>
      </c>
      <c r="L30" s="73">
        <v>0.1678</v>
      </c>
      <c r="M30" s="73">
        <v>0.15870000000000001</v>
      </c>
      <c r="N30" s="98">
        <v>0.1628</v>
      </c>
      <c r="O30" s="73">
        <v>0.1565</v>
      </c>
      <c r="P30" s="73">
        <v>0.14230000000000001</v>
      </c>
      <c r="Q30" s="73">
        <v>0.1343</v>
      </c>
      <c r="R30" s="73">
        <v>0.1358</v>
      </c>
      <c r="S30" s="73">
        <v>0.12809999999999999</v>
      </c>
      <c r="T30" s="73">
        <v>0.12790000000000001</v>
      </c>
      <c r="U30" s="73">
        <v>0.13500000000000001</v>
      </c>
      <c r="V30" s="73">
        <v>0.1424</v>
      </c>
      <c r="W30" s="73">
        <v>0.13719999999999999</v>
      </c>
      <c r="X30" s="73">
        <v>0.1429</v>
      </c>
      <c r="Y30" s="73">
        <v>0.1429</v>
      </c>
      <c r="Z30" s="73">
        <f t="shared" ref="Z30:AA33" si="20">Z16/Z9</f>
        <v>0.15363398954406982</v>
      </c>
      <c r="AA30" s="73">
        <f t="shared" si="20"/>
        <v>0.14605825590070659</v>
      </c>
      <c r="AB30" s="73">
        <f t="shared" ref="AB30:AG30" si="21">AB16/AB9</f>
        <v>0.13692717821432049</v>
      </c>
      <c r="AC30" s="73">
        <f t="shared" si="21"/>
        <v>0.13084613001916395</v>
      </c>
      <c r="AD30" s="73">
        <f t="shared" si="21"/>
        <v>0.1348274596651774</v>
      </c>
      <c r="AE30" s="73">
        <f t="shared" si="21"/>
        <v>0.13800714757342847</v>
      </c>
      <c r="AF30" s="73">
        <f t="shared" si="21"/>
        <v>0.1419046958041999</v>
      </c>
      <c r="AG30" s="73">
        <f t="shared" si="21"/>
        <v>0.14972564940787955</v>
      </c>
      <c r="AH30" s="73">
        <f t="shared" ref="AH30:AI30" si="22">AH16/AH9</f>
        <v>0.13957856971709234</v>
      </c>
      <c r="AI30" s="73">
        <f t="shared" si="22"/>
        <v>0.14011323766311165</v>
      </c>
      <c r="AJ30" s="73">
        <f t="shared" ref="AJ30:AK30" si="23">AJ16/AJ9</f>
        <v>0.14735277612731781</v>
      </c>
      <c r="AK30" s="73">
        <f t="shared" si="23"/>
        <v>0.14456429506742349</v>
      </c>
      <c r="AL30" s="60"/>
    </row>
    <row r="31" spans="1:47">
      <c r="A31" s="61" t="s">
        <v>1483</v>
      </c>
      <c r="B31" s="74"/>
      <c r="C31" s="74"/>
      <c r="D31" s="69" t="e">
        <v>#DIV/0!</v>
      </c>
      <c r="E31" s="69" t="e">
        <v>#DIV/0!</v>
      </c>
      <c r="F31" s="69" t="e">
        <v>#DIV/0!</v>
      </c>
      <c r="G31" s="69" t="e">
        <v>#DIV/0!</v>
      </c>
      <c r="H31" s="69" t="e">
        <v>#DIV/0!</v>
      </c>
      <c r="I31" s="75">
        <v>0.21310000000000001</v>
      </c>
      <c r="J31" s="75">
        <v>0.1943</v>
      </c>
      <c r="K31" s="75">
        <v>0.18340000000000001</v>
      </c>
      <c r="L31" s="75">
        <v>0.17169999999999999</v>
      </c>
      <c r="M31" s="75">
        <v>0.17419999999999999</v>
      </c>
      <c r="N31" s="99">
        <v>0.18740000000000001</v>
      </c>
      <c r="O31" s="75">
        <v>0.1933</v>
      </c>
      <c r="P31" s="75">
        <v>0.17369999999999999</v>
      </c>
      <c r="Q31" s="75">
        <v>0.17560000000000001</v>
      </c>
      <c r="R31" s="75">
        <v>0.16700000000000001</v>
      </c>
      <c r="S31" s="75">
        <v>0.1865</v>
      </c>
      <c r="T31" s="75">
        <v>0.1845</v>
      </c>
      <c r="U31" s="75">
        <v>0.2026</v>
      </c>
      <c r="V31" s="75">
        <v>0.2072</v>
      </c>
      <c r="W31" s="75">
        <v>0.193</v>
      </c>
      <c r="X31" s="75">
        <v>0.20300000000000001</v>
      </c>
      <c r="Y31" s="75">
        <v>0.20300000000000001</v>
      </c>
      <c r="Z31" s="75">
        <f t="shared" si="20"/>
        <v>0.21849534059207087</v>
      </c>
      <c r="AA31" s="75">
        <f t="shared" si="20"/>
        <v>0.20236249462640654</v>
      </c>
      <c r="AB31" s="75">
        <f t="shared" ref="AB31" si="24">AB17/AB10</f>
        <v>0.19247852849973884</v>
      </c>
      <c r="AC31" s="75">
        <f t="shared" ref="AC31:AD31" si="25">AC17/AC10</f>
        <v>0.19219505540313167</v>
      </c>
      <c r="AD31" s="75">
        <f t="shared" si="25"/>
        <v>0.19172196146014456</v>
      </c>
      <c r="AE31" s="75">
        <f t="shared" ref="AE31:AF31" si="26">AE17/AE10</f>
        <v>0.19430890995142283</v>
      </c>
      <c r="AF31" s="75">
        <f t="shared" si="26"/>
        <v>0.18444822860792318</v>
      </c>
      <c r="AG31" s="75">
        <f t="shared" ref="AG31:AH31" si="27">AG17/AG10</f>
        <v>0.19544444430893115</v>
      </c>
      <c r="AH31" s="75">
        <f t="shared" si="27"/>
        <v>0.18552931939805858</v>
      </c>
      <c r="AI31" s="75">
        <f t="shared" ref="AI31:AJ31" si="28">AI17/AI10</f>
        <v>0.18349465938422982</v>
      </c>
      <c r="AJ31" s="75">
        <f t="shared" si="28"/>
        <v>0.19469113587599959</v>
      </c>
      <c r="AK31" s="75">
        <f t="shared" ref="AK31" si="29">AK17/AK10</f>
        <v>0.22761618568442066</v>
      </c>
      <c r="AL31" s="60"/>
    </row>
    <row r="32" spans="1:47">
      <c r="A32" s="63" t="s">
        <v>1484</v>
      </c>
      <c r="B32" s="76"/>
      <c r="C32" s="76"/>
      <c r="D32" s="70" t="e">
        <v>#DIV/0!</v>
      </c>
      <c r="E32" s="70" t="e">
        <v>#DIV/0!</v>
      </c>
      <c r="F32" s="70" t="e">
        <v>#DIV/0!</v>
      </c>
      <c r="G32" s="70" t="e">
        <v>#DIV/0!</v>
      </c>
      <c r="H32" s="70" t="e">
        <v>#DIV/0!</v>
      </c>
      <c r="I32" s="77">
        <v>0.2339</v>
      </c>
      <c r="J32" s="77">
        <v>0.216</v>
      </c>
      <c r="K32" s="77">
        <v>0.19989999999999999</v>
      </c>
      <c r="L32" s="77">
        <v>0.19389999999999999</v>
      </c>
      <c r="M32" s="77">
        <v>0.19089999999999999</v>
      </c>
      <c r="N32" s="100">
        <v>0.20619999999999999</v>
      </c>
      <c r="O32" s="77">
        <v>0.1948</v>
      </c>
      <c r="P32" s="77">
        <v>0.18609999999999999</v>
      </c>
      <c r="Q32" s="77">
        <v>0.1807</v>
      </c>
      <c r="R32" s="77">
        <v>0.17069999999999999</v>
      </c>
      <c r="S32" s="77">
        <v>0.187</v>
      </c>
      <c r="T32" s="77">
        <v>0.1908</v>
      </c>
      <c r="U32" s="77">
        <v>0.2054</v>
      </c>
      <c r="V32" s="77">
        <v>0.21079999999999999</v>
      </c>
      <c r="W32" s="77">
        <v>0.19769999999999999</v>
      </c>
      <c r="X32" s="77">
        <v>0.20300000000000001</v>
      </c>
      <c r="Y32" s="77">
        <v>0.20300000000000001</v>
      </c>
      <c r="Z32" s="77">
        <f t="shared" si="20"/>
        <v>0.21045161090610795</v>
      </c>
      <c r="AA32" s="77">
        <f t="shared" si="20"/>
        <v>0.20016615510117269</v>
      </c>
      <c r="AB32" s="77">
        <f t="shared" ref="AB32" si="30">AB18/AB11</f>
        <v>0.19290799386642843</v>
      </c>
      <c r="AC32" s="77">
        <f t="shared" ref="AC32:AD32" si="31">AC18/AC11</f>
        <v>0.18831503637049854</v>
      </c>
      <c r="AD32" s="77">
        <f t="shared" si="31"/>
        <v>0.18866554584890002</v>
      </c>
      <c r="AE32" s="77">
        <f t="shared" ref="AE32:AF32" si="32">AE18/AE11</f>
        <v>0.18578714175779468</v>
      </c>
      <c r="AF32" s="77">
        <f t="shared" si="32"/>
        <v>0.18610587804121836</v>
      </c>
      <c r="AG32" s="77">
        <f t="shared" ref="AG32:AH32" si="33">AG18/AG11</f>
        <v>0.19472377887160394</v>
      </c>
      <c r="AH32" s="77">
        <f t="shared" si="33"/>
        <v>0.18057657174596639</v>
      </c>
      <c r="AI32" s="77">
        <f t="shared" ref="AI32:AJ32" si="34">AI18/AI11</f>
        <v>0.18153735868613088</v>
      </c>
      <c r="AJ32" s="77">
        <f t="shared" si="34"/>
        <v>0.18027956163486786</v>
      </c>
      <c r="AK32" s="77">
        <f t="shared" ref="AK32" si="35">AK18/AK11</f>
        <v>0.18606001055365881</v>
      </c>
      <c r="AL32" s="60"/>
    </row>
    <row r="33" spans="1:38" ht="15.75" thickBot="1">
      <c r="A33" s="65" t="s">
        <v>1485</v>
      </c>
      <c r="B33" s="78"/>
      <c r="C33" s="78"/>
      <c r="D33" s="71" t="e">
        <v>#DIV/0!</v>
      </c>
      <c r="E33" s="71" t="e">
        <v>#DIV/0!</v>
      </c>
      <c r="F33" s="71" t="e">
        <v>#DIV/0!</v>
      </c>
      <c r="G33" s="71" t="e">
        <v>#DIV/0!</v>
      </c>
      <c r="H33" s="71" t="e">
        <v>#DIV/0!</v>
      </c>
      <c r="I33" s="79">
        <v>0.20080000000000001</v>
      </c>
      <c r="J33" s="79">
        <v>0.18690000000000001</v>
      </c>
      <c r="K33" s="79">
        <v>0.18099999999999999</v>
      </c>
      <c r="L33" s="79">
        <v>0.1744</v>
      </c>
      <c r="M33" s="79">
        <v>0.16969999999999999</v>
      </c>
      <c r="N33" s="101">
        <v>0.1782</v>
      </c>
      <c r="O33" s="79">
        <v>0.17150000000000001</v>
      </c>
      <c r="P33" s="79">
        <v>0.15679999999999999</v>
      </c>
      <c r="Q33" s="79">
        <v>0.15079999999999999</v>
      </c>
      <c r="R33" s="79">
        <v>0.14960000000000001</v>
      </c>
      <c r="S33" s="79">
        <v>0.14649999999999999</v>
      </c>
      <c r="T33" s="79">
        <v>0.1454</v>
      </c>
      <c r="U33" s="79">
        <v>0.15590000000000001</v>
      </c>
      <c r="V33" s="79">
        <v>0.1646</v>
      </c>
      <c r="W33" s="79">
        <v>0.15709999999999999</v>
      </c>
      <c r="X33" s="79">
        <v>0.16320000000000001</v>
      </c>
      <c r="Y33" s="79">
        <v>0.16320000000000001</v>
      </c>
      <c r="Z33" s="79">
        <f t="shared" si="20"/>
        <v>0.17469146967080507</v>
      </c>
      <c r="AA33" s="79">
        <f t="shared" si="20"/>
        <v>0.16455440639043289</v>
      </c>
      <c r="AB33" s="79">
        <f t="shared" ref="AB33" si="36">AB19/AB12</f>
        <v>0.15484495005767693</v>
      </c>
      <c r="AC33" s="79">
        <f t="shared" ref="AC33:AD33" si="37">AC19/AC12</f>
        <v>0.14851215055349187</v>
      </c>
      <c r="AD33" s="79">
        <f t="shared" si="37"/>
        <v>0.15201094548982177</v>
      </c>
      <c r="AE33" s="79">
        <f t="shared" ref="AE33:AF33" si="38">AE19/AE12</f>
        <v>0.15348970484405786</v>
      </c>
      <c r="AF33" s="79">
        <f t="shared" si="38"/>
        <v>0.15386112822301662</v>
      </c>
      <c r="AG33" s="79">
        <f t="shared" ref="AG33:AH33" si="39">AG19/AG12</f>
        <v>0.16216757642537344</v>
      </c>
      <c r="AH33" s="79">
        <f t="shared" si="39"/>
        <v>0.15021614340129058</v>
      </c>
      <c r="AI33" s="79">
        <f t="shared" ref="AI33:AJ33" si="40">AI19/AI12</f>
        <v>0.15051414132373214</v>
      </c>
      <c r="AJ33" s="79">
        <f t="shared" si="40"/>
        <v>0.1573213568909286</v>
      </c>
      <c r="AK33" s="79">
        <f t="shared" ref="AK33" si="41">AK19/AK12</f>
        <v>0.15743251415402765</v>
      </c>
      <c r="AL33" s="60"/>
    </row>
    <row r="34" spans="1:38">
      <c r="A34" s="67"/>
      <c r="B34" s="67"/>
      <c r="C34" s="67"/>
      <c r="D34" s="67"/>
      <c r="E34" s="67"/>
      <c r="F34" s="67"/>
      <c r="G34" s="67"/>
      <c r="H34" s="67"/>
      <c r="I34" s="67"/>
      <c r="J34" s="67"/>
      <c r="K34" s="67"/>
      <c r="L34" s="67"/>
      <c r="M34" s="67"/>
      <c r="N34" s="60"/>
      <c r="O34" s="60"/>
      <c r="P34" s="60"/>
      <c r="Q34" s="60"/>
      <c r="R34" s="60"/>
      <c r="S34" s="60"/>
      <c r="T34" s="60"/>
      <c r="U34" s="60"/>
      <c r="V34" s="60"/>
      <c r="W34" s="60"/>
      <c r="X34" s="60"/>
      <c r="Y34" s="60"/>
      <c r="Z34" s="60"/>
      <c r="AA34" s="60"/>
      <c r="AB34" s="60"/>
      <c r="AC34" s="60"/>
      <c r="AD34" s="60"/>
      <c r="AE34" s="60"/>
      <c r="AF34" s="60"/>
      <c r="AG34" s="60"/>
      <c r="AH34" s="27"/>
      <c r="AI34" s="27"/>
      <c r="AJ34" s="27"/>
      <c r="AK34" s="27"/>
      <c r="AL34" s="27"/>
    </row>
    <row r="35" spans="1:38" ht="15.75" thickBo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row>
    <row r="36" spans="1:38" ht="15.75" thickBot="1">
      <c r="A36" s="80" t="s">
        <v>819</v>
      </c>
      <c r="B36" s="81" t="s">
        <v>1445</v>
      </c>
      <c r="C36" s="81" t="s">
        <v>1446</v>
      </c>
      <c r="D36" s="81" t="s">
        <v>1447</v>
      </c>
      <c r="E36" s="81" t="s">
        <v>1448</v>
      </c>
      <c r="F36" s="81" t="s">
        <v>1449</v>
      </c>
      <c r="G36" s="81" t="s">
        <v>1450</v>
      </c>
      <c r="H36" s="81" t="s">
        <v>1451</v>
      </c>
      <c r="I36" s="81" t="s">
        <v>1452</v>
      </c>
      <c r="J36" s="81" t="s">
        <v>1453</v>
      </c>
      <c r="K36" s="81" t="s">
        <v>1454</v>
      </c>
      <c r="L36" s="81" t="s">
        <v>1455</v>
      </c>
      <c r="M36" s="81" t="s">
        <v>1456</v>
      </c>
      <c r="N36" s="81" t="s">
        <v>1457</v>
      </c>
      <c r="O36" s="81" t="s">
        <v>1458</v>
      </c>
      <c r="P36" s="81" t="s">
        <v>1459</v>
      </c>
      <c r="Q36" s="81" t="s">
        <v>1460</v>
      </c>
      <c r="R36" s="81" t="s">
        <v>1461</v>
      </c>
      <c r="S36" s="81" t="s">
        <v>1462</v>
      </c>
      <c r="T36" s="81" t="s">
        <v>1463</v>
      </c>
      <c r="U36" s="81" t="s">
        <v>1464</v>
      </c>
      <c r="V36" s="81" t="s">
        <v>1465</v>
      </c>
      <c r="W36" s="81" t="s">
        <v>1466</v>
      </c>
      <c r="X36" s="81" t="s">
        <v>1467</v>
      </c>
      <c r="Y36" s="82" t="s">
        <v>1468</v>
      </c>
      <c r="Z36" s="57" t="s">
        <v>1469</v>
      </c>
      <c r="AA36" s="57" t="s">
        <v>1470</v>
      </c>
      <c r="AB36" s="57" t="s">
        <v>1471</v>
      </c>
      <c r="AC36" s="57" t="s">
        <v>1472</v>
      </c>
      <c r="AD36" s="57" t="s">
        <v>1473</v>
      </c>
      <c r="AE36" s="57" t="s">
        <v>1474</v>
      </c>
      <c r="AF36" s="57" t="s">
        <v>1475</v>
      </c>
      <c r="AG36" s="57" t="s">
        <v>1476</v>
      </c>
      <c r="AH36" s="57" t="s">
        <v>1477</v>
      </c>
      <c r="AI36" s="57" t="s">
        <v>1478</v>
      </c>
      <c r="AJ36" s="57" t="s">
        <v>1479</v>
      </c>
      <c r="AK36" s="57" t="s">
        <v>1480</v>
      </c>
      <c r="AL36" s="57" t="s">
        <v>1481</v>
      </c>
    </row>
    <row r="37" spans="1:38">
      <c r="A37" s="83" t="s">
        <v>1482</v>
      </c>
      <c r="B37" s="84">
        <v>206450</v>
      </c>
      <c r="C37" s="84">
        <v>201966</v>
      </c>
      <c r="D37" s="84">
        <v>232244</v>
      </c>
      <c r="E37" s="84">
        <v>230500</v>
      </c>
      <c r="F37" s="84">
        <v>228949</v>
      </c>
      <c r="G37" s="84">
        <v>216548</v>
      </c>
      <c r="H37" s="84">
        <v>229222</v>
      </c>
      <c r="I37" s="84">
        <v>226692</v>
      </c>
      <c r="J37" s="84">
        <v>230639</v>
      </c>
      <c r="K37" s="84">
        <v>252280</v>
      </c>
      <c r="L37" s="84">
        <v>264001</v>
      </c>
      <c r="M37" s="102">
        <v>231198</v>
      </c>
      <c r="N37" s="107">
        <v>301961</v>
      </c>
      <c r="O37" s="108">
        <v>331009</v>
      </c>
      <c r="P37" s="108">
        <v>369644</v>
      </c>
      <c r="Q37" s="108">
        <v>419338</v>
      </c>
      <c r="R37" s="108">
        <v>403325</v>
      </c>
      <c r="S37" s="108">
        <v>407084</v>
      </c>
      <c r="T37" s="108">
        <v>446387</v>
      </c>
      <c r="U37" s="108">
        <v>410269</v>
      </c>
      <c r="V37" s="108">
        <v>413757</v>
      </c>
      <c r="W37" s="108">
        <v>445439</v>
      </c>
      <c r="X37" s="108">
        <v>453965</v>
      </c>
      <c r="Y37" s="108">
        <v>462128</v>
      </c>
      <c r="Z37" s="108">
        <v>572775</v>
      </c>
      <c r="AA37" s="108">
        <v>615883</v>
      </c>
      <c r="AB37" s="108">
        <v>604860</v>
      </c>
      <c r="AC37" s="108">
        <v>683843</v>
      </c>
      <c r="AD37" s="108">
        <v>636705</v>
      </c>
      <c r="AE37" s="108">
        <v>621195</v>
      </c>
      <c r="AF37" s="108">
        <v>689495</v>
      </c>
      <c r="AG37" s="108">
        <v>689517</v>
      </c>
      <c r="AH37" s="108">
        <v>775274</v>
      </c>
      <c r="AI37" s="108">
        <v>871708</v>
      </c>
      <c r="AJ37" s="108">
        <v>799507</v>
      </c>
      <c r="AK37" s="108">
        <v>739352</v>
      </c>
      <c r="AL37" s="108">
        <f>SUM(Z37:AK37)</f>
        <v>8300114</v>
      </c>
    </row>
    <row r="38" spans="1:38">
      <c r="A38" s="85" t="s">
        <v>1483</v>
      </c>
      <c r="B38" s="86">
        <v>103070</v>
      </c>
      <c r="C38" s="86">
        <v>98910</v>
      </c>
      <c r="D38" s="86">
        <v>116062</v>
      </c>
      <c r="E38" s="86">
        <v>116489</v>
      </c>
      <c r="F38" s="86">
        <v>102286</v>
      </c>
      <c r="G38" s="86">
        <v>110085</v>
      </c>
      <c r="H38" s="86">
        <v>115702</v>
      </c>
      <c r="I38" s="86">
        <v>120670</v>
      </c>
      <c r="J38" s="86">
        <v>142446</v>
      </c>
      <c r="K38" s="86">
        <v>136602</v>
      </c>
      <c r="L38" s="86">
        <v>152488</v>
      </c>
      <c r="M38" s="103">
        <v>144866</v>
      </c>
      <c r="N38" s="109">
        <v>190333</v>
      </c>
      <c r="O38" s="86">
        <v>179484</v>
      </c>
      <c r="P38" s="86">
        <v>182162</v>
      </c>
      <c r="Q38" s="86">
        <v>182919</v>
      </c>
      <c r="R38" s="86">
        <v>183923</v>
      </c>
      <c r="S38" s="86">
        <v>173556</v>
      </c>
      <c r="T38" s="86">
        <v>186892</v>
      </c>
      <c r="U38" s="86">
        <v>171949</v>
      </c>
      <c r="V38" s="86">
        <v>182461</v>
      </c>
      <c r="W38" s="86">
        <v>199796</v>
      </c>
      <c r="X38" s="86">
        <v>214586</v>
      </c>
      <c r="Y38" s="86">
        <v>215754</v>
      </c>
      <c r="Z38" s="86">
        <v>251772</v>
      </c>
      <c r="AA38" s="86">
        <v>247829</v>
      </c>
      <c r="AB38" s="86">
        <v>229484</v>
      </c>
      <c r="AC38" s="86">
        <v>226754</v>
      </c>
      <c r="AD38" s="86">
        <v>241827</v>
      </c>
      <c r="AE38" s="86">
        <v>238449</v>
      </c>
      <c r="AF38" s="86">
        <v>252691</v>
      </c>
      <c r="AG38" s="86">
        <v>248792</v>
      </c>
      <c r="AH38" s="86">
        <v>255858</v>
      </c>
      <c r="AI38" s="86">
        <v>258198</v>
      </c>
      <c r="AJ38" s="86">
        <f>243053+21068</f>
        <v>264121</v>
      </c>
      <c r="AK38" s="86">
        <v>210935</v>
      </c>
      <c r="AL38" s="86">
        <f t="shared" ref="AL38:AL40" si="42">SUM(Z38:AK38)</f>
        <v>2926710</v>
      </c>
    </row>
    <row r="39" spans="1:38">
      <c r="A39" s="87" t="s">
        <v>1484</v>
      </c>
      <c r="B39" s="88">
        <v>65792</v>
      </c>
      <c r="C39" s="88">
        <v>66921</v>
      </c>
      <c r="D39" s="88">
        <v>80622</v>
      </c>
      <c r="E39" s="88">
        <v>81286</v>
      </c>
      <c r="F39" s="88">
        <v>88250</v>
      </c>
      <c r="G39" s="88">
        <v>90033</v>
      </c>
      <c r="H39" s="88">
        <v>103104</v>
      </c>
      <c r="I39" s="88">
        <v>103860</v>
      </c>
      <c r="J39" s="88">
        <v>124892</v>
      </c>
      <c r="K39" s="88">
        <v>133302</v>
      </c>
      <c r="L39" s="88">
        <v>140626</v>
      </c>
      <c r="M39" s="104">
        <v>128870</v>
      </c>
      <c r="N39" s="110">
        <v>159471</v>
      </c>
      <c r="O39" s="88">
        <v>157686</v>
      </c>
      <c r="P39" s="88">
        <v>154308</v>
      </c>
      <c r="Q39" s="88">
        <v>154291</v>
      </c>
      <c r="R39" s="88">
        <v>162133</v>
      </c>
      <c r="S39" s="88">
        <v>136127</v>
      </c>
      <c r="T39" s="88">
        <v>146540</v>
      </c>
      <c r="U39" s="88">
        <v>144576</v>
      </c>
      <c r="V39" s="88">
        <v>153627</v>
      </c>
      <c r="W39" s="88">
        <v>158313</v>
      </c>
      <c r="X39" s="88">
        <v>155184</v>
      </c>
      <c r="Y39" s="88">
        <v>141383</v>
      </c>
      <c r="Z39" s="88">
        <v>167484</v>
      </c>
      <c r="AA39" s="88">
        <v>171660</v>
      </c>
      <c r="AB39" s="88">
        <v>168751</v>
      </c>
      <c r="AC39" s="88">
        <v>167429</v>
      </c>
      <c r="AD39" s="88">
        <v>154307</v>
      </c>
      <c r="AE39" s="88">
        <v>166411</v>
      </c>
      <c r="AF39" s="88">
        <v>170327</v>
      </c>
      <c r="AG39" s="88">
        <v>159080</v>
      </c>
      <c r="AH39" s="88">
        <v>176167</v>
      </c>
      <c r="AI39" s="88">
        <v>197143</v>
      </c>
      <c r="AJ39" s="88">
        <v>180525</v>
      </c>
      <c r="AK39" s="88">
        <v>151210</v>
      </c>
      <c r="AL39" s="88">
        <f t="shared" si="42"/>
        <v>2030494</v>
      </c>
    </row>
    <row r="40" spans="1:38">
      <c r="A40" s="89" t="s">
        <v>1485</v>
      </c>
      <c r="B40" s="90">
        <v>375312</v>
      </c>
      <c r="C40" s="90">
        <v>367797</v>
      </c>
      <c r="D40" s="90">
        <v>428928</v>
      </c>
      <c r="E40" s="90">
        <v>428275</v>
      </c>
      <c r="F40" s="90">
        <v>419485</v>
      </c>
      <c r="G40" s="90">
        <v>416666</v>
      </c>
      <c r="H40" s="90">
        <v>448028</v>
      </c>
      <c r="I40" s="90">
        <v>451222</v>
      </c>
      <c r="J40" s="90">
        <v>497977</v>
      </c>
      <c r="K40" s="90">
        <v>522184</v>
      </c>
      <c r="L40" s="90">
        <v>557115</v>
      </c>
      <c r="M40" s="105">
        <v>504934</v>
      </c>
      <c r="N40" s="111">
        <v>651765</v>
      </c>
      <c r="O40" s="90">
        <v>668179</v>
      </c>
      <c r="P40" s="90">
        <v>706114</v>
      </c>
      <c r="Q40" s="90">
        <v>756548</v>
      </c>
      <c r="R40" s="90">
        <v>749381</v>
      </c>
      <c r="S40" s="90">
        <v>716767</v>
      </c>
      <c r="T40" s="90">
        <v>779819</v>
      </c>
      <c r="U40" s="90">
        <v>726794</v>
      </c>
      <c r="V40" s="90">
        <v>749845</v>
      </c>
      <c r="W40" s="90">
        <v>803548</v>
      </c>
      <c r="X40" s="90">
        <v>823735</v>
      </c>
      <c r="Y40" s="90">
        <f t="shared" ref="Y40:AD40" si="43">SUM(Y37:Y39)</f>
        <v>819265</v>
      </c>
      <c r="Z40" s="90">
        <f t="shared" si="43"/>
        <v>992031</v>
      </c>
      <c r="AA40" s="90">
        <f t="shared" si="43"/>
        <v>1035372</v>
      </c>
      <c r="AB40" s="90">
        <f t="shared" si="43"/>
        <v>1003095</v>
      </c>
      <c r="AC40" s="90">
        <f t="shared" si="43"/>
        <v>1078026</v>
      </c>
      <c r="AD40" s="90">
        <f t="shared" si="43"/>
        <v>1032839</v>
      </c>
      <c r="AE40" s="90">
        <f t="shared" ref="AE40:AI40" si="44">SUM(AE37:AE39)</f>
        <v>1026055</v>
      </c>
      <c r="AF40" s="90">
        <f t="shared" si="44"/>
        <v>1112513</v>
      </c>
      <c r="AG40" s="90">
        <f t="shared" si="44"/>
        <v>1097389</v>
      </c>
      <c r="AH40" s="90">
        <f t="shared" si="44"/>
        <v>1207299</v>
      </c>
      <c r="AI40" s="90">
        <f t="shared" si="44"/>
        <v>1327049</v>
      </c>
      <c r="AJ40" s="90">
        <f>SUM(AJ37:AJ39)</f>
        <v>1244153</v>
      </c>
      <c r="AK40" s="90">
        <f>SUM(AK37:AK39)</f>
        <v>1101497</v>
      </c>
      <c r="AL40" s="90">
        <f t="shared" si="42"/>
        <v>13257318</v>
      </c>
    </row>
    <row r="41" spans="1:38" ht="15.75" thickBot="1">
      <c r="A41" s="91" t="s">
        <v>1490</v>
      </c>
      <c r="B41" s="92"/>
      <c r="C41" s="93">
        <v>-0.02</v>
      </c>
      <c r="D41" s="93">
        <v>0.17</v>
      </c>
      <c r="E41" s="93">
        <v>0</v>
      </c>
      <c r="F41" s="93">
        <v>-0.02</v>
      </c>
      <c r="G41" s="93">
        <v>-0.01</v>
      </c>
      <c r="H41" s="93">
        <v>0.08</v>
      </c>
      <c r="I41" s="93">
        <v>0.01</v>
      </c>
      <c r="J41" s="93">
        <v>0.1</v>
      </c>
      <c r="K41" s="93">
        <v>0.05</v>
      </c>
      <c r="L41" s="93">
        <v>7.0000000000000007E-2</v>
      </c>
      <c r="M41" s="106">
        <v>-0.09</v>
      </c>
      <c r="N41" s="112">
        <v>0.28999999999999998</v>
      </c>
      <c r="O41" s="113">
        <v>0.03</v>
      </c>
      <c r="P41" s="113">
        <v>0.06</v>
      </c>
      <c r="Q41" s="113">
        <v>7.0000000000000007E-2</v>
      </c>
      <c r="R41" s="113">
        <v>-0.01</v>
      </c>
      <c r="S41" s="113">
        <v>-0.04</v>
      </c>
      <c r="T41" s="113">
        <v>0.09</v>
      </c>
      <c r="U41" s="113">
        <v>-7.0000000000000007E-2</v>
      </c>
      <c r="V41" s="113">
        <v>0.03</v>
      </c>
      <c r="W41" s="113">
        <v>7.0000000000000007E-2</v>
      </c>
      <c r="X41" s="113">
        <v>0.03</v>
      </c>
      <c r="Y41" s="113">
        <v>0</v>
      </c>
      <c r="Z41" s="113">
        <f t="shared" ref="Z41:AF41" si="45">(Z40-Y40)/Y40</f>
        <v>0.21087926373029484</v>
      </c>
      <c r="AA41" s="113">
        <f t="shared" si="45"/>
        <v>4.3689158907332534E-2</v>
      </c>
      <c r="AB41" s="113">
        <f t="shared" si="45"/>
        <v>-3.1174302569511248E-2</v>
      </c>
      <c r="AC41" s="113">
        <f t="shared" si="45"/>
        <v>7.4699804106291026E-2</v>
      </c>
      <c r="AD41" s="113">
        <f t="shared" si="45"/>
        <v>-4.1916428731774556E-2</v>
      </c>
      <c r="AE41" s="113">
        <f t="shared" si="45"/>
        <v>-6.5683034819560455E-3</v>
      </c>
      <c r="AF41" s="113">
        <f t="shared" si="45"/>
        <v>8.4262539532481195E-2</v>
      </c>
      <c r="AG41" s="113">
        <f>(AG40-AF40)/AF40</f>
        <v>-1.3594447885103365E-2</v>
      </c>
      <c r="AH41" s="113">
        <f>(AH40-AG40)/AG40</f>
        <v>0.10015591554134405</v>
      </c>
      <c r="AI41" s="113">
        <f>(AI40-AH40)/AH40</f>
        <v>9.91883535064636E-2</v>
      </c>
      <c r="AJ41" s="113">
        <f>(AJ40-AI40)/AI40</f>
        <v>-6.2466419853373915E-2</v>
      </c>
      <c r="AK41" s="113">
        <f>(AK40-AJ40)/AJ40</f>
        <v>-0.11466113894352221</v>
      </c>
      <c r="AL41" s="113"/>
    </row>
    <row r="42" spans="1:38">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H42" s="27"/>
      <c r="AI42" s="27"/>
      <c r="AJ42" s="27"/>
      <c r="AK42" s="27"/>
      <c r="AL42" s="27"/>
    </row>
    <row r="43" spans="1:38">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H43" s="27"/>
      <c r="AI43" s="27"/>
      <c r="AJ43" s="27"/>
      <c r="AK43" s="27"/>
      <c r="AL43" s="27"/>
    </row>
    <row r="44" spans="1:38">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H44" s="27"/>
      <c r="AI44" s="27"/>
      <c r="AJ44" s="27"/>
      <c r="AK44" s="27"/>
      <c r="AL44" s="27"/>
    </row>
    <row r="45" spans="1:38">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H45" s="27"/>
      <c r="AI45" s="27"/>
      <c r="AJ45" s="27"/>
      <c r="AK45" s="27"/>
      <c r="AL45" s="27"/>
    </row>
    <row r="46" spans="1:38">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H46" s="27"/>
      <c r="AI46" s="27"/>
      <c r="AJ46" s="27"/>
      <c r="AK46" s="27"/>
      <c r="AL46" s="27"/>
    </row>
    <row r="47" spans="1:38">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H47" s="27"/>
      <c r="AJ47" s="27"/>
      <c r="AK47" s="27"/>
      <c r="AL47" s="27"/>
    </row>
    <row r="48" spans="1:3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H48" s="27"/>
      <c r="AI48" s="27"/>
      <c r="AJ48" s="27"/>
      <c r="AK48" s="27"/>
      <c r="AL48" s="27"/>
    </row>
    <row r="49" spans="1:38">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H49" s="27"/>
      <c r="AI49" s="27"/>
      <c r="AJ49" s="27"/>
      <c r="AK49" s="27"/>
      <c r="AL49" s="27"/>
    </row>
    <row r="50" spans="1:38">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H50" s="27"/>
      <c r="AI50" s="27"/>
      <c r="AJ50" s="27"/>
      <c r="AK50" s="27"/>
      <c r="AL50" s="27"/>
    </row>
    <row r="51" spans="1:38">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H51" s="27"/>
      <c r="AI51" s="27"/>
      <c r="AJ51" s="27"/>
      <c r="AK51" s="27"/>
      <c r="AL51" s="27"/>
    </row>
    <row r="52" spans="1:38">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H52" s="27"/>
      <c r="AI52" s="27"/>
      <c r="AJ52" s="27"/>
      <c r="AK52" s="27"/>
      <c r="AL52" s="27"/>
    </row>
    <row r="53" spans="1:38">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H53" s="27"/>
      <c r="AI53" s="27"/>
      <c r="AJ53" s="27"/>
      <c r="AK53" s="27"/>
      <c r="AL53" s="27"/>
    </row>
    <row r="54" spans="1:38">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H54" s="27"/>
      <c r="AI54" s="27"/>
      <c r="AJ54" s="27"/>
      <c r="AK54" s="27"/>
      <c r="AL54" s="27"/>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1491</v>
      </c>
      <c r="B1" t="s">
        <v>1492</v>
      </c>
    </row>
    <row r="2" spans="1:2">
      <c r="A2" t="s">
        <v>36</v>
      </c>
      <c r="B2" t="s">
        <v>1482</v>
      </c>
    </row>
    <row r="3" spans="1:2">
      <c r="A3" t="s">
        <v>101</v>
      </c>
      <c r="B3" t="s">
        <v>1482</v>
      </c>
    </row>
    <row r="4" spans="1:2">
      <c r="A4" t="s">
        <v>1493</v>
      </c>
      <c r="B4" t="s">
        <v>1482</v>
      </c>
    </row>
    <row r="5" spans="1:2">
      <c r="A5" t="s">
        <v>454</v>
      </c>
      <c r="B5" t="s">
        <v>1482</v>
      </c>
    </row>
    <row r="6" spans="1:2">
      <c r="A6" t="s">
        <v>1494</v>
      </c>
      <c r="B6" t="s">
        <v>1482</v>
      </c>
    </row>
    <row r="7" spans="1:2">
      <c r="A7" t="s">
        <v>40</v>
      </c>
      <c r="B7" t="s">
        <v>1482</v>
      </c>
    </row>
    <row r="8" spans="1:2">
      <c r="A8" t="s">
        <v>52</v>
      </c>
      <c r="B8" t="s">
        <v>1482</v>
      </c>
    </row>
    <row r="9" spans="1:2">
      <c r="A9" t="s">
        <v>86</v>
      </c>
      <c r="B9" t="s">
        <v>1482</v>
      </c>
    </row>
    <row r="10" spans="1:2">
      <c r="A10" t="s">
        <v>1495</v>
      </c>
      <c r="B10" t="s">
        <v>1482</v>
      </c>
    </row>
    <row r="11" spans="1:2">
      <c r="A11" t="s">
        <v>60</v>
      </c>
      <c r="B11" t="s">
        <v>1482</v>
      </c>
    </row>
    <row r="12" spans="1:2">
      <c r="A12" t="s">
        <v>23</v>
      </c>
      <c r="B12" t="s">
        <v>1482</v>
      </c>
    </row>
    <row r="13" spans="1:2">
      <c r="A13" t="s">
        <v>644</v>
      </c>
      <c r="B13" t="s">
        <v>1482</v>
      </c>
    </row>
    <row r="14" spans="1:2">
      <c r="A14" t="s">
        <v>167</v>
      </c>
      <c r="B14" t="s">
        <v>1482</v>
      </c>
    </row>
    <row r="15" spans="1:2">
      <c r="A15" t="s">
        <v>462</v>
      </c>
      <c r="B15" t="s">
        <v>1482</v>
      </c>
    </row>
    <row r="16" spans="1:2">
      <c r="A16" t="s">
        <v>1496</v>
      </c>
      <c r="B16" t="s">
        <v>1482</v>
      </c>
    </row>
    <row r="17" spans="1:2">
      <c r="A17" t="s">
        <v>159</v>
      </c>
      <c r="B17" t="s">
        <v>1482</v>
      </c>
    </row>
    <row r="18" spans="1:2">
      <c r="A18" t="s">
        <v>133</v>
      </c>
      <c r="B18" t="s">
        <v>1482</v>
      </c>
    </row>
    <row r="19" spans="1:2">
      <c r="A19" t="s">
        <v>117</v>
      </c>
      <c r="B19" t="s">
        <v>1482</v>
      </c>
    </row>
    <row r="20" spans="1:2">
      <c r="A20" t="s">
        <v>1497</v>
      </c>
      <c r="B20" t="s">
        <v>1482</v>
      </c>
    </row>
    <row r="21" spans="1:2">
      <c r="A21" t="s">
        <v>322</v>
      </c>
      <c r="B21" t="s">
        <v>1482</v>
      </c>
    </row>
    <row r="22" spans="1:2">
      <c r="A22" t="s">
        <v>251</v>
      </c>
      <c r="B22" t="s">
        <v>1482</v>
      </c>
    </row>
    <row r="23" spans="1:2">
      <c r="A23" t="s">
        <v>1498</v>
      </c>
      <c r="B23" t="s">
        <v>1482</v>
      </c>
    </row>
    <row r="24" spans="1:2">
      <c r="A24" t="s">
        <v>221</v>
      </c>
      <c r="B24" t="s">
        <v>1482</v>
      </c>
    </row>
    <row r="25" spans="1:2">
      <c r="A25" t="s">
        <v>474</v>
      </c>
      <c r="B25" t="s">
        <v>1482</v>
      </c>
    </row>
    <row r="26" spans="1:2">
      <c r="A26" t="s">
        <v>324</v>
      </c>
      <c r="B26" t="s">
        <v>1482</v>
      </c>
    </row>
    <row r="27" spans="1:2">
      <c r="A27" t="s">
        <v>524</v>
      </c>
      <c r="B27" t="s">
        <v>1482</v>
      </c>
    </row>
    <row r="28" spans="1:2">
      <c r="A28" t="s">
        <v>99</v>
      </c>
      <c r="B28" t="s">
        <v>1482</v>
      </c>
    </row>
    <row r="29" spans="1:2">
      <c r="A29" t="s">
        <v>213</v>
      </c>
      <c r="B29" t="s">
        <v>1482</v>
      </c>
    </row>
    <row r="30" spans="1:2">
      <c r="A30" t="s">
        <v>452</v>
      </c>
      <c r="B30" t="s">
        <v>1482</v>
      </c>
    </row>
    <row r="31" spans="1:2">
      <c r="A31" t="s">
        <v>1499</v>
      </c>
      <c r="B31" t="s">
        <v>1482</v>
      </c>
    </row>
    <row r="32" spans="1:2">
      <c r="A32" t="s">
        <v>127</v>
      </c>
      <c r="B32" t="s">
        <v>1482</v>
      </c>
    </row>
    <row r="33" spans="1:2">
      <c r="A33" t="s">
        <v>303</v>
      </c>
      <c r="B33" t="s">
        <v>1482</v>
      </c>
    </row>
    <row r="34" spans="1:2">
      <c r="A34" t="s">
        <v>314</v>
      </c>
      <c r="B34" t="s">
        <v>1482</v>
      </c>
    </row>
    <row r="35" spans="1:2">
      <c r="A35" t="s">
        <v>424</v>
      </c>
      <c r="B35" t="s">
        <v>1482</v>
      </c>
    </row>
    <row r="36" spans="1:2">
      <c r="A36" t="s">
        <v>518</v>
      </c>
      <c r="B36" t="s">
        <v>1482</v>
      </c>
    </row>
    <row r="37" spans="1:2">
      <c r="A37" t="s">
        <v>416</v>
      </c>
      <c r="B37" t="s">
        <v>1482</v>
      </c>
    </row>
    <row r="38" spans="1:2">
      <c r="A38" t="s">
        <v>161</v>
      </c>
      <c r="B38" t="s">
        <v>1482</v>
      </c>
    </row>
    <row r="39" spans="1:2">
      <c r="A39" t="s">
        <v>737</v>
      </c>
      <c r="B39" t="s">
        <v>1482</v>
      </c>
    </row>
    <row r="40" spans="1:2">
      <c r="A40" t="s">
        <v>278</v>
      </c>
      <c r="B40" t="s">
        <v>1482</v>
      </c>
    </row>
    <row r="41" spans="1:2">
      <c r="A41" t="s">
        <v>310</v>
      </c>
      <c r="B41" t="s">
        <v>1482</v>
      </c>
    </row>
    <row r="42" spans="1:2">
      <c r="A42" t="s">
        <v>165</v>
      </c>
      <c r="B42" t="s">
        <v>1482</v>
      </c>
    </row>
    <row r="43" spans="1:2">
      <c r="A43" t="s">
        <v>361</v>
      </c>
      <c r="B43" t="s">
        <v>1482</v>
      </c>
    </row>
    <row r="44" spans="1:2">
      <c r="A44" t="s">
        <v>499</v>
      </c>
      <c r="B44" t="s">
        <v>1482</v>
      </c>
    </row>
    <row r="45" spans="1:2">
      <c r="A45" t="s">
        <v>703</v>
      </c>
      <c r="B45" t="s">
        <v>1482</v>
      </c>
    </row>
    <row r="46" spans="1:2">
      <c r="A46" t="s">
        <v>153</v>
      </c>
      <c r="B46" t="s">
        <v>1482</v>
      </c>
    </row>
    <row r="47" spans="1:2">
      <c r="A47" t="s">
        <v>1500</v>
      </c>
      <c r="B47" t="s">
        <v>1482</v>
      </c>
    </row>
    <row r="48" spans="1:2">
      <c r="A48" t="s">
        <v>227</v>
      </c>
      <c r="B48" t="s">
        <v>1482</v>
      </c>
    </row>
    <row r="49" spans="1:2">
      <c r="A49" t="s">
        <v>1501</v>
      </c>
      <c r="B49" t="s">
        <v>1482</v>
      </c>
    </row>
    <row r="50" spans="1:2">
      <c r="A50" t="s">
        <v>532</v>
      </c>
      <c r="B50" t="s">
        <v>1482</v>
      </c>
    </row>
    <row r="51" spans="1:2">
      <c r="A51" t="s">
        <v>749</v>
      </c>
      <c r="B51" t="s">
        <v>1482</v>
      </c>
    </row>
    <row r="52" spans="1:2">
      <c r="A52" t="s">
        <v>155</v>
      </c>
      <c r="B52" t="s">
        <v>1482</v>
      </c>
    </row>
    <row r="53" spans="1:2">
      <c r="A53" t="s">
        <v>50</v>
      </c>
      <c r="B53" t="s">
        <v>1482</v>
      </c>
    </row>
    <row r="54" spans="1:2">
      <c r="A54" t="s">
        <v>263</v>
      </c>
      <c r="B54" t="s">
        <v>1482</v>
      </c>
    </row>
    <row r="55" spans="1:2">
      <c r="A55" t="s">
        <v>743</v>
      </c>
      <c r="B55" t="s">
        <v>1482</v>
      </c>
    </row>
    <row r="56" spans="1:2">
      <c r="A56" t="s">
        <v>355</v>
      </c>
      <c r="B56" t="s">
        <v>1482</v>
      </c>
    </row>
    <row r="57" spans="1:2">
      <c r="A57" t="s">
        <v>812</v>
      </c>
      <c r="B57" t="s">
        <v>1482</v>
      </c>
    </row>
    <row r="58" spans="1:2">
      <c r="A58" t="s">
        <v>693</v>
      </c>
      <c r="B58" t="s">
        <v>1482</v>
      </c>
    </row>
    <row r="59" spans="1:2">
      <c r="A59" t="s">
        <v>1502</v>
      </c>
      <c r="B59" t="s">
        <v>1482</v>
      </c>
    </row>
    <row r="60" spans="1:2">
      <c r="A60" t="s">
        <v>717</v>
      </c>
      <c r="B60" t="s">
        <v>1482</v>
      </c>
    </row>
    <row r="61" spans="1:2">
      <c r="A61" t="s">
        <v>1503</v>
      </c>
      <c r="B61" t="s">
        <v>1482</v>
      </c>
    </row>
    <row r="62" spans="1:2">
      <c r="A62" t="s">
        <v>56</v>
      </c>
      <c r="B62" t="s">
        <v>1482</v>
      </c>
    </row>
    <row r="63" spans="1:2">
      <c r="A63" t="s">
        <v>1504</v>
      </c>
      <c r="B63" t="s">
        <v>1482</v>
      </c>
    </row>
    <row r="64" spans="1:2">
      <c r="A64" t="s">
        <v>1505</v>
      </c>
      <c r="B64" t="s">
        <v>1482</v>
      </c>
    </row>
    <row r="65" spans="1:2">
      <c r="A65" t="s">
        <v>758</v>
      </c>
      <c r="B65" t="s">
        <v>1482</v>
      </c>
    </row>
    <row r="66" spans="1:2">
      <c r="A66" t="s">
        <v>78</v>
      </c>
      <c r="B66" t="s">
        <v>1482</v>
      </c>
    </row>
    <row r="67" spans="1:2">
      <c r="A67" t="s">
        <v>295</v>
      </c>
      <c r="B67" t="s">
        <v>1482</v>
      </c>
    </row>
    <row r="68" spans="1:2">
      <c r="A68" t="s">
        <v>1506</v>
      </c>
      <c r="B68" t="s">
        <v>1482</v>
      </c>
    </row>
    <row r="69" spans="1:2">
      <c r="A69" t="s">
        <v>289</v>
      </c>
      <c r="B69" t="s">
        <v>1482</v>
      </c>
    </row>
    <row r="70" spans="1:2">
      <c r="A70" t="s">
        <v>670</v>
      </c>
      <c r="B70" t="s">
        <v>1482</v>
      </c>
    </row>
    <row r="71" spans="1:2">
      <c r="A71" t="s">
        <v>691</v>
      </c>
      <c r="B71" t="s">
        <v>1482</v>
      </c>
    </row>
    <row r="72" spans="1:2">
      <c r="A72" t="s">
        <v>44</v>
      </c>
      <c r="B72" t="s">
        <v>1482</v>
      </c>
    </row>
    <row r="73" spans="1:2">
      <c r="A73" t="s">
        <v>450</v>
      </c>
      <c r="B73" t="s">
        <v>1482</v>
      </c>
    </row>
    <row r="74" spans="1:2">
      <c r="A74" t="s">
        <v>681</v>
      </c>
      <c r="B74" t="s">
        <v>1482</v>
      </c>
    </row>
    <row r="75" spans="1:2">
      <c r="A75" t="s">
        <v>530</v>
      </c>
      <c r="B75" t="s">
        <v>1482</v>
      </c>
    </row>
    <row r="76" spans="1:2">
      <c r="A76" t="s">
        <v>1507</v>
      </c>
      <c r="B76" t="s">
        <v>1482</v>
      </c>
    </row>
    <row r="77" spans="1:2">
      <c r="A77" t="s">
        <v>816</v>
      </c>
      <c r="B77" t="s">
        <v>1482</v>
      </c>
    </row>
    <row r="78" spans="1:2">
      <c r="A78" t="s">
        <v>1508</v>
      </c>
      <c r="B78" t="s">
        <v>1482</v>
      </c>
    </row>
    <row r="79" spans="1:2">
      <c r="A79" t="s">
        <v>326</v>
      </c>
      <c r="B79" t="s">
        <v>1482</v>
      </c>
    </row>
    <row r="80" spans="1:2">
      <c r="A80" t="s">
        <v>1509</v>
      </c>
      <c r="B80" t="s">
        <v>1482</v>
      </c>
    </row>
    <row r="81" spans="1:2">
      <c r="A81" t="s">
        <v>359</v>
      </c>
      <c r="B81" t="s">
        <v>1482</v>
      </c>
    </row>
    <row r="82" spans="1:2">
      <c r="A82" t="s">
        <v>1510</v>
      </c>
      <c r="B82" t="s">
        <v>1482</v>
      </c>
    </row>
    <row r="83" spans="1:2">
      <c r="A83" t="s">
        <v>631</v>
      </c>
      <c r="B83" t="s">
        <v>1482</v>
      </c>
    </row>
    <row r="84" spans="1:2">
      <c r="A84" t="s">
        <v>534</v>
      </c>
      <c r="B84" t="s">
        <v>1482</v>
      </c>
    </row>
    <row r="85" spans="1:2">
      <c r="A85" t="s">
        <v>1511</v>
      </c>
      <c r="B85" t="s">
        <v>1482</v>
      </c>
    </row>
    <row r="86" spans="1:2">
      <c r="A86" t="s">
        <v>699</v>
      </c>
      <c r="B86" t="s">
        <v>1482</v>
      </c>
    </row>
    <row r="87" spans="1:2">
      <c r="A87" t="s">
        <v>34</v>
      </c>
      <c r="B87" t="s">
        <v>1482</v>
      </c>
    </row>
    <row r="88" spans="1:2">
      <c r="A88" t="s">
        <v>1512</v>
      </c>
      <c r="B88" t="s">
        <v>1482</v>
      </c>
    </row>
    <row r="89" spans="1:2">
      <c r="A89" t="s">
        <v>798</v>
      </c>
      <c r="B89" t="s">
        <v>1482</v>
      </c>
    </row>
    <row r="90" spans="1:2">
      <c r="A90" t="s">
        <v>589</v>
      </c>
      <c r="B90" t="s">
        <v>1482</v>
      </c>
    </row>
    <row r="91" spans="1:2">
      <c r="A91" t="s">
        <v>778</v>
      </c>
      <c r="B91" t="s">
        <v>1482</v>
      </c>
    </row>
    <row r="92" spans="1:2">
      <c r="A92" t="s">
        <v>719</v>
      </c>
      <c r="B92" t="s">
        <v>1482</v>
      </c>
    </row>
    <row r="93" spans="1:2">
      <c r="A93" t="s">
        <v>687</v>
      </c>
      <c r="B93" t="s">
        <v>1482</v>
      </c>
    </row>
    <row r="94" spans="1:2">
      <c r="A94" t="s">
        <v>1513</v>
      </c>
      <c r="B94" t="s">
        <v>1482</v>
      </c>
    </row>
    <row r="95" spans="1:2">
      <c r="A95" t="s">
        <v>747</v>
      </c>
      <c r="B95" t="s">
        <v>1482</v>
      </c>
    </row>
    <row r="96" spans="1:2">
      <c r="A96" t="s">
        <v>129</v>
      </c>
      <c r="B96" t="s">
        <v>1482</v>
      </c>
    </row>
    <row r="97" spans="1:2">
      <c r="A97" t="s">
        <v>723</v>
      </c>
      <c r="B97" t="s">
        <v>1482</v>
      </c>
    </row>
    <row r="98" spans="1:2">
      <c r="A98" t="s">
        <v>721</v>
      </c>
      <c r="B98" t="s">
        <v>1482</v>
      </c>
    </row>
    <row r="99" spans="1:2">
      <c r="A99" t="s">
        <v>1514</v>
      </c>
      <c r="B99" t="s">
        <v>1482</v>
      </c>
    </row>
    <row r="100" spans="1:2">
      <c r="A100" t="s">
        <v>141</v>
      </c>
      <c r="B100" t="s">
        <v>1482</v>
      </c>
    </row>
    <row r="101" spans="1:2">
      <c r="A101" t="s">
        <v>800</v>
      </c>
      <c r="B101" t="s">
        <v>1482</v>
      </c>
    </row>
    <row r="102" spans="1:2">
      <c r="A102" t="s">
        <v>301</v>
      </c>
      <c r="B102" t="s">
        <v>1482</v>
      </c>
    </row>
    <row r="103" spans="1:2">
      <c r="A103" t="s">
        <v>794</v>
      </c>
      <c r="B103" t="s">
        <v>1482</v>
      </c>
    </row>
    <row r="104" spans="1:2">
      <c r="A104" t="s">
        <v>458</v>
      </c>
      <c r="B104" t="s">
        <v>1482</v>
      </c>
    </row>
    <row r="105" spans="1:2">
      <c r="A105" t="s">
        <v>756</v>
      </c>
      <c r="B105" t="s">
        <v>1482</v>
      </c>
    </row>
    <row r="106" spans="1:2">
      <c r="A106" t="s">
        <v>1515</v>
      </c>
      <c r="B106" t="s">
        <v>1482</v>
      </c>
    </row>
    <row r="107" spans="1:2">
      <c r="A107" t="s">
        <v>633</v>
      </c>
      <c r="B107" t="s">
        <v>1482</v>
      </c>
    </row>
    <row r="108" spans="1:2">
      <c r="A108" t="s">
        <v>760</v>
      </c>
      <c r="B108" t="s">
        <v>1482</v>
      </c>
    </row>
    <row r="109" spans="1:2">
      <c r="A109" t="s">
        <v>420</v>
      </c>
      <c r="B109" t="s">
        <v>1482</v>
      </c>
    </row>
    <row r="110" spans="1:2">
      <c r="A110" t="s">
        <v>1516</v>
      </c>
      <c r="B110" t="s">
        <v>1482</v>
      </c>
    </row>
    <row r="111" spans="1:2">
      <c r="A111" t="s">
        <v>683</v>
      </c>
      <c r="B111" t="s">
        <v>1482</v>
      </c>
    </row>
    <row r="112" spans="1:2">
      <c r="A112" t="s">
        <v>642</v>
      </c>
      <c r="B112" t="s">
        <v>1482</v>
      </c>
    </row>
    <row r="113" spans="1:2">
      <c r="A113" t="s">
        <v>715</v>
      </c>
      <c r="B113" t="s">
        <v>1482</v>
      </c>
    </row>
    <row r="114" spans="1:2">
      <c r="A114" t="s">
        <v>173</v>
      </c>
      <c r="B114" t="s">
        <v>1482</v>
      </c>
    </row>
    <row r="115" spans="1:2">
      <c r="A115" t="s">
        <v>207</v>
      </c>
      <c r="B115" t="s">
        <v>1482</v>
      </c>
    </row>
    <row r="116" spans="1:2">
      <c r="A116" t="s">
        <v>802</v>
      </c>
      <c r="B116" t="s">
        <v>1482</v>
      </c>
    </row>
    <row r="117" spans="1:2">
      <c r="A117" t="s">
        <v>792</v>
      </c>
      <c r="B117" t="s">
        <v>1482</v>
      </c>
    </row>
    <row r="118" spans="1:2">
      <c r="A118" t="s">
        <v>598</v>
      </c>
      <c r="B118" t="s">
        <v>1482</v>
      </c>
    </row>
    <row r="119" spans="1:2">
      <c r="A119" t="s">
        <v>1517</v>
      </c>
      <c r="B119" t="s">
        <v>1482</v>
      </c>
    </row>
    <row r="120" spans="1:2">
      <c r="A120" t="s">
        <v>177</v>
      </c>
      <c r="B120" t="s">
        <v>1482</v>
      </c>
    </row>
    <row r="121" spans="1:2">
      <c r="A121" t="s">
        <v>401</v>
      </c>
      <c r="B121" t="s">
        <v>1482</v>
      </c>
    </row>
    <row r="122" spans="1:2">
      <c r="A122" t="s">
        <v>348</v>
      </c>
      <c r="B122" t="s">
        <v>1482</v>
      </c>
    </row>
    <row r="123" spans="1:2">
      <c r="A123" t="s">
        <v>1518</v>
      </c>
      <c r="B123" t="s">
        <v>1482</v>
      </c>
    </row>
    <row r="124" spans="1:2">
      <c r="A124" t="s">
        <v>674</v>
      </c>
      <c r="B124" t="s">
        <v>1482</v>
      </c>
    </row>
    <row r="125" spans="1:2">
      <c r="A125" t="s">
        <v>725</v>
      </c>
      <c r="B125" t="s">
        <v>1482</v>
      </c>
    </row>
    <row r="126" spans="1:2">
      <c r="A126" t="s">
        <v>806</v>
      </c>
      <c r="B126" t="s">
        <v>1482</v>
      </c>
    </row>
    <row r="127" spans="1:2">
      <c r="A127" t="s">
        <v>567</v>
      </c>
      <c r="B127" t="s">
        <v>1482</v>
      </c>
    </row>
    <row r="128" spans="1:2">
      <c r="A128" t="s">
        <v>751</v>
      </c>
      <c r="B128" t="s">
        <v>1482</v>
      </c>
    </row>
    <row r="129" spans="1:2">
      <c r="A129" t="s">
        <v>741</v>
      </c>
      <c r="B129" t="s">
        <v>1482</v>
      </c>
    </row>
    <row r="130" spans="1:2">
      <c r="A130" t="s">
        <v>1519</v>
      </c>
      <c r="B130" t="s">
        <v>1482</v>
      </c>
    </row>
    <row r="131" spans="1:2">
      <c r="A131" t="s">
        <v>1520</v>
      </c>
      <c r="B131" t="s">
        <v>1482</v>
      </c>
    </row>
    <row r="132" spans="1:2">
      <c r="A132" t="s">
        <v>814</v>
      </c>
      <c r="B132" t="s">
        <v>1482</v>
      </c>
    </row>
    <row r="133" spans="1:2">
      <c r="A133" t="s">
        <v>545</v>
      </c>
      <c r="B133" t="s">
        <v>1482</v>
      </c>
    </row>
    <row r="134" spans="1:2">
      <c r="A134" t="s">
        <v>429</v>
      </c>
      <c r="B134" t="s">
        <v>1482</v>
      </c>
    </row>
    <row r="135" spans="1:2">
      <c r="A135" t="s">
        <v>125</v>
      </c>
      <c r="B135" t="s">
        <v>1482</v>
      </c>
    </row>
    <row r="136" spans="1:2">
      <c r="A136" t="s">
        <v>215</v>
      </c>
      <c r="B136" t="s">
        <v>1482</v>
      </c>
    </row>
    <row r="137" spans="1:2">
      <c r="A137" t="s">
        <v>119</v>
      </c>
      <c r="B137" t="s">
        <v>1482</v>
      </c>
    </row>
    <row r="138" spans="1:2">
      <c r="A138" t="s">
        <v>318</v>
      </c>
      <c r="B138" t="s">
        <v>1482</v>
      </c>
    </row>
    <row r="139" spans="1:2">
      <c r="A139" t="s">
        <v>668</v>
      </c>
      <c r="B139" t="s">
        <v>1482</v>
      </c>
    </row>
    <row r="140" spans="1:2">
      <c r="A140" t="s">
        <v>68</v>
      </c>
      <c r="B140" t="s">
        <v>1482</v>
      </c>
    </row>
    <row r="141" spans="1:2">
      <c r="A141" t="s">
        <v>672</v>
      </c>
      <c r="B141" t="s">
        <v>1482</v>
      </c>
    </row>
    <row r="142" spans="1:2">
      <c r="A142" t="s">
        <v>695</v>
      </c>
      <c r="B142" t="s">
        <v>1482</v>
      </c>
    </row>
    <row r="143" spans="1:2">
      <c r="A143" t="s">
        <v>1521</v>
      </c>
      <c r="B143" t="s">
        <v>1482</v>
      </c>
    </row>
    <row r="144" spans="1:2">
      <c r="A144" t="s">
        <v>629</v>
      </c>
      <c r="B144" t="s">
        <v>1482</v>
      </c>
    </row>
    <row r="145" spans="1:2">
      <c r="A145" t="s">
        <v>231</v>
      </c>
      <c r="B145" t="s">
        <v>1482</v>
      </c>
    </row>
    <row r="146" spans="1:2">
      <c r="A146" t="s">
        <v>774</v>
      </c>
      <c r="B146" t="s">
        <v>1482</v>
      </c>
    </row>
    <row r="147" spans="1:2">
      <c r="A147" t="s">
        <v>437</v>
      </c>
      <c r="B147" t="s">
        <v>1482</v>
      </c>
    </row>
    <row r="148" spans="1:2">
      <c r="A148" t="s">
        <v>334</v>
      </c>
      <c r="B148" t="s">
        <v>1482</v>
      </c>
    </row>
    <row r="149" spans="1:2">
      <c r="A149" t="s">
        <v>493</v>
      </c>
      <c r="B149" t="s">
        <v>1482</v>
      </c>
    </row>
    <row r="150" spans="1:2">
      <c r="A150" t="s">
        <v>121</v>
      </c>
      <c r="B150" t="s">
        <v>1482</v>
      </c>
    </row>
    <row r="151" spans="1:2">
      <c r="A151" t="s">
        <v>312</v>
      </c>
      <c r="B151" t="s">
        <v>1482</v>
      </c>
    </row>
    <row r="152" spans="1:2">
      <c r="A152" t="s">
        <v>316</v>
      </c>
      <c r="B152" t="s">
        <v>1482</v>
      </c>
    </row>
    <row r="153" spans="1:2">
      <c r="A153" t="s">
        <v>291</v>
      </c>
      <c r="B153" t="s">
        <v>1482</v>
      </c>
    </row>
    <row r="154" spans="1:2">
      <c r="A154" t="s">
        <v>508</v>
      </c>
      <c r="B154" t="s">
        <v>1482</v>
      </c>
    </row>
    <row r="155" spans="1:2">
      <c r="A155" t="s">
        <v>353</v>
      </c>
      <c r="B155" t="s">
        <v>1482</v>
      </c>
    </row>
    <row r="156" spans="1:2">
      <c r="A156" t="s">
        <v>190</v>
      </c>
      <c r="B156" t="s">
        <v>1482</v>
      </c>
    </row>
    <row r="157" spans="1:2">
      <c r="A157" t="s">
        <v>1522</v>
      </c>
      <c r="B157" t="s">
        <v>1482</v>
      </c>
    </row>
    <row r="158" spans="1:2">
      <c r="A158" t="s">
        <v>804</v>
      </c>
      <c r="B158" t="s">
        <v>1482</v>
      </c>
    </row>
    <row r="159" spans="1:2">
      <c r="A159" t="s">
        <v>28</v>
      </c>
      <c r="B159" t="s">
        <v>1482</v>
      </c>
    </row>
    <row r="160" spans="1:2">
      <c r="A160" t="s">
        <v>272</v>
      </c>
      <c r="B160" t="s">
        <v>1482</v>
      </c>
    </row>
    <row r="161" spans="1:2">
      <c r="A161" t="s">
        <v>330</v>
      </c>
      <c r="B161" t="s">
        <v>1482</v>
      </c>
    </row>
    <row r="162" spans="1:2">
      <c r="A162" t="s">
        <v>113</v>
      </c>
      <c r="B162" t="s">
        <v>1482</v>
      </c>
    </row>
    <row r="163" spans="1:2">
      <c r="A163" t="s">
        <v>74</v>
      </c>
      <c r="B163" t="s">
        <v>1482</v>
      </c>
    </row>
    <row r="164" spans="1:2">
      <c r="A164" t="s">
        <v>729</v>
      </c>
      <c r="B164" t="s">
        <v>1482</v>
      </c>
    </row>
    <row r="165" spans="1:2">
      <c r="A165" t="s">
        <v>745</v>
      </c>
      <c r="B165" t="s">
        <v>1482</v>
      </c>
    </row>
    <row r="166" spans="1:2">
      <c r="A166" t="s">
        <v>818</v>
      </c>
      <c r="B166" t="s">
        <v>1482</v>
      </c>
    </row>
    <row r="167" spans="1:2">
      <c r="A167" t="s">
        <v>196</v>
      </c>
      <c r="B167" t="s">
        <v>1482</v>
      </c>
    </row>
    <row r="168" spans="1:2">
      <c r="A168" t="s">
        <v>235</v>
      </c>
      <c r="B168" t="s">
        <v>1482</v>
      </c>
    </row>
    <row r="169" spans="1:2">
      <c r="A169" t="s">
        <v>247</v>
      </c>
      <c r="B169" t="s">
        <v>1482</v>
      </c>
    </row>
    <row r="170" spans="1:2">
      <c r="A170" t="s">
        <v>171</v>
      </c>
      <c r="B170" t="s">
        <v>1482</v>
      </c>
    </row>
    <row r="171" spans="1:2">
      <c r="A171" t="s">
        <v>157</v>
      </c>
      <c r="B171" t="s">
        <v>1482</v>
      </c>
    </row>
    <row r="172" spans="1:2">
      <c r="A172" t="s">
        <v>95</v>
      </c>
      <c r="B172" t="s">
        <v>1482</v>
      </c>
    </row>
    <row r="173" spans="1:2">
      <c r="A173" t="s">
        <v>131</v>
      </c>
      <c r="B173" t="s">
        <v>1482</v>
      </c>
    </row>
    <row r="174" spans="1:2">
      <c r="A174" t="s">
        <v>135</v>
      </c>
      <c r="B174" t="s">
        <v>1482</v>
      </c>
    </row>
    <row r="175" spans="1:2">
      <c r="A175" t="s">
        <v>427</v>
      </c>
      <c r="B175" t="s">
        <v>1482</v>
      </c>
    </row>
    <row r="176" spans="1:2">
      <c r="A176" t="s">
        <v>169</v>
      </c>
      <c r="B176" t="s">
        <v>1482</v>
      </c>
    </row>
    <row r="177" spans="1:2">
      <c r="A177" t="s">
        <v>147</v>
      </c>
      <c r="B177" t="s">
        <v>1482</v>
      </c>
    </row>
    <row r="178" spans="1:2">
      <c r="A178" t="s">
        <v>241</v>
      </c>
      <c r="B178" t="s">
        <v>1482</v>
      </c>
    </row>
    <row r="179" spans="1:2">
      <c r="A179" t="s">
        <v>186</v>
      </c>
      <c r="B179" t="s">
        <v>1482</v>
      </c>
    </row>
    <row r="180" spans="1:2">
      <c r="A180" t="s">
        <v>390</v>
      </c>
      <c r="B180" t="s">
        <v>1482</v>
      </c>
    </row>
    <row r="181" spans="1:2">
      <c r="A181" t="s">
        <v>48</v>
      </c>
      <c r="B181" t="s">
        <v>1482</v>
      </c>
    </row>
    <row r="182" spans="1:2">
      <c r="A182" t="s">
        <v>707</v>
      </c>
      <c r="B182" t="s">
        <v>1482</v>
      </c>
    </row>
    <row r="183" spans="1:2">
      <c r="A183" t="s">
        <v>245</v>
      </c>
      <c r="B183" t="s">
        <v>1482</v>
      </c>
    </row>
    <row r="184" spans="1:2">
      <c r="A184" t="s">
        <v>403</v>
      </c>
      <c r="B184" t="s">
        <v>1482</v>
      </c>
    </row>
    <row r="185" spans="1:2">
      <c r="A185" t="s">
        <v>480</v>
      </c>
      <c r="B185" t="s">
        <v>1482</v>
      </c>
    </row>
    <row r="186" spans="1:2">
      <c r="A186" t="s">
        <v>203</v>
      </c>
      <c r="B186" t="s">
        <v>1482</v>
      </c>
    </row>
    <row r="187" spans="1:2">
      <c r="A187" t="s">
        <v>76</v>
      </c>
      <c r="B187" t="s">
        <v>1482</v>
      </c>
    </row>
    <row r="188" spans="1:2">
      <c r="A188" t="s">
        <v>261</v>
      </c>
      <c r="B188" t="s">
        <v>1482</v>
      </c>
    </row>
    <row r="189" spans="1:2">
      <c r="A189" t="s">
        <v>383</v>
      </c>
      <c r="B189" t="s">
        <v>1482</v>
      </c>
    </row>
    <row r="190" spans="1:2">
      <c r="A190" t="s">
        <v>297</v>
      </c>
      <c r="B190" t="s">
        <v>1482</v>
      </c>
    </row>
    <row r="191" spans="1:2">
      <c r="A191" t="s">
        <v>1523</v>
      </c>
      <c r="B191" t="s">
        <v>1482</v>
      </c>
    </row>
    <row r="192" spans="1:2">
      <c r="A192" t="s">
        <v>522</v>
      </c>
      <c r="B192" t="s">
        <v>1482</v>
      </c>
    </row>
    <row r="193" spans="1:2">
      <c r="A193" t="s">
        <v>72</v>
      </c>
      <c r="B193" t="s">
        <v>1482</v>
      </c>
    </row>
    <row r="194" spans="1:2">
      <c r="A194" t="s">
        <v>66</v>
      </c>
      <c r="B194" t="s">
        <v>1482</v>
      </c>
    </row>
    <row r="195" spans="1:2">
      <c r="A195" t="s">
        <v>42</v>
      </c>
      <c r="B195" t="s">
        <v>1482</v>
      </c>
    </row>
    <row r="196" spans="1:2">
      <c r="A196" t="s">
        <v>115</v>
      </c>
      <c r="B196" t="s">
        <v>1482</v>
      </c>
    </row>
    <row r="197" spans="1:2">
      <c r="A197" t="s">
        <v>810</v>
      </c>
      <c r="B197" t="s">
        <v>1482</v>
      </c>
    </row>
    <row r="198" spans="1:2">
      <c r="A198" t="s">
        <v>103</v>
      </c>
      <c r="B198" t="s">
        <v>1482</v>
      </c>
    </row>
    <row r="199" spans="1:2">
      <c r="A199" t="s">
        <v>320</v>
      </c>
      <c r="B199" t="s">
        <v>1482</v>
      </c>
    </row>
    <row r="200" spans="1:2">
      <c r="A200" t="s">
        <v>225</v>
      </c>
      <c r="B200" t="s">
        <v>1482</v>
      </c>
    </row>
    <row r="201" spans="1:2">
      <c r="A201" t="s">
        <v>21</v>
      </c>
      <c r="B201" t="s">
        <v>1482</v>
      </c>
    </row>
    <row r="202" spans="1:2">
      <c r="A202" t="s">
        <v>31</v>
      </c>
      <c r="B202" t="s">
        <v>1482</v>
      </c>
    </row>
    <row r="203" spans="1:2">
      <c r="A203" t="s">
        <v>510</v>
      </c>
      <c r="B203" t="s">
        <v>1482</v>
      </c>
    </row>
    <row r="204" spans="1:2">
      <c r="A204" t="s">
        <v>1524</v>
      </c>
      <c r="B204" t="s">
        <v>1482</v>
      </c>
    </row>
    <row r="205" spans="1:2">
      <c r="A205" t="s">
        <v>344</v>
      </c>
      <c r="B205" t="s">
        <v>1482</v>
      </c>
    </row>
    <row r="206" spans="1:2">
      <c r="A206" t="s">
        <v>1525</v>
      </c>
      <c r="B206" t="s">
        <v>1482</v>
      </c>
    </row>
    <row r="207" spans="1:2">
      <c r="A207" t="s">
        <v>830</v>
      </c>
      <c r="B207" t="s">
        <v>1483</v>
      </c>
    </row>
    <row r="208" spans="1:2">
      <c r="A208" t="s">
        <v>908</v>
      </c>
      <c r="B208" t="s">
        <v>1483</v>
      </c>
    </row>
    <row r="209" spans="1:2">
      <c r="A209" t="s">
        <v>1129</v>
      </c>
      <c r="B209" t="s">
        <v>1483</v>
      </c>
    </row>
    <row r="210" spans="1:2">
      <c r="A210" t="s">
        <v>910</v>
      </c>
      <c r="B210" t="s">
        <v>1483</v>
      </c>
    </row>
    <row r="211" spans="1:2">
      <c r="A211" s="5" t="s">
        <v>1134</v>
      </c>
      <c r="B211" t="s">
        <v>1483</v>
      </c>
    </row>
    <row r="212" spans="1:2">
      <c r="A212" t="s">
        <v>898</v>
      </c>
      <c r="B212" t="s">
        <v>1483</v>
      </c>
    </row>
    <row r="213" spans="1:2">
      <c r="A213" t="s">
        <v>835</v>
      </c>
      <c r="B213" t="s">
        <v>1483</v>
      </c>
    </row>
    <row r="214" spans="1:2">
      <c r="A214" t="s">
        <v>868</v>
      </c>
      <c r="B214" t="s">
        <v>1483</v>
      </c>
    </row>
    <row r="215" spans="1:2">
      <c r="A215" t="s">
        <v>1018</v>
      </c>
      <c r="B215" t="s">
        <v>1483</v>
      </c>
    </row>
    <row r="216" spans="1:2">
      <c r="A216" t="s">
        <v>837</v>
      </c>
      <c r="B216" t="s">
        <v>1483</v>
      </c>
    </row>
    <row r="217" spans="1:2">
      <c r="A217" t="s">
        <v>904</v>
      </c>
      <c r="B217" t="s">
        <v>1483</v>
      </c>
    </row>
    <row r="218" spans="1:2">
      <c r="A218" t="s">
        <v>1152</v>
      </c>
      <c r="B218" t="s">
        <v>1483</v>
      </c>
    </row>
    <row r="219" spans="1:2">
      <c r="A219" t="s">
        <v>1104</v>
      </c>
      <c r="B219" t="s">
        <v>1483</v>
      </c>
    </row>
    <row r="220" spans="1:2">
      <c r="A220" t="s">
        <v>1154</v>
      </c>
      <c r="B220" t="s">
        <v>1483</v>
      </c>
    </row>
    <row r="221" spans="1:2">
      <c r="A221" t="s">
        <v>883</v>
      </c>
      <c r="B221" t="s">
        <v>1483</v>
      </c>
    </row>
    <row r="222" spans="1:2">
      <c r="A222" t="s">
        <v>968</v>
      </c>
      <c r="B222" t="s">
        <v>1483</v>
      </c>
    </row>
    <row r="223" spans="1:2">
      <c r="A223" t="s">
        <v>894</v>
      </c>
      <c r="B223" t="s">
        <v>1483</v>
      </c>
    </row>
    <row r="224" spans="1:2">
      <c r="A224" t="s">
        <v>1526</v>
      </c>
      <c r="B224" t="s">
        <v>1483</v>
      </c>
    </row>
    <row r="225" spans="1:2">
      <c r="A225" t="s">
        <v>1527</v>
      </c>
      <c r="B225" t="s">
        <v>1483</v>
      </c>
    </row>
    <row r="226" spans="1:2">
      <c r="A226" t="s">
        <v>1150</v>
      </c>
      <c r="B226" t="s">
        <v>1483</v>
      </c>
    </row>
    <row r="227" spans="1:2">
      <c r="A227" t="s">
        <v>1028</v>
      </c>
      <c r="B227" t="s">
        <v>1483</v>
      </c>
    </row>
    <row r="228" spans="1:2">
      <c r="A228" t="s">
        <v>1156</v>
      </c>
      <c r="B228" t="s">
        <v>1483</v>
      </c>
    </row>
    <row r="229" spans="1:2">
      <c r="A229" t="s">
        <v>912</v>
      </c>
      <c r="B229" t="s">
        <v>1483</v>
      </c>
    </row>
    <row r="230" spans="1:2">
      <c r="A230" t="s">
        <v>853</v>
      </c>
      <c r="B230" t="s">
        <v>1483</v>
      </c>
    </row>
    <row r="231" spans="1:2">
      <c r="A231" t="s">
        <v>922</v>
      </c>
      <c r="B231" t="s">
        <v>1483</v>
      </c>
    </row>
    <row r="232" spans="1:2">
      <c r="A232" t="s">
        <v>1528</v>
      </c>
      <c r="B232" t="s">
        <v>1483</v>
      </c>
    </row>
    <row r="233" spans="1:2">
      <c r="A233" t="s">
        <v>1020</v>
      </c>
      <c r="B233" t="s">
        <v>1483</v>
      </c>
    </row>
    <row r="234" spans="1:2">
      <c r="A234" t="s">
        <v>1167</v>
      </c>
      <c r="B234" t="s">
        <v>1483</v>
      </c>
    </row>
    <row r="235" spans="1:2">
      <c r="A235" t="s">
        <v>1010</v>
      </c>
      <c r="B235" t="s">
        <v>1483</v>
      </c>
    </row>
    <row r="236" spans="1:2">
      <c r="A236" t="s">
        <v>1162</v>
      </c>
      <c r="B236" t="s">
        <v>1483</v>
      </c>
    </row>
    <row r="237" spans="1:2">
      <c r="A237" t="s">
        <v>941</v>
      </c>
      <c r="B237" t="s">
        <v>1483</v>
      </c>
    </row>
    <row r="238" spans="1:2">
      <c r="A238" t="s">
        <v>855</v>
      </c>
      <c r="B238" t="s">
        <v>1483</v>
      </c>
    </row>
    <row r="239" spans="1:2">
      <c r="A239" t="s">
        <v>1529</v>
      </c>
      <c r="B239" t="s">
        <v>1483</v>
      </c>
    </row>
    <row r="240" spans="1:2">
      <c r="A240" t="s">
        <v>1004</v>
      </c>
      <c r="B240" t="s">
        <v>1483</v>
      </c>
    </row>
    <row r="241" spans="1:2">
      <c r="A241" t="s">
        <v>1085</v>
      </c>
      <c r="B241" t="s">
        <v>1483</v>
      </c>
    </row>
    <row r="242" spans="1:2">
      <c r="A242" t="s">
        <v>1110</v>
      </c>
      <c r="B242" t="s">
        <v>1483</v>
      </c>
    </row>
    <row r="243" spans="1:2">
      <c r="A243" t="s">
        <v>1038</v>
      </c>
      <c r="B243" t="s">
        <v>1483</v>
      </c>
    </row>
    <row r="244" spans="1:2">
      <c r="A244" t="s">
        <v>1047</v>
      </c>
      <c r="B244" t="s">
        <v>1483</v>
      </c>
    </row>
    <row r="245" spans="1:2">
      <c r="A245" t="s">
        <v>1530</v>
      </c>
      <c r="B245" t="s">
        <v>1483</v>
      </c>
    </row>
    <row r="246" spans="1:2">
      <c r="A246" t="s">
        <v>924</v>
      </c>
      <c r="B246" t="s">
        <v>1483</v>
      </c>
    </row>
    <row r="247" spans="1:2">
      <c r="A247" t="s">
        <v>920</v>
      </c>
      <c r="B247" t="s">
        <v>1483</v>
      </c>
    </row>
    <row r="248" spans="1:2">
      <c r="A248" t="s">
        <v>1531</v>
      </c>
      <c r="B248" t="s">
        <v>1483</v>
      </c>
    </row>
    <row r="249" spans="1:2">
      <c r="A249" t="s">
        <v>1100</v>
      </c>
      <c r="B249" t="s">
        <v>1483</v>
      </c>
    </row>
    <row r="250" spans="1:2">
      <c r="A250" t="s">
        <v>937</v>
      </c>
      <c r="B250" t="s">
        <v>1483</v>
      </c>
    </row>
    <row r="251" spans="1:2">
      <c r="A251" t="s">
        <v>943</v>
      </c>
      <c r="B251" t="s">
        <v>1483</v>
      </c>
    </row>
    <row r="252" spans="1:2">
      <c r="A252" t="s">
        <v>1067</v>
      </c>
      <c r="B252" t="s">
        <v>1483</v>
      </c>
    </row>
    <row r="253" spans="1:2">
      <c r="A253" t="s">
        <v>1532</v>
      </c>
      <c r="B253" t="s">
        <v>1483</v>
      </c>
    </row>
    <row r="254" spans="1:2">
      <c r="A254" t="s">
        <v>1533</v>
      </c>
      <c r="B254" t="s">
        <v>1483</v>
      </c>
    </row>
    <row r="255" spans="1:2">
      <c r="A255" t="s">
        <v>999</v>
      </c>
      <c r="B255" t="s">
        <v>1483</v>
      </c>
    </row>
    <row r="256" spans="1:2">
      <c r="A256" t="s">
        <v>1138</v>
      </c>
      <c r="B256" t="s">
        <v>1483</v>
      </c>
    </row>
    <row r="257" spans="1:2">
      <c r="A257" t="s">
        <v>974</v>
      </c>
      <c r="B257" t="s">
        <v>1483</v>
      </c>
    </row>
    <row r="258" spans="1:2">
      <c r="A258" t="s">
        <v>1534</v>
      </c>
      <c r="B258" t="s">
        <v>1483</v>
      </c>
    </row>
    <row r="259" spans="1:2">
      <c r="A259" t="s">
        <v>1063</v>
      </c>
      <c r="B259" t="s">
        <v>1483</v>
      </c>
    </row>
    <row r="260" spans="1:2">
      <c r="A260" t="s">
        <v>1049</v>
      </c>
      <c r="B260" t="s">
        <v>1483</v>
      </c>
    </row>
    <row r="261" spans="1:2">
      <c r="A261" t="s">
        <v>1535</v>
      </c>
      <c r="B261" t="s">
        <v>1483</v>
      </c>
    </row>
    <row r="262" spans="1:2">
      <c r="A262" t="s">
        <v>1536</v>
      </c>
      <c r="B262" t="s">
        <v>1483</v>
      </c>
    </row>
    <row r="263" spans="1:2">
      <c r="A263" t="s">
        <v>928</v>
      </c>
      <c r="B263" t="s">
        <v>1483</v>
      </c>
    </row>
    <row r="264" spans="1:2">
      <c r="A264" t="s">
        <v>1537</v>
      </c>
      <c r="B264" t="s">
        <v>1483</v>
      </c>
    </row>
    <row r="265" spans="1:2">
      <c r="A265" t="s">
        <v>1040</v>
      </c>
      <c r="B265" t="s">
        <v>1483</v>
      </c>
    </row>
    <row r="266" spans="1:2">
      <c r="A266" t="s">
        <v>1538</v>
      </c>
      <c r="B266" t="s">
        <v>1483</v>
      </c>
    </row>
    <row r="267" spans="1:2">
      <c r="A267" t="s">
        <v>1118</v>
      </c>
      <c r="B267" t="s">
        <v>1483</v>
      </c>
    </row>
    <row r="268" spans="1:2">
      <c r="A268" t="s">
        <v>1539</v>
      </c>
      <c r="B268" t="s">
        <v>1483</v>
      </c>
    </row>
    <row r="269" spans="1:2">
      <c r="A269" t="s">
        <v>1077</v>
      </c>
      <c r="B269" t="s">
        <v>1483</v>
      </c>
    </row>
    <row r="270" spans="1:2">
      <c r="A270" t="s">
        <v>1006</v>
      </c>
      <c r="B270" t="s">
        <v>1483</v>
      </c>
    </row>
    <row r="271" spans="1:2">
      <c r="A271" t="s">
        <v>1540</v>
      </c>
      <c r="B271" t="s">
        <v>1483</v>
      </c>
    </row>
    <row r="272" spans="1:2">
      <c r="A272" t="s">
        <v>1541</v>
      </c>
      <c r="B272" t="s">
        <v>1483</v>
      </c>
    </row>
    <row r="273" spans="1:2">
      <c r="A273" t="s">
        <v>1542</v>
      </c>
      <c r="B273" t="s">
        <v>1483</v>
      </c>
    </row>
    <row r="274" spans="1:2">
      <c r="A274" t="s">
        <v>962</v>
      </c>
      <c r="B274" t="s">
        <v>1483</v>
      </c>
    </row>
    <row r="275" spans="1:2">
      <c r="A275" t="s">
        <v>984</v>
      </c>
      <c r="B275" t="s">
        <v>1483</v>
      </c>
    </row>
    <row r="276" spans="1:2">
      <c r="A276" s="5" t="s">
        <v>1032</v>
      </c>
      <c r="B276" t="s">
        <v>1483</v>
      </c>
    </row>
    <row r="277" spans="1:2">
      <c r="A277" t="s">
        <v>1543</v>
      </c>
      <c r="B277" t="s">
        <v>1483</v>
      </c>
    </row>
    <row r="278" spans="1:2">
      <c r="A278" t="s">
        <v>1073</v>
      </c>
      <c r="B278" t="s">
        <v>1483</v>
      </c>
    </row>
    <row r="279" spans="1:2">
      <c r="A279" t="s">
        <v>1083</v>
      </c>
      <c r="B279" t="s">
        <v>1483</v>
      </c>
    </row>
    <row r="280" spans="1:2">
      <c r="A280" t="s">
        <v>1034</v>
      </c>
      <c r="B280" t="s">
        <v>1483</v>
      </c>
    </row>
    <row r="281" spans="1:2">
      <c r="A281" t="s">
        <v>1544</v>
      </c>
      <c r="B281" t="s">
        <v>1483</v>
      </c>
    </row>
    <row r="282" spans="1:2">
      <c r="A282" t="s">
        <v>1545</v>
      </c>
      <c r="B282" t="s">
        <v>1483</v>
      </c>
    </row>
    <row r="283" spans="1:2">
      <c r="A283" t="s">
        <v>1546</v>
      </c>
      <c r="B283" t="s">
        <v>1483</v>
      </c>
    </row>
    <row r="284" spans="1:2">
      <c r="A284" t="s">
        <v>990</v>
      </c>
      <c r="B284" t="s">
        <v>1483</v>
      </c>
    </row>
    <row r="285" spans="1:2">
      <c r="A285" t="s">
        <v>1547</v>
      </c>
      <c r="B285" t="s">
        <v>1483</v>
      </c>
    </row>
    <row r="286" spans="1:2">
      <c r="A286" t="s">
        <v>1548</v>
      </c>
      <c r="B286" t="s">
        <v>1483</v>
      </c>
    </row>
    <row r="287" spans="1:2">
      <c r="A287" t="s">
        <v>906</v>
      </c>
      <c r="B287" t="s">
        <v>1483</v>
      </c>
    </row>
    <row r="288" spans="1:2">
      <c r="A288" t="s">
        <v>1148</v>
      </c>
      <c r="B288" t="s">
        <v>1483</v>
      </c>
    </row>
    <row r="289" spans="1:2">
      <c r="A289" t="s">
        <v>1053</v>
      </c>
      <c r="B289" t="s">
        <v>1483</v>
      </c>
    </row>
    <row r="290" spans="1:2">
      <c r="A290" t="s">
        <v>1116</v>
      </c>
      <c r="B290" t="s">
        <v>1483</v>
      </c>
    </row>
    <row r="291" spans="1:2">
      <c r="A291" t="s">
        <v>1024</v>
      </c>
      <c r="B291" t="s">
        <v>1483</v>
      </c>
    </row>
    <row r="292" spans="1:2">
      <c r="A292" t="s">
        <v>952</v>
      </c>
      <c r="B292" t="s">
        <v>1483</v>
      </c>
    </row>
    <row r="293" spans="1:2">
      <c r="A293" t="s">
        <v>1549</v>
      </c>
      <c r="B293" t="s">
        <v>1483</v>
      </c>
    </row>
    <row r="294" spans="1:2">
      <c r="A294" t="s">
        <v>1550</v>
      </c>
      <c r="B294" t="s">
        <v>1483</v>
      </c>
    </row>
    <row r="295" spans="1:2">
      <c r="A295" t="s">
        <v>1071</v>
      </c>
      <c r="B295" t="s">
        <v>1483</v>
      </c>
    </row>
    <row r="296" spans="1:2">
      <c r="A296" t="s">
        <v>1551</v>
      </c>
      <c r="B296" t="s">
        <v>1483</v>
      </c>
    </row>
    <row r="297" spans="1:2">
      <c r="A297" t="s">
        <v>887</v>
      </c>
      <c r="B297" t="s">
        <v>1483</v>
      </c>
    </row>
    <row r="298" spans="1:2">
      <c r="A298" t="s">
        <v>1065</v>
      </c>
      <c r="B298" t="s">
        <v>1483</v>
      </c>
    </row>
    <row r="299" spans="1:2">
      <c r="A299" t="s">
        <v>1030</v>
      </c>
      <c r="B299" t="s">
        <v>1483</v>
      </c>
    </row>
    <row r="300" spans="1:2">
      <c r="A300" t="s">
        <v>1075</v>
      </c>
      <c r="B300" t="s">
        <v>1483</v>
      </c>
    </row>
    <row r="301" spans="1:2">
      <c r="A301" t="s">
        <v>1112</v>
      </c>
      <c r="B301" t="s">
        <v>1483</v>
      </c>
    </row>
    <row r="302" spans="1:2">
      <c r="A302" t="s">
        <v>896</v>
      </c>
      <c r="B302" t="s">
        <v>1483</v>
      </c>
    </row>
    <row r="303" spans="1:2">
      <c r="A303" t="s">
        <v>1014</v>
      </c>
      <c r="B303" t="s">
        <v>1483</v>
      </c>
    </row>
    <row r="304" spans="1:2">
      <c r="A304" t="s">
        <v>926</v>
      </c>
      <c r="B304" t="s">
        <v>1483</v>
      </c>
    </row>
    <row r="305" spans="1:2">
      <c r="A305" t="s">
        <v>1552</v>
      </c>
      <c r="B305" t="s">
        <v>1483</v>
      </c>
    </row>
    <row r="306" spans="1:2">
      <c r="A306" t="s">
        <v>848</v>
      </c>
      <c r="B306" t="s">
        <v>1483</v>
      </c>
    </row>
    <row r="307" spans="1:2">
      <c r="A307" s="5" t="s">
        <v>1142</v>
      </c>
      <c r="B307" t="s">
        <v>1483</v>
      </c>
    </row>
    <row r="308" spans="1:2">
      <c r="A308" t="s">
        <v>914</v>
      </c>
      <c r="B308" t="s">
        <v>1483</v>
      </c>
    </row>
    <row r="309" spans="1:2">
      <c r="A309" t="s">
        <v>1059</v>
      </c>
      <c r="B309" t="s">
        <v>1483</v>
      </c>
    </row>
    <row r="310" spans="1:2">
      <c r="A310" t="s">
        <v>833</v>
      </c>
      <c r="B310" t="s">
        <v>1483</v>
      </c>
    </row>
    <row r="311" spans="1:2">
      <c r="A311" t="s">
        <v>1553</v>
      </c>
      <c r="B311" t="s">
        <v>1483</v>
      </c>
    </row>
    <row r="312" spans="1:2">
      <c r="A312" t="s">
        <v>1106</v>
      </c>
      <c r="B312" t="s">
        <v>1483</v>
      </c>
    </row>
    <row r="313" spans="1:2">
      <c r="A313" t="s">
        <v>864</v>
      </c>
      <c r="B313" t="s">
        <v>1483</v>
      </c>
    </row>
    <row r="314" spans="1:2">
      <c r="A314" t="s">
        <v>1102</v>
      </c>
      <c r="B314" t="s">
        <v>1483</v>
      </c>
    </row>
    <row r="315" spans="1:2">
      <c r="A315" t="s">
        <v>976</v>
      </c>
      <c r="B315" t="s">
        <v>1483</v>
      </c>
    </row>
    <row r="316" spans="1:2">
      <c r="A316" t="s">
        <v>933</v>
      </c>
      <c r="B316" t="s">
        <v>1483</v>
      </c>
    </row>
    <row r="317" spans="1:2">
      <c r="A317" t="s">
        <v>978</v>
      </c>
      <c r="B317" t="s">
        <v>1483</v>
      </c>
    </row>
    <row r="318" spans="1:2">
      <c r="A318" t="s">
        <v>1125</v>
      </c>
      <c r="B318" t="s">
        <v>1483</v>
      </c>
    </row>
    <row r="319" spans="1:2">
      <c r="A319" t="s">
        <v>1108</v>
      </c>
      <c r="B319" t="s">
        <v>1483</v>
      </c>
    </row>
    <row r="320" spans="1:2">
      <c r="A320" t="s">
        <v>1164</v>
      </c>
      <c r="B320" t="s">
        <v>1483</v>
      </c>
    </row>
    <row r="321" spans="1:2">
      <c r="A321" t="s">
        <v>1026</v>
      </c>
      <c r="B321" t="s">
        <v>1483</v>
      </c>
    </row>
    <row r="322" spans="1:2">
      <c r="A322" t="s">
        <v>874</v>
      </c>
      <c r="B322" t="s">
        <v>1483</v>
      </c>
    </row>
    <row r="323" spans="1:2">
      <c r="A323" t="s">
        <v>960</v>
      </c>
      <c r="B323" t="s">
        <v>1483</v>
      </c>
    </row>
    <row r="324" spans="1:2">
      <c r="A324" t="s">
        <v>1056</v>
      </c>
      <c r="B324" t="s">
        <v>1483</v>
      </c>
    </row>
    <row r="325" spans="1:2">
      <c r="A325" t="s">
        <v>1146</v>
      </c>
      <c r="B325" t="s">
        <v>1483</v>
      </c>
    </row>
    <row r="326" spans="1:2">
      <c r="A326" t="s">
        <v>1127</v>
      </c>
      <c r="B326" t="s">
        <v>1483</v>
      </c>
    </row>
    <row r="327" spans="1:2">
      <c r="A327" t="s">
        <v>916</v>
      </c>
      <c r="B327" t="s">
        <v>1483</v>
      </c>
    </row>
    <row r="328" spans="1:2">
      <c r="A328" t="s">
        <v>857</v>
      </c>
      <c r="B328" t="s">
        <v>1483</v>
      </c>
    </row>
    <row r="329" spans="1:2">
      <c r="A329" t="s">
        <v>1554</v>
      </c>
      <c r="B329" t="s">
        <v>1483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430" zoomScale="85" zoomScaleNormal="85" workbookViewId="0">
      <selection activeCell="Y464" sqref="Y464"/>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1555</v>
      </c>
      <c r="C1" s="38" t="s">
        <v>1556</v>
      </c>
      <c r="D1" s="38" t="s">
        <v>1557</v>
      </c>
      <c r="E1" s="38" t="s">
        <v>1558</v>
      </c>
      <c r="F1" s="38" t="s">
        <v>1559</v>
      </c>
      <c r="G1" s="38" t="s">
        <v>1560</v>
      </c>
      <c r="H1" s="38" t="s">
        <v>1561</v>
      </c>
      <c r="I1" s="38" t="s">
        <v>1562</v>
      </c>
      <c r="J1" s="38" t="s">
        <v>1563</v>
      </c>
      <c r="K1" s="38" t="s">
        <v>1564</v>
      </c>
      <c r="L1" s="38" t="s">
        <v>1565</v>
      </c>
      <c r="M1" s="38" t="s">
        <v>1566</v>
      </c>
      <c r="N1" s="38" t="s">
        <v>1567</v>
      </c>
      <c r="O1" s="38" t="s">
        <v>1568</v>
      </c>
      <c r="P1" s="38" t="s">
        <v>1569</v>
      </c>
      <c r="Q1" s="38" t="s">
        <v>1570</v>
      </c>
      <c r="R1" s="38" t="s">
        <v>1571</v>
      </c>
      <c r="S1" s="38" t="s">
        <v>1572</v>
      </c>
      <c r="T1" s="38" t="s">
        <v>1573</v>
      </c>
      <c r="U1" s="38" t="s">
        <v>1574</v>
      </c>
      <c r="V1" s="38" t="s">
        <v>1575</v>
      </c>
      <c r="W1" s="38" t="s">
        <v>1576</v>
      </c>
      <c r="X1" s="38" t="s">
        <v>1577</v>
      </c>
      <c r="Y1" s="38" t="s">
        <v>1578</v>
      </c>
      <c r="Z1" s="38" t="s">
        <v>1579</v>
      </c>
      <c r="AA1" s="38" t="s">
        <v>1580</v>
      </c>
      <c r="AD1" s="129" t="s">
        <v>1491</v>
      </c>
      <c r="AE1" s="38" t="s">
        <v>1581</v>
      </c>
      <c r="AF1" s="38" t="s">
        <v>1582</v>
      </c>
      <c r="AG1" s="38" t="s">
        <v>1583</v>
      </c>
      <c r="AH1" s="38" t="s">
        <v>1584</v>
      </c>
      <c r="AI1" s="38" t="s">
        <v>1585</v>
      </c>
      <c r="AJ1" s="38" t="s">
        <v>1586</v>
      </c>
    </row>
    <row r="2" spans="1:36" hidden="1">
      <c r="A2" s="39" t="s">
        <v>169</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23</v>
      </c>
      <c r="AE2" s="28">
        <v>67399</v>
      </c>
      <c r="AF2">
        <v>297250</v>
      </c>
      <c r="AG2">
        <v>63452</v>
      </c>
      <c r="AH2">
        <v>220366</v>
      </c>
    </row>
    <row r="3" spans="1:36" hidden="1">
      <c r="A3" s="39" t="s">
        <v>34</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161</v>
      </c>
      <c r="AE3" s="28">
        <v>4822</v>
      </c>
      <c r="AF3">
        <v>29959</v>
      </c>
      <c r="AG3">
        <v>4146</v>
      </c>
      <c r="AH3">
        <v>24385</v>
      </c>
    </row>
    <row r="4" spans="1:36" hidden="1">
      <c r="A4" s="39" t="s">
        <v>31</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40</v>
      </c>
      <c r="AE4" s="28">
        <v>10249</v>
      </c>
      <c r="AF4">
        <v>30497</v>
      </c>
      <c r="AG4">
        <v>11317</v>
      </c>
      <c r="AH4">
        <v>40299</v>
      </c>
    </row>
    <row r="5" spans="1:36" hidden="1">
      <c r="A5" s="39" t="s">
        <v>1065</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38</v>
      </c>
      <c r="AE5" s="28">
        <v>26241</v>
      </c>
      <c r="AF5">
        <v>119613</v>
      </c>
      <c r="AG5">
        <v>21449</v>
      </c>
      <c r="AH5">
        <v>89404</v>
      </c>
    </row>
    <row r="6" spans="1:36" hidden="1">
      <c r="A6" s="39" t="s">
        <v>78</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36</v>
      </c>
      <c r="AE6" s="28">
        <v>20605</v>
      </c>
      <c r="AF6">
        <v>87723</v>
      </c>
      <c r="AG6">
        <v>17467</v>
      </c>
      <c r="AH6">
        <v>88572</v>
      </c>
    </row>
    <row r="7" spans="1:36" hidden="1">
      <c r="A7" s="39" t="s">
        <v>101</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74</v>
      </c>
      <c r="AE7" s="28">
        <v>6929</v>
      </c>
      <c r="AF7">
        <v>20535</v>
      </c>
      <c r="AG7">
        <v>6853</v>
      </c>
      <c r="AH7">
        <v>20846</v>
      </c>
    </row>
    <row r="8" spans="1:36" hidden="1">
      <c r="A8" s="39" t="s">
        <v>353</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259</v>
      </c>
      <c r="AE8" s="28">
        <v>2129</v>
      </c>
      <c r="AF8">
        <v>8488</v>
      </c>
      <c r="AG8">
        <v>2143</v>
      </c>
      <c r="AH8">
        <v>9087</v>
      </c>
    </row>
    <row r="9" spans="1:36" hidden="1">
      <c r="A9" s="39" t="s">
        <v>131</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44</v>
      </c>
      <c r="AE9" s="28">
        <v>11862</v>
      </c>
      <c r="AF9">
        <v>26335</v>
      </c>
      <c r="AG9">
        <v>11360</v>
      </c>
      <c r="AH9">
        <v>25016</v>
      </c>
    </row>
    <row r="10" spans="1:36" hidden="1">
      <c r="A10" s="39" t="s">
        <v>68</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101</v>
      </c>
      <c r="AE10" s="28">
        <v>4129</v>
      </c>
      <c r="AF10">
        <v>18813</v>
      </c>
      <c r="AG10">
        <v>5345</v>
      </c>
      <c r="AH10">
        <v>22943</v>
      </c>
    </row>
    <row r="11" spans="1:36" hidden="1">
      <c r="A11" s="39" t="s">
        <v>355</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31</v>
      </c>
      <c r="AE11" s="28">
        <v>25786</v>
      </c>
      <c r="AF11">
        <v>115850</v>
      </c>
      <c r="AG11">
        <v>23841</v>
      </c>
      <c r="AH11">
        <v>98104</v>
      </c>
    </row>
    <row r="12" spans="1:36" hidden="1">
      <c r="A12" s="39" t="s">
        <v>898</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278</v>
      </c>
      <c r="AE12" s="28">
        <v>4818</v>
      </c>
      <c r="AF12">
        <v>12139</v>
      </c>
      <c r="AG12">
        <v>3375</v>
      </c>
      <c r="AH12">
        <v>8797</v>
      </c>
    </row>
    <row r="13" spans="1:36" hidden="1">
      <c r="A13" s="39" t="s">
        <v>896</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131</v>
      </c>
      <c r="AE13" s="28">
        <v>3732</v>
      </c>
      <c r="AF13">
        <v>12113</v>
      </c>
      <c r="AG13">
        <v>3441</v>
      </c>
      <c r="AH13">
        <v>11479</v>
      </c>
    </row>
    <row r="14" spans="1:36" hidden="1">
      <c r="A14" s="39" t="s">
        <v>291</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56</v>
      </c>
      <c r="AE14" s="28">
        <v>11641</v>
      </c>
      <c r="AF14">
        <v>28899</v>
      </c>
      <c r="AG14">
        <v>10424</v>
      </c>
      <c r="AH14">
        <v>27780</v>
      </c>
    </row>
    <row r="15" spans="1:36" hidden="1">
      <c r="A15" s="39" t="s">
        <v>416</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28</v>
      </c>
      <c r="AE15" s="28">
        <v>7271</v>
      </c>
      <c r="AF15">
        <v>24464</v>
      </c>
      <c r="AG15">
        <v>10543</v>
      </c>
      <c r="AH15">
        <v>40468</v>
      </c>
    </row>
    <row r="16" spans="1:36" hidden="1">
      <c r="A16" s="39" t="s">
        <v>72</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48</v>
      </c>
      <c r="AE16" s="28">
        <v>4069</v>
      </c>
      <c r="AF16">
        <v>14752</v>
      </c>
      <c r="AG16">
        <v>3844</v>
      </c>
      <c r="AH16">
        <v>14485</v>
      </c>
    </row>
    <row r="17" spans="1:34" hidden="1">
      <c r="A17" s="39" t="s">
        <v>196</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203</v>
      </c>
      <c r="AE17" s="28">
        <v>3689</v>
      </c>
      <c r="AF17">
        <v>14117</v>
      </c>
      <c r="AG17">
        <v>3473</v>
      </c>
      <c r="AH17">
        <v>14892</v>
      </c>
    </row>
    <row r="18" spans="1:34" hidden="1">
      <c r="A18" s="39" t="s">
        <v>190</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695</v>
      </c>
      <c r="AE18" s="28">
        <v>1500</v>
      </c>
      <c r="AF18">
        <v>6351</v>
      </c>
      <c r="AH18">
        <v>0</v>
      </c>
    </row>
    <row r="19" spans="1:34" hidden="1">
      <c r="A19" s="39" t="s">
        <v>429</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221</v>
      </c>
      <c r="AE19" s="28">
        <v>2196</v>
      </c>
      <c r="AF19">
        <v>5001</v>
      </c>
      <c r="AG19">
        <v>2246</v>
      </c>
      <c r="AH19">
        <v>4686</v>
      </c>
    </row>
    <row r="20" spans="1:34" hidden="1">
      <c r="A20" s="39" t="s">
        <v>401</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674</v>
      </c>
      <c r="AE20" s="28">
        <v>1326</v>
      </c>
      <c r="AF20">
        <v>7012</v>
      </c>
      <c r="AH20">
        <v>0</v>
      </c>
    </row>
    <row r="21" spans="1:34" hidden="1">
      <c r="A21" s="39" t="s">
        <v>117</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344</v>
      </c>
      <c r="AE21" s="28">
        <v>1109</v>
      </c>
      <c r="AF21">
        <v>3594</v>
      </c>
      <c r="AG21">
        <v>916</v>
      </c>
      <c r="AH21">
        <v>4179</v>
      </c>
    </row>
    <row r="22" spans="1:34" hidden="1">
      <c r="A22" s="39" t="s">
        <v>976</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188</v>
      </c>
      <c r="AE22" s="28">
        <v>4052</v>
      </c>
      <c r="AF22">
        <v>25148</v>
      </c>
      <c r="AG22">
        <v>2601</v>
      </c>
      <c r="AH22">
        <v>23557</v>
      </c>
    </row>
    <row r="23" spans="1:34" hidden="1">
      <c r="A23" s="39" t="s">
        <v>161</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707</v>
      </c>
      <c r="AE23" s="28">
        <v>1476</v>
      </c>
      <c r="AF23">
        <v>6959</v>
      </c>
      <c r="AH23">
        <v>0</v>
      </c>
    </row>
    <row r="24" spans="1:34" hidden="1">
      <c r="A24" s="39" t="s">
        <v>545</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34</v>
      </c>
      <c r="AE24" s="28">
        <v>14987</v>
      </c>
      <c r="AF24">
        <v>52476</v>
      </c>
      <c r="AG24">
        <v>15202</v>
      </c>
      <c r="AH24">
        <v>62646</v>
      </c>
    </row>
    <row r="25" spans="1:34" hidden="1">
      <c r="A25" s="39" t="s">
        <v>215</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758</v>
      </c>
      <c r="AE25" s="28">
        <v>652</v>
      </c>
      <c r="AF25">
        <v>3797</v>
      </c>
      <c r="AG25">
        <v>750</v>
      </c>
      <c r="AH25">
        <v>3773</v>
      </c>
    </row>
    <row r="26" spans="1:34" hidden="1">
      <c r="A26" s="39" t="s">
        <v>450</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476</v>
      </c>
      <c r="AE26" s="28">
        <v>1671</v>
      </c>
      <c r="AF26">
        <v>3766</v>
      </c>
      <c r="AG26">
        <v>1289</v>
      </c>
      <c r="AH26">
        <v>3350</v>
      </c>
    </row>
    <row r="27" spans="1:34" hidden="1">
      <c r="A27" s="39" t="s">
        <v>493</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243</v>
      </c>
      <c r="AE27" s="28">
        <v>2656</v>
      </c>
      <c r="AF27">
        <v>14102</v>
      </c>
      <c r="AG27">
        <v>1956</v>
      </c>
      <c r="AH27">
        <v>10593</v>
      </c>
    </row>
    <row r="28" spans="1:34" hidden="1">
      <c r="A28" s="39" t="s">
        <v>159</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798</v>
      </c>
      <c r="AE28" s="28">
        <v>596</v>
      </c>
      <c r="AF28">
        <v>3841</v>
      </c>
      <c r="AH28">
        <v>0</v>
      </c>
    </row>
    <row r="29" spans="1:34" hidden="1">
      <c r="A29" s="39" t="s">
        <v>48</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383</v>
      </c>
      <c r="AE29" s="28">
        <v>1681</v>
      </c>
      <c r="AF29">
        <v>7809</v>
      </c>
      <c r="AG29">
        <v>1626</v>
      </c>
      <c r="AH29">
        <v>6360</v>
      </c>
    </row>
    <row r="30" spans="1:34" hidden="1">
      <c r="A30" s="39" t="s">
        <v>272</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407</v>
      </c>
      <c r="AE30" s="28">
        <v>1969</v>
      </c>
      <c r="AF30">
        <v>3186</v>
      </c>
      <c r="AG30">
        <v>1236</v>
      </c>
      <c r="AH30">
        <v>3337</v>
      </c>
    </row>
    <row r="31" spans="1:34" hidden="1">
      <c r="A31" s="39" t="s">
        <v>318</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281</v>
      </c>
      <c r="AE31" s="28">
        <v>1923</v>
      </c>
      <c r="AF31">
        <v>7678</v>
      </c>
      <c r="AG31">
        <v>1586</v>
      </c>
      <c r="AH31">
        <v>6667</v>
      </c>
    </row>
    <row r="32" spans="1:34" hidden="1">
      <c r="A32" s="39" t="s">
        <v>518</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334</v>
      </c>
      <c r="AE32" s="28">
        <v>1541</v>
      </c>
      <c r="AF32">
        <v>5675</v>
      </c>
      <c r="AG32">
        <v>1822</v>
      </c>
      <c r="AH32">
        <v>6730</v>
      </c>
    </row>
    <row r="33" spans="1:34" hidden="1">
      <c r="A33" s="39" t="s">
        <v>361</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125</v>
      </c>
      <c r="AE33" s="28">
        <v>2159</v>
      </c>
      <c r="AF33">
        <v>7520</v>
      </c>
      <c r="AG33">
        <v>2259</v>
      </c>
      <c r="AH33">
        <v>7860</v>
      </c>
    </row>
    <row r="34" spans="1:34" hidden="1">
      <c r="A34" s="39" t="s">
        <v>508</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231</v>
      </c>
      <c r="AE34" s="28">
        <v>1658</v>
      </c>
      <c r="AF34">
        <v>6313</v>
      </c>
      <c r="AG34">
        <v>1995</v>
      </c>
      <c r="AH34">
        <v>7785</v>
      </c>
    </row>
    <row r="35" spans="1:34" hidden="1">
      <c r="A35" s="39" t="s">
        <v>153</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715</v>
      </c>
      <c r="AE35" s="28">
        <v>1546</v>
      </c>
      <c r="AF35">
        <v>6817</v>
      </c>
      <c r="AH35">
        <v>0</v>
      </c>
    </row>
    <row r="36" spans="1:34" hidden="1">
      <c r="A36" s="39" t="s">
        <v>758</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121</v>
      </c>
      <c r="AE36" s="28">
        <v>2684</v>
      </c>
      <c r="AF36">
        <v>10777</v>
      </c>
      <c r="AG36">
        <v>2343</v>
      </c>
      <c r="AH36">
        <v>9865</v>
      </c>
    </row>
    <row r="37" spans="1:34" hidden="1">
      <c r="A37" s="39" t="s">
        <v>1150</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113</v>
      </c>
      <c r="AE37" s="28">
        <v>4901</v>
      </c>
      <c r="AF37">
        <v>19375</v>
      </c>
      <c r="AG37">
        <v>5061</v>
      </c>
      <c r="AH37">
        <v>23565</v>
      </c>
    </row>
    <row r="38" spans="1:34" hidden="1">
      <c r="A38" s="39" t="s">
        <v>962</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567</v>
      </c>
      <c r="AE38" s="28">
        <v>1150</v>
      </c>
      <c r="AF38">
        <v>3529</v>
      </c>
      <c r="AH38">
        <v>0</v>
      </c>
    </row>
    <row r="39" spans="1:34" hidden="1">
      <c r="A39" s="39" t="s">
        <v>56</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314</v>
      </c>
      <c r="AE39" s="28">
        <v>3490</v>
      </c>
      <c r="AF39">
        <v>18684</v>
      </c>
      <c r="AG39">
        <v>4073</v>
      </c>
      <c r="AH39">
        <v>21724</v>
      </c>
    </row>
    <row r="40" spans="1:34" hidden="1">
      <c r="A40" s="39" t="s">
        <v>1049</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532</v>
      </c>
      <c r="AE40" s="28">
        <v>973</v>
      </c>
      <c r="AF40">
        <v>4096</v>
      </c>
      <c r="AH40">
        <v>0</v>
      </c>
    </row>
    <row r="41" spans="1:34" hidden="1">
      <c r="A41" s="39" t="s">
        <v>316</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241</v>
      </c>
      <c r="AE41" s="28">
        <v>1611</v>
      </c>
      <c r="AF41">
        <v>4335</v>
      </c>
      <c r="AG41">
        <v>1357</v>
      </c>
      <c r="AH41">
        <v>2617</v>
      </c>
    </row>
    <row r="42" spans="1:34" hidden="1">
      <c r="A42" s="39" t="s">
        <v>868</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107</v>
      </c>
      <c r="AE42" s="28">
        <v>2321</v>
      </c>
      <c r="AF42">
        <v>21220</v>
      </c>
      <c r="AG42">
        <v>2515</v>
      </c>
      <c r="AH42">
        <v>18482</v>
      </c>
    </row>
    <row r="43" spans="1:34" hidden="1">
      <c r="A43" s="39" t="s">
        <v>1116</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205</v>
      </c>
      <c r="AE43" s="28">
        <v>2223</v>
      </c>
      <c r="AF43">
        <v>12395</v>
      </c>
      <c r="AG43">
        <v>2088</v>
      </c>
      <c r="AH43">
        <v>12498</v>
      </c>
    </row>
    <row r="44" spans="1:34" hidden="1">
      <c r="A44" s="39" t="s">
        <v>924</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510</v>
      </c>
      <c r="AE44" s="28">
        <v>741</v>
      </c>
      <c r="AF44">
        <v>2337</v>
      </c>
      <c r="AG44">
        <v>580</v>
      </c>
      <c r="AH44">
        <v>1736</v>
      </c>
    </row>
    <row r="45" spans="1:34" hidden="1">
      <c r="A45" s="39" t="s">
        <v>1154</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133</v>
      </c>
      <c r="AE45" s="28">
        <v>1931</v>
      </c>
      <c r="AF45">
        <v>6561</v>
      </c>
      <c r="AG45">
        <v>890</v>
      </c>
      <c r="AH45">
        <v>2945</v>
      </c>
    </row>
    <row r="46" spans="1:34" hidden="1">
      <c r="A46" s="39" t="s">
        <v>906</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454</v>
      </c>
      <c r="AE46" s="28">
        <v>1390</v>
      </c>
      <c r="AF46">
        <v>8504</v>
      </c>
      <c r="AH46">
        <v>0</v>
      </c>
    </row>
    <row r="47" spans="1:34" hidden="1">
      <c r="A47" s="39" t="s">
        <v>227</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253</v>
      </c>
      <c r="AE47" s="28">
        <v>940</v>
      </c>
      <c r="AF47">
        <v>3810</v>
      </c>
      <c r="AG47">
        <v>1019</v>
      </c>
      <c r="AH47">
        <v>5786</v>
      </c>
    </row>
    <row r="48" spans="1:34" hidden="1">
      <c r="A48" s="39" t="s">
        <v>462</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95</v>
      </c>
      <c r="AE48" s="28">
        <v>3488</v>
      </c>
      <c r="AF48">
        <v>16265</v>
      </c>
      <c r="AH48">
        <v>0</v>
      </c>
    </row>
    <row r="49" spans="1:34" hidden="1">
      <c r="A49" s="39" t="s">
        <v>912</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66</v>
      </c>
      <c r="AE49" s="28">
        <v>5377</v>
      </c>
      <c r="AF49">
        <v>25769</v>
      </c>
      <c r="AG49">
        <v>5780</v>
      </c>
      <c r="AH49">
        <v>29652</v>
      </c>
    </row>
    <row r="50" spans="1:34" hidden="1">
      <c r="A50" s="39" t="s">
        <v>1004</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792</v>
      </c>
      <c r="AE50" s="28">
        <v>633</v>
      </c>
      <c r="AF50">
        <v>2757</v>
      </c>
      <c r="AH50">
        <v>0</v>
      </c>
    </row>
    <row r="51" spans="1:34" hidden="1">
      <c r="A51" s="39" t="s">
        <v>203</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312</v>
      </c>
      <c r="AE51" s="28">
        <v>1412</v>
      </c>
      <c r="AF51">
        <v>5438</v>
      </c>
      <c r="AG51">
        <v>1615</v>
      </c>
      <c r="AH51">
        <v>5779</v>
      </c>
    </row>
    <row r="52" spans="1:34" hidden="1">
      <c r="A52" s="39" t="s">
        <v>420</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642</v>
      </c>
      <c r="AE52" s="28">
        <v>829</v>
      </c>
      <c r="AF52">
        <v>3547</v>
      </c>
      <c r="AH52">
        <v>0</v>
      </c>
    </row>
    <row r="53" spans="1:34" hidden="1">
      <c r="A53" s="39" t="s">
        <v>312</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105</v>
      </c>
      <c r="AE53" s="28">
        <v>3176</v>
      </c>
      <c r="AF53">
        <v>14241</v>
      </c>
      <c r="AG53">
        <v>2909</v>
      </c>
      <c r="AH53">
        <v>12706</v>
      </c>
    </row>
    <row r="54" spans="1:34" hidden="1">
      <c r="A54" s="39" t="s">
        <v>390</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631</v>
      </c>
      <c r="AE54" s="28">
        <v>775</v>
      </c>
      <c r="AF54">
        <v>3944</v>
      </c>
      <c r="AH54">
        <v>0</v>
      </c>
    </row>
    <row r="55" spans="1:34" hidden="1">
      <c r="A55" s="39" t="s">
        <v>1587</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611</v>
      </c>
      <c r="AE55" s="28">
        <v>652</v>
      </c>
      <c r="AF55">
        <v>4042</v>
      </c>
      <c r="AG55">
        <v>684</v>
      </c>
      <c r="AH55">
        <v>4399</v>
      </c>
    </row>
    <row r="56" spans="1:34" hidden="1">
      <c r="A56" s="39" t="s">
        <v>926</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52</v>
      </c>
      <c r="AE56" s="28">
        <v>7423</v>
      </c>
      <c r="AF56">
        <v>30685</v>
      </c>
      <c r="AG56">
        <v>9541</v>
      </c>
      <c r="AH56">
        <v>38305</v>
      </c>
    </row>
    <row r="57" spans="1:34" hidden="1">
      <c r="A57" s="39" t="s">
        <v>1167</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145</v>
      </c>
      <c r="AE57" s="28">
        <v>1327</v>
      </c>
      <c r="AF57">
        <v>11643</v>
      </c>
      <c r="AG57">
        <v>1380</v>
      </c>
      <c r="AH57">
        <v>10923</v>
      </c>
    </row>
    <row r="58" spans="1:34" hidden="1">
      <c r="A58" s="39" t="s">
        <v>1148</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741</v>
      </c>
      <c r="AE58" s="28">
        <v>932</v>
      </c>
      <c r="AF58">
        <v>4545</v>
      </c>
      <c r="AH58">
        <v>0</v>
      </c>
    </row>
    <row r="59" spans="1:34" hidden="1">
      <c r="A59" s="39" t="s">
        <v>40</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633</v>
      </c>
      <c r="AE59" s="28">
        <v>1214</v>
      </c>
      <c r="AF59">
        <v>4168</v>
      </c>
      <c r="AH59">
        <v>0</v>
      </c>
    </row>
    <row r="60" spans="1:34" hidden="1">
      <c r="A60" s="39" t="s">
        <v>883</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213</v>
      </c>
      <c r="AE60" s="28">
        <v>1982</v>
      </c>
      <c r="AF60">
        <v>4535</v>
      </c>
      <c r="AG60">
        <v>1664</v>
      </c>
      <c r="AH60">
        <v>3195</v>
      </c>
    </row>
    <row r="61" spans="1:34" hidden="1">
      <c r="A61" s="39" t="s">
        <v>904</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211</v>
      </c>
      <c r="AE61" s="28">
        <v>1254</v>
      </c>
      <c r="AF61">
        <v>8932</v>
      </c>
      <c r="AG61">
        <v>767</v>
      </c>
      <c r="AH61">
        <v>5607</v>
      </c>
    </row>
    <row r="62" spans="1:34" hidden="1">
      <c r="A62" s="39" t="s">
        <v>245</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450</v>
      </c>
      <c r="AE62" s="28">
        <v>971</v>
      </c>
      <c r="AF62">
        <v>5979</v>
      </c>
      <c r="AG62">
        <v>844</v>
      </c>
      <c r="AH62">
        <v>5430</v>
      </c>
    </row>
    <row r="63" spans="1:34" hidden="1">
      <c r="A63" s="39" t="s">
        <v>458</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72</v>
      </c>
      <c r="AE63" s="28">
        <v>3925</v>
      </c>
      <c r="AF63">
        <v>15541</v>
      </c>
      <c r="AG63">
        <v>3954</v>
      </c>
      <c r="AH63">
        <v>14023</v>
      </c>
    </row>
    <row r="64" spans="1:34" hidden="1">
      <c r="A64" s="39" t="s">
        <v>235</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812</v>
      </c>
      <c r="AE64" s="28">
        <v>470</v>
      </c>
      <c r="AF64">
        <v>1786</v>
      </c>
      <c r="AH64">
        <v>0</v>
      </c>
    </row>
    <row r="65" spans="1:34" hidden="1">
      <c r="A65" s="39" t="s">
        <v>225</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353</v>
      </c>
      <c r="AE65" s="28">
        <v>2026</v>
      </c>
      <c r="AF65">
        <v>10626</v>
      </c>
      <c r="AG65">
        <v>1840</v>
      </c>
      <c r="AH65">
        <v>7932</v>
      </c>
    </row>
    <row r="66" spans="1:34" hidden="1">
      <c r="A66" s="39" t="s">
        <v>499</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173</v>
      </c>
      <c r="AE66" s="28">
        <v>2247</v>
      </c>
      <c r="AF66">
        <v>9320</v>
      </c>
      <c r="AG66">
        <v>2293</v>
      </c>
      <c r="AH66">
        <v>8955</v>
      </c>
    </row>
    <row r="67" spans="1:34" hidden="1">
      <c r="A67" s="39" t="s">
        <v>1501</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441</v>
      </c>
      <c r="AE67" s="28">
        <v>2514</v>
      </c>
      <c r="AF67">
        <v>14408</v>
      </c>
      <c r="AG67">
        <v>2314</v>
      </c>
      <c r="AH67">
        <v>9966</v>
      </c>
    </row>
    <row r="68" spans="1:34" hidden="1">
      <c r="A68" s="39" t="s">
        <v>480</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721</v>
      </c>
      <c r="AE68" s="28">
        <v>666</v>
      </c>
      <c r="AF68">
        <v>3291</v>
      </c>
      <c r="AH68">
        <v>0</v>
      </c>
    </row>
    <row r="69" spans="1:34" hidden="1">
      <c r="A69" s="39" t="s">
        <v>1110</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135</v>
      </c>
      <c r="AE69" s="28">
        <v>2677</v>
      </c>
      <c r="AF69">
        <v>7629</v>
      </c>
      <c r="AG69">
        <v>3124</v>
      </c>
      <c r="AH69">
        <v>9860</v>
      </c>
    </row>
    <row r="70" spans="1:34" hidden="1">
      <c r="A70" s="39" t="s">
        <v>922</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310</v>
      </c>
      <c r="AE70" s="28">
        <v>1267</v>
      </c>
      <c r="AF70">
        <v>6553</v>
      </c>
      <c r="AG70">
        <v>1252</v>
      </c>
      <c r="AH70">
        <v>6536</v>
      </c>
    </row>
    <row r="71" spans="1:34" hidden="1">
      <c r="A71" s="39" t="s">
        <v>1071</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207</v>
      </c>
      <c r="AE71" s="28">
        <v>1937</v>
      </c>
      <c r="AF71">
        <v>8681</v>
      </c>
      <c r="AG71">
        <v>1898</v>
      </c>
      <c r="AH71">
        <v>8948</v>
      </c>
    </row>
    <row r="72" spans="1:34" hidden="1">
      <c r="A72" s="39" t="s">
        <v>833</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165</v>
      </c>
      <c r="AE72" s="28">
        <v>898</v>
      </c>
      <c r="AF72">
        <v>2535</v>
      </c>
      <c r="AH72">
        <v>0</v>
      </c>
    </row>
    <row r="73" spans="1:34" hidden="1">
      <c r="A73" s="39" t="s">
        <v>155</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672</v>
      </c>
      <c r="AE73" s="28">
        <v>866</v>
      </c>
      <c r="AF73">
        <v>4550</v>
      </c>
      <c r="AH73">
        <v>0</v>
      </c>
    </row>
    <row r="74" spans="1:34" hidden="1">
      <c r="A74" s="39" t="s">
        <v>147</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175</v>
      </c>
      <c r="AE74" s="28">
        <v>1675</v>
      </c>
      <c r="AF74">
        <v>10426</v>
      </c>
      <c r="AG74">
        <v>2155</v>
      </c>
      <c r="AH74">
        <v>11551</v>
      </c>
    </row>
    <row r="75" spans="1:34" hidden="1">
      <c r="A75" s="39" t="s">
        <v>99</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749</v>
      </c>
      <c r="AE75" s="28">
        <v>821</v>
      </c>
      <c r="AF75">
        <v>3505</v>
      </c>
      <c r="AH75">
        <v>0</v>
      </c>
    </row>
    <row r="76" spans="1:34" hidden="1">
      <c r="A76" s="39" t="s">
        <v>36</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737</v>
      </c>
      <c r="AE76" s="28">
        <v>472</v>
      </c>
      <c r="AF76">
        <v>1955</v>
      </c>
      <c r="AH76">
        <v>0</v>
      </c>
    </row>
    <row r="77" spans="1:34" hidden="1">
      <c r="A77" s="39" t="s">
        <v>221</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760</v>
      </c>
      <c r="AE77" s="28">
        <v>525</v>
      </c>
      <c r="AF77">
        <v>1914</v>
      </c>
      <c r="AH77">
        <v>0</v>
      </c>
    </row>
    <row r="78" spans="1:34" hidden="1">
      <c r="A78" s="39" t="s">
        <v>534</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818</v>
      </c>
      <c r="AE78" s="28">
        <v>901</v>
      </c>
      <c r="AF78">
        <v>2044</v>
      </c>
      <c r="AH78">
        <v>0</v>
      </c>
    </row>
    <row r="79" spans="1:34" hidden="1">
      <c r="A79" s="39" t="s">
        <v>403</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190</v>
      </c>
      <c r="AE79" s="28">
        <v>2428</v>
      </c>
      <c r="AF79">
        <v>7026</v>
      </c>
      <c r="AG79">
        <v>2713</v>
      </c>
      <c r="AH79">
        <v>9376</v>
      </c>
    </row>
    <row r="80" spans="1:34" hidden="1">
      <c r="A80" s="39" t="s">
        <v>241</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629</v>
      </c>
      <c r="AE80" s="28">
        <v>1476</v>
      </c>
      <c r="AF80">
        <v>4569</v>
      </c>
      <c r="AH80">
        <v>0</v>
      </c>
    </row>
    <row r="81" spans="1:34" hidden="1">
      <c r="A81" s="39" t="s">
        <v>44</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717</v>
      </c>
      <c r="AE81" s="28">
        <v>978</v>
      </c>
      <c r="AF81">
        <v>5143</v>
      </c>
      <c r="AH81">
        <v>0</v>
      </c>
    </row>
    <row r="82" spans="1:34" hidden="1">
      <c r="A82" s="39" t="s">
        <v>1030</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458</v>
      </c>
      <c r="AE82" s="28">
        <v>952</v>
      </c>
      <c r="AF82">
        <v>5221</v>
      </c>
      <c r="AG82">
        <v>883</v>
      </c>
      <c r="AH82">
        <v>5063</v>
      </c>
    </row>
    <row r="83" spans="1:34" hidden="1">
      <c r="A83" s="39" t="s">
        <v>1010</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247</v>
      </c>
      <c r="AE83" s="28">
        <v>1631</v>
      </c>
      <c r="AF83">
        <v>7645</v>
      </c>
      <c r="AG83">
        <v>1902</v>
      </c>
      <c r="AH83">
        <v>9147</v>
      </c>
    </row>
    <row r="84" spans="1:34" hidden="1">
      <c r="A84" s="39" t="s">
        <v>452</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729</v>
      </c>
      <c r="AE84" s="28">
        <v>602</v>
      </c>
      <c r="AF84">
        <v>3783</v>
      </c>
      <c r="AH84">
        <v>0</v>
      </c>
    </row>
    <row r="85" spans="1:34" hidden="1">
      <c r="A85" s="39" t="s">
        <v>1063</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524</v>
      </c>
      <c r="AE85" s="28">
        <v>1231</v>
      </c>
      <c r="AF85">
        <v>4891</v>
      </c>
      <c r="AG85">
        <v>1385</v>
      </c>
      <c r="AH85">
        <v>5413</v>
      </c>
    </row>
    <row r="86" spans="1:34" hidden="1">
      <c r="A86" s="39" t="s">
        <v>1523</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249</v>
      </c>
      <c r="AE86" s="28">
        <v>1672</v>
      </c>
      <c r="AF86">
        <v>9371</v>
      </c>
      <c r="AG86">
        <v>1619</v>
      </c>
      <c r="AH86">
        <v>9686</v>
      </c>
    </row>
    <row r="87" spans="1:34" hidden="1">
      <c r="A87" s="39" t="s">
        <v>1540</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530</v>
      </c>
      <c r="AE87" s="28">
        <v>662</v>
      </c>
      <c r="AF87">
        <v>2203</v>
      </c>
      <c r="AG87">
        <v>660</v>
      </c>
      <c r="AH87">
        <v>2078</v>
      </c>
    </row>
    <row r="88" spans="1:34" hidden="1">
      <c r="A88" s="39" t="s">
        <v>1433</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392</v>
      </c>
      <c r="AE88" s="28">
        <v>423</v>
      </c>
      <c r="AF88">
        <v>2735</v>
      </c>
      <c r="AG88">
        <v>560</v>
      </c>
      <c r="AH88">
        <v>3270</v>
      </c>
    </row>
    <row r="89" spans="1:34" hidden="1">
      <c r="A89" s="39" t="s">
        <v>1588</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703</v>
      </c>
      <c r="AE89" s="28">
        <v>431</v>
      </c>
      <c r="AF89">
        <v>2578</v>
      </c>
      <c r="AH89">
        <v>0</v>
      </c>
    </row>
    <row r="90" spans="1:34" hidden="1">
      <c r="A90" s="39" t="s">
        <v>1287</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1514</v>
      </c>
      <c r="AE90" s="28">
        <v>208</v>
      </c>
      <c r="AF90">
        <v>1108</v>
      </c>
      <c r="AH90">
        <v>0</v>
      </c>
    </row>
    <row r="91" spans="1:34" hidden="1">
      <c r="A91" s="39" t="s">
        <v>113</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743</v>
      </c>
      <c r="AE91" s="28">
        <v>427</v>
      </c>
      <c r="AF91">
        <v>2097</v>
      </c>
      <c r="AH91">
        <v>0</v>
      </c>
    </row>
    <row r="92" spans="1:34" hidden="1">
      <c r="A92" s="39" t="s">
        <v>213</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68</v>
      </c>
      <c r="AE92" s="28">
        <v>6857</v>
      </c>
      <c r="AF92">
        <v>24329</v>
      </c>
      <c r="AG92">
        <v>6633</v>
      </c>
      <c r="AH92">
        <v>23253</v>
      </c>
    </row>
    <row r="93" spans="1:34" hidden="1">
      <c r="A93" s="39" t="s">
        <v>530</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499</v>
      </c>
      <c r="AE93" s="28">
        <v>1277</v>
      </c>
      <c r="AF93">
        <v>5528</v>
      </c>
      <c r="AG93">
        <v>1354</v>
      </c>
      <c r="AH93">
        <v>5274</v>
      </c>
    </row>
    <row r="94" spans="1:34" hidden="1">
      <c r="A94" s="39" t="s">
        <v>1291</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420</v>
      </c>
      <c r="AE94" s="28">
        <v>1046</v>
      </c>
      <c r="AF94">
        <v>4252</v>
      </c>
      <c r="AG94">
        <v>963</v>
      </c>
      <c r="AH94">
        <v>3558</v>
      </c>
    </row>
    <row r="95" spans="1:34" hidden="1">
      <c r="A95" s="39" t="s">
        <v>1203</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725</v>
      </c>
      <c r="AE95" s="28">
        <v>577</v>
      </c>
      <c r="AF95">
        <v>2249</v>
      </c>
      <c r="AH95">
        <v>0</v>
      </c>
    </row>
    <row r="96" spans="1:34" hidden="1">
      <c r="A96" s="39" t="s">
        <v>1428</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751</v>
      </c>
      <c r="AE96" s="28">
        <v>576</v>
      </c>
      <c r="AF96">
        <v>1593</v>
      </c>
      <c r="AH96">
        <v>0</v>
      </c>
    </row>
    <row r="97" spans="1:34" hidden="1">
      <c r="A97" s="39" t="s">
        <v>1211</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719</v>
      </c>
      <c r="AE97" s="28">
        <v>752</v>
      </c>
      <c r="AF97">
        <v>2822</v>
      </c>
      <c r="AH97">
        <v>0</v>
      </c>
    </row>
    <row r="98" spans="1:34" hidden="1">
      <c r="A98" s="39" t="s">
        <v>1026</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609</v>
      </c>
      <c r="AE98" s="28">
        <v>613</v>
      </c>
      <c r="AF98">
        <v>10530</v>
      </c>
      <c r="AG98">
        <v>503</v>
      </c>
      <c r="AH98">
        <v>7597</v>
      </c>
    </row>
    <row r="99" spans="1:34" hidden="1">
      <c r="A99" s="39" t="s">
        <v>21</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307</v>
      </c>
      <c r="AE99" s="28">
        <v>1880</v>
      </c>
      <c r="AF99">
        <v>18081</v>
      </c>
      <c r="AG99">
        <v>1564</v>
      </c>
      <c r="AH99">
        <v>15682</v>
      </c>
    </row>
    <row r="100" spans="1:34" hidden="1">
      <c r="A100" s="39" t="s">
        <v>474</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804</v>
      </c>
      <c r="AE100" s="28">
        <v>513</v>
      </c>
      <c r="AF100">
        <v>2211</v>
      </c>
      <c r="AH100">
        <v>0</v>
      </c>
    </row>
    <row r="101" spans="1:34" hidden="1">
      <c r="A101" s="39" t="s">
        <v>668</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778</v>
      </c>
      <c r="AE101" s="28">
        <v>196</v>
      </c>
      <c r="AF101">
        <v>1176</v>
      </c>
      <c r="AH101">
        <v>0</v>
      </c>
    </row>
    <row r="102" spans="1:34" hidden="1">
      <c r="A102" s="39" t="s">
        <v>589</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802</v>
      </c>
      <c r="AE102" s="28">
        <v>707</v>
      </c>
      <c r="AF102">
        <v>3766</v>
      </c>
      <c r="AH102">
        <v>0</v>
      </c>
    </row>
    <row r="103" spans="1:34" hidden="1">
      <c r="A103" s="39" t="s">
        <v>50</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452</v>
      </c>
      <c r="AE103" s="28">
        <v>1594</v>
      </c>
      <c r="AF103">
        <v>8161</v>
      </c>
      <c r="AG103">
        <v>1148</v>
      </c>
      <c r="AH103">
        <v>7643</v>
      </c>
    </row>
    <row r="104" spans="1:34" hidden="1">
      <c r="A104" s="39" t="s">
        <v>437</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297</v>
      </c>
      <c r="AE104" s="28">
        <v>2511</v>
      </c>
      <c r="AF104">
        <v>12700</v>
      </c>
      <c r="AG104">
        <v>2624</v>
      </c>
      <c r="AH104">
        <v>11543</v>
      </c>
    </row>
    <row r="105" spans="1:34" hidden="1">
      <c r="A105" s="39" t="s">
        <v>173</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429</v>
      </c>
      <c r="AE105" s="28">
        <v>1114</v>
      </c>
      <c r="AF105">
        <v>6172</v>
      </c>
      <c r="AG105">
        <v>1024</v>
      </c>
      <c r="AH105">
        <v>5169</v>
      </c>
    </row>
    <row r="106" spans="1:34" hidden="1">
      <c r="A106" s="39" t="s">
        <v>1182</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644</v>
      </c>
      <c r="AE106" s="28">
        <v>950</v>
      </c>
      <c r="AF106">
        <v>2213</v>
      </c>
      <c r="AH106">
        <v>0</v>
      </c>
    </row>
    <row r="107" spans="1:34" hidden="1">
      <c r="A107" s="39" t="s">
        <v>1589</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745</v>
      </c>
      <c r="AE107" s="28">
        <v>756</v>
      </c>
      <c r="AF107">
        <v>2872</v>
      </c>
      <c r="AH107">
        <v>0</v>
      </c>
    </row>
    <row r="108" spans="1:34" hidden="1">
      <c r="A108" s="39" t="s">
        <v>1236</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814</v>
      </c>
      <c r="AE108" s="28">
        <v>535</v>
      </c>
      <c r="AF108">
        <v>2720</v>
      </c>
      <c r="AH108">
        <v>0</v>
      </c>
    </row>
    <row r="109" spans="1:34" hidden="1">
      <c r="A109" s="39" t="s">
        <v>1386</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117</v>
      </c>
      <c r="AE109" s="28">
        <v>1992</v>
      </c>
      <c r="AF109">
        <v>4809</v>
      </c>
      <c r="AG109">
        <v>1876</v>
      </c>
      <c r="AH109">
        <v>4381</v>
      </c>
    </row>
    <row r="110" spans="1:34" hidden="1">
      <c r="A110" s="39" t="s">
        <v>125</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569</v>
      </c>
      <c r="AE110" s="28">
        <v>910</v>
      </c>
      <c r="AF110">
        <v>4186</v>
      </c>
      <c r="AG110">
        <v>683</v>
      </c>
      <c r="AH110">
        <v>5958</v>
      </c>
    </row>
    <row r="111" spans="1:34" hidden="1">
      <c r="A111" s="39" t="s">
        <v>359</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693</v>
      </c>
      <c r="AE111" s="28">
        <v>991</v>
      </c>
      <c r="AF111">
        <v>4900</v>
      </c>
      <c r="AH111">
        <v>0</v>
      </c>
    </row>
    <row r="112" spans="1:34" hidden="1">
      <c r="A112" s="39" t="s">
        <v>1362</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355</v>
      </c>
      <c r="AE112" s="28">
        <v>1070</v>
      </c>
      <c r="AF112">
        <v>4644</v>
      </c>
      <c r="AG112">
        <v>1149</v>
      </c>
      <c r="AH112">
        <v>4926</v>
      </c>
    </row>
    <row r="113" spans="1:34" hidden="1">
      <c r="A113" s="39" t="s">
        <v>1590</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794</v>
      </c>
      <c r="AE113" s="28">
        <v>269</v>
      </c>
      <c r="AF113">
        <v>1012</v>
      </c>
      <c r="AH113">
        <v>0</v>
      </c>
    </row>
    <row r="114" spans="1:34" hidden="1">
      <c r="A114" s="39" t="s">
        <v>1229</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589</v>
      </c>
      <c r="AE114" s="28">
        <v>366</v>
      </c>
      <c r="AF114">
        <v>2376</v>
      </c>
      <c r="AG114">
        <v>335</v>
      </c>
      <c r="AH114">
        <v>2573</v>
      </c>
    </row>
    <row r="115" spans="1:34" hidden="1">
      <c r="A115" s="39" t="s">
        <v>1332</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215</v>
      </c>
      <c r="AE115" s="28">
        <v>2113</v>
      </c>
      <c r="AF115">
        <v>5392</v>
      </c>
      <c r="AG115">
        <v>1765</v>
      </c>
      <c r="AH115">
        <v>4661</v>
      </c>
    </row>
    <row r="116" spans="1:34" hidden="1">
      <c r="A116" s="39" t="s">
        <v>1238</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301</v>
      </c>
      <c r="AE116" s="28">
        <v>1161</v>
      </c>
      <c r="AF116">
        <v>5011</v>
      </c>
      <c r="AG116">
        <v>1486</v>
      </c>
      <c r="AH116">
        <v>6808</v>
      </c>
    </row>
    <row r="117" spans="1:34" hidden="1">
      <c r="A117" s="39" t="s">
        <v>1537</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670</v>
      </c>
      <c r="AE117" s="28">
        <v>690</v>
      </c>
      <c r="AF117">
        <v>1755</v>
      </c>
      <c r="AH117">
        <v>0</v>
      </c>
    </row>
    <row r="118" spans="1:34" hidden="1">
      <c r="A118" s="39" t="s">
        <v>1118</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424</v>
      </c>
      <c r="AE118" s="28">
        <v>1115</v>
      </c>
      <c r="AF118">
        <v>4213</v>
      </c>
      <c r="AG118">
        <v>995</v>
      </c>
      <c r="AH118">
        <v>3952</v>
      </c>
    </row>
    <row r="119" spans="1:34" hidden="1">
      <c r="A119" s="39" t="s">
        <v>1542</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598</v>
      </c>
      <c r="AE119" s="28">
        <v>1273</v>
      </c>
      <c r="AF119">
        <v>4614</v>
      </c>
      <c r="AG119">
        <v>1509</v>
      </c>
      <c r="AH119">
        <v>5326</v>
      </c>
    </row>
    <row r="120" spans="1:34" hidden="1">
      <c r="A120" s="39" t="s">
        <v>887</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416</v>
      </c>
      <c r="AE120" s="28">
        <v>1003</v>
      </c>
      <c r="AF120">
        <v>5089</v>
      </c>
      <c r="AG120">
        <v>1135</v>
      </c>
      <c r="AH120">
        <v>6127</v>
      </c>
    </row>
    <row r="121" spans="1:34" hidden="1">
      <c r="A121" s="39" t="s">
        <v>598</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699</v>
      </c>
      <c r="AE121" s="28">
        <v>425</v>
      </c>
      <c r="AF121">
        <v>1216</v>
      </c>
      <c r="AH121">
        <v>0</v>
      </c>
    </row>
    <row r="122" spans="1:34" hidden="1">
      <c r="A122" s="39" t="s">
        <v>177</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774</v>
      </c>
      <c r="AE122" s="28">
        <v>457</v>
      </c>
      <c r="AF122">
        <v>2842</v>
      </c>
      <c r="AH122">
        <v>0</v>
      </c>
    </row>
    <row r="123" spans="1:34" hidden="1">
      <c r="A123" s="39" t="s">
        <v>687</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800</v>
      </c>
      <c r="AE123" s="28">
        <v>396</v>
      </c>
      <c r="AF123">
        <v>1089</v>
      </c>
      <c r="AH123">
        <v>0</v>
      </c>
    </row>
    <row r="124" spans="1:34" hidden="1">
      <c r="A124" s="39" t="s">
        <v>157</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723</v>
      </c>
      <c r="AE124" s="28">
        <v>374</v>
      </c>
      <c r="AF124">
        <v>1383</v>
      </c>
      <c r="AH124">
        <v>0</v>
      </c>
    </row>
    <row r="125" spans="1:34" hidden="1">
      <c r="A125" s="39" t="s">
        <v>119</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318</v>
      </c>
      <c r="AE125" s="28">
        <v>2024</v>
      </c>
      <c r="AF125">
        <v>10130</v>
      </c>
      <c r="AG125">
        <v>2145</v>
      </c>
      <c r="AH125">
        <v>9967</v>
      </c>
    </row>
    <row r="126" spans="1:34" hidden="1">
      <c r="A126" s="39" t="s">
        <v>1219</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806</v>
      </c>
      <c r="AE126" s="28">
        <v>444</v>
      </c>
      <c r="AF126">
        <v>1903</v>
      </c>
      <c r="AH126">
        <v>0</v>
      </c>
    </row>
    <row r="127" spans="1:34" hidden="1">
      <c r="A127" s="39" t="s">
        <v>1591</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747</v>
      </c>
      <c r="AE127" s="28">
        <v>384</v>
      </c>
      <c r="AF127">
        <v>1342</v>
      </c>
      <c r="AH127">
        <v>0</v>
      </c>
    </row>
    <row r="128" spans="1:34" hidden="1">
      <c r="A128" s="39" t="s">
        <v>348</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157</v>
      </c>
      <c r="AE128" s="28">
        <v>4667</v>
      </c>
      <c r="AF128">
        <v>17712</v>
      </c>
      <c r="AG128">
        <v>4531</v>
      </c>
      <c r="AH128">
        <v>24486</v>
      </c>
    </row>
    <row r="129" spans="1:34" hidden="1">
      <c r="A129" s="39" t="s">
        <v>1073</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167</v>
      </c>
      <c r="AE129" s="28">
        <v>2577</v>
      </c>
      <c r="AF129">
        <v>9416</v>
      </c>
      <c r="AG129">
        <v>2224</v>
      </c>
      <c r="AH129">
        <v>8107</v>
      </c>
    </row>
    <row r="130" spans="1:34" hidden="1">
      <c r="A130" s="39" t="s">
        <v>1392</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159</v>
      </c>
      <c r="AE130" s="28">
        <v>2165</v>
      </c>
      <c r="AF130">
        <v>5383</v>
      </c>
      <c r="AG130">
        <v>2320</v>
      </c>
      <c r="AH130">
        <v>5350</v>
      </c>
    </row>
    <row r="131" spans="1:34" hidden="1">
      <c r="A131" s="39" t="s">
        <v>1317</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401</v>
      </c>
      <c r="AE131" s="28">
        <v>1108</v>
      </c>
      <c r="AF131">
        <v>5115</v>
      </c>
      <c r="AG131">
        <v>971</v>
      </c>
      <c r="AH131">
        <v>4608</v>
      </c>
    </row>
    <row r="132" spans="1:34" hidden="1">
      <c r="A132" s="39" t="s">
        <v>1297</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227</v>
      </c>
      <c r="AE132" s="28">
        <v>2302</v>
      </c>
      <c r="AF132">
        <v>10218</v>
      </c>
      <c r="AG132">
        <v>2189</v>
      </c>
      <c r="AH132">
        <v>9526</v>
      </c>
    </row>
    <row r="133" spans="1:34" hidden="1">
      <c r="A133" s="39" t="s">
        <v>1265</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119</v>
      </c>
      <c r="AE133" s="28">
        <v>2047</v>
      </c>
      <c r="AF133">
        <v>7282</v>
      </c>
      <c r="AG133">
        <v>1788</v>
      </c>
      <c r="AH133">
        <v>6367</v>
      </c>
    </row>
    <row r="134" spans="1:34" hidden="1">
      <c r="A134" s="39" t="s">
        <v>1295</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571</v>
      </c>
      <c r="AE134" s="28">
        <v>760</v>
      </c>
      <c r="AF134">
        <v>2586</v>
      </c>
      <c r="AG134">
        <v>654</v>
      </c>
      <c r="AH134">
        <v>2486</v>
      </c>
    </row>
    <row r="135" spans="1:34" hidden="1">
      <c r="A135" s="39" t="s">
        <v>1310</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403</v>
      </c>
      <c r="AE135" s="28">
        <v>1249</v>
      </c>
      <c r="AF135">
        <v>5495</v>
      </c>
      <c r="AG135">
        <v>1127</v>
      </c>
      <c r="AH135">
        <v>5014</v>
      </c>
    </row>
    <row r="136" spans="1:34" hidden="1">
      <c r="A136" s="39" t="s">
        <v>28</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247</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121</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207</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52</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86</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522</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534</v>
      </c>
      <c r="AE142" s="28">
        <v>477</v>
      </c>
      <c r="AF142">
        <v>2478</v>
      </c>
      <c r="AG142">
        <v>475</v>
      </c>
      <c r="AH142">
        <v>2376</v>
      </c>
    </row>
    <row r="143" spans="1:34" hidden="1">
      <c r="A143" s="39" t="s">
        <v>810</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470</v>
      </c>
      <c r="AE143" s="28">
        <v>732</v>
      </c>
      <c r="AF143">
        <v>3414</v>
      </c>
      <c r="AG143">
        <v>738</v>
      </c>
      <c r="AH143">
        <v>3203</v>
      </c>
    </row>
    <row r="144" spans="1:34" hidden="1">
      <c r="A144" s="39" t="s">
        <v>127</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545</v>
      </c>
      <c r="AE144" s="28">
        <v>807</v>
      </c>
      <c r="AF144">
        <v>3474</v>
      </c>
      <c r="AG144">
        <v>685</v>
      </c>
      <c r="AH144">
        <v>3403</v>
      </c>
    </row>
    <row r="145" spans="1:34" hidden="1">
      <c r="A145" s="39" t="s">
        <v>1376</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235</v>
      </c>
      <c r="AE145" s="28">
        <v>1176</v>
      </c>
      <c r="AF145">
        <v>4928</v>
      </c>
      <c r="AG145">
        <v>1070</v>
      </c>
      <c r="AH145">
        <v>3829</v>
      </c>
    </row>
    <row r="146" spans="1:34" hidden="1">
      <c r="A146" s="39" t="s">
        <v>1592</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668</v>
      </c>
      <c r="AE146" s="28">
        <v>485</v>
      </c>
      <c r="AF146">
        <v>1503</v>
      </c>
      <c r="AG146">
        <v>600</v>
      </c>
      <c r="AH146">
        <v>2244</v>
      </c>
    </row>
    <row r="147" spans="1:34" hidden="1">
      <c r="A147" s="39" t="s">
        <v>1593</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303</v>
      </c>
      <c r="AE147" s="28">
        <v>1603</v>
      </c>
      <c r="AF147">
        <v>5425</v>
      </c>
      <c r="AG147">
        <v>1488</v>
      </c>
      <c r="AH147">
        <v>5220</v>
      </c>
    </row>
    <row r="148" spans="1:34" hidden="1">
      <c r="A148" s="39" t="s">
        <v>1249</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115</v>
      </c>
      <c r="AE148" s="28">
        <v>5633</v>
      </c>
      <c r="AF148">
        <v>24131</v>
      </c>
      <c r="AG148">
        <v>5006</v>
      </c>
      <c r="AH148">
        <v>20579</v>
      </c>
    </row>
    <row r="149" spans="1:34" hidden="1">
      <c r="A149" s="39" t="s">
        <v>1319</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169</v>
      </c>
      <c r="AE149" s="28">
        <v>3162</v>
      </c>
      <c r="AF149">
        <v>14680</v>
      </c>
      <c r="AG149">
        <v>3141</v>
      </c>
      <c r="AH149">
        <v>14722</v>
      </c>
    </row>
    <row r="150" spans="1:34" hidden="1">
      <c r="A150" s="39" t="s">
        <v>1014</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1515</v>
      </c>
      <c r="AE150" s="28">
        <v>401</v>
      </c>
      <c r="AF150">
        <v>2749</v>
      </c>
      <c r="AH150">
        <v>0</v>
      </c>
    </row>
    <row r="151" spans="1:34" hidden="1">
      <c r="A151" s="39" t="s">
        <v>1513</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324</v>
      </c>
      <c r="AE151" s="28">
        <v>1430</v>
      </c>
      <c r="AF151">
        <v>3218</v>
      </c>
      <c r="AG151">
        <v>1479</v>
      </c>
      <c r="AH151">
        <v>2963</v>
      </c>
    </row>
    <row r="152" spans="1:34" hidden="1">
      <c r="A152" s="39" t="s">
        <v>1405</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683</v>
      </c>
      <c r="AE152" s="28">
        <v>751</v>
      </c>
      <c r="AF152">
        <v>2346</v>
      </c>
      <c r="AH152">
        <v>0</v>
      </c>
    </row>
    <row r="153" spans="1:34" hidden="1">
      <c r="A153" s="39" t="s">
        <v>1541</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816</v>
      </c>
      <c r="AE153" s="28">
        <v>696</v>
      </c>
      <c r="AF153">
        <v>1647</v>
      </c>
      <c r="AH153">
        <v>0</v>
      </c>
    </row>
    <row r="154" spans="1:34" hidden="1">
      <c r="A154" s="39" t="s">
        <v>1083</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326</v>
      </c>
      <c r="AE154" s="28">
        <v>1272</v>
      </c>
      <c r="AF154">
        <v>3593</v>
      </c>
      <c r="AG154">
        <v>1083</v>
      </c>
      <c r="AH154">
        <v>3121</v>
      </c>
    </row>
    <row r="155" spans="1:34" hidden="1">
      <c r="A155" s="39" t="s">
        <v>928</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369</v>
      </c>
      <c r="AE155" s="28">
        <v>924</v>
      </c>
      <c r="AF155">
        <v>5069</v>
      </c>
      <c r="AG155">
        <v>968</v>
      </c>
      <c r="AH155">
        <v>5496</v>
      </c>
    </row>
    <row r="156" spans="1:34" hidden="1">
      <c r="A156" s="39" t="s">
        <v>1188</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1523</v>
      </c>
      <c r="AE156" s="28">
        <v>3</v>
      </c>
      <c r="AF156">
        <v>134</v>
      </c>
      <c r="AG156">
        <v>11</v>
      </c>
      <c r="AH156">
        <v>171</v>
      </c>
    </row>
    <row r="157" spans="1:34" hidden="1">
      <c r="A157" s="39" t="s">
        <v>1273</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497</v>
      </c>
      <c r="AE157" s="28">
        <v>654</v>
      </c>
      <c r="AF157">
        <v>2670</v>
      </c>
      <c r="AG157">
        <v>562</v>
      </c>
      <c r="AH157">
        <v>2401</v>
      </c>
    </row>
    <row r="158" spans="1:34" hidden="1">
      <c r="A158" s="39" t="s">
        <v>1280</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1502</v>
      </c>
      <c r="AE158" s="28">
        <v>272</v>
      </c>
      <c r="AF158">
        <v>858</v>
      </c>
      <c r="AH158">
        <v>0</v>
      </c>
    </row>
    <row r="159" spans="1:34" hidden="1">
      <c r="A159" s="39" t="s">
        <v>1396</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1495</v>
      </c>
      <c r="AE159" s="28">
        <v>8</v>
      </c>
      <c r="AF159">
        <v>68</v>
      </c>
      <c r="AH159">
        <v>0</v>
      </c>
    </row>
    <row r="160" spans="1:34" hidden="1">
      <c r="A160" s="39" t="s">
        <v>1380</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756</v>
      </c>
      <c r="AE160" s="28">
        <v>460</v>
      </c>
      <c r="AF160">
        <v>2947</v>
      </c>
      <c r="AH160">
        <v>0</v>
      </c>
    </row>
    <row r="161" spans="1:34" hidden="1">
      <c r="A161" s="39" t="s">
        <v>1259</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359</v>
      </c>
      <c r="AE161" s="28">
        <v>1605</v>
      </c>
      <c r="AF161">
        <v>4839</v>
      </c>
      <c r="AG161">
        <v>1480</v>
      </c>
      <c r="AH161">
        <v>4715</v>
      </c>
    </row>
    <row r="162" spans="1:34" hidden="1">
      <c r="A162" s="39" t="s">
        <v>1059</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493</v>
      </c>
      <c r="AE162" s="28">
        <v>906</v>
      </c>
      <c r="AF162">
        <v>2927</v>
      </c>
      <c r="AG162">
        <v>951</v>
      </c>
      <c r="AH162">
        <v>3156</v>
      </c>
    </row>
    <row r="163" spans="1:34" hidden="1">
      <c r="A163" s="39" t="s">
        <v>974</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1509</v>
      </c>
      <c r="AE163" s="28">
        <v>2</v>
      </c>
      <c r="AF163">
        <v>10</v>
      </c>
      <c r="AH163">
        <v>0</v>
      </c>
    </row>
    <row r="164" spans="1:34" hidden="1">
      <c r="A164" s="39" t="s">
        <v>1370</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289</v>
      </c>
      <c r="AE164" s="28">
        <v>910</v>
      </c>
      <c r="AF164">
        <v>2491</v>
      </c>
      <c r="AG164">
        <v>794</v>
      </c>
      <c r="AH164">
        <v>2329</v>
      </c>
    </row>
    <row r="165" spans="1:34" hidden="1">
      <c r="A165" s="39" t="s">
        <v>1207</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50</v>
      </c>
      <c r="AE165" s="28">
        <v>2224</v>
      </c>
      <c r="AF165">
        <v>6292</v>
      </c>
      <c r="AG165">
        <v>2171</v>
      </c>
      <c r="AH165">
        <v>6267</v>
      </c>
    </row>
    <row r="166" spans="1:34" hidden="1">
      <c r="A166" s="39" t="s">
        <v>837</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348</v>
      </c>
      <c r="AE166" s="28">
        <v>739</v>
      </c>
      <c r="AF166">
        <v>3285</v>
      </c>
      <c r="AG166">
        <v>766</v>
      </c>
      <c r="AH166">
        <v>3874</v>
      </c>
    </row>
    <row r="167" spans="1:34" hidden="1">
      <c r="A167" s="39" t="s">
        <v>301</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1508</v>
      </c>
      <c r="AE167" s="28">
        <v>189</v>
      </c>
      <c r="AF167">
        <v>685</v>
      </c>
      <c r="AH167">
        <v>0</v>
      </c>
    </row>
    <row r="168" spans="1:34" hidden="1">
      <c r="A168" s="39" t="s">
        <v>1156</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1512</v>
      </c>
      <c r="AE168" s="28">
        <v>131</v>
      </c>
      <c r="AF168">
        <v>710</v>
      </c>
      <c r="AH168">
        <v>0</v>
      </c>
    </row>
    <row r="169" spans="1:34" hidden="1">
      <c r="A169" s="39" t="s">
        <v>1028</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627</v>
      </c>
      <c r="AE169" s="29">
        <v>241</v>
      </c>
      <c r="AF169">
        <v>1588</v>
      </c>
      <c r="AG169">
        <v>264</v>
      </c>
      <c r="AH169">
        <v>1608</v>
      </c>
    </row>
    <row r="170" spans="1:34" hidden="1">
      <c r="A170" s="39" t="s">
        <v>133</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147</v>
      </c>
      <c r="AE170" s="28">
        <v>2823</v>
      </c>
      <c r="AF170">
        <v>12738</v>
      </c>
      <c r="AG170">
        <v>2583</v>
      </c>
      <c r="AH170">
        <v>13375</v>
      </c>
    </row>
    <row r="171" spans="1:34" hidden="1">
      <c r="A171" s="39" t="s">
        <v>1431</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251</v>
      </c>
      <c r="AE171" s="28">
        <v>1428</v>
      </c>
      <c r="AF171">
        <v>3763</v>
      </c>
      <c r="AG171">
        <v>1354</v>
      </c>
      <c r="AH171">
        <v>3424</v>
      </c>
    </row>
    <row r="172" spans="1:34" hidden="1">
      <c r="A172" s="39" t="s">
        <v>314</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613</v>
      </c>
      <c r="AE172" s="28">
        <v>623</v>
      </c>
      <c r="AF172">
        <v>2903</v>
      </c>
      <c r="AG172">
        <v>624</v>
      </c>
      <c r="AH172">
        <v>2785</v>
      </c>
    </row>
    <row r="173" spans="1:34" hidden="1">
      <c r="A173" s="39" t="s">
        <v>1390</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474</v>
      </c>
      <c r="AE173" s="28">
        <v>787</v>
      </c>
      <c r="AF173">
        <v>2041</v>
      </c>
      <c r="AG173">
        <v>864</v>
      </c>
      <c r="AH173">
        <v>2251</v>
      </c>
    </row>
    <row r="174" spans="1:34" hidden="1">
      <c r="A174" s="39" t="s">
        <v>1285</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520</v>
      </c>
      <c r="AE174" s="28">
        <v>626</v>
      </c>
      <c r="AF174">
        <v>2805</v>
      </c>
      <c r="AG174">
        <v>606</v>
      </c>
      <c r="AH174">
        <v>2642</v>
      </c>
    </row>
    <row r="175" spans="1:34" hidden="1">
      <c r="A175" s="39" t="s">
        <v>310</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462</v>
      </c>
      <c r="AE175" s="28">
        <v>685</v>
      </c>
      <c r="AF175">
        <v>3289</v>
      </c>
      <c r="AG175">
        <v>567</v>
      </c>
      <c r="AH175">
        <v>2661</v>
      </c>
    </row>
    <row r="176" spans="1:34" hidden="1">
      <c r="A176" s="39" t="s">
        <v>937</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480</v>
      </c>
      <c r="AE176" s="28">
        <v>1328</v>
      </c>
      <c r="AF176">
        <v>4299</v>
      </c>
      <c r="AG176">
        <v>1212</v>
      </c>
      <c r="AH176">
        <v>3861</v>
      </c>
    </row>
    <row r="177" spans="1:34" hidden="1">
      <c r="A177" s="39" t="s">
        <v>908</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287</v>
      </c>
      <c r="AE177" s="28">
        <v>668</v>
      </c>
      <c r="AF177">
        <v>7767</v>
      </c>
      <c r="AG177">
        <v>1143</v>
      </c>
      <c r="AH177">
        <v>10440</v>
      </c>
    </row>
    <row r="178" spans="1:34" hidden="1">
      <c r="A178" s="39" t="s">
        <v>66</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390</v>
      </c>
      <c r="AE178" s="28">
        <v>1208</v>
      </c>
      <c r="AF178">
        <v>4295</v>
      </c>
      <c r="AG178">
        <v>1090</v>
      </c>
      <c r="AH178">
        <v>3763</v>
      </c>
    </row>
    <row r="179" spans="1:34" hidden="1">
      <c r="A179" s="39" t="s">
        <v>76</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784</v>
      </c>
      <c r="AE179" s="28">
        <v>1509</v>
      </c>
      <c r="AF179">
        <v>9133</v>
      </c>
      <c r="AG179">
        <v>1433</v>
      </c>
      <c r="AH179">
        <v>8539</v>
      </c>
    </row>
    <row r="180" spans="1:34" hidden="1">
      <c r="A180" s="39" t="s">
        <v>1334</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171</v>
      </c>
      <c r="AE180" s="28">
        <v>3022</v>
      </c>
      <c r="AF180">
        <v>9157</v>
      </c>
      <c r="AG180">
        <v>3472</v>
      </c>
      <c r="AH180">
        <v>9708</v>
      </c>
    </row>
    <row r="181" spans="1:34" hidden="1">
      <c r="A181" s="39" t="s">
        <v>910</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575</v>
      </c>
      <c r="AE181" s="28">
        <v>1145</v>
      </c>
      <c r="AF181">
        <v>4679</v>
      </c>
      <c r="AG181">
        <v>696</v>
      </c>
      <c r="AH181">
        <v>3009</v>
      </c>
    </row>
    <row r="182" spans="1:34" hidden="1">
      <c r="A182" s="39" t="s">
        <v>42</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186</v>
      </c>
      <c r="AE182" s="28">
        <v>1394</v>
      </c>
      <c r="AF182">
        <v>5524</v>
      </c>
      <c r="AG182">
        <v>1299</v>
      </c>
      <c r="AH182">
        <v>5554</v>
      </c>
    </row>
    <row r="183" spans="1:34" hidden="1">
      <c r="A183" s="39" t="s">
        <v>1129</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21</v>
      </c>
      <c r="AE183" s="28">
        <v>33472</v>
      </c>
      <c r="AF183">
        <v>138011</v>
      </c>
      <c r="AG183">
        <v>30123</v>
      </c>
      <c r="AH183">
        <v>128160</v>
      </c>
    </row>
    <row r="184" spans="1:34" hidden="1">
      <c r="A184" s="39" t="s">
        <v>1257</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437</v>
      </c>
      <c r="AE184" s="28">
        <v>1079</v>
      </c>
      <c r="AF184">
        <v>6617</v>
      </c>
      <c r="AG184">
        <v>1129</v>
      </c>
      <c r="AH184">
        <v>6537</v>
      </c>
    </row>
    <row r="185" spans="1:34" hidden="1">
      <c r="A185" s="39" t="s">
        <v>1231</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111</v>
      </c>
      <c r="AE185" s="29">
        <v>1417</v>
      </c>
      <c r="AF185">
        <v>8552</v>
      </c>
      <c r="AG185">
        <v>1530</v>
      </c>
      <c r="AH185">
        <v>8951</v>
      </c>
    </row>
    <row r="186" spans="1:34" hidden="1">
      <c r="A186" s="39" t="s">
        <v>1263</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518</v>
      </c>
      <c r="AE186" s="28">
        <v>834</v>
      </c>
      <c r="AF186">
        <v>3151</v>
      </c>
      <c r="AG186">
        <v>740</v>
      </c>
      <c r="AH186">
        <v>2672</v>
      </c>
    </row>
    <row r="187" spans="1:34" hidden="1">
      <c r="A187" s="39" t="s">
        <v>1040</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155</v>
      </c>
      <c r="AE187" s="28">
        <v>1625</v>
      </c>
      <c r="AF187">
        <v>5322</v>
      </c>
      <c r="AG187">
        <v>1697</v>
      </c>
      <c r="AH187">
        <v>6038</v>
      </c>
    </row>
    <row r="188" spans="1:34" hidden="1">
      <c r="A188" s="39" t="s">
        <v>968</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151</v>
      </c>
      <c r="AE188" s="28">
        <v>1102</v>
      </c>
      <c r="AF188">
        <v>5414</v>
      </c>
      <c r="AG188">
        <v>1212</v>
      </c>
      <c r="AH188">
        <v>6482</v>
      </c>
    </row>
    <row r="189" spans="1:34" hidden="1">
      <c r="A189" s="39" t="s">
        <v>1172</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261</v>
      </c>
      <c r="AE189" s="28">
        <v>2369</v>
      </c>
      <c r="AF189">
        <v>7209</v>
      </c>
      <c r="AG189">
        <v>1913</v>
      </c>
      <c r="AH189">
        <v>5327</v>
      </c>
    </row>
    <row r="190" spans="1:34" hidden="1">
      <c r="A190" s="39" t="s">
        <v>1176</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705</v>
      </c>
      <c r="AE190" s="28">
        <v>399</v>
      </c>
      <c r="AF190">
        <v>1384</v>
      </c>
      <c r="AG190">
        <v>351</v>
      </c>
      <c r="AH190">
        <v>1247</v>
      </c>
    </row>
    <row r="191" spans="1:34" hidden="1">
      <c r="A191" s="39" t="s">
        <v>1340</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346</v>
      </c>
      <c r="AE191" s="28">
        <v>2274</v>
      </c>
      <c r="AF191">
        <v>14366</v>
      </c>
      <c r="AG191">
        <v>1868</v>
      </c>
      <c r="AH191">
        <v>10981</v>
      </c>
    </row>
    <row r="192" spans="1:34" hidden="1">
      <c r="A192" s="39" t="s">
        <v>1289</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495</v>
      </c>
      <c r="AE192" s="28">
        <v>15</v>
      </c>
      <c r="AF192">
        <v>246</v>
      </c>
      <c r="AG192">
        <v>15</v>
      </c>
      <c r="AH192">
        <v>139</v>
      </c>
    </row>
    <row r="193" spans="1:34" hidden="1">
      <c r="A193" s="39" t="s">
        <v>1047</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272</v>
      </c>
      <c r="AE193" s="28">
        <v>1363</v>
      </c>
      <c r="AF193">
        <v>4949</v>
      </c>
      <c r="AG193">
        <v>1260</v>
      </c>
      <c r="AH193">
        <v>4741</v>
      </c>
    </row>
    <row r="194" spans="1:34" hidden="1">
      <c r="A194" s="39" t="s">
        <v>383</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127</v>
      </c>
      <c r="AE194" s="28">
        <v>3262</v>
      </c>
      <c r="AF194">
        <v>9770</v>
      </c>
      <c r="AG194">
        <v>3190</v>
      </c>
      <c r="AH194">
        <v>9222</v>
      </c>
    </row>
    <row r="195" spans="1:34" hidden="1">
      <c r="A195" s="39" t="s">
        <v>941</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295</v>
      </c>
      <c r="AE195" s="28">
        <v>1048</v>
      </c>
      <c r="AF195">
        <v>4779</v>
      </c>
      <c r="AG195">
        <v>1064</v>
      </c>
      <c r="AH195">
        <v>4496</v>
      </c>
    </row>
    <row r="196" spans="1:34" hidden="1">
      <c r="A196" s="39" t="s">
        <v>1104</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656</v>
      </c>
      <c r="AE196" s="28">
        <v>1647</v>
      </c>
      <c r="AF196">
        <v>5378</v>
      </c>
      <c r="AG196">
        <v>1530</v>
      </c>
      <c r="AH196">
        <v>5058</v>
      </c>
    </row>
    <row r="197" spans="1:34" hidden="1">
      <c r="A197" s="39" t="s">
        <v>920</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687</v>
      </c>
      <c r="AE197" s="28">
        <v>704</v>
      </c>
      <c r="AF197">
        <v>2761</v>
      </c>
      <c r="AG197">
        <v>830</v>
      </c>
      <c r="AH197">
        <v>3002</v>
      </c>
    </row>
    <row r="198" spans="1:34" hidden="1">
      <c r="A198" s="39" t="s">
        <v>1152</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276</v>
      </c>
      <c r="AE198" s="28">
        <v>1322</v>
      </c>
      <c r="AF198">
        <v>6586</v>
      </c>
      <c r="AG198">
        <v>1285</v>
      </c>
      <c r="AH198">
        <v>6266</v>
      </c>
    </row>
    <row r="199" spans="1:34" hidden="1">
      <c r="A199" s="39" t="s">
        <v>894</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177</v>
      </c>
      <c r="AE199" s="28">
        <v>1858</v>
      </c>
      <c r="AF199">
        <v>4998</v>
      </c>
      <c r="AG199">
        <v>1799</v>
      </c>
      <c r="AH199">
        <v>4894</v>
      </c>
    </row>
    <row r="200" spans="1:34" hidden="1">
      <c r="A200" s="39" t="s">
        <v>1125</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330</v>
      </c>
      <c r="AE200" s="28">
        <v>1829</v>
      </c>
      <c r="AF200">
        <v>9027</v>
      </c>
      <c r="AG200">
        <v>1855</v>
      </c>
      <c r="AH200">
        <v>7726</v>
      </c>
    </row>
    <row r="201" spans="1:34" hidden="1">
      <c r="A201" s="39" t="s">
        <v>295</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810</v>
      </c>
      <c r="AE201" s="28">
        <v>1488</v>
      </c>
      <c r="AF201">
        <v>6357</v>
      </c>
      <c r="AG201">
        <v>1363</v>
      </c>
      <c r="AH201">
        <v>5727</v>
      </c>
    </row>
    <row r="202" spans="1:34" hidden="1">
      <c r="A202" s="39" t="s">
        <v>1382</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76</v>
      </c>
      <c r="AE202" s="28">
        <v>4708</v>
      </c>
      <c r="AF202">
        <v>13533</v>
      </c>
      <c r="AG202">
        <v>4276</v>
      </c>
      <c r="AH202">
        <v>10352</v>
      </c>
    </row>
    <row r="203" spans="1:34" hidden="1">
      <c r="A203" s="39" t="s">
        <v>1217</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153</v>
      </c>
      <c r="AE203" s="28">
        <v>1863</v>
      </c>
      <c r="AF203">
        <v>7779</v>
      </c>
      <c r="AG203">
        <v>1886</v>
      </c>
      <c r="AH203">
        <v>7731</v>
      </c>
    </row>
    <row r="204" spans="1:34" hidden="1">
      <c r="A204" s="39" t="s">
        <v>1417</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681</v>
      </c>
      <c r="AE204" s="28">
        <v>872</v>
      </c>
      <c r="AF204">
        <v>2950</v>
      </c>
      <c r="AH204">
        <v>0</v>
      </c>
    </row>
    <row r="205" spans="1:34" hidden="1">
      <c r="A205" s="39" t="s">
        <v>1401</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522</v>
      </c>
      <c r="AE205" s="28">
        <v>881</v>
      </c>
      <c r="AF205">
        <v>4215</v>
      </c>
      <c r="AG205">
        <v>883</v>
      </c>
      <c r="AH205">
        <v>4039</v>
      </c>
    </row>
    <row r="206" spans="1:34" hidden="1">
      <c r="A206" s="39" t="s">
        <v>1321</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141</v>
      </c>
      <c r="AE206" s="28">
        <v>1829</v>
      </c>
      <c r="AF206">
        <v>5765</v>
      </c>
      <c r="AG206">
        <v>1757</v>
      </c>
      <c r="AH206">
        <v>5305</v>
      </c>
    </row>
    <row r="207" spans="1:34" hidden="1">
      <c r="A207" s="39" t="s">
        <v>1424</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1520</v>
      </c>
      <c r="AE207" s="28">
        <v>0</v>
      </c>
      <c r="AF207">
        <v>0</v>
      </c>
      <c r="AH207">
        <v>0</v>
      </c>
    </row>
    <row r="208" spans="1:34" hidden="1">
      <c r="A208" s="39" t="s">
        <v>1221</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60</v>
      </c>
      <c r="AE208" s="28">
        <v>3661</v>
      </c>
      <c r="AF208">
        <v>22624</v>
      </c>
      <c r="AG208">
        <v>4033</v>
      </c>
      <c r="AH208">
        <v>23512</v>
      </c>
    </row>
    <row r="209" spans="1:34" hidden="1">
      <c r="A209" s="39" t="s">
        <v>1413</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427</v>
      </c>
      <c r="AE209" s="28">
        <v>941</v>
      </c>
      <c r="AF209">
        <v>5236</v>
      </c>
      <c r="AG209">
        <v>989</v>
      </c>
      <c r="AH209">
        <v>5612</v>
      </c>
    </row>
    <row r="210" spans="1:34" hidden="1">
      <c r="A210" s="39" t="s">
        <v>1594</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528</v>
      </c>
      <c r="AE210" s="28">
        <v>1614</v>
      </c>
      <c r="AF210">
        <v>9176</v>
      </c>
      <c r="AG210">
        <v>1395</v>
      </c>
      <c r="AH210">
        <v>8238</v>
      </c>
    </row>
    <row r="211" spans="1:34" hidden="1">
      <c r="A211" s="39" t="s">
        <v>1261</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336</v>
      </c>
      <c r="AE211" s="28">
        <v>627</v>
      </c>
      <c r="AF211">
        <v>2213</v>
      </c>
      <c r="AG211">
        <v>57</v>
      </c>
      <c r="AH211">
        <v>143</v>
      </c>
    </row>
    <row r="212" spans="1:34" hidden="1">
      <c r="A212" s="39" t="s">
        <v>1214</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291</v>
      </c>
      <c r="AE212" s="28">
        <v>1753</v>
      </c>
      <c r="AF212">
        <v>6030</v>
      </c>
      <c r="AG212">
        <v>1659</v>
      </c>
      <c r="AH212">
        <v>4782</v>
      </c>
    </row>
    <row r="213" spans="1:34" hidden="1">
      <c r="A213" s="39" t="s">
        <v>324</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361</v>
      </c>
      <c r="AE213" s="28">
        <v>1376</v>
      </c>
      <c r="AF213">
        <v>6277</v>
      </c>
      <c r="AG213">
        <v>1364</v>
      </c>
      <c r="AH213">
        <v>5971</v>
      </c>
    </row>
    <row r="214" spans="1:34" hidden="1">
      <c r="A214" s="39" t="s">
        <v>326</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508</v>
      </c>
      <c r="AE214" s="28">
        <v>351</v>
      </c>
      <c r="AF214">
        <v>1660</v>
      </c>
      <c r="AG214">
        <v>871</v>
      </c>
      <c r="AH214">
        <v>2942</v>
      </c>
    </row>
    <row r="215" spans="1:34" hidden="1">
      <c r="A215" s="39" t="s">
        <v>278</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88</v>
      </c>
      <c r="AE215" s="28">
        <v>4617</v>
      </c>
      <c r="AF215">
        <v>30049</v>
      </c>
      <c r="AG215">
        <v>3650</v>
      </c>
      <c r="AH215">
        <v>25130</v>
      </c>
    </row>
    <row r="216" spans="1:34" hidden="1">
      <c r="A216" s="39" t="s">
        <v>322</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245</v>
      </c>
      <c r="AE216" s="28">
        <v>3350</v>
      </c>
      <c r="AF216">
        <v>13606</v>
      </c>
      <c r="AG216">
        <v>2931</v>
      </c>
      <c r="AH216">
        <v>11927</v>
      </c>
    </row>
    <row r="217" spans="1:34" hidden="1">
      <c r="A217" s="39" t="s">
        <v>74</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320</v>
      </c>
      <c r="AE217" s="28">
        <v>1866</v>
      </c>
      <c r="AF217">
        <v>6089</v>
      </c>
      <c r="AG217">
        <v>1815</v>
      </c>
      <c r="AH217">
        <v>6215</v>
      </c>
    </row>
    <row r="218" spans="1:34" hidden="1">
      <c r="A218" s="39" t="s">
        <v>23</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363</v>
      </c>
      <c r="AE218" s="28">
        <v>1077</v>
      </c>
      <c r="AF218">
        <v>6667</v>
      </c>
      <c r="AG218">
        <v>881</v>
      </c>
      <c r="AH218">
        <v>8278</v>
      </c>
    </row>
    <row r="219" spans="1:34" hidden="1">
      <c r="A219" s="39" t="s">
        <v>933</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691</v>
      </c>
      <c r="AE219" s="28">
        <v>746</v>
      </c>
      <c r="AF219">
        <v>3743</v>
      </c>
      <c r="AH219">
        <v>0</v>
      </c>
    </row>
    <row r="220" spans="1:34" hidden="1">
      <c r="A220" s="39" t="s">
        <v>1411</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129</v>
      </c>
      <c r="AE220" s="28">
        <v>1508</v>
      </c>
      <c r="AF220">
        <v>5344</v>
      </c>
      <c r="AG220">
        <v>1937</v>
      </c>
      <c r="AH220">
        <v>7566</v>
      </c>
    </row>
    <row r="221" spans="1:34" hidden="1">
      <c r="A221" s="39" t="s">
        <v>916</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322</v>
      </c>
      <c r="AE221" s="28">
        <v>1031</v>
      </c>
      <c r="AF221">
        <v>2567</v>
      </c>
      <c r="AG221">
        <v>796</v>
      </c>
      <c r="AH221">
        <v>1997</v>
      </c>
    </row>
    <row r="222" spans="1:34" hidden="1">
      <c r="A222" s="39" t="s">
        <v>960</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78</v>
      </c>
      <c r="AE222" s="28">
        <v>4286</v>
      </c>
      <c r="AF222">
        <v>16357</v>
      </c>
      <c r="AG222">
        <v>4089</v>
      </c>
      <c r="AH222">
        <v>14561</v>
      </c>
    </row>
    <row r="223" spans="1:34" hidden="1">
      <c r="A223" s="39" t="s">
        <v>943</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86</v>
      </c>
      <c r="AE223" s="28">
        <v>5987</v>
      </c>
      <c r="AF223">
        <v>17769</v>
      </c>
      <c r="AG223">
        <v>4693</v>
      </c>
      <c r="AH223">
        <v>11762</v>
      </c>
    </row>
    <row r="224" spans="1:34" hidden="1">
      <c r="A224" s="39" t="s">
        <v>1595</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225</v>
      </c>
      <c r="AE224" s="28">
        <v>2067</v>
      </c>
      <c r="AF224">
        <v>8979</v>
      </c>
      <c r="AG224">
        <v>1894</v>
      </c>
      <c r="AH224">
        <v>6815</v>
      </c>
    </row>
    <row r="225" spans="1:34" hidden="1">
      <c r="A225" s="39" t="s">
        <v>835</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99</v>
      </c>
      <c r="AE225" s="28">
        <v>3090</v>
      </c>
      <c r="AF225">
        <v>13684</v>
      </c>
      <c r="AG225">
        <v>2906</v>
      </c>
      <c r="AH225">
        <v>11295</v>
      </c>
    </row>
    <row r="226" spans="1:34" hidden="1">
      <c r="A226" s="39" t="s">
        <v>1352</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196</v>
      </c>
      <c r="AE226" s="28">
        <v>1664</v>
      </c>
      <c r="AF226">
        <v>9255</v>
      </c>
      <c r="AG226">
        <v>1604</v>
      </c>
      <c r="AH226">
        <v>7391</v>
      </c>
    </row>
    <row r="227" spans="1:34" hidden="1">
      <c r="A227" s="39" t="s">
        <v>1164</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468</v>
      </c>
      <c r="AE227" s="28">
        <v>124</v>
      </c>
      <c r="AF227">
        <v>519</v>
      </c>
      <c r="AG227">
        <v>412</v>
      </c>
      <c r="AH227">
        <v>1805</v>
      </c>
    </row>
    <row r="228" spans="1:34" hidden="1">
      <c r="A228" s="39" t="s">
        <v>1596</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1525</v>
      </c>
      <c r="AE228" s="28">
        <v>64</v>
      </c>
      <c r="AF228">
        <v>405</v>
      </c>
      <c r="AH228">
        <v>0</v>
      </c>
    </row>
    <row r="229" spans="1:34" hidden="1">
      <c r="A229" s="39" t="s">
        <v>1251</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316</v>
      </c>
      <c r="AE229" s="28">
        <v>1664</v>
      </c>
      <c r="AF229">
        <v>6998</v>
      </c>
      <c r="AG229">
        <v>1595</v>
      </c>
      <c r="AH229">
        <v>6871</v>
      </c>
    </row>
    <row r="230" spans="1:34" hidden="1">
      <c r="A230" s="39" t="s">
        <v>1399</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514</v>
      </c>
      <c r="AE230" s="28">
        <v>1145</v>
      </c>
      <c r="AF230">
        <v>5474</v>
      </c>
      <c r="AG230">
        <v>928</v>
      </c>
      <c r="AH230">
        <v>4468</v>
      </c>
    </row>
    <row r="231" spans="1:34" hidden="1">
      <c r="A231" s="39" t="s">
        <v>1308</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299</v>
      </c>
      <c r="AE231" s="28">
        <v>1134</v>
      </c>
      <c r="AF231">
        <v>6878</v>
      </c>
      <c r="AG231">
        <v>1112</v>
      </c>
      <c r="AH231">
        <v>6349</v>
      </c>
    </row>
    <row r="232" spans="1:34" hidden="1">
      <c r="A232" s="39" t="s">
        <v>1302</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263</v>
      </c>
      <c r="AE232" s="28">
        <v>38</v>
      </c>
      <c r="AF232">
        <v>780</v>
      </c>
      <c r="AG232">
        <v>951</v>
      </c>
      <c r="AH232">
        <v>3312</v>
      </c>
    </row>
    <row r="233" spans="1:34" hidden="1">
      <c r="A233" s="39" t="s">
        <v>1312</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103</v>
      </c>
      <c r="AE233" s="28">
        <v>4242</v>
      </c>
      <c r="AF233">
        <v>16553</v>
      </c>
      <c r="AG233">
        <v>4087</v>
      </c>
      <c r="AH233">
        <v>16799</v>
      </c>
    </row>
    <row r="234" spans="1:34" hidden="1">
      <c r="A234" s="39" t="s">
        <v>1209</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143</v>
      </c>
      <c r="AE234" s="28">
        <v>6399</v>
      </c>
      <c r="AF234">
        <v>28292</v>
      </c>
      <c r="AG234">
        <v>5244</v>
      </c>
      <c r="AH234">
        <v>21070</v>
      </c>
    </row>
    <row r="235" spans="1:34" hidden="1">
      <c r="A235" s="39" t="s">
        <v>1269</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42</v>
      </c>
      <c r="AE235" s="28">
        <v>18410</v>
      </c>
      <c r="AF235">
        <v>95635</v>
      </c>
      <c r="AG235">
        <v>15225</v>
      </c>
      <c r="AH235">
        <v>72670</v>
      </c>
    </row>
    <row r="236" spans="1:34" hidden="1">
      <c r="A236" s="39" t="s">
        <v>1403</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864</v>
      </c>
      <c r="AE236" s="19">
        <v>7632</v>
      </c>
      <c r="AF236">
        <v>7844</v>
      </c>
      <c r="AG236">
        <v>5313</v>
      </c>
      <c r="AH236">
        <v>25511</v>
      </c>
    </row>
    <row r="237" spans="1:34" hidden="1">
      <c r="A237" s="39" t="s">
        <v>1323</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835</v>
      </c>
      <c r="AE237" s="19">
        <v>3762</v>
      </c>
      <c r="AF237">
        <v>12737</v>
      </c>
      <c r="AG237">
        <v>3578</v>
      </c>
      <c r="AH237">
        <v>11786</v>
      </c>
    </row>
    <row r="238" spans="1:34" hidden="1">
      <c r="A238" s="39" t="s">
        <v>1342</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868</v>
      </c>
      <c r="AE238" s="19">
        <v>3048</v>
      </c>
      <c r="AF238">
        <v>13735</v>
      </c>
      <c r="AG238">
        <v>3102</v>
      </c>
      <c r="AH238">
        <v>13480</v>
      </c>
    </row>
    <row r="239" spans="1:34" hidden="1">
      <c r="A239" s="39" t="s">
        <v>1194</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898</v>
      </c>
      <c r="AE239" s="19">
        <v>3637</v>
      </c>
      <c r="AF239">
        <v>12674</v>
      </c>
      <c r="AG239">
        <v>3318</v>
      </c>
      <c r="AH239">
        <v>12658</v>
      </c>
    </row>
    <row r="240" spans="1:34" hidden="1">
      <c r="A240" s="39" t="s">
        <v>1336</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992</v>
      </c>
      <c r="AE240" s="19">
        <v>4317</v>
      </c>
      <c r="AF240">
        <v>25101</v>
      </c>
      <c r="AG240">
        <v>3155</v>
      </c>
      <c r="AH240">
        <v>15732</v>
      </c>
    </row>
    <row r="241" spans="1:34" hidden="1">
      <c r="A241" s="39" t="s">
        <v>848</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1164</v>
      </c>
      <c r="AE241" s="19">
        <v>5550</v>
      </c>
      <c r="AF241">
        <v>12512</v>
      </c>
      <c r="AG241">
        <v>5622</v>
      </c>
      <c r="AH241">
        <v>13227</v>
      </c>
    </row>
    <row r="242" spans="1:34" hidden="1">
      <c r="A242" s="39" t="s">
        <v>167</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871</v>
      </c>
      <c r="AE242" s="19">
        <v>972</v>
      </c>
      <c r="AF242">
        <v>5298</v>
      </c>
      <c r="AG242">
        <v>1185</v>
      </c>
      <c r="AH242">
        <v>5678</v>
      </c>
    </row>
    <row r="243" spans="1:34" hidden="1">
      <c r="A243" s="39" t="s">
        <v>135</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968</v>
      </c>
      <c r="AE243" s="19">
        <v>1894</v>
      </c>
      <c r="AF243">
        <v>4996</v>
      </c>
      <c r="AG243">
        <v>1618</v>
      </c>
      <c r="AH243">
        <v>4244</v>
      </c>
    </row>
    <row r="244" spans="1:34" hidden="1">
      <c r="A244" s="39" t="s">
        <v>424</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1539</v>
      </c>
      <c r="AE244" s="19">
        <v>2</v>
      </c>
      <c r="AF244">
        <v>13</v>
      </c>
      <c r="AG244">
        <v>1</v>
      </c>
      <c r="AH244">
        <v>14</v>
      </c>
    </row>
    <row r="245" spans="1:34" hidden="1">
      <c r="A245" s="39" t="s">
        <v>334</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837</v>
      </c>
      <c r="AE245" s="19">
        <v>3398</v>
      </c>
      <c r="AF245">
        <v>8739</v>
      </c>
      <c r="AG245">
        <v>3242</v>
      </c>
      <c r="AH245">
        <v>7441</v>
      </c>
    </row>
    <row r="246" spans="1:34" hidden="1">
      <c r="A246" s="39" t="s">
        <v>297</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1152</v>
      </c>
      <c r="AE246" s="19">
        <v>5137</v>
      </c>
      <c r="AF246">
        <v>8651</v>
      </c>
      <c r="AG246">
        <v>4951</v>
      </c>
      <c r="AH246">
        <v>8352</v>
      </c>
    </row>
    <row r="247" spans="1:34" hidden="1">
      <c r="A247" s="39" t="s">
        <v>261</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1059</v>
      </c>
      <c r="AE247" s="19">
        <v>711</v>
      </c>
      <c r="AF247">
        <v>1902</v>
      </c>
      <c r="AG247">
        <v>742</v>
      </c>
      <c r="AH247">
        <v>1678</v>
      </c>
    </row>
    <row r="248" spans="1:34" hidden="1">
      <c r="A248" s="39" t="s">
        <v>141</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851</v>
      </c>
      <c r="AE248" s="19">
        <v>2183</v>
      </c>
      <c r="AF248">
        <v>8750</v>
      </c>
      <c r="AG248">
        <v>2311</v>
      </c>
      <c r="AH248">
        <v>8895</v>
      </c>
    </row>
    <row r="249" spans="1:34" hidden="1">
      <c r="A249" s="39" t="s">
        <v>1255</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960</v>
      </c>
      <c r="AE249" s="19">
        <v>1995</v>
      </c>
      <c r="AF249">
        <v>6914</v>
      </c>
      <c r="AG249">
        <v>1664</v>
      </c>
      <c r="AH249">
        <v>5240</v>
      </c>
    </row>
    <row r="250" spans="1:34" hidden="1">
      <c r="A250" s="39" t="s">
        <v>1127</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1069</v>
      </c>
      <c r="AE250" s="19">
        <v>1870</v>
      </c>
      <c r="AF250">
        <v>7749</v>
      </c>
      <c r="AG250">
        <v>1643</v>
      </c>
      <c r="AH250">
        <v>7204</v>
      </c>
    </row>
    <row r="251" spans="1:34" hidden="1">
      <c r="A251" s="39" t="s">
        <v>1350</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883</v>
      </c>
      <c r="AE251" s="19">
        <v>1727</v>
      </c>
      <c r="AF251">
        <v>4094</v>
      </c>
      <c r="AG251">
        <v>1618</v>
      </c>
      <c r="AH251">
        <v>3721</v>
      </c>
    </row>
    <row r="252" spans="1:34" hidden="1">
      <c r="A252" s="39" t="s">
        <v>1597</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830</v>
      </c>
      <c r="AE252" s="19">
        <v>40373</v>
      </c>
      <c r="AF252">
        <v>136848</v>
      </c>
      <c r="AG252">
        <v>34307</v>
      </c>
      <c r="AH252">
        <v>108902</v>
      </c>
    </row>
    <row r="253" spans="1:34" hidden="1">
      <c r="A253" s="39" t="s">
        <v>1598</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916</v>
      </c>
      <c r="AE253" s="19">
        <v>1614</v>
      </c>
      <c r="AF253">
        <v>5004</v>
      </c>
      <c r="AG253">
        <v>1873</v>
      </c>
      <c r="AH253">
        <v>5650</v>
      </c>
    </row>
    <row r="254" spans="1:34" hidden="1">
      <c r="A254" s="39" t="s">
        <v>1599</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1162</v>
      </c>
      <c r="AE254" s="19">
        <v>2721</v>
      </c>
      <c r="AF254">
        <v>7438</v>
      </c>
      <c r="AG254">
        <v>2794</v>
      </c>
      <c r="AH254">
        <v>7397</v>
      </c>
    </row>
    <row r="255" spans="1:34" hidden="1">
      <c r="A255" s="39" t="s">
        <v>990</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1056</v>
      </c>
      <c r="AE255" s="19">
        <v>1207</v>
      </c>
      <c r="AF255">
        <v>3445</v>
      </c>
      <c r="AG255">
        <v>867</v>
      </c>
      <c r="AH255">
        <v>2558</v>
      </c>
    </row>
    <row r="256" spans="1:34" hidden="1">
      <c r="A256" s="39" t="s">
        <v>1081</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956</v>
      </c>
      <c r="AE256" s="19">
        <v>611</v>
      </c>
      <c r="AF256">
        <v>3692</v>
      </c>
      <c r="AG256">
        <v>699</v>
      </c>
      <c r="AH256">
        <v>3735</v>
      </c>
    </row>
    <row r="257" spans="1:34" hidden="1">
      <c r="A257" s="39" t="s">
        <v>1600</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1138</v>
      </c>
      <c r="AE257" s="19">
        <v>2751</v>
      </c>
      <c r="AF257">
        <v>6496</v>
      </c>
      <c r="AG257">
        <v>2353</v>
      </c>
      <c r="AH257">
        <v>5603</v>
      </c>
    </row>
    <row r="258" spans="1:34" hidden="1">
      <c r="A258" s="39" t="s">
        <v>978</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1138</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1102</v>
      </c>
      <c r="AE259" s="19">
        <v>1005</v>
      </c>
      <c r="AF259">
        <v>2708</v>
      </c>
      <c r="AG259">
        <v>899</v>
      </c>
      <c r="AH259">
        <v>2439</v>
      </c>
    </row>
    <row r="260" spans="1:34" hidden="1">
      <c r="A260" s="39" t="s">
        <v>1601</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1065</v>
      </c>
      <c r="AE260" s="19">
        <v>1039</v>
      </c>
      <c r="AF260">
        <v>4619</v>
      </c>
      <c r="AG260">
        <v>1048</v>
      </c>
      <c r="AH260">
        <v>4768</v>
      </c>
    </row>
    <row r="261" spans="1:34" hidden="1">
      <c r="A261" s="39" t="s">
        <v>1549</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1127</v>
      </c>
      <c r="AE261" s="19">
        <v>1195</v>
      </c>
      <c r="AF261">
        <v>4657</v>
      </c>
      <c r="AG261">
        <v>1234</v>
      </c>
      <c r="AH261">
        <v>5817</v>
      </c>
    </row>
    <row r="262" spans="1:34" hidden="1">
      <c r="A262" s="39" t="s">
        <v>952</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966</v>
      </c>
      <c r="AE262" s="19">
        <v>2263</v>
      </c>
      <c r="AF262">
        <v>9919</v>
      </c>
      <c r="AG262">
        <v>1449</v>
      </c>
      <c r="AH262">
        <v>6933</v>
      </c>
    </row>
    <row r="263" spans="1:34" hidden="1">
      <c r="A263" s="39" t="s">
        <v>1162</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1150</v>
      </c>
      <c r="AE263" s="19">
        <v>2201</v>
      </c>
      <c r="AF263">
        <v>4203</v>
      </c>
      <c r="AG263">
        <v>2213</v>
      </c>
      <c r="AH263">
        <v>4449</v>
      </c>
    </row>
    <row r="264" spans="1:34" hidden="1">
      <c r="A264" s="39" t="s">
        <v>1372</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1134</v>
      </c>
      <c r="AE264" s="19">
        <v>1667</v>
      </c>
      <c r="AF264">
        <v>5879</v>
      </c>
      <c r="AG264">
        <v>1562</v>
      </c>
      <c r="AH264">
        <v>5830</v>
      </c>
    </row>
    <row r="265" spans="1:34" hidden="1">
      <c r="A265" s="39" t="s">
        <v>1282</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1167</v>
      </c>
      <c r="AE265" s="19">
        <v>4039</v>
      </c>
      <c r="AF265">
        <v>7601</v>
      </c>
      <c r="AG265">
        <v>3609</v>
      </c>
      <c r="AH265">
        <v>6505</v>
      </c>
    </row>
    <row r="266" spans="1:34" hidden="1">
      <c r="A266" s="39" t="s">
        <v>830</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1106</v>
      </c>
      <c r="AE266" s="19">
        <v>1372</v>
      </c>
      <c r="AF266">
        <v>4022</v>
      </c>
      <c r="AG266">
        <v>1251</v>
      </c>
      <c r="AH266">
        <v>3319</v>
      </c>
    </row>
    <row r="267" spans="1:34" hidden="1">
      <c r="A267" s="39" t="s">
        <v>289</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1142</v>
      </c>
      <c r="AE267" s="19">
        <v>1220</v>
      </c>
      <c r="AF267">
        <v>3596</v>
      </c>
      <c r="AG267">
        <v>1315</v>
      </c>
      <c r="AH267">
        <v>3520</v>
      </c>
    </row>
    <row r="268" spans="1:34" hidden="1">
      <c r="A268" s="39" t="s">
        <v>1531</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1541</v>
      </c>
      <c r="AE268" s="19">
        <v>3</v>
      </c>
      <c r="AF268">
        <v>17</v>
      </c>
      <c r="AH268">
        <v>0</v>
      </c>
    </row>
    <row r="269" spans="1:34" hidden="1">
      <c r="A269" s="39" t="s">
        <v>1200</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1346</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1140</v>
      </c>
      <c r="AE270" s="19">
        <v>934</v>
      </c>
      <c r="AF270">
        <v>3630</v>
      </c>
      <c r="AG270">
        <v>1029</v>
      </c>
      <c r="AH270">
        <v>3531</v>
      </c>
    </row>
    <row r="271" spans="1:34" hidden="1">
      <c r="A271" s="39" t="s">
        <v>1315</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1014</v>
      </c>
      <c r="AE271" s="19">
        <v>1303</v>
      </c>
      <c r="AF271">
        <v>3252</v>
      </c>
      <c r="AG271">
        <v>1070</v>
      </c>
      <c r="AH271">
        <v>2853</v>
      </c>
    </row>
    <row r="272" spans="1:34" hidden="1">
      <c r="A272" s="39" t="s">
        <v>1602</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1603</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1116</v>
      </c>
      <c r="AE273" s="19">
        <v>706</v>
      </c>
      <c r="AF273">
        <v>2196</v>
      </c>
      <c r="AG273">
        <v>732</v>
      </c>
      <c r="AH273">
        <v>2397</v>
      </c>
    </row>
    <row r="274" spans="1:34" hidden="1">
      <c r="A274" s="39" t="s">
        <v>1325</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962</v>
      </c>
      <c r="AE274" s="19">
        <v>995</v>
      </c>
      <c r="AF274">
        <v>2538</v>
      </c>
      <c r="AG274">
        <v>871</v>
      </c>
      <c r="AH274">
        <v>2270</v>
      </c>
    </row>
    <row r="275" spans="1:34" hidden="1">
      <c r="A275" s="39" t="s">
        <v>1378</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1081</v>
      </c>
      <c r="AE275" s="19">
        <v>942</v>
      </c>
      <c r="AF275">
        <v>2473</v>
      </c>
      <c r="AG275">
        <v>937</v>
      </c>
      <c r="AH275">
        <v>2832</v>
      </c>
    </row>
    <row r="276" spans="1:34" hidden="1">
      <c r="A276" s="39" t="s">
        <v>1293</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1004</v>
      </c>
      <c r="AE276" s="19">
        <v>697</v>
      </c>
      <c r="AF276">
        <v>1674</v>
      </c>
      <c r="AG276">
        <v>655</v>
      </c>
      <c r="AH276">
        <v>1477</v>
      </c>
    </row>
    <row r="277" spans="1:34" hidden="1">
      <c r="A277" s="39" t="s">
        <v>1604</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1227</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1144</v>
      </c>
      <c r="AE278" s="19">
        <v>1841</v>
      </c>
      <c r="AF278">
        <v>5613</v>
      </c>
      <c r="AG278">
        <v>1598</v>
      </c>
      <c r="AH278">
        <v>4088</v>
      </c>
    </row>
    <row r="279" spans="1:34" hidden="1">
      <c r="A279" s="39" t="s">
        <v>1409</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1605</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943</v>
      </c>
      <c r="AE280" s="19">
        <v>337</v>
      </c>
      <c r="AF280">
        <v>1555</v>
      </c>
      <c r="AG280">
        <v>605</v>
      </c>
      <c r="AH280">
        <v>2345</v>
      </c>
    </row>
    <row r="281" spans="1:34" hidden="1">
      <c r="A281" s="39" t="s">
        <v>186</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1028</v>
      </c>
      <c r="AE281" s="19">
        <v>456</v>
      </c>
      <c r="AF281">
        <v>1042</v>
      </c>
      <c r="AG281">
        <v>409</v>
      </c>
      <c r="AH281">
        <v>1124</v>
      </c>
    </row>
    <row r="282" spans="1:34" hidden="1">
      <c r="A282" s="39" t="s">
        <v>251</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920</v>
      </c>
      <c r="AE282" s="19">
        <v>1330</v>
      </c>
      <c r="AF282">
        <v>3293</v>
      </c>
      <c r="AG282">
        <v>1483</v>
      </c>
      <c r="AH282">
        <v>4447</v>
      </c>
    </row>
    <row r="283" spans="1:34" hidden="1">
      <c r="A283" s="39" t="s">
        <v>263</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1010</v>
      </c>
      <c r="AE283" s="19">
        <v>736</v>
      </c>
      <c r="AF283">
        <v>3441</v>
      </c>
      <c r="AG283">
        <v>727</v>
      </c>
      <c r="AH283">
        <v>3537</v>
      </c>
    </row>
    <row r="284" spans="1:34" hidden="1">
      <c r="A284" s="39" t="s">
        <v>320</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303</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1051</v>
      </c>
      <c r="AE285" s="19">
        <v>1391</v>
      </c>
      <c r="AF285">
        <v>4065</v>
      </c>
      <c r="AG285">
        <v>1341</v>
      </c>
      <c r="AH285">
        <v>3689</v>
      </c>
    </row>
    <row r="286" spans="1:34" hidden="1">
      <c r="A286" s="39" t="s">
        <v>171</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999</v>
      </c>
      <c r="AE286" s="19">
        <v>1388</v>
      </c>
      <c r="AF286">
        <v>3467</v>
      </c>
      <c r="AG286">
        <v>1360</v>
      </c>
      <c r="AH286">
        <v>3409</v>
      </c>
    </row>
    <row r="287" spans="1:34" hidden="1">
      <c r="A287" s="39" t="s">
        <v>427</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954</v>
      </c>
      <c r="AE287" s="19">
        <v>2475</v>
      </c>
      <c r="AF287">
        <v>7874</v>
      </c>
      <c r="AG287">
        <v>3017</v>
      </c>
      <c r="AH287">
        <v>9520</v>
      </c>
    </row>
    <row r="288" spans="1:34" hidden="1">
      <c r="A288" s="39" t="s">
        <v>392</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1300</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972</v>
      </c>
      <c r="AE289" s="19">
        <v>2459</v>
      </c>
      <c r="AF289">
        <v>6009</v>
      </c>
      <c r="AG289">
        <v>935</v>
      </c>
      <c r="AH289">
        <v>3880</v>
      </c>
    </row>
    <row r="290" spans="1:34" hidden="1">
      <c r="A290" s="39" t="s">
        <v>1394</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894</v>
      </c>
      <c r="AE290" s="19">
        <v>1983</v>
      </c>
      <c r="AF290">
        <v>4570</v>
      </c>
      <c r="AG290">
        <v>2077</v>
      </c>
      <c r="AH290">
        <v>5047</v>
      </c>
    </row>
    <row r="291" spans="1:34" hidden="1">
      <c r="A291" s="39" t="s">
        <v>1338</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1026</v>
      </c>
      <c r="AE291" s="19">
        <v>957</v>
      </c>
      <c r="AF291">
        <v>2138</v>
      </c>
      <c r="AG291">
        <v>828</v>
      </c>
      <c r="AH291">
        <v>1666</v>
      </c>
    </row>
    <row r="292" spans="1:34" hidden="1">
      <c r="A292" s="39" t="s">
        <v>1360</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1247</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1407</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887</v>
      </c>
      <c r="AE294" s="19">
        <v>671</v>
      </c>
      <c r="AF294">
        <v>1371</v>
      </c>
      <c r="AG294">
        <v>636</v>
      </c>
      <c r="AH294">
        <v>1517</v>
      </c>
    </row>
    <row r="295" spans="1:34" hidden="1">
      <c r="A295" s="39" t="s">
        <v>1422</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1364</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1129</v>
      </c>
      <c r="AE296" s="19">
        <v>1810</v>
      </c>
      <c r="AF296">
        <v>6177</v>
      </c>
      <c r="AG296">
        <v>1031</v>
      </c>
      <c r="AH296">
        <v>5005</v>
      </c>
    </row>
    <row r="297" spans="1:34" hidden="1">
      <c r="A297" s="39" t="s">
        <v>1330</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1540</v>
      </c>
      <c r="AE297" s="19">
        <v>130</v>
      </c>
      <c r="AF297">
        <v>303</v>
      </c>
      <c r="AG297">
        <v>136</v>
      </c>
      <c r="AH297">
        <v>282</v>
      </c>
    </row>
    <row r="298" spans="1:34" hidden="1">
      <c r="A298" s="39" t="s">
        <v>1366</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978</v>
      </c>
      <c r="AE298" s="19">
        <v>1461</v>
      </c>
      <c r="AF298">
        <v>4166</v>
      </c>
      <c r="AG298">
        <v>1563</v>
      </c>
      <c r="AH298">
        <v>4498</v>
      </c>
    </row>
    <row r="299" spans="1:34" hidden="1">
      <c r="A299" s="39" t="s">
        <v>1271</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1036</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937</v>
      </c>
      <c r="AE300" s="19">
        <v>767</v>
      </c>
      <c r="AF300">
        <v>1139</v>
      </c>
      <c r="AG300">
        <v>636</v>
      </c>
      <c r="AH300">
        <v>987</v>
      </c>
    </row>
    <row r="301" spans="1:34" hidden="1">
      <c r="A301" s="39" t="s">
        <v>1045</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974</v>
      </c>
      <c r="AE301" s="19">
        <v>1069</v>
      </c>
      <c r="AF301">
        <v>2732</v>
      </c>
      <c r="AG301">
        <v>1032</v>
      </c>
      <c r="AH301">
        <v>2212</v>
      </c>
    </row>
    <row r="302" spans="1:34" hidden="1">
      <c r="A302" s="39" t="s">
        <v>874</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848</v>
      </c>
      <c r="AE302" s="19">
        <v>1050</v>
      </c>
      <c r="AF302">
        <v>3373</v>
      </c>
      <c r="AG302">
        <v>894</v>
      </c>
      <c r="AH302">
        <v>2989</v>
      </c>
    </row>
    <row r="303" spans="1:34" hidden="1">
      <c r="A303" s="39" t="s">
        <v>1075</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1040</v>
      </c>
      <c r="AE303" s="19">
        <v>1599</v>
      </c>
      <c r="AF303">
        <v>4378</v>
      </c>
      <c r="AG303">
        <v>1603</v>
      </c>
      <c r="AH303">
        <v>4702</v>
      </c>
    </row>
    <row r="304" spans="1:34" hidden="1">
      <c r="A304" s="39" t="s">
        <v>1018</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1030</v>
      </c>
      <c r="AE304" s="19">
        <v>986</v>
      </c>
      <c r="AF304">
        <v>3049</v>
      </c>
      <c r="AG304">
        <v>1006</v>
      </c>
      <c r="AH304">
        <v>2782</v>
      </c>
    </row>
    <row r="305" spans="1:34" hidden="1">
      <c r="A305" s="39" t="s">
        <v>1106</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1002</v>
      </c>
      <c r="AE305" s="19">
        <v>1097</v>
      </c>
      <c r="AF305">
        <v>3777</v>
      </c>
      <c r="AG305">
        <v>1104</v>
      </c>
      <c r="AH305">
        <v>3937</v>
      </c>
    </row>
    <row r="306" spans="1:34" hidden="1">
      <c r="A306" s="39" t="s">
        <v>853</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853</v>
      </c>
      <c r="AE306" s="19">
        <v>4451</v>
      </c>
      <c r="AF306">
        <v>16591</v>
      </c>
      <c r="AG306">
        <v>1697</v>
      </c>
      <c r="AH306">
        <v>7281</v>
      </c>
    </row>
    <row r="307" spans="1:34" hidden="1">
      <c r="A307" s="39" t="s">
        <v>1539</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924</v>
      </c>
      <c r="AE307" s="19">
        <v>1048</v>
      </c>
      <c r="AF307">
        <v>2416</v>
      </c>
      <c r="AG307">
        <v>1064</v>
      </c>
      <c r="AH307">
        <v>2389</v>
      </c>
    </row>
    <row r="308" spans="1:34" hidden="1">
      <c r="A308" s="39" t="s">
        <v>1495</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1542</v>
      </c>
      <c r="AE308" s="19">
        <v>140</v>
      </c>
      <c r="AF308">
        <v>309</v>
      </c>
      <c r="AG308">
        <v>135</v>
      </c>
      <c r="AH308">
        <v>238</v>
      </c>
    </row>
    <row r="309" spans="1:34" hidden="1">
      <c r="A309" s="39" t="s">
        <v>115</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1104</v>
      </c>
      <c r="AE309" s="19">
        <v>931</v>
      </c>
      <c r="AF309">
        <v>1974</v>
      </c>
      <c r="AG309">
        <v>1129</v>
      </c>
      <c r="AH309">
        <v>1665</v>
      </c>
    </row>
    <row r="310" spans="1:34" hidden="1">
      <c r="A310" s="39" t="s">
        <v>344</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60</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901</v>
      </c>
      <c r="AE311" s="19">
        <v>1493</v>
      </c>
      <c r="AF311">
        <v>3832</v>
      </c>
      <c r="AG311">
        <v>874</v>
      </c>
      <c r="AH311">
        <v>2577</v>
      </c>
    </row>
    <row r="312" spans="1:34" hidden="1">
      <c r="A312" s="39" t="s">
        <v>524</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912</v>
      </c>
      <c r="AE312" s="19">
        <v>1954</v>
      </c>
      <c r="AF312">
        <v>3897</v>
      </c>
      <c r="AG312">
        <v>2114</v>
      </c>
      <c r="AH312">
        <v>4208</v>
      </c>
    </row>
    <row r="313" spans="1:34" hidden="1">
      <c r="A313" s="39" t="s">
        <v>231</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1142</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1110</v>
      </c>
      <c r="AE314" s="19">
        <v>1003</v>
      </c>
      <c r="AF314">
        <v>1589</v>
      </c>
      <c r="AG314">
        <v>890</v>
      </c>
      <c r="AH314">
        <v>1398</v>
      </c>
    </row>
    <row r="315" spans="1:34" hidden="1">
      <c r="A315" s="39" t="s">
        <v>1032</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1134</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1071</v>
      </c>
      <c r="AE316" s="19">
        <v>567</v>
      </c>
      <c r="AF316">
        <v>1504</v>
      </c>
      <c r="AG316">
        <v>580</v>
      </c>
      <c r="AH316">
        <v>1328</v>
      </c>
    </row>
    <row r="317" spans="1:34" hidden="1">
      <c r="A317" s="39" t="s">
        <v>999</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976</v>
      </c>
      <c r="AE317" s="19">
        <v>1221</v>
      </c>
      <c r="AF317">
        <v>4464</v>
      </c>
      <c r="AG317">
        <v>1315</v>
      </c>
      <c r="AH317">
        <v>4510</v>
      </c>
    </row>
    <row r="318" spans="1:34" hidden="1">
      <c r="A318" s="39" t="s">
        <v>1525</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330</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844</v>
      </c>
      <c r="AE319" s="19">
        <v>1270</v>
      </c>
      <c r="AF319">
        <v>3786</v>
      </c>
      <c r="AG319">
        <v>1078</v>
      </c>
      <c r="AH319">
        <v>3372</v>
      </c>
    </row>
    <row r="320" spans="1:34" hidden="1">
      <c r="A320" s="39" t="s">
        <v>705</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857</v>
      </c>
      <c r="AE320" s="19">
        <v>3590</v>
      </c>
      <c r="AF320">
        <v>14550</v>
      </c>
      <c r="AG320">
        <v>3606</v>
      </c>
      <c r="AH320">
        <v>14106</v>
      </c>
    </row>
    <row r="321" spans="1:34" hidden="1">
      <c r="A321" s="39" t="s">
        <v>495</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575</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1018</v>
      </c>
      <c r="AE322" s="19">
        <v>1934</v>
      </c>
      <c r="AF322">
        <v>3707</v>
      </c>
      <c r="AG322">
        <v>1678</v>
      </c>
      <c r="AH322">
        <v>3103</v>
      </c>
    </row>
    <row r="323" spans="1:34" hidden="1">
      <c r="A323" s="39" t="s">
        <v>468</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982</v>
      </c>
      <c r="AE323" s="19">
        <v>1019</v>
      </c>
      <c r="AF323">
        <v>4079</v>
      </c>
      <c r="AG323">
        <v>1135</v>
      </c>
      <c r="AH323">
        <v>4140</v>
      </c>
    </row>
    <row r="324" spans="1:34" hidden="1">
      <c r="A324" s="39" t="s">
        <v>103</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908</v>
      </c>
      <c r="AE324" s="19">
        <v>2100</v>
      </c>
      <c r="AF324">
        <v>5134</v>
      </c>
      <c r="AG324">
        <v>2163</v>
      </c>
      <c r="AH324">
        <v>4948</v>
      </c>
    </row>
    <row r="325" spans="1:34" hidden="1">
      <c r="A325" s="39" t="s">
        <v>336</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874</v>
      </c>
      <c r="AE325" s="19">
        <v>2322</v>
      </c>
      <c r="AF325">
        <v>7537</v>
      </c>
      <c r="AG325">
        <v>2139</v>
      </c>
      <c r="AH325">
        <v>6324</v>
      </c>
    </row>
    <row r="326" spans="1:34" hidden="1">
      <c r="A326" s="39" t="s">
        <v>510</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1049</v>
      </c>
      <c r="AE326" s="19">
        <v>485</v>
      </c>
      <c r="AF326">
        <v>854</v>
      </c>
      <c r="AG326">
        <v>464</v>
      </c>
      <c r="AH326">
        <v>810</v>
      </c>
    </row>
    <row r="327" spans="1:34" hidden="1">
      <c r="A327" s="39" t="s">
        <v>497</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910</v>
      </c>
      <c r="AE327" s="19">
        <v>1498</v>
      </c>
      <c r="AF327">
        <v>5370</v>
      </c>
      <c r="AG327">
        <v>1227</v>
      </c>
      <c r="AH327">
        <v>3936</v>
      </c>
    </row>
    <row r="328" spans="1:34" hidden="1">
      <c r="A328" s="39" t="s">
        <v>966</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1156</v>
      </c>
      <c r="AE328" s="19">
        <v>10278</v>
      </c>
      <c r="AF328">
        <v>19771</v>
      </c>
      <c r="AG328">
        <v>8072</v>
      </c>
      <c r="AH328">
        <v>16361</v>
      </c>
    </row>
    <row r="329" spans="1:34" hidden="1">
      <c r="A329" s="39" t="s">
        <v>857</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904</v>
      </c>
      <c r="AE329" s="19">
        <v>1468</v>
      </c>
      <c r="AF329">
        <v>3867</v>
      </c>
      <c r="AG329">
        <v>1315</v>
      </c>
      <c r="AH329">
        <v>3480</v>
      </c>
    </row>
    <row r="330" spans="1:34" hidden="1">
      <c r="A330" s="39" t="s">
        <v>862</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952</v>
      </c>
      <c r="AE330" s="19">
        <v>1079</v>
      </c>
      <c r="AF330">
        <v>2673</v>
      </c>
      <c r="AG330">
        <v>1148</v>
      </c>
      <c r="AH330">
        <v>2673</v>
      </c>
    </row>
    <row r="331" spans="1:34" hidden="1">
      <c r="A331" s="39" t="s">
        <v>1144</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1002</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1020</v>
      </c>
      <c r="AE332" s="19">
        <v>1132</v>
      </c>
      <c r="AF332">
        <v>2219</v>
      </c>
      <c r="AG332">
        <v>746</v>
      </c>
      <c r="AH332">
        <v>1647</v>
      </c>
    </row>
    <row r="333" spans="1:34" hidden="1">
      <c r="A333" s="39" t="s">
        <v>1056</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1036</v>
      </c>
      <c r="AE333" s="19">
        <v>1142</v>
      </c>
      <c r="AF333">
        <v>2951</v>
      </c>
      <c r="AG333">
        <v>1087</v>
      </c>
      <c r="AH333">
        <v>2839</v>
      </c>
    </row>
    <row r="334" spans="1:34" hidden="1">
      <c r="A334" s="39" t="s">
        <v>249</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1075</v>
      </c>
      <c r="AE334" s="19">
        <v>1001</v>
      </c>
      <c r="AF334">
        <v>1621</v>
      </c>
      <c r="AG334">
        <v>860</v>
      </c>
      <c r="AH334">
        <v>1427</v>
      </c>
    </row>
    <row r="335" spans="1:34" hidden="1">
      <c r="A335" s="39" t="s">
        <v>151</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939</v>
      </c>
      <c r="AE335" s="19">
        <v>1255</v>
      </c>
      <c r="AF335">
        <v>2585</v>
      </c>
      <c r="AG335">
        <v>994</v>
      </c>
      <c r="AH335">
        <v>2553</v>
      </c>
    </row>
    <row r="336" spans="1:34" hidden="1">
      <c r="A336" s="39" t="s">
        <v>528</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1118</v>
      </c>
      <c r="AE336" s="19">
        <v>442</v>
      </c>
      <c r="AF336">
        <v>907</v>
      </c>
      <c r="AG336">
        <v>361</v>
      </c>
      <c r="AH336">
        <v>768</v>
      </c>
    </row>
    <row r="337" spans="1:34" hidden="1">
      <c r="A337" s="39" t="s">
        <v>88</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1063</v>
      </c>
      <c r="AE337" s="19">
        <v>352</v>
      </c>
      <c r="AF337">
        <v>894</v>
      </c>
      <c r="AG337">
        <v>317</v>
      </c>
      <c r="AH337">
        <v>856</v>
      </c>
    </row>
    <row r="338" spans="1:34" hidden="1">
      <c r="A338" s="39" t="s">
        <v>613</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571</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1537</v>
      </c>
      <c r="AE339" s="19">
        <v>304</v>
      </c>
      <c r="AF339">
        <v>744</v>
      </c>
      <c r="AG339">
        <v>254</v>
      </c>
      <c r="AH339">
        <v>671</v>
      </c>
    </row>
    <row r="340" spans="1:34" hidden="1">
      <c r="A340" s="39" t="s">
        <v>1606</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933</v>
      </c>
      <c r="AE340" s="19">
        <v>1773</v>
      </c>
      <c r="AF340">
        <v>3891</v>
      </c>
      <c r="AG340">
        <v>1766</v>
      </c>
      <c r="AH340">
        <v>4227</v>
      </c>
    </row>
    <row r="341" spans="1:34" hidden="1">
      <c r="A341" s="39" t="s">
        <v>105</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833</v>
      </c>
      <c r="AE341" s="19">
        <v>4088</v>
      </c>
      <c r="AF341">
        <v>8958</v>
      </c>
      <c r="AG341">
        <v>4072</v>
      </c>
      <c r="AH341">
        <v>8698</v>
      </c>
    </row>
    <row r="342" spans="1:34" hidden="1">
      <c r="A342" s="39" t="s">
        <v>441</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1047</v>
      </c>
      <c r="AE342" s="19">
        <v>307</v>
      </c>
      <c r="AF342">
        <v>913</v>
      </c>
      <c r="AG342">
        <v>303</v>
      </c>
      <c r="AH342">
        <v>791</v>
      </c>
    </row>
    <row r="343" spans="1:34" hidden="1">
      <c r="A343" s="39" t="s">
        <v>363</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862</v>
      </c>
      <c r="AE343" s="19">
        <v>1359</v>
      </c>
      <c r="AF343">
        <v>3067</v>
      </c>
      <c r="AG343">
        <v>1324</v>
      </c>
      <c r="AH343">
        <v>2917</v>
      </c>
    </row>
    <row r="344" spans="1:34" hidden="1">
      <c r="A344" s="39" t="s">
        <v>611</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1154</v>
      </c>
      <c r="AE344" s="19">
        <v>4341</v>
      </c>
      <c r="AF344">
        <v>9371</v>
      </c>
      <c r="AG344">
        <v>4145</v>
      </c>
      <c r="AH344">
        <v>9738</v>
      </c>
    </row>
    <row r="345" spans="1:34" hidden="1">
      <c r="A345" s="39" t="s">
        <v>851</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1032</v>
      </c>
      <c r="AE345" s="19">
        <v>1730</v>
      </c>
      <c r="AF345">
        <v>5884</v>
      </c>
      <c r="AG345">
        <v>1880</v>
      </c>
      <c r="AH345">
        <v>5451</v>
      </c>
    </row>
    <row r="346" spans="1:34" hidden="1">
      <c r="A346" s="39" t="s">
        <v>844</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1136</v>
      </c>
      <c r="AE346" s="19">
        <v>2197</v>
      </c>
      <c r="AF346">
        <v>7621</v>
      </c>
      <c r="AG346">
        <v>2076</v>
      </c>
      <c r="AH346">
        <v>7276</v>
      </c>
    </row>
    <row r="347" spans="1:34" hidden="1">
      <c r="A347" s="39" t="s">
        <v>871</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896</v>
      </c>
      <c r="AE347" s="19">
        <v>680</v>
      </c>
      <c r="AF347">
        <v>1839</v>
      </c>
      <c r="AG347">
        <v>673</v>
      </c>
      <c r="AH347">
        <v>1900</v>
      </c>
    </row>
    <row r="348" spans="1:34" hidden="1">
      <c r="A348" s="39" t="s">
        <v>1136</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947</v>
      </c>
      <c r="AE348" s="19">
        <v>556</v>
      </c>
      <c r="AF348">
        <v>3328</v>
      </c>
      <c r="AG348">
        <v>492</v>
      </c>
      <c r="AH348">
        <v>2903</v>
      </c>
    </row>
    <row r="349" spans="1:34" hidden="1">
      <c r="A349" s="39" t="s">
        <v>111</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926</v>
      </c>
      <c r="AE349" s="19">
        <v>709</v>
      </c>
      <c r="AF349">
        <v>1617</v>
      </c>
      <c r="AG349">
        <v>780</v>
      </c>
      <c r="AH349">
        <v>1828</v>
      </c>
    </row>
    <row r="350" spans="1:34" hidden="1">
      <c r="A350" s="39" t="s">
        <v>947</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941</v>
      </c>
      <c r="AE350" s="19">
        <v>1391</v>
      </c>
      <c r="AF350">
        <v>6386</v>
      </c>
      <c r="AG350">
        <v>1391</v>
      </c>
      <c r="AH350">
        <v>6380</v>
      </c>
    </row>
    <row r="351" spans="1:34" hidden="1">
      <c r="A351" s="39" t="s">
        <v>1016</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990</v>
      </c>
      <c r="AE351" s="19">
        <v>1104</v>
      </c>
      <c r="AF351">
        <v>3041</v>
      </c>
      <c r="AG351">
        <v>1124</v>
      </c>
      <c r="AH351">
        <v>3196</v>
      </c>
    </row>
    <row r="352" spans="1:34" hidden="1">
      <c r="A352" s="39" t="s">
        <v>958</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1098</v>
      </c>
      <c r="AE352" s="19">
        <v>1012</v>
      </c>
      <c r="AF352">
        <v>4711</v>
      </c>
      <c r="AG352">
        <v>900</v>
      </c>
      <c r="AH352">
        <v>3957</v>
      </c>
    </row>
    <row r="353" spans="1:34" hidden="1">
      <c r="A353" s="39" t="s">
        <v>1607</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1073</v>
      </c>
      <c r="AE353" s="19">
        <v>563</v>
      </c>
      <c r="AF353">
        <v>1126</v>
      </c>
      <c r="AG353">
        <v>553</v>
      </c>
      <c r="AH353">
        <v>1189</v>
      </c>
    </row>
    <row r="354" spans="1:34" hidden="1">
      <c r="A354" s="39" t="s">
        <v>1608</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1008</v>
      </c>
      <c r="AE354" s="19">
        <v>994</v>
      </c>
      <c r="AF354">
        <v>5341</v>
      </c>
      <c r="AG354">
        <v>781</v>
      </c>
      <c r="AH354">
        <v>4714</v>
      </c>
    </row>
    <row r="355" spans="1:34" hidden="1">
      <c r="A355" s="39" t="s">
        <v>1374</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928</v>
      </c>
      <c r="AE355" s="19">
        <v>2392</v>
      </c>
      <c r="AF355">
        <v>4813</v>
      </c>
      <c r="AG355">
        <v>2708</v>
      </c>
      <c r="AH355">
        <v>4674</v>
      </c>
    </row>
    <row r="356" spans="1:34" hidden="1">
      <c r="A356" s="39" t="s">
        <v>1223</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958</v>
      </c>
      <c r="AE356" s="19">
        <v>968</v>
      </c>
      <c r="AF356">
        <v>2161</v>
      </c>
      <c r="AG356">
        <v>1003</v>
      </c>
      <c r="AH356">
        <v>2293</v>
      </c>
    </row>
    <row r="357" spans="1:34" hidden="1">
      <c r="A357" s="39" t="s">
        <v>1356</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1125</v>
      </c>
      <c r="AE357" s="19">
        <v>1050</v>
      </c>
      <c r="AF357">
        <v>3313</v>
      </c>
      <c r="AG357">
        <v>647</v>
      </c>
      <c r="AH357">
        <v>2596</v>
      </c>
    </row>
    <row r="358" spans="1:34" hidden="1">
      <c r="A358" s="39" t="s">
        <v>1180</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922</v>
      </c>
      <c r="AE358" s="19">
        <v>1164</v>
      </c>
      <c r="AF358">
        <v>2760</v>
      </c>
      <c r="AG358">
        <v>1126</v>
      </c>
      <c r="AH358">
        <v>2712</v>
      </c>
    </row>
    <row r="359" spans="1:34" hidden="1">
      <c r="A359" s="39" t="s">
        <v>1276</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881</v>
      </c>
      <c r="AE359" s="19">
        <v>1206</v>
      </c>
      <c r="AF359">
        <v>5369</v>
      </c>
      <c r="AG359">
        <v>679</v>
      </c>
      <c r="AH359">
        <v>3541</v>
      </c>
    </row>
    <row r="360" spans="1:34" hidden="1">
      <c r="A360" s="39" t="s">
        <v>38</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1016</v>
      </c>
      <c r="AE360" s="19">
        <v>2452</v>
      </c>
      <c r="AF360">
        <v>11987</v>
      </c>
      <c r="AG360">
        <v>2540</v>
      </c>
      <c r="AH360">
        <v>11724</v>
      </c>
    </row>
    <row r="361" spans="1:34" hidden="1">
      <c r="A361" s="39" t="s">
        <v>307</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1045</v>
      </c>
      <c r="AE361" s="19">
        <v>1081</v>
      </c>
      <c r="AF361">
        <v>2997</v>
      </c>
      <c r="AG361">
        <v>1041</v>
      </c>
      <c r="AH361">
        <v>2820</v>
      </c>
    </row>
    <row r="362" spans="1:34" hidden="1">
      <c r="A362" s="39" t="s">
        <v>1609</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1148</v>
      </c>
      <c r="AE362" s="19">
        <v>2435</v>
      </c>
      <c r="AF362">
        <v>9302</v>
      </c>
      <c r="AG362">
        <v>3143</v>
      </c>
      <c r="AH362">
        <v>11288</v>
      </c>
    </row>
    <row r="363" spans="1:34" hidden="1">
      <c r="A363" s="39" t="s">
        <v>1610</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892</v>
      </c>
      <c r="AE363" s="19">
        <v>932</v>
      </c>
      <c r="AF363">
        <v>2798</v>
      </c>
      <c r="AG363">
        <v>849</v>
      </c>
      <c r="AH363">
        <v>3058</v>
      </c>
    </row>
    <row r="364" spans="1:34" hidden="1">
      <c r="A364" s="39" t="s">
        <v>1611</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964</v>
      </c>
      <c r="AE364" s="19">
        <v>2202</v>
      </c>
      <c r="AF364">
        <v>6672</v>
      </c>
      <c r="AG364">
        <v>1648</v>
      </c>
      <c r="AH364">
        <v>5181</v>
      </c>
    </row>
    <row r="365" spans="1:34" hidden="1">
      <c r="A365" s="39" t="s">
        <v>520</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906</v>
      </c>
      <c r="AE365" s="19">
        <v>1002</v>
      </c>
      <c r="AF365">
        <v>3000</v>
      </c>
      <c r="AG365">
        <v>1090</v>
      </c>
      <c r="AH365">
        <v>3750</v>
      </c>
    </row>
    <row r="366" spans="1:34" hidden="1">
      <c r="A366" s="39" t="s">
        <v>1612</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846</v>
      </c>
      <c r="AE366" s="19">
        <v>871</v>
      </c>
      <c r="AF366">
        <v>3124</v>
      </c>
      <c r="AG366">
        <v>1337</v>
      </c>
      <c r="AH366">
        <v>4374</v>
      </c>
    </row>
    <row r="367" spans="1:34" hidden="1">
      <c r="A367" s="39" t="s">
        <v>627</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175</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259</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143</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609</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188</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656</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299</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211</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1083</v>
      </c>
      <c r="AE375" s="19">
        <v>0</v>
      </c>
      <c r="AF375">
        <v>204</v>
      </c>
      <c r="AG375">
        <v>0</v>
      </c>
      <c r="AH375">
        <v>319</v>
      </c>
    </row>
    <row r="376" spans="1:34" hidden="1">
      <c r="A376" s="39" t="s">
        <v>145</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1180</v>
      </c>
      <c r="AE376" s="19">
        <v>3508</v>
      </c>
      <c r="AF376">
        <v>15392</v>
      </c>
      <c r="AG376">
        <v>3259</v>
      </c>
      <c r="AH376">
        <v>13188</v>
      </c>
    </row>
    <row r="377" spans="1:34" hidden="1">
      <c r="A377" s="39" t="s">
        <v>784</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1422</v>
      </c>
      <c r="AE377" s="19">
        <v>4183</v>
      </c>
      <c r="AF377">
        <v>8194</v>
      </c>
      <c r="AG377">
        <v>4580</v>
      </c>
      <c r="AH377">
        <v>8690</v>
      </c>
    </row>
    <row r="378" spans="1:34" hidden="1">
      <c r="A378" s="39" t="s">
        <v>514</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1372</v>
      </c>
      <c r="AE378" s="19">
        <v>2357</v>
      </c>
      <c r="AF378">
        <v>9489</v>
      </c>
      <c r="AG378">
        <v>2852</v>
      </c>
      <c r="AH378">
        <v>12715</v>
      </c>
    </row>
    <row r="379" spans="1:34" hidden="1">
      <c r="A379" s="39" t="s">
        <v>1613</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1217</v>
      </c>
      <c r="AE379" s="19">
        <v>1605</v>
      </c>
      <c r="AF379">
        <v>3876</v>
      </c>
      <c r="AG379">
        <v>1204</v>
      </c>
      <c r="AH379">
        <v>3437</v>
      </c>
    </row>
    <row r="380" spans="1:34" hidden="1">
      <c r="A380" s="39" t="s">
        <v>1098</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1360</v>
      </c>
      <c r="AE380" s="19">
        <v>1961</v>
      </c>
      <c r="AF380">
        <v>6052</v>
      </c>
      <c r="AG380">
        <v>1504</v>
      </c>
      <c r="AH380">
        <v>4817</v>
      </c>
    </row>
    <row r="381" spans="1:34" hidden="1">
      <c r="A381" s="39" t="s">
        <v>992</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1386</v>
      </c>
      <c r="AE381" s="19">
        <v>2820</v>
      </c>
      <c r="AF381">
        <v>8999</v>
      </c>
      <c r="AG381">
        <v>3060</v>
      </c>
      <c r="AH381">
        <v>10194</v>
      </c>
    </row>
    <row r="382" spans="1:34" hidden="1">
      <c r="A382" s="39" t="s">
        <v>1140</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1231</v>
      </c>
      <c r="AE382" s="19">
        <v>4202</v>
      </c>
      <c r="AF382">
        <v>11724</v>
      </c>
      <c r="AG382">
        <v>3828</v>
      </c>
      <c r="AH382">
        <v>10399</v>
      </c>
    </row>
    <row r="383" spans="1:34" hidden="1">
      <c r="A383" s="39" t="s">
        <v>972</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1238</v>
      </c>
      <c r="AE383" s="19">
        <v>706</v>
      </c>
      <c r="AF383">
        <v>2687</v>
      </c>
      <c r="AG383">
        <v>665</v>
      </c>
      <c r="AH383">
        <v>2636</v>
      </c>
    </row>
    <row r="384" spans="1:34" hidden="1">
      <c r="A384" s="39" t="s">
        <v>1614</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1382</v>
      </c>
      <c r="AE384" s="19">
        <v>1460</v>
      </c>
      <c r="AF384">
        <v>5677</v>
      </c>
      <c r="AG384">
        <v>1391</v>
      </c>
      <c r="AH384">
        <v>5239</v>
      </c>
    </row>
    <row r="385" spans="1:34" hidden="1">
      <c r="A385" s="39" t="s">
        <v>1615</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1336</v>
      </c>
      <c r="AE385" s="19">
        <v>871</v>
      </c>
      <c r="AF385">
        <v>2362</v>
      </c>
      <c r="AG385">
        <v>856</v>
      </c>
      <c r="AH385">
        <v>2160</v>
      </c>
    </row>
    <row r="386" spans="1:34" hidden="1">
      <c r="A386" s="39" t="s">
        <v>1384</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1312</v>
      </c>
      <c r="AE386" s="19">
        <v>4871</v>
      </c>
      <c r="AF386">
        <v>10959</v>
      </c>
      <c r="AG386">
        <v>5077</v>
      </c>
      <c r="AH386">
        <v>10868</v>
      </c>
    </row>
    <row r="387" spans="1:34" hidden="1">
      <c r="A387" s="39" t="s">
        <v>1348</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1172</v>
      </c>
      <c r="AE387" s="19">
        <v>10863</v>
      </c>
      <c r="AF387">
        <v>29065</v>
      </c>
      <c r="AG387">
        <v>10681</v>
      </c>
      <c r="AH387">
        <v>28479</v>
      </c>
    </row>
    <row r="388" spans="1:34" hidden="1">
      <c r="A388" s="39" t="s">
        <v>1278</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1401</v>
      </c>
      <c r="AE388" s="19">
        <v>2105</v>
      </c>
      <c r="AF388">
        <v>8662</v>
      </c>
      <c r="AG388">
        <v>1579</v>
      </c>
      <c r="AH388">
        <v>7006</v>
      </c>
    </row>
    <row r="389" spans="1:34" hidden="1">
      <c r="A389" s="39" t="s">
        <v>1616</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1247</v>
      </c>
      <c r="AE389" s="19">
        <v>1161</v>
      </c>
      <c r="AF389">
        <v>2977</v>
      </c>
      <c r="AG389">
        <v>1190</v>
      </c>
      <c r="AH389">
        <v>3629</v>
      </c>
    </row>
    <row r="390" spans="1:34" hidden="1">
      <c r="A390" s="39" t="s">
        <v>1617</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1227</v>
      </c>
      <c r="AE390" s="19">
        <v>2704</v>
      </c>
      <c r="AF390">
        <v>8137</v>
      </c>
      <c r="AG390">
        <v>2967</v>
      </c>
      <c r="AH390">
        <v>8267</v>
      </c>
    </row>
    <row r="391" spans="1:34" hidden="1">
      <c r="A391" s="39" t="s">
        <v>1051</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1362</v>
      </c>
      <c r="AE391" s="19">
        <v>1464</v>
      </c>
      <c r="AF391">
        <v>2994</v>
      </c>
      <c r="AG391">
        <v>1261</v>
      </c>
      <c r="AH391">
        <v>2301</v>
      </c>
    </row>
    <row r="392" spans="1:34" hidden="1">
      <c r="A392" s="39" t="s">
        <v>1618</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1214</v>
      </c>
      <c r="AE392" s="19">
        <v>432</v>
      </c>
      <c r="AF392">
        <v>1316</v>
      </c>
      <c r="AG392">
        <v>298</v>
      </c>
      <c r="AH392">
        <v>986</v>
      </c>
    </row>
    <row r="393" spans="1:34" hidden="1">
      <c r="A393" s="39" t="s">
        <v>1619</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1394</v>
      </c>
      <c r="AE393" s="19">
        <v>1424</v>
      </c>
      <c r="AF393">
        <v>4497</v>
      </c>
      <c r="AG393">
        <v>1548</v>
      </c>
      <c r="AH393">
        <v>4885</v>
      </c>
    </row>
    <row r="394" spans="1:34" hidden="1">
      <c r="A394" s="39" t="s">
        <v>1069</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1325</v>
      </c>
      <c r="AE394" s="19">
        <v>1014</v>
      </c>
      <c r="AF394">
        <v>3217</v>
      </c>
      <c r="AG394">
        <v>988</v>
      </c>
      <c r="AH394">
        <v>3110</v>
      </c>
    </row>
    <row r="395" spans="1:34" hidden="1">
      <c r="A395" s="39" t="s">
        <v>243</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1380</v>
      </c>
      <c r="AE395" s="19">
        <v>1525</v>
      </c>
      <c r="AF395">
        <v>6316</v>
      </c>
      <c r="AG395">
        <v>1476</v>
      </c>
      <c r="AH395">
        <v>5853</v>
      </c>
    </row>
    <row r="396" spans="1:34" hidden="1">
      <c r="A396" s="39" t="s">
        <v>1620</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1338</v>
      </c>
      <c r="AE396" s="19">
        <v>816</v>
      </c>
      <c r="AF396">
        <v>2696</v>
      </c>
      <c r="AG396">
        <v>946</v>
      </c>
      <c r="AH396">
        <v>2666</v>
      </c>
    </row>
    <row r="397" spans="1:34" hidden="1">
      <c r="A397" s="39" t="s">
        <v>1621</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1370</v>
      </c>
      <c r="AE397" s="19">
        <v>1682</v>
      </c>
      <c r="AF397">
        <v>4809</v>
      </c>
      <c r="AG397">
        <v>1416</v>
      </c>
      <c r="AH397">
        <v>3743</v>
      </c>
    </row>
    <row r="398" spans="1:34" hidden="1">
      <c r="A398" s="39" t="s">
        <v>1622</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1245</v>
      </c>
      <c r="AE398" s="126">
        <v>261</v>
      </c>
      <c r="AF398">
        <v>1911</v>
      </c>
      <c r="AG398">
        <v>298</v>
      </c>
      <c r="AH398">
        <v>2394</v>
      </c>
    </row>
    <row r="399" spans="1:34" hidden="1">
      <c r="A399" s="39" t="s">
        <v>1623</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1269</v>
      </c>
      <c r="AE399" s="19">
        <v>1366</v>
      </c>
      <c r="AF399">
        <v>3989</v>
      </c>
      <c r="AG399">
        <v>1278</v>
      </c>
      <c r="AH399">
        <v>4055</v>
      </c>
    </row>
    <row r="400" spans="1:34" hidden="1">
      <c r="A400" s="39" t="s">
        <v>1624</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1354</v>
      </c>
      <c r="AE400" s="126">
        <v>1601</v>
      </c>
      <c r="AF400">
        <v>6395</v>
      </c>
      <c r="AG400">
        <v>1173</v>
      </c>
      <c r="AH400">
        <v>10534</v>
      </c>
    </row>
    <row r="401" spans="1:34" hidden="1">
      <c r="A401" s="39" t="s">
        <v>1625</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1211</v>
      </c>
      <c r="AE401" s="19">
        <v>7185</v>
      </c>
      <c r="AF401">
        <v>28733</v>
      </c>
      <c r="AG401">
        <v>7189</v>
      </c>
      <c r="AH401">
        <v>27435</v>
      </c>
    </row>
    <row r="402" spans="1:34" hidden="1">
      <c r="A402" s="39" t="s">
        <v>1626</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1323</v>
      </c>
      <c r="AE402" s="19">
        <v>1016</v>
      </c>
      <c r="AF402">
        <v>3413</v>
      </c>
      <c r="AG402">
        <v>1066</v>
      </c>
      <c r="AH402">
        <v>3236</v>
      </c>
    </row>
    <row r="403" spans="1:34" hidden="1">
      <c r="A403" s="39" t="s">
        <v>1627</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1236</v>
      </c>
      <c r="AE403" s="19">
        <v>1074</v>
      </c>
      <c r="AF403">
        <v>3459</v>
      </c>
      <c r="AG403">
        <v>952</v>
      </c>
      <c r="AH403">
        <v>3082</v>
      </c>
    </row>
    <row r="404" spans="1:34" hidden="1">
      <c r="A404" s="39" t="s">
        <v>1628</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1629</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1340</v>
      </c>
      <c r="AE405" s="19">
        <v>539</v>
      </c>
      <c r="AF405">
        <v>1920</v>
      </c>
      <c r="AG405">
        <v>460</v>
      </c>
      <c r="AH405">
        <v>1426</v>
      </c>
    </row>
    <row r="406" spans="1:34" hidden="1">
      <c r="A406" s="39" t="s">
        <v>1630</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1263</v>
      </c>
      <c r="AE406" s="19">
        <v>1075</v>
      </c>
      <c r="AF406">
        <v>2871</v>
      </c>
      <c r="AG406">
        <v>1086</v>
      </c>
      <c r="AH406">
        <v>3252</v>
      </c>
    </row>
    <row r="407" spans="1:34" hidden="1">
      <c r="A407" s="39" t="s">
        <v>1631</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1352</v>
      </c>
      <c r="AE407" s="19">
        <v>1470</v>
      </c>
      <c r="AF407">
        <v>2142</v>
      </c>
      <c r="AG407">
        <v>1327</v>
      </c>
      <c r="AH407">
        <v>1702</v>
      </c>
    </row>
    <row r="408" spans="1:34" hidden="1">
      <c r="A408" s="39" t="s">
        <v>1632</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1366</v>
      </c>
      <c r="AE408" s="19">
        <v>1676</v>
      </c>
      <c r="AF408">
        <v>4615</v>
      </c>
      <c r="AG408">
        <v>1635</v>
      </c>
      <c r="AH408">
        <v>4368</v>
      </c>
    </row>
    <row r="409" spans="1:34" hidden="1">
      <c r="A409" s="39" t="s">
        <v>1633</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1282</v>
      </c>
      <c r="AE409" s="19">
        <v>556</v>
      </c>
      <c r="AF409">
        <v>1914</v>
      </c>
      <c r="AG409">
        <v>86</v>
      </c>
      <c r="AH409">
        <v>233</v>
      </c>
    </row>
    <row r="410" spans="1:34" hidden="1">
      <c r="A410" s="39" t="s">
        <v>1634</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1200</v>
      </c>
      <c r="AE410" s="19">
        <v>1179</v>
      </c>
      <c r="AF410">
        <v>3377</v>
      </c>
      <c r="AG410">
        <v>1063</v>
      </c>
      <c r="AH410">
        <v>3009</v>
      </c>
    </row>
    <row r="411" spans="1:34" hidden="1">
      <c r="A411" s="39" t="s">
        <v>1635</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1415</v>
      </c>
      <c r="AE411" s="19">
        <v>1553</v>
      </c>
      <c r="AF411">
        <v>1555</v>
      </c>
      <c r="AG411">
        <v>60</v>
      </c>
      <c r="AH411">
        <v>2978</v>
      </c>
    </row>
    <row r="412" spans="1:34" hidden="1">
      <c r="A412" s="39" t="s">
        <v>1636</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1332</v>
      </c>
      <c r="AE412" s="19">
        <v>1400</v>
      </c>
      <c r="AF412">
        <v>2776</v>
      </c>
      <c r="AG412">
        <v>1368</v>
      </c>
      <c r="AH412">
        <v>2916</v>
      </c>
    </row>
    <row r="413" spans="1:34" hidden="1">
      <c r="A413" s="39" t="s">
        <v>1637</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1297</v>
      </c>
      <c r="AE413" s="19">
        <v>1462</v>
      </c>
      <c r="AF413">
        <v>2606</v>
      </c>
      <c r="AG413">
        <v>1404</v>
      </c>
      <c r="AH413">
        <v>2549</v>
      </c>
    </row>
    <row r="414" spans="1:34" hidden="1">
      <c r="A414" s="39" t="s">
        <v>1638</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1392</v>
      </c>
      <c r="AE414" s="19">
        <v>7031</v>
      </c>
      <c r="AF414">
        <v>26136</v>
      </c>
      <c r="AG414">
        <v>6489</v>
      </c>
      <c r="AH414">
        <v>24125</v>
      </c>
    </row>
    <row r="415" spans="1:34" hidden="1">
      <c r="A415" s="39" t="s">
        <v>1639</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1413</v>
      </c>
      <c r="AE415" s="19">
        <v>1743</v>
      </c>
      <c r="AF415">
        <v>6270</v>
      </c>
      <c r="AG415">
        <v>1658</v>
      </c>
      <c r="AH415">
        <v>5768</v>
      </c>
    </row>
    <row r="416" spans="1:34" hidden="1">
      <c r="A416" s="39" t="s">
        <v>1640</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1221</v>
      </c>
      <c r="AE416" s="19">
        <v>1235</v>
      </c>
      <c r="AF416">
        <v>3687</v>
      </c>
      <c r="AG416">
        <v>1056</v>
      </c>
      <c r="AH416">
        <v>3284</v>
      </c>
    </row>
    <row r="417" spans="1:34" hidden="1">
      <c r="A417" s="39" t="s">
        <v>1641</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1604</v>
      </c>
      <c r="AE417" s="19">
        <v>1</v>
      </c>
      <c r="AF417">
        <v>0</v>
      </c>
    </row>
    <row r="418" spans="1:34" hidden="1">
      <c r="A418" s="39" t="s">
        <v>1642</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1399</v>
      </c>
      <c r="AE418" s="19">
        <v>1060</v>
      </c>
      <c r="AF418">
        <v>2714</v>
      </c>
      <c r="AG418">
        <v>1016</v>
      </c>
      <c r="AH418">
        <v>2615</v>
      </c>
    </row>
    <row r="419" spans="1:34" hidden="1">
      <c r="A419" s="39" t="s">
        <v>1643</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1376</v>
      </c>
      <c r="AE419" s="19">
        <v>810</v>
      </c>
      <c r="AF419">
        <v>2057</v>
      </c>
      <c r="AG419">
        <v>781</v>
      </c>
      <c r="AH419">
        <v>2165</v>
      </c>
    </row>
    <row r="420" spans="1:34" hidden="1">
      <c r="A420" s="39" t="s">
        <v>1644</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1396</v>
      </c>
      <c r="AE420" s="19">
        <v>1161</v>
      </c>
      <c r="AF420">
        <v>3943</v>
      </c>
      <c r="AG420">
        <v>1200</v>
      </c>
      <c r="AH420">
        <v>4438</v>
      </c>
    </row>
    <row r="421" spans="1:34" hidden="1">
      <c r="A421" s="39" t="s">
        <v>1645</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1182</v>
      </c>
      <c r="AE421" s="19">
        <v>1609</v>
      </c>
      <c r="AF421">
        <v>2968</v>
      </c>
      <c r="AG421">
        <v>1599</v>
      </c>
      <c r="AH421">
        <v>2916</v>
      </c>
    </row>
    <row r="422" spans="1:34" hidden="1">
      <c r="A422" s="39" t="s">
        <v>1646</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1417</v>
      </c>
      <c r="AE422" s="19">
        <v>1107</v>
      </c>
      <c r="AF422">
        <v>3665</v>
      </c>
      <c r="AG422">
        <v>969</v>
      </c>
      <c r="AH422">
        <v>3460</v>
      </c>
    </row>
    <row r="423" spans="1:34" hidden="1">
      <c r="A423" s="39" t="s">
        <v>1647</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1291</v>
      </c>
      <c r="AE423" s="19">
        <v>550</v>
      </c>
      <c r="AF423">
        <v>1773</v>
      </c>
      <c r="AG423">
        <v>494</v>
      </c>
      <c r="AH423">
        <v>1693</v>
      </c>
    </row>
    <row r="424" spans="1:34" hidden="1">
      <c r="B424" s="39"/>
      <c r="C424" s="39"/>
      <c r="D424" s="39"/>
      <c r="E424" s="39"/>
      <c r="F424" s="39"/>
      <c r="G424" s="39"/>
      <c r="H424" s="39"/>
      <c r="I424" s="39"/>
      <c r="AD424" t="s">
        <v>1374</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1403</v>
      </c>
      <c r="AE425" s="19">
        <v>1375</v>
      </c>
      <c r="AF425">
        <v>3541</v>
      </c>
      <c r="AG425">
        <v>1348</v>
      </c>
      <c r="AH425">
        <v>3357</v>
      </c>
    </row>
    <row r="426" spans="1:34" hidden="1">
      <c r="B426" s="39"/>
      <c r="C426" s="39"/>
      <c r="D426" s="39"/>
      <c r="E426" s="39"/>
      <c r="F426" s="39"/>
      <c r="G426" s="39"/>
      <c r="H426" s="39"/>
      <c r="I426" s="39"/>
      <c r="AD426" t="s">
        <v>1273</v>
      </c>
      <c r="AE426" s="19">
        <v>770</v>
      </c>
      <c r="AF426">
        <v>2206</v>
      </c>
      <c r="AG426">
        <v>708</v>
      </c>
      <c r="AH426">
        <v>2045</v>
      </c>
    </row>
    <row r="427" spans="1:34" hidden="1">
      <c r="B427" s="39"/>
      <c r="C427" s="39"/>
      <c r="D427" s="39"/>
      <c r="E427" s="39"/>
      <c r="F427" s="39"/>
      <c r="G427" s="39"/>
      <c r="H427" s="39"/>
      <c r="I427" s="39"/>
      <c r="AD427" t="s">
        <v>1330</v>
      </c>
      <c r="AE427" s="19">
        <v>1104</v>
      </c>
      <c r="AF427">
        <v>3593</v>
      </c>
      <c r="AG427">
        <v>1145</v>
      </c>
      <c r="AH427">
        <v>3700</v>
      </c>
    </row>
    <row r="428" spans="1:34" hidden="1">
      <c r="B428" s="39"/>
      <c r="C428" s="39"/>
      <c r="D428" s="39"/>
      <c r="E428" s="39"/>
      <c r="F428" s="39"/>
      <c r="G428" s="39"/>
      <c r="H428" s="39"/>
      <c r="J428" s="39"/>
      <c r="AD428" t="s">
        <v>1209</v>
      </c>
      <c r="AE428" s="19">
        <v>1299</v>
      </c>
      <c r="AF428">
        <v>2917</v>
      </c>
      <c r="AG428">
        <v>1294</v>
      </c>
      <c r="AH428">
        <v>2694</v>
      </c>
    </row>
    <row r="429" spans="1:34" ht="18.75" hidden="1" customHeight="1">
      <c r="B429" s="39"/>
      <c r="C429" s="39"/>
      <c r="D429" s="39"/>
      <c r="E429" s="39"/>
      <c r="F429" s="39"/>
      <c r="G429" s="39"/>
      <c r="H429" s="39"/>
      <c r="I429" s="39"/>
      <c r="AD429" t="s">
        <v>1364</v>
      </c>
      <c r="AE429" s="19">
        <v>930</v>
      </c>
      <c r="AF429">
        <v>3702</v>
      </c>
      <c r="AG429">
        <v>856</v>
      </c>
      <c r="AH429">
        <v>3015</v>
      </c>
    </row>
    <row r="430" spans="1:34">
      <c r="B430" s="39"/>
      <c r="C430" s="39"/>
      <c r="D430" s="39"/>
      <c r="E430" s="39"/>
      <c r="F430" s="39"/>
      <c r="G430" s="39"/>
      <c r="H430" s="39"/>
      <c r="I430" s="39"/>
      <c r="AD430" t="s">
        <v>1315</v>
      </c>
      <c r="AE430" s="19">
        <v>531</v>
      </c>
      <c r="AF430">
        <v>1889</v>
      </c>
      <c r="AG430">
        <v>382</v>
      </c>
      <c r="AH430">
        <v>1239</v>
      </c>
    </row>
    <row r="431" spans="1:34" ht="12.75" customHeight="1">
      <c r="AD431" s="37" t="s">
        <v>1225</v>
      </c>
      <c r="AE431" s="126">
        <v>1122</v>
      </c>
      <c r="AF431">
        <v>4381</v>
      </c>
      <c r="AG431">
        <v>741</v>
      </c>
      <c r="AH431">
        <v>3467</v>
      </c>
    </row>
    <row r="432" spans="1:34">
      <c r="A432" s="40" t="s">
        <v>1648</v>
      </c>
      <c r="B432" s="41" t="s">
        <v>1649</v>
      </c>
      <c r="C432" s="42" t="s">
        <v>1650</v>
      </c>
      <c r="D432" s="40" t="s">
        <v>1651</v>
      </c>
      <c r="E432" s="41" t="s">
        <v>1652</v>
      </c>
      <c r="F432" s="42" t="s">
        <v>1653</v>
      </c>
      <c r="G432" s="43" t="s">
        <v>1654</v>
      </c>
      <c r="H432" s="44" t="s">
        <v>1655</v>
      </c>
      <c r="I432" s="45" t="s">
        <v>1656</v>
      </c>
      <c r="J432" s="42" t="s">
        <v>1657</v>
      </c>
      <c r="K432" s="52" t="s">
        <v>10</v>
      </c>
      <c r="L432" s="45" t="s">
        <v>11</v>
      </c>
      <c r="M432" s="52" t="s">
        <v>1658</v>
      </c>
      <c r="N432" s="42" t="s">
        <v>1659</v>
      </c>
      <c r="O432" s="132" t="s">
        <v>1660</v>
      </c>
      <c r="P432" s="42" t="s">
        <v>1661</v>
      </c>
      <c r="Q432" s="45" t="s">
        <v>1662</v>
      </c>
      <c r="R432" s="132" t="s">
        <v>1663</v>
      </c>
      <c r="S432" s="42" t="s">
        <v>1664</v>
      </c>
      <c r="T432" s="45" t="s">
        <v>1665</v>
      </c>
      <c r="U432" s="132" t="s">
        <v>1666</v>
      </c>
      <c r="V432" s="52" t="s">
        <v>1667</v>
      </c>
      <c r="W432" s="45" t="s">
        <v>826</v>
      </c>
      <c r="X432" s="132" t="s">
        <v>1668</v>
      </c>
      <c r="AD432" s="27" t="s">
        <v>1348</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33">
        <f>AG488/AH488</f>
        <v>0.2691583864802044</v>
      </c>
      <c r="P433" s="48">
        <f>AI488/AJ488</f>
        <v>0.2696972893725334</v>
      </c>
      <c r="Q433" s="51">
        <f>AL488/AK488</f>
        <v>0.26180803845821882</v>
      </c>
      <c r="R433" s="133">
        <v>0.27239999999999998</v>
      </c>
      <c r="S433" s="48">
        <v>0.28406653769105228</v>
      </c>
      <c r="T433" s="51">
        <v>0.26958061467591166</v>
      </c>
      <c r="U433" s="133">
        <v>0.2873</v>
      </c>
      <c r="V433" s="53">
        <v>0.30430000000000001</v>
      </c>
      <c r="W433" s="51">
        <v>0.30509589003028526</v>
      </c>
      <c r="X433" s="133">
        <f>1092815/3556488</f>
        <v>0.30727363623889636</v>
      </c>
      <c r="AD433" s="27" t="s">
        <v>1384</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32"/>
      <c r="P434" s="48"/>
      <c r="Q434" s="51"/>
      <c r="R434" s="132"/>
      <c r="S434" s="48"/>
      <c r="T434" s="51"/>
      <c r="U434" s="132"/>
      <c r="V434" s="53"/>
      <c r="W434" s="51"/>
      <c r="X434" s="132"/>
      <c r="AD434" t="s">
        <v>1669</v>
      </c>
      <c r="AE434" s="19">
        <v>0</v>
      </c>
    </row>
    <row r="435" spans="1:34">
      <c r="AE435" s="19">
        <v>0</v>
      </c>
    </row>
    <row r="436" spans="1:34">
      <c r="AE436" s="19">
        <v>0</v>
      </c>
    </row>
    <row r="437" spans="1:34">
      <c r="AD437" t="s">
        <v>1261</v>
      </c>
      <c r="AE437" s="19">
        <v>1253</v>
      </c>
      <c r="AF437">
        <v>3107</v>
      </c>
      <c r="AG437">
        <v>1273</v>
      </c>
      <c r="AH437">
        <v>3054</v>
      </c>
    </row>
    <row r="438" spans="1:34">
      <c r="AE438" s="19"/>
    </row>
    <row r="439" spans="1:34">
      <c r="AD439" t="s">
        <v>1293</v>
      </c>
      <c r="AE439" s="19">
        <v>566</v>
      </c>
      <c r="AF439">
        <v>2475</v>
      </c>
      <c r="AG439">
        <v>531</v>
      </c>
      <c r="AH439">
        <v>2223</v>
      </c>
    </row>
    <row r="440" spans="1:34">
      <c r="AD440" t="s">
        <v>1194</v>
      </c>
      <c r="AE440" s="19">
        <v>601</v>
      </c>
      <c r="AF440">
        <v>2371</v>
      </c>
      <c r="AG440">
        <v>444</v>
      </c>
      <c r="AH440">
        <v>1884</v>
      </c>
    </row>
    <row r="441" spans="1:34">
      <c r="AD441" t="s">
        <v>1276</v>
      </c>
      <c r="AE441" s="19">
        <v>375</v>
      </c>
      <c r="AF441">
        <v>2654</v>
      </c>
      <c r="AG441">
        <v>317</v>
      </c>
      <c r="AH441">
        <v>2644</v>
      </c>
    </row>
    <row r="442" spans="1:34">
      <c r="AD442" t="s">
        <v>1289</v>
      </c>
      <c r="AE442" s="19">
        <v>17</v>
      </c>
      <c r="AF442">
        <v>75</v>
      </c>
      <c r="AG442">
        <v>31</v>
      </c>
      <c r="AH442">
        <v>81</v>
      </c>
    </row>
    <row r="443" spans="1:34">
      <c r="AD443" t="s">
        <v>1243</v>
      </c>
      <c r="AE443" s="19">
        <v>0</v>
      </c>
      <c r="AF443">
        <v>656</v>
      </c>
      <c r="AG443">
        <v>162</v>
      </c>
      <c r="AH443">
        <v>702</v>
      </c>
    </row>
    <row r="444" spans="1:34">
      <c r="AD444" t="s">
        <v>1207</v>
      </c>
      <c r="AE444" s="19">
        <v>966</v>
      </c>
      <c r="AF444">
        <v>1681</v>
      </c>
      <c r="AG444">
        <v>903</v>
      </c>
      <c r="AH444">
        <v>1681</v>
      </c>
    </row>
    <row r="445" spans="1:34">
      <c r="AD445" t="s">
        <v>1295</v>
      </c>
      <c r="AE445" s="19">
        <v>22</v>
      </c>
      <c r="AF445">
        <v>170</v>
      </c>
      <c r="AG445">
        <v>8</v>
      </c>
      <c r="AH445">
        <v>146</v>
      </c>
    </row>
    <row r="446" spans="1:34">
      <c r="AD446" t="s">
        <v>1342</v>
      </c>
      <c r="AE446" s="19">
        <v>1292</v>
      </c>
      <c r="AF446">
        <v>3882</v>
      </c>
      <c r="AG446">
        <v>1188</v>
      </c>
      <c r="AH446">
        <v>3764</v>
      </c>
    </row>
    <row r="447" spans="1:34">
      <c r="AD447" t="s">
        <v>1350</v>
      </c>
      <c r="AE447" s="19">
        <v>840</v>
      </c>
      <c r="AF447">
        <v>4795</v>
      </c>
      <c r="AG447">
        <v>954</v>
      </c>
      <c r="AH447">
        <v>4619</v>
      </c>
    </row>
    <row r="448" spans="1:34">
      <c r="AD448" t="s">
        <v>1287</v>
      </c>
      <c r="AE448" s="19">
        <v>142</v>
      </c>
      <c r="AF448">
        <v>864</v>
      </c>
      <c r="AG448">
        <v>168</v>
      </c>
      <c r="AH448">
        <v>824</v>
      </c>
    </row>
    <row r="449" spans="30:34">
      <c r="AD449" s="37" t="s">
        <v>1278</v>
      </c>
      <c r="AE449" s="126">
        <v>131</v>
      </c>
      <c r="AF449">
        <v>712</v>
      </c>
      <c r="AG449">
        <v>112</v>
      </c>
      <c r="AH449">
        <v>685</v>
      </c>
    </row>
    <row r="450" spans="30:34">
      <c r="AD450" t="s">
        <v>1234</v>
      </c>
      <c r="AE450" s="19">
        <v>0</v>
      </c>
      <c r="AF450">
        <v>97</v>
      </c>
      <c r="AG450">
        <v>2</v>
      </c>
      <c r="AH450">
        <v>1506</v>
      </c>
    </row>
    <row r="451" spans="30:34">
      <c r="AD451" t="s">
        <v>1229</v>
      </c>
      <c r="AE451" s="19">
        <v>683</v>
      </c>
      <c r="AF451">
        <v>1859</v>
      </c>
      <c r="AG451">
        <v>789</v>
      </c>
      <c r="AH451">
        <v>2046</v>
      </c>
    </row>
    <row r="452" spans="30:34">
      <c r="AD452" t="s">
        <v>1251</v>
      </c>
      <c r="AE452" s="19">
        <v>276</v>
      </c>
      <c r="AF452">
        <v>1244</v>
      </c>
      <c r="AG452">
        <v>293</v>
      </c>
      <c r="AH452">
        <v>1147</v>
      </c>
    </row>
    <row r="453" spans="30:34">
      <c r="AD453" t="s">
        <v>1259</v>
      </c>
      <c r="AE453" s="19">
        <v>295</v>
      </c>
      <c r="AF453">
        <v>1136</v>
      </c>
      <c r="AG453">
        <v>343</v>
      </c>
      <c r="AH453">
        <v>1641</v>
      </c>
    </row>
    <row r="454" spans="30:34">
      <c r="AD454" t="s">
        <v>1589</v>
      </c>
      <c r="AE454" s="19">
        <v>279</v>
      </c>
      <c r="AF454">
        <v>441</v>
      </c>
      <c r="AG454">
        <v>203</v>
      </c>
      <c r="AH454">
        <v>400</v>
      </c>
    </row>
    <row r="455" spans="30:34">
      <c r="AD455" t="s">
        <v>1308</v>
      </c>
      <c r="AE455" s="19">
        <v>1946</v>
      </c>
      <c r="AF455">
        <v>7171</v>
      </c>
      <c r="AG455">
        <v>1777</v>
      </c>
      <c r="AH455">
        <v>5772</v>
      </c>
    </row>
    <row r="456" spans="30:34">
      <c r="AD456" t="s">
        <v>1409</v>
      </c>
      <c r="AE456" s="19">
        <v>1462</v>
      </c>
      <c r="AF456">
        <v>5018</v>
      </c>
      <c r="AG456">
        <v>1152</v>
      </c>
      <c r="AH456">
        <v>4407</v>
      </c>
    </row>
    <row r="457" spans="30:34">
      <c r="AD457" t="s">
        <v>1390</v>
      </c>
      <c r="AE457" s="19">
        <v>2083</v>
      </c>
      <c r="AF457">
        <v>5548</v>
      </c>
      <c r="AG457">
        <v>2042</v>
      </c>
      <c r="AH457">
        <v>5663</v>
      </c>
    </row>
    <row r="458" spans="30:34">
      <c r="AD458" s="27" t="s">
        <v>1300</v>
      </c>
      <c r="AE458" s="19">
        <v>336</v>
      </c>
      <c r="AF458">
        <v>1519</v>
      </c>
      <c r="AG458">
        <v>352</v>
      </c>
      <c r="AH458">
        <v>1583</v>
      </c>
    </row>
    <row r="459" spans="30:34">
      <c r="AD459" t="s">
        <v>1378</v>
      </c>
      <c r="AE459" s="19">
        <v>1332</v>
      </c>
      <c r="AF459">
        <v>3144</v>
      </c>
      <c r="AG459">
        <v>1166</v>
      </c>
      <c r="AH459">
        <v>2653</v>
      </c>
    </row>
    <row r="460" spans="30:34">
      <c r="AD460" t="s">
        <v>1257</v>
      </c>
      <c r="AE460" s="19">
        <v>796</v>
      </c>
      <c r="AF460">
        <v>2372</v>
      </c>
      <c r="AG460">
        <v>656</v>
      </c>
      <c r="AH460">
        <v>2225</v>
      </c>
    </row>
    <row r="461" spans="30:34">
      <c r="AD461" t="s">
        <v>1433</v>
      </c>
      <c r="AE461" s="19">
        <v>3891</v>
      </c>
      <c r="AF461">
        <v>11080</v>
      </c>
      <c r="AG461">
        <v>3754</v>
      </c>
      <c r="AH461">
        <v>10592</v>
      </c>
    </row>
    <row r="462" spans="30:34">
      <c r="AD462" t="s">
        <v>1302</v>
      </c>
      <c r="AE462" s="19">
        <v>1452</v>
      </c>
      <c r="AF462">
        <v>4180</v>
      </c>
      <c r="AG462">
        <v>1291</v>
      </c>
      <c r="AH462">
        <v>3452</v>
      </c>
    </row>
    <row r="463" spans="30:34">
      <c r="AD463" t="s">
        <v>1346</v>
      </c>
      <c r="AE463" s="19">
        <v>1547</v>
      </c>
      <c r="AF463">
        <v>8203</v>
      </c>
      <c r="AG463">
        <v>1368</v>
      </c>
      <c r="AH463">
        <v>9377</v>
      </c>
    </row>
    <row r="464" spans="30:34">
      <c r="AD464" t="s">
        <v>1334</v>
      </c>
      <c r="AE464" s="19">
        <v>303</v>
      </c>
      <c r="AF464">
        <v>2468</v>
      </c>
      <c r="AG464">
        <v>327</v>
      </c>
      <c r="AH464">
        <v>2674</v>
      </c>
    </row>
    <row r="465" spans="30:34">
      <c r="AD465" t="s">
        <v>1188</v>
      </c>
      <c r="AE465" s="19">
        <v>1797</v>
      </c>
      <c r="AF465">
        <v>3968</v>
      </c>
      <c r="AG465">
        <v>1837</v>
      </c>
      <c r="AH465">
        <v>3753</v>
      </c>
    </row>
    <row r="466" spans="30:34">
      <c r="AD466" t="s">
        <v>1285</v>
      </c>
      <c r="AE466" s="19">
        <v>313</v>
      </c>
      <c r="AF466">
        <v>1233</v>
      </c>
      <c r="AG466">
        <v>123</v>
      </c>
      <c r="AH466">
        <v>505</v>
      </c>
    </row>
    <row r="467" spans="30:34">
      <c r="AD467" t="s">
        <v>1249</v>
      </c>
      <c r="AE467" s="19">
        <v>742</v>
      </c>
      <c r="AF467">
        <v>2328</v>
      </c>
      <c r="AG467">
        <v>760</v>
      </c>
      <c r="AH467">
        <v>2605</v>
      </c>
    </row>
    <row r="468" spans="30:34">
      <c r="AD468" t="s">
        <v>1319</v>
      </c>
      <c r="AE468" s="19">
        <v>356</v>
      </c>
      <c r="AF468">
        <v>678</v>
      </c>
      <c r="AG468">
        <v>312</v>
      </c>
      <c r="AH468">
        <v>640</v>
      </c>
    </row>
    <row r="469" spans="30:34">
      <c r="AD469" t="s">
        <v>1321</v>
      </c>
      <c r="AE469" s="19">
        <v>1874</v>
      </c>
      <c r="AF469">
        <v>7170</v>
      </c>
      <c r="AG469">
        <v>1651</v>
      </c>
      <c r="AH469">
        <v>6647</v>
      </c>
    </row>
    <row r="470" spans="30:34">
      <c r="AD470" t="s">
        <v>1280</v>
      </c>
      <c r="AE470" s="19">
        <v>434</v>
      </c>
      <c r="AF470">
        <v>1699</v>
      </c>
      <c r="AG470">
        <v>16</v>
      </c>
      <c r="AH470">
        <v>15</v>
      </c>
    </row>
    <row r="471" spans="30:34">
      <c r="AD471" t="s">
        <v>1203</v>
      </c>
      <c r="AE471" s="19">
        <v>922</v>
      </c>
      <c r="AF471">
        <v>2223</v>
      </c>
      <c r="AG471">
        <v>818</v>
      </c>
      <c r="AH471">
        <v>2568</v>
      </c>
    </row>
    <row r="472" spans="30:34">
      <c r="AD472" t="s">
        <v>1407</v>
      </c>
      <c r="AE472" s="19">
        <v>1303</v>
      </c>
      <c r="AF472">
        <v>8739</v>
      </c>
      <c r="AG472">
        <v>1458</v>
      </c>
      <c r="AH472">
        <v>8971</v>
      </c>
    </row>
    <row r="473" spans="30:34">
      <c r="AD473" t="s">
        <v>1356</v>
      </c>
      <c r="AE473" s="19">
        <v>1967</v>
      </c>
      <c r="AF473">
        <v>6950</v>
      </c>
      <c r="AG473">
        <v>2394</v>
      </c>
      <c r="AH473">
        <v>8538</v>
      </c>
    </row>
    <row r="474" spans="30:34">
      <c r="AD474" t="s">
        <v>1219</v>
      </c>
      <c r="AE474" s="19">
        <v>2648</v>
      </c>
      <c r="AF474">
        <v>5829</v>
      </c>
      <c r="AG474">
        <v>2540</v>
      </c>
      <c r="AH474">
        <v>5875</v>
      </c>
    </row>
    <row r="475" spans="30:34">
      <c r="AD475" t="s">
        <v>1271</v>
      </c>
      <c r="AE475" s="19">
        <v>1099</v>
      </c>
      <c r="AF475">
        <v>3946</v>
      </c>
      <c r="AG475">
        <v>805</v>
      </c>
      <c r="AH475">
        <v>3422</v>
      </c>
    </row>
    <row r="476" spans="30:34">
      <c r="AD476" t="s">
        <v>1411</v>
      </c>
      <c r="AE476" s="19">
        <v>3298</v>
      </c>
      <c r="AF476">
        <v>9439</v>
      </c>
      <c r="AG476">
        <v>3094</v>
      </c>
      <c r="AH476">
        <v>8484</v>
      </c>
    </row>
    <row r="477" spans="30:34">
      <c r="AD477" t="s">
        <v>1310</v>
      </c>
      <c r="AE477" s="19">
        <v>355</v>
      </c>
      <c r="AF477">
        <v>1594</v>
      </c>
      <c r="AG477">
        <v>332</v>
      </c>
      <c r="AH477">
        <v>1652</v>
      </c>
    </row>
    <row r="478" spans="30:34">
      <c r="AD478" t="s">
        <v>1428</v>
      </c>
      <c r="AE478" s="19">
        <v>4192</v>
      </c>
      <c r="AF478">
        <v>14541</v>
      </c>
      <c r="AG478">
        <v>4135</v>
      </c>
      <c r="AH478">
        <v>13649</v>
      </c>
    </row>
    <row r="479" spans="30:34">
      <c r="AD479" t="s">
        <v>1431</v>
      </c>
      <c r="AE479" s="19">
        <v>5893</v>
      </c>
      <c r="AF479">
        <v>16635</v>
      </c>
      <c r="AG479">
        <v>6172</v>
      </c>
      <c r="AH479">
        <v>17200</v>
      </c>
    </row>
    <row r="480" spans="30:34">
      <c r="AD480" t="s">
        <v>1265</v>
      </c>
      <c r="AE480" s="19">
        <v>1168</v>
      </c>
      <c r="AF480">
        <v>6111</v>
      </c>
      <c r="AG480">
        <v>1334</v>
      </c>
      <c r="AH480">
        <v>6479</v>
      </c>
    </row>
    <row r="481" spans="30:38">
      <c r="AD481" t="s">
        <v>1405</v>
      </c>
      <c r="AE481" s="19">
        <v>660</v>
      </c>
      <c r="AF481">
        <v>2399</v>
      </c>
      <c r="AG481">
        <v>577</v>
      </c>
      <c r="AH481">
        <v>2079</v>
      </c>
    </row>
    <row r="482" spans="30:38">
      <c r="AD482" t="s">
        <v>1255</v>
      </c>
      <c r="AE482" s="19">
        <v>1341</v>
      </c>
      <c r="AF482">
        <v>4218</v>
      </c>
      <c r="AG482">
        <v>1501</v>
      </c>
      <c r="AH482">
        <v>4158</v>
      </c>
    </row>
    <row r="483" spans="30:38">
      <c r="AD483" t="s">
        <v>1317</v>
      </c>
      <c r="AE483" s="19">
        <v>3129</v>
      </c>
      <c r="AF483">
        <v>9988</v>
      </c>
      <c r="AG483">
        <v>3119</v>
      </c>
      <c r="AH483">
        <v>10232</v>
      </c>
    </row>
    <row r="484" spans="30:38">
      <c r="AD484" t="s">
        <v>1424</v>
      </c>
      <c r="AE484" s="19">
        <v>3780</v>
      </c>
      <c r="AF484">
        <v>9966</v>
      </c>
      <c r="AG484">
        <v>4347</v>
      </c>
      <c r="AH484">
        <v>11844</v>
      </c>
    </row>
    <row r="485" spans="30:38">
      <c r="AD485" t="s">
        <v>1176</v>
      </c>
      <c r="AE485" s="19">
        <v>4424</v>
      </c>
      <c r="AF485">
        <v>19236</v>
      </c>
      <c r="AG485">
        <v>3796</v>
      </c>
      <c r="AH485">
        <v>15646</v>
      </c>
    </row>
    <row r="486" spans="30:38">
      <c r="AD486" t="s">
        <v>1223</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topLeftCell="A345" workbookViewId="0">
      <pane xSplit="2" topLeftCell="H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9" customWidth="1"/>
    <col min="5" max="5" width="20.7109375" style="131" customWidth="1"/>
    <col min="6" max="7" width="1.7109375" customWidth="1"/>
    <col min="8" max="8" width="19" style="121" customWidth="1"/>
    <col min="9" max="9" width="9.7109375" customWidth="1"/>
    <col min="10" max="10" width="10.85546875" customWidth="1"/>
    <col min="11" max="12" width="13.85546875" customWidth="1"/>
    <col min="13" max="13" width="13.85546875" style="122" customWidth="1"/>
    <col min="15" max="17" width="0" hidden="1" customWidth="1"/>
  </cols>
  <sheetData>
    <row r="1" spans="1:17" s="2" customFormat="1" ht="10.5" customHeight="1">
      <c r="A1" s="21" t="s">
        <v>1670</v>
      </c>
      <c r="B1" s="21" t="s">
        <v>1491</v>
      </c>
      <c r="C1" s="21" t="s">
        <v>1671</v>
      </c>
      <c r="D1" s="22" t="s">
        <v>1672</v>
      </c>
      <c r="E1" s="135" t="s">
        <v>1673</v>
      </c>
      <c r="F1" s="21"/>
      <c r="G1" s="21"/>
      <c r="H1" s="120" t="s">
        <v>1674</v>
      </c>
      <c r="I1" s="21" t="s">
        <v>1675</v>
      </c>
      <c r="J1" s="21"/>
      <c r="K1" s="21" t="s">
        <v>1676</v>
      </c>
      <c r="L1" s="21" t="s">
        <v>1677</v>
      </c>
      <c r="M1" s="123" t="s">
        <v>1678</v>
      </c>
      <c r="O1" s="2" t="s">
        <v>23</v>
      </c>
      <c r="P1" s="2">
        <v>67399</v>
      </c>
      <c r="Q1" s="2">
        <v>74374.570000000007</v>
      </c>
    </row>
    <row r="2" spans="1:17" hidden="1">
      <c r="A2" s="54" t="s">
        <v>45</v>
      </c>
      <c r="B2" s="37" t="s">
        <v>46</v>
      </c>
      <c r="C2" s="28">
        <v>9506</v>
      </c>
      <c r="D2" s="19">
        <f>C2/30</f>
        <v>316.86666666666667</v>
      </c>
      <c r="E2" s="5">
        <v>10114.459999999999</v>
      </c>
      <c r="H2" s="19">
        <f>IF((C2/30)&gt;100,C2*2,C2*2)</f>
        <v>19012</v>
      </c>
      <c r="I2" t="b">
        <f>IF(E2&gt;1.2*H2,FALSE,TRUE)</f>
        <v>1</v>
      </c>
      <c r="J2" s="4">
        <f t="shared" ref="J2:J64" si="0">E2/H2-1</f>
        <v>-0.46799600252472129</v>
      </c>
      <c r="M2"/>
      <c r="O2" t="s">
        <v>161</v>
      </c>
      <c r="P2">
        <v>4822</v>
      </c>
      <c r="Q2">
        <v>9600.5</v>
      </c>
    </row>
    <row r="3" spans="1:17" hidden="1">
      <c r="A3" t="s">
        <v>1679</v>
      </c>
      <c r="B3" t="s">
        <v>21</v>
      </c>
      <c r="C3" s="28">
        <v>45231</v>
      </c>
      <c r="D3" s="19">
        <f t="shared" ref="D3:D66" si="1">C3/30</f>
        <v>1507.7</v>
      </c>
      <c r="E3" s="5">
        <v>70406.539999999994</v>
      </c>
      <c r="H3" s="19">
        <f>IF((C3/30)&gt;100,C3*2,C3*2)</f>
        <v>90462</v>
      </c>
      <c r="I3" t="b">
        <f>IF(E3&gt;1.2*H3,FALSE,TRUE)</f>
        <v>1</v>
      </c>
      <c r="J3" s="4">
        <f t="shared" si="0"/>
        <v>-0.22170038248104185</v>
      </c>
      <c r="M3"/>
      <c r="O3" t="s">
        <v>40</v>
      </c>
      <c r="P3">
        <v>10249</v>
      </c>
      <c r="Q3">
        <v>16634</v>
      </c>
    </row>
    <row r="4" spans="1:17" hidden="1">
      <c r="A4" t="s">
        <v>27</v>
      </c>
      <c r="B4" t="s">
        <v>28</v>
      </c>
      <c r="C4" s="28">
        <v>28031</v>
      </c>
      <c r="D4" s="19">
        <f t="shared" si="1"/>
        <v>934.36666666666667</v>
      </c>
      <c r="E4" s="5">
        <v>27518.240000000002</v>
      </c>
      <c r="H4" s="19">
        <f t="shared" ref="H4:H66" si="2">IF((C4/30)&gt;100,C4*2,C4*2)</f>
        <v>56062</v>
      </c>
      <c r="I4" t="b">
        <f t="shared" ref="I4:I64" si="3">IF(E4&gt;1.2*H4,FALSE,TRUE)</f>
        <v>1</v>
      </c>
      <c r="J4" s="4">
        <f t="shared" si="0"/>
        <v>-0.50914630230815883</v>
      </c>
      <c r="M4"/>
      <c r="O4" t="s">
        <v>38</v>
      </c>
      <c r="P4">
        <v>26241</v>
      </c>
      <c r="Q4">
        <v>30072.34</v>
      </c>
    </row>
    <row r="5" spans="1:17" hidden="1">
      <c r="A5" t="s">
        <v>35</v>
      </c>
      <c r="B5" t="s">
        <v>36</v>
      </c>
      <c r="C5" s="28">
        <v>19097</v>
      </c>
      <c r="D5" s="19">
        <f t="shared" si="1"/>
        <v>636.56666666666672</v>
      </c>
      <c r="E5" s="5">
        <v>30133.62</v>
      </c>
      <c r="H5" s="19">
        <f t="shared" si="2"/>
        <v>38194</v>
      </c>
      <c r="I5" t="b">
        <f t="shared" si="3"/>
        <v>1</v>
      </c>
      <c r="J5" s="4">
        <f t="shared" si="0"/>
        <v>-0.21103785934963615</v>
      </c>
      <c r="M5"/>
      <c r="O5" t="s">
        <v>36</v>
      </c>
      <c r="P5">
        <v>20605</v>
      </c>
      <c r="Q5">
        <v>19405.060000000001</v>
      </c>
    </row>
    <row r="6" spans="1:17" hidden="1">
      <c r="A6" t="s">
        <v>55</v>
      </c>
      <c r="B6" t="s">
        <v>56</v>
      </c>
      <c r="C6" s="28">
        <v>6218</v>
      </c>
      <c r="D6" s="19">
        <f t="shared" si="1"/>
        <v>207.26666666666668</v>
      </c>
      <c r="E6" s="5">
        <v>8884.27</v>
      </c>
      <c r="H6" s="19">
        <f t="shared" si="2"/>
        <v>12436</v>
      </c>
      <c r="I6" t="b">
        <f t="shared" si="3"/>
        <v>1</v>
      </c>
      <c r="J6" s="4">
        <f t="shared" si="0"/>
        <v>-0.28560067545834666</v>
      </c>
      <c r="M6"/>
      <c r="O6" t="s">
        <v>74</v>
      </c>
      <c r="P6">
        <v>6929</v>
      </c>
      <c r="Q6">
        <v>10453.85</v>
      </c>
    </row>
    <row r="7" spans="1:17" hidden="1">
      <c r="A7" t="s">
        <v>67</v>
      </c>
      <c r="B7" t="s">
        <v>68</v>
      </c>
      <c r="C7" s="28">
        <v>5468</v>
      </c>
      <c r="D7" s="19">
        <f t="shared" si="1"/>
        <v>182.26666666666668</v>
      </c>
      <c r="E7" s="5">
        <v>3342.52</v>
      </c>
      <c r="H7" s="19">
        <f t="shared" si="2"/>
        <v>10936</v>
      </c>
      <c r="I7" t="b">
        <f t="shared" si="3"/>
        <v>1</v>
      </c>
      <c r="J7" s="4">
        <f t="shared" si="0"/>
        <v>-0.69435625457205563</v>
      </c>
      <c r="M7"/>
      <c r="O7" t="s">
        <v>259</v>
      </c>
      <c r="P7">
        <v>2129</v>
      </c>
      <c r="Q7">
        <v>3078.97</v>
      </c>
    </row>
    <row r="8" spans="1:17" hidden="1">
      <c r="A8" t="s">
        <v>30</v>
      </c>
      <c r="B8" t="s">
        <v>31</v>
      </c>
      <c r="C8" s="28">
        <v>19403</v>
      </c>
      <c r="D8" s="19">
        <f t="shared" si="1"/>
        <v>646.76666666666665</v>
      </c>
      <c r="E8" s="5">
        <v>17429.87</v>
      </c>
      <c r="H8" s="19">
        <f t="shared" si="2"/>
        <v>38806</v>
      </c>
      <c r="I8" t="b">
        <f t="shared" si="3"/>
        <v>1</v>
      </c>
      <c r="J8" s="4">
        <f t="shared" si="0"/>
        <v>-0.55084600319538213</v>
      </c>
      <c r="M8"/>
      <c r="O8" t="s">
        <v>44</v>
      </c>
      <c r="P8">
        <v>11862</v>
      </c>
      <c r="Q8">
        <v>7272.85</v>
      </c>
    </row>
    <row r="9" spans="1:17">
      <c r="A9" t="s">
        <v>453</v>
      </c>
      <c r="B9" t="s">
        <v>454</v>
      </c>
      <c r="C9" s="28">
        <v>755</v>
      </c>
      <c r="D9" s="19">
        <f t="shared" si="1"/>
        <v>25.166666666666668</v>
      </c>
      <c r="E9" s="5">
        <v>1970.32</v>
      </c>
      <c r="H9" s="19">
        <f t="shared" si="2"/>
        <v>1510</v>
      </c>
      <c r="I9" t="b">
        <f t="shared" si="3"/>
        <v>0</v>
      </c>
      <c r="J9" s="4">
        <f t="shared" si="0"/>
        <v>0.30484768211920521</v>
      </c>
      <c r="M9"/>
      <c r="O9" t="s">
        <v>101</v>
      </c>
      <c r="P9">
        <v>4129</v>
      </c>
      <c r="Q9">
        <v>7431.5</v>
      </c>
    </row>
    <row r="10" spans="1:17" hidden="1">
      <c r="A10" t="s">
        <v>98</v>
      </c>
      <c r="B10" t="s">
        <v>99</v>
      </c>
      <c r="C10" s="28">
        <v>3286</v>
      </c>
      <c r="D10" s="19">
        <f t="shared" si="1"/>
        <v>109.53333333333333</v>
      </c>
      <c r="E10" s="5">
        <v>4783.6899999999996</v>
      </c>
      <c r="H10" s="19">
        <f t="shared" si="2"/>
        <v>6572</v>
      </c>
      <c r="I10" t="b">
        <f t="shared" si="3"/>
        <v>1</v>
      </c>
      <c r="J10" s="4">
        <f t="shared" si="0"/>
        <v>-0.27211046865489963</v>
      </c>
      <c r="M10"/>
      <c r="O10" t="s">
        <v>31</v>
      </c>
      <c r="P10">
        <v>25786</v>
      </c>
      <c r="Q10">
        <v>18542.5</v>
      </c>
    </row>
    <row r="11" spans="1:17" hidden="1">
      <c r="A11" t="s">
        <v>187</v>
      </c>
      <c r="B11" t="s">
        <v>188</v>
      </c>
      <c r="C11" s="28">
        <v>2188</v>
      </c>
      <c r="D11" s="19">
        <f t="shared" si="1"/>
        <v>72.933333333333337</v>
      </c>
      <c r="E11" s="5">
        <v>1738.93</v>
      </c>
      <c r="H11" s="19">
        <f t="shared" si="2"/>
        <v>4376</v>
      </c>
      <c r="I11" t="b">
        <f t="shared" si="3"/>
        <v>1</v>
      </c>
      <c r="J11" s="4">
        <f t="shared" si="0"/>
        <v>-0.60262111517367456</v>
      </c>
      <c r="M11"/>
      <c r="O11" t="s">
        <v>278</v>
      </c>
      <c r="P11">
        <v>4818</v>
      </c>
      <c r="Q11">
        <v>8527.9500000000007</v>
      </c>
    </row>
    <row r="12" spans="1:17" hidden="1">
      <c r="A12" t="s">
        <v>202</v>
      </c>
      <c r="B12" t="s">
        <v>203</v>
      </c>
      <c r="C12" s="28">
        <v>1979</v>
      </c>
      <c r="D12" s="19">
        <f t="shared" si="1"/>
        <v>65.966666666666669</v>
      </c>
      <c r="E12" s="5">
        <v>2026.12</v>
      </c>
      <c r="H12" s="19">
        <f t="shared" si="2"/>
        <v>3958</v>
      </c>
      <c r="I12" t="b">
        <f t="shared" si="3"/>
        <v>1</v>
      </c>
      <c r="J12" s="4">
        <f t="shared" si="0"/>
        <v>-0.48809499747347151</v>
      </c>
      <c r="M12"/>
      <c r="O12" t="s">
        <v>131</v>
      </c>
      <c r="P12">
        <v>3732</v>
      </c>
      <c r="Q12">
        <v>7397.98</v>
      </c>
    </row>
    <row r="13" spans="1:17" hidden="1">
      <c r="A13" t="s">
        <v>134</v>
      </c>
      <c r="B13" t="s">
        <v>135</v>
      </c>
      <c r="C13" s="28">
        <v>2714</v>
      </c>
      <c r="D13" s="19">
        <f t="shared" si="1"/>
        <v>90.466666666666669</v>
      </c>
      <c r="E13" s="5">
        <v>2026.55</v>
      </c>
      <c r="H13" s="19">
        <f t="shared" si="2"/>
        <v>5428</v>
      </c>
      <c r="I13" t="b">
        <f t="shared" si="3"/>
        <v>1</v>
      </c>
      <c r="J13" s="4">
        <f t="shared" si="0"/>
        <v>-0.62664885777450263</v>
      </c>
      <c r="M13"/>
      <c r="O13" t="s">
        <v>56</v>
      </c>
      <c r="P13">
        <v>11641</v>
      </c>
      <c r="Q13">
        <v>10505.25</v>
      </c>
    </row>
    <row r="14" spans="1:17" hidden="1">
      <c r="A14" t="s">
        <v>302</v>
      </c>
      <c r="B14" t="s">
        <v>303</v>
      </c>
      <c r="C14" s="28">
        <v>1284</v>
      </c>
      <c r="D14" s="19">
        <f t="shared" si="1"/>
        <v>42.8</v>
      </c>
      <c r="E14" s="5">
        <v>2591.89</v>
      </c>
      <c r="H14" s="19">
        <f t="shared" si="2"/>
        <v>2568</v>
      </c>
      <c r="I14" t="b">
        <f t="shared" si="3"/>
        <v>1</v>
      </c>
      <c r="J14" s="4">
        <f t="shared" si="0"/>
        <v>9.3029595015576838E-3</v>
      </c>
      <c r="M14"/>
      <c r="O14" t="s">
        <v>28</v>
      </c>
      <c r="P14">
        <v>7271</v>
      </c>
      <c r="Q14">
        <v>8084.91</v>
      </c>
    </row>
    <row r="15" spans="1:17" hidden="1">
      <c r="A15" t="s">
        <v>258</v>
      </c>
      <c r="B15" t="s">
        <v>259</v>
      </c>
      <c r="C15" s="28">
        <v>1581</v>
      </c>
      <c r="D15" s="19">
        <f t="shared" si="1"/>
        <v>52.7</v>
      </c>
      <c r="E15" s="5">
        <v>2987.58</v>
      </c>
      <c r="H15" s="19">
        <f t="shared" si="2"/>
        <v>3162</v>
      </c>
      <c r="I15" t="b">
        <f t="shared" si="3"/>
        <v>1</v>
      </c>
      <c r="J15" s="4">
        <f t="shared" si="0"/>
        <v>-5.5161290322580658E-2</v>
      </c>
      <c r="M15"/>
      <c r="O15" t="s">
        <v>48</v>
      </c>
      <c r="P15">
        <v>4069</v>
      </c>
      <c r="Q15">
        <v>7312.03</v>
      </c>
    </row>
    <row r="16" spans="1:17" hidden="1">
      <c r="A16" t="s">
        <v>132</v>
      </c>
      <c r="B16" t="s">
        <v>133</v>
      </c>
      <c r="C16" s="28">
        <v>2714</v>
      </c>
      <c r="D16" s="19">
        <f t="shared" si="1"/>
        <v>90.466666666666669</v>
      </c>
      <c r="E16" s="5">
        <v>5063.22</v>
      </c>
      <c r="H16" s="19">
        <f t="shared" si="2"/>
        <v>5428</v>
      </c>
      <c r="I16" t="b">
        <f t="shared" si="3"/>
        <v>1</v>
      </c>
      <c r="J16" s="4">
        <f t="shared" si="0"/>
        <v>-6.7203389830508442E-2</v>
      </c>
      <c r="M16"/>
      <c r="O16" t="s">
        <v>203</v>
      </c>
      <c r="P16">
        <v>3689</v>
      </c>
      <c r="Q16">
        <v>5998.01</v>
      </c>
    </row>
    <row r="17" spans="1:17" hidden="1">
      <c r="A17" t="s">
        <v>77</v>
      </c>
      <c r="B17" t="s">
        <v>78</v>
      </c>
      <c r="C17" s="28">
        <v>4768</v>
      </c>
      <c r="D17" s="19">
        <f t="shared" si="1"/>
        <v>158.93333333333334</v>
      </c>
      <c r="E17" s="5">
        <v>7917.13</v>
      </c>
      <c r="H17" s="19">
        <f t="shared" si="2"/>
        <v>9536</v>
      </c>
      <c r="I17" t="b">
        <f t="shared" si="3"/>
        <v>1</v>
      </c>
      <c r="J17" s="4">
        <f t="shared" si="0"/>
        <v>-0.16976405201342282</v>
      </c>
      <c r="M17"/>
      <c r="O17" t="s">
        <v>695</v>
      </c>
      <c r="P17">
        <v>1500</v>
      </c>
      <c r="Q17">
        <v>3242.85</v>
      </c>
    </row>
    <row r="18" spans="1:17" hidden="1">
      <c r="A18" t="s">
        <v>114</v>
      </c>
      <c r="B18" t="s">
        <v>115</v>
      </c>
      <c r="C18" s="28">
        <v>2999</v>
      </c>
      <c r="D18" s="19">
        <f t="shared" si="1"/>
        <v>99.966666666666669</v>
      </c>
      <c r="E18" s="5">
        <v>2333.2399999999998</v>
      </c>
      <c r="H18" s="19">
        <f t="shared" si="2"/>
        <v>5998</v>
      </c>
      <c r="I18" t="b">
        <f t="shared" si="3"/>
        <v>1</v>
      </c>
      <c r="J18" s="4">
        <f t="shared" si="0"/>
        <v>-0.61099699899966664</v>
      </c>
      <c r="M18"/>
      <c r="O18" t="s">
        <v>221</v>
      </c>
      <c r="P18">
        <v>2196</v>
      </c>
      <c r="Q18">
        <v>4307.3100000000004</v>
      </c>
    </row>
    <row r="19" spans="1:17" hidden="1">
      <c r="A19" t="s">
        <v>160</v>
      </c>
      <c r="B19" t="s">
        <v>161</v>
      </c>
      <c r="C19" s="28">
        <v>2389</v>
      </c>
      <c r="D19" s="19">
        <f t="shared" si="1"/>
        <v>79.63333333333334</v>
      </c>
      <c r="E19" s="5">
        <v>2187.46</v>
      </c>
      <c r="H19" s="19">
        <f t="shared" si="2"/>
        <v>4778</v>
      </c>
      <c r="I19" t="b">
        <f t="shared" si="3"/>
        <v>1</v>
      </c>
      <c r="J19" s="4">
        <f t="shared" si="0"/>
        <v>-0.54218082879866047</v>
      </c>
      <c r="M19"/>
      <c r="O19" t="s">
        <v>674</v>
      </c>
      <c r="P19">
        <v>1326</v>
      </c>
      <c r="Q19">
        <v>2816.7</v>
      </c>
    </row>
    <row r="20" spans="1:17" hidden="1">
      <c r="A20" t="s">
        <v>166</v>
      </c>
      <c r="B20" t="s">
        <v>167</v>
      </c>
      <c r="C20" s="28">
        <v>2364</v>
      </c>
      <c r="D20" s="19">
        <f t="shared" si="1"/>
        <v>78.8</v>
      </c>
      <c r="E20" s="5">
        <v>4986.3500000000004</v>
      </c>
      <c r="H20" s="19">
        <f t="shared" si="2"/>
        <v>4728</v>
      </c>
      <c r="I20" t="b">
        <f t="shared" si="3"/>
        <v>1</v>
      </c>
      <c r="J20" s="4">
        <f t="shared" si="0"/>
        <v>5.4642554991539916E-2</v>
      </c>
      <c r="M20"/>
      <c r="O20" t="s">
        <v>344</v>
      </c>
      <c r="P20">
        <v>1109</v>
      </c>
      <c r="Q20">
        <v>2476.85</v>
      </c>
    </row>
    <row r="21" spans="1:17" hidden="1">
      <c r="A21" t="s">
        <v>170</v>
      </c>
      <c r="B21" t="s">
        <v>171</v>
      </c>
      <c r="C21" s="28">
        <v>2346</v>
      </c>
      <c r="D21" s="19">
        <f t="shared" si="1"/>
        <v>78.2</v>
      </c>
      <c r="E21" s="5">
        <v>2479.91</v>
      </c>
      <c r="H21" s="19">
        <f t="shared" si="2"/>
        <v>4692</v>
      </c>
      <c r="I21" t="b">
        <f t="shared" si="3"/>
        <v>1</v>
      </c>
      <c r="J21" s="4">
        <f t="shared" si="0"/>
        <v>-0.47145993179880652</v>
      </c>
      <c r="M21"/>
      <c r="O21" t="s">
        <v>188</v>
      </c>
      <c r="P21">
        <v>4052</v>
      </c>
      <c r="Q21">
        <v>6748.08</v>
      </c>
    </row>
    <row r="22" spans="1:17" hidden="1">
      <c r="A22" t="s">
        <v>43</v>
      </c>
      <c r="B22" t="s">
        <v>44</v>
      </c>
      <c r="C22" s="28">
        <v>10872</v>
      </c>
      <c r="D22" s="19">
        <f t="shared" si="1"/>
        <v>362.4</v>
      </c>
      <c r="E22" s="5">
        <v>7767.42</v>
      </c>
      <c r="H22" s="19">
        <f t="shared" si="2"/>
        <v>21744</v>
      </c>
      <c r="I22" t="b">
        <f t="shared" si="3"/>
        <v>1</v>
      </c>
      <c r="J22" s="4">
        <f t="shared" si="0"/>
        <v>-0.642778697571744</v>
      </c>
      <c r="M22"/>
      <c r="O22" t="s">
        <v>707</v>
      </c>
      <c r="P22">
        <v>1476</v>
      </c>
      <c r="Q22">
        <v>2358.27</v>
      </c>
    </row>
    <row r="23" spans="1:17" hidden="1">
      <c r="A23" t="s">
        <v>271</v>
      </c>
      <c r="B23" t="s">
        <v>272</v>
      </c>
      <c r="C23" s="28">
        <v>1490</v>
      </c>
      <c r="D23" s="19">
        <f t="shared" si="1"/>
        <v>49.666666666666664</v>
      </c>
      <c r="E23" s="5">
        <v>3129.62</v>
      </c>
      <c r="H23" s="19">
        <f t="shared" si="2"/>
        <v>2980</v>
      </c>
      <c r="I23" t="b">
        <f t="shared" si="3"/>
        <v>1</v>
      </c>
      <c r="J23" s="4">
        <f t="shared" si="0"/>
        <v>5.0208053691275234E-2</v>
      </c>
      <c r="O23" t="s">
        <v>34</v>
      </c>
      <c r="P23">
        <v>14987</v>
      </c>
      <c r="Q23">
        <v>5594.85</v>
      </c>
    </row>
    <row r="24" spans="1:17" hidden="1">
      <c r="A24" t="s">
        <v>106</v>
      </c>
      <c r="B24" t="s">
        <v>107</v>
      </c>
      <c r="C24" s="28">
        <v>3162</v>
      </c>
      <c r="D24" s="19">
        <f t="shared" si="1"/>
        <v>105.4</v>
      </c>
      <c r="E24" s="5">
        <v>2446.33</v>
      </c>
      <c r="H24" s="19">
        <f t="shared" si="2"/>
        <v>6324</v>
      </c>
      <c r="I24" t="b">
        <f t="shared" si="3"/>
        <v>1</v>
      </c>
      <c r="J24" s="4">
        <f t="shared" si="0"/>
        <v>-0.6131672991777356</v>
      </c>
      <c r="M24"/>
      <c r="O24" t="s">
        <v>758</v>
      </c>
      <c r="P24">
        <v>652</v>
      </c>
      <c r="Q24">
        <v>1070.94</v>
      </c>
    </row>
    <row r="25" spans="1:17" hidden="1">
      <c r="A25" s="37" t="s">
        <v>406</v>
      </c>
      <c r="B25" s="37" t="s">
        <v>407</v>
      </c>
      <c r="C25" s="28">
        <v>880</v>
      </c>
      <c r="D25" s="19">
        <f t="shared" si="1"/>
        <v>29.333333333333332</v>
      </c>
      <c r="E25" s="5">
        <v>1374.25</v>
      </c>
      <c r="H25" s="19">
        <f t="shared" si="2"/>
        <v>1760</v>
      </c>
      <c r="I25" t="b">
        <f t="shared" si="3"/>
        <v>1</v>
      </c>
      <c r="J25" s="4">
        <f t="shared" si="0"/>
        <v>-0.21917613636363631</v>
      </c>
      <c r="M25"/>
      <c r="O25" t="s">
        <v>476</v>
      </c>
      <c r="P25">
        <v>1671</v>
      </c>
      <c r="Q25">
        <v>2325.75</v>
      </c>
    </row>
    <row r="26" spans="1:17" hidden="1">
      <c r="A26" t="s">
        <v>120</v>
      </c>
      <c r="B26" t="s">
        <v>121</v>
      </c>
      <c r="C26" s="28">
        <v>2783</v>
      </c>
      <c r="D26" s="19">
        <f t="shared" si="1"/>
        <v>92.766666666666666</v>
      </c>
      <c r="E26" s="5">
        <v>2620.79</v>
      </c>
      <c r="H26" s="19">
        <f t="shared" si="2"/>
        <v>5566</v>
      </c>
      <c r="I26" t="b">
        <f t="shared" si="3"/>
        <v>1</v>
      </c>
      <c r="J26" s="4">
        <f t="shared" si="0"/>
        <v>-0.52914301113905859</v>
      </c>
      <c r="M26"/>
      <c r="O26" t="s">
        <v>243</v>
      </c>
      <c r="P26">
        <v>2656</v>
      </c>
      <c r="Q26">
        <v>5003.68</v>
      </c>
    </row>
    <row r="27" spans="1:17" hidden="1">
      <c r="A27" t="s">
        <v>87</v>
      </c>
      <c r="B27" t="s">
        <v>88</v>
      </c>
      <c r="C27" s="28">
        <v>3367</v>
      </c>
      <c r="D27" s="19">
        <f t="shared" si="1"/>
        <v>112.23333333333333</v>
      </c>
      <c r="E27" s="5">
        <v>3817.39</v>
      </c>
      <c r="H27" s="19">
        <f t="shared" si="2"/>
        <v>6734</v>
      </c>
      <c r="I27" t="b">
        <f t="shared" si="3"/>
        <v>1</v>
      </c>
      <c r="J27" s="4">
        <f t="shared" si="0"/>
        <v>-0.43311701811701808</v>
      </c>
      <c r="M27"/>
      <c r="O27" t="s">
        <v>798</v>
      </c>
      <c r="P27">
        <v>596</v>
      </c>
      <c r="Q27">
        <v>1267.94</v>
      </c>
    </row>
    <row r="28" spans="1:17" hidden="1">
      <c r="A28" t="s">
        <v>242</v>
      </c>
      <c r="B28" t="s">
        <v>243</v>
      </c>
      <c r="C28" s="28">
        <v>1688</v>
      </c>
      <c r="D28" s="19">
        <f t="shared" si="1"/>
        <v>56.266666666666666</v>
      </c>
      <c r="E28" s="5">
        <v>3162.84</v>
      </c>
      <c r="H28" s="19">
        <f t="shared" si="2"/>
        <v>3376</v>
      </c>
      <c r="I28" t="b">
        <f t="shared" si="3"/>
        <v>1</v>
      </c>
      <c r="J28" s="4">
        <f t="shared" si="0"/>
        <v>-6.3139810426540266E-2</v>
      </c>
      <c r="M28"/>
      <c r="O28" t="s">
        <v>383</v>
      </c>
      <c r="P28">
        <v>1681</v>
      </c>
      <c r="Q28">
        <v>3245.25</v>
      </c>
    </row>
    <row r="29" spans="1:17" hidden="1">
      <c r="A29" t="s">
        <v>85</v>
      </c>
      <c r="B29" t="s">
        <v>86</v>
      </c>
      <c r="C29" s="28">
        <v>3550</v>
      </c>
      <c r="D29" s="19">
        <f t="shared" si="1"/>
        <v>118.33333333333333</v>
      </c>
      <c r="E29" s="5">
        <v>5180.68</v>
      </c>
      <c r="H29" s="19">
        <f t="shared" si="2"/>
        <v>7100</v>
      </c>
      <c r="I29" t="b">
        <f t="shared" si="3"/>
        <v>1</v>
      </c>
      <c r="J29" s="4">
        <f t="shared" si="0"/>
        <v>-0.27032676056338023</v>
      </c>
      <c r="M29"/>
      <c r="O29" t="s">
        <v>407</v>
      </c>
      <c r="P29">
        <v>1969</v>
      </c>
      <c r="Q29">
        <v>2178.64</v>
      </c>
    </row>
    <row r="30" spans="1:17" hidden="1">
      <c r="A30" s="54" t="s">
        <v>505</v>
      </c>
      <c r="B30" s="37" t="s">
        <v>506</v>
      </c>
      <c r="C30" s="19">
        <v>628</v>
      </c>
      <c r="D30" s="19">
        <f t="shared" si="1"/>
        <v>20.933333333333334</v>
      </c>
      <c r="E30" s="5">
        <v>1409.24</v>
      </c>
      <c r="H30" s="19">
        <f t="shared" si="2"/>
        <v>1256</v>
      </c>
      <c r="I30" t="b">
        <f t="shared" si="3"/>
        <v>1</v>
      </c>
      <c r="J30" s="4">
        <f t="shared" si="0"/>
        <v>0.12200636942675169</v>
      </c>
      <c r="M30"/>
      <c r="O30" t="s">
        <v>281</v>
      </c>
      <c r="P30">
        <v>1923</v>
      </c>
      <c r="Q30">
        <v>3253.75</v>
      </c>
    </row>
    <row r="31" spans="1:17" hidden="1">
      <c r="A31" t="s">
        <v>130</v>
      </c>
      <c r="B31" t="s">
        <v>131</v>
      </c>
      <c r="C31" s="28">
        <v>2739</v>
      </c>
      <c r="D31" s="19">
        <f t="shared" si="1"/>
        <v>91.3</v>
      </c>
      <c r="E31" s="5">
        <v>2627.36</v>
      </c>
      <c r="H31" s="19">
        <f t="shared" si="2"/>
        <v>5478</v>
      </c>
      <c r="I31" t="b">
        <f t="shared" si="3"/>
        <v>1</v>
      </c>
      <c r="J31" s="4">
        <f t="shared" si="0"/>
        <v>-0.52037970062066452</v>
      </c>
      <c r="M31"/>
      <c r="O31" t="s">
        <v>334</v>
      </c>
      <c r="P31">
        <v>1541</v>
      </c>
      <c r="Q31">
        <v>3749.62</v>
      </c>
    </row>
    <row r="32" spans="1:17" hidden="1">
      <c r="A32" t="s">
        <v>124</v>
      </c>
      <c r="B32" t="s">
        <v>125</v>
      </c>
      <c r="C32" s="28">
        <v>2772</v>
      </c>
      <c r="D32" s="19">
        <f t="shared" si="1"/>
        <v>92.4</v>
      </c>
      <c r="E32" s="5">
        <v>4480.6099999999997</v>
      </c>
      <c r="H32" s="19">
        <f t="shared" si="2"/>
        <v>5544</v>
      </c>
      <c r="I32" t="b">
        <f t="shared" si="3"/>
        <v>1</v>
      </c>
      <c r="J32" s="4">
        <f t="shared" si="0"/>
        <v>-0.19180916305916307</v>
      </c>
      <c r="M32"/>
      <c r="O32" t="s">
        <v>125</v>
      </c>
      <c r="P32">
        <v>2159</v>
      </c>
      <c r="Q32">
        <v>4083.97</v>
      </c>
    </row>
    <row r="33" spans="1:17" hidden="1">
      <c r="A33" t="s">
        <v>142</v>
      </c>
      <c r="B33" t="s">
        <v>143</v>
      </c>
      <c r="C33" s="28">
        <v>2533</v>
      </c>
      <c r="D33" s="19">
        <f t="shared" si="1"/>
        <v>84.433333333333337</v>
      </c>
      <c r="E33" s="5">
        <v>2430.31</v>
      </c>
      <c r="H33" s="19">
        <f t="shared" si="2"/>
        <v>5066</v>
      </c>
      <c r="I33" t="b">
        <f t="shared" si="3"/>
        <v>1</v>
      </c>
      <c r="J33" s="4">
        <f t="shared" si="0"/>
        <v>-0.52027043031977893</v>
      </c>
      <c r="M33" s="124"/>
      <c r="O33" t="s">
        <v>231</v>
      </c>
      <c r="P33">
        <v>1658</v>
      </c>
      <c r="Q33">
        <v>4124.5</v>
      </c>
    </row>
    <row r="34" spans="1:17" hidden="1">
      <c r="A34" s="54" t="s">
        <v>387</v>
      </c>
      <c r="B34" s="37" t="s">
        <v>388</v>
      </c>
      <c r="C34" s="19">
        <v>920</v>
      </c>
      <c r="D34" s="19">
        <f t="shared" si="1"/>
        <v>30.666666666666668</v>
      </c>
      <c r="E34" s="5">
        <v>1651.06</v>
      </c>
      <c r="H34" s="19">
        <f t="shared" si="2"/>
        <v>1840</v>
      </c>
      <c r="I34" t="b">
        <f t="shared" si="3"/>
        <v>1</v>
      </c>
      <c r="J34" s="4">
        <f t="shared" si="0"/>
        <v>-0.10268478260869573</v>
      </c>
      <c r="M34"/>
      <c r="O34" t="s">
        <v>715</v>
      </c>
      <c r="P34">
        <v>1546</v>
      </c>
      <c r="Q34">
        <v>1959.09</v>
      </c>
    </row>
    <row r="35" spans="1:17" hidden="1">
      <c r="A35" t="s">
        <v>313</v>
      </c>
      <c r="B35" t="s">
        <v>314</v>
      </c>
      <c r="C35" s="28">
        <v>1239</v>
      </c>
      <c r="D35" s="19">
        <f t="shared" si="1"/>
        <v>41.3</v>
      </c>
      <c r="E35" s="5">
        <v>1326.54</v>
      </c>
      <c r="H35" s="19">
        <f t="shared" si="2"/>
        <v>2478</v>
      </c>
      <c r="I35" t="b">
        <f t="shared" si="3"/>
        <v>1</v>
      </c>
      <c r="J35" s="4">
        <f t="shared" si="0"/>
        <v>-0.46467312348668277</v>
      </c>
      <c r="M35"/>
      <c r="O35" t="s">
        <v>121</v>
      </c>
      <c r="P35">
        <v>2684</v>
      </c>
      <c r="Q35">
        <v>4208.54</v>
      </c>
    </row>
    <row r="36" spans="1:17" hidden="1">
      <c r="A36" t="s">
        <v>146</v>
      </c>
      <c r="B36" t="s">
        <v>147</v>
      </c>
      <c r="C36" s="28">
        <v>2476</v>
      </c>
      <c r="D36" s="19">
        <f t="shared" si="1"/>
        <v>82.533333333333331</v>
      </c>
      <c r="E36" s="5">
        <v>2201.6</v>
      </c>
      <c r="H36" s="19">
        <f t="shared" si="2"/>
        <v>4952</v>
      </c>
      <c r="I36" t="b">
        <f t="shared" si="3"/>
        <v>1</v>
      </c>
      <c r="J36" s="4">
        <f t="shared" si="0"/>
        <v>-0.55541195476575123</v>
      </c>
      <c r="M36"/>
      <c r="O36" t="s">
        <v>113</v>
      </c>
      <c r="P36">
        <v>4901</v>
      </c>
      <c r="Q36">
        <v>9133.83</v>
      </c>
    </row>
    <row r="37" spans="1:17" hidden="1">
      <c r="A37" t="s">
        <v>783</v>
      </c>
      <c r="B37" t="s">
        <v>784</v>
      </c>
      <c r="C37" s="28">
        <v>0</v>
      </c>
      <c r="D37" s="19">
        <f t="shared" si="1"/>
        <v>0</v>
      </c>
      <c r="E37" s="5">
        <v>0</v>
      </c>
      <c r="H37" s="19">
        <f t="shared" si="2"/>
        <v>0</v>
      </c>
      <c r="I37" t="b">
        <f t="shared" si="3"/>
        <v>1</v>
      </c>
      <c r="J37" s="4" t="e">
        <f t="shared" si="0"/>
        <v>#DIV/0!</v>
      </c>
      <c r="M37"/>
      <c r="O37" t="s">
        <v>567</v>
      </c>
      <c r="P37">
        <v>1150</v>
      </c>
      <c r="Q37">
        <v>1379.51</v>
      </c>
    </row>
    <row r="38" spans="1:17" hidden="1">
      <c r="A38" t="s">
        <v>277</v>
      </c>
      <c r="B38" t="s">
        <v>278</v>
      </c>
      <c r="C38" s="28">
        <v>1461</v>
      </c>
      <c r="D38" s="19">
        <f t="shared" si="1"/>
        <v>48.7</v>
      </c>
      <c r="E38" s="5">
        <v>1320.7</v>
      </c>
      <c r="H38" s="19">
        <f t="shared" si="2"/>
        <v>2922</v>
      </c>
      <c r="I38" t="b">
        <f t="shared" si="3"/>
        <v>1</v>
      </c>
      <c r="J38" s="4">
        <f t="shared" si="0"/>
        <v>-0.54801505817932927</v>
      </c>
      <c r="M38"/>
      <c r="O38" t="s">
        <v>314</v>
      </c>
      <c r="P38">
        <v>3490</v>
      </c>
      <c r="Q38">
        <v>6233.8</v>
      </c>
    </row>
    <row r="39" spans="1:17" hidden="1">
      <c r="A39" t="s">
        <v>224</v>
      </c>
      <c r="B39" t="s">
        <v>225</v>
      </c>
      <c r="C39" s="28">
        <v>1780</v>
      </c>
      <c r="D39" s="19">
        <f t="shared" si="1"/>
        <v>59.333333333333336</v>
      </c>
      <c r="E39" s="5">
        <v>1849.63</v>
      </c>
      <c r="H39" s="19">
        <f t="shared" si="2"/>
        <v>3560</v>
      </c>
      <c r="I39" t="b">
        <f t="shared" si="3"/>
        <v>1</v>
      </c>
      <c r="J39" s="4">
        <f t="shared" si="0"/>
        <v>-0.48044101123595506</v>
      </c>
      <c r="M39"/>
      <c r="O39" t="s">
        <v>532</v>
      </c>
      <c r="P39">
        <v>973</v>
      </c>
      <c r="Q39">
        <v>1765</v>
      </c>
    </row>
    <row r="40" spans="1:17" hidden="1">
      <c r="A40" t="s">
        <v>451</v>
      </c>
      <c r="B40" t="s">
        <v>452</v>
      </c>
      <c r="C40" s="28">
        <v>759</v>
      </c>
      <c r="D40" s="19">
        <f t="shared" si="1"/>
        <v>25.3</v>
      </c>
      <c r="E40" s="5">
        <v>369.35</v>
      </c>
      <c r="H40" s="19">
        <f t="shared" si="2"/>
        <v>1518</v>
      </c>
      <c r="I40" t="b">
        <f t="shared" si="3"/>
        <v>1</v>
      </c>
      <c r="J40" s="4">
        <f t="shared" si="0"/>
        <v>-0.75668642951251641</v>
      </c>
      <c r="M40"/>
      <c r="O40" t="s">
        <v>241</v>
      </c>
      <c r="P40">
        <v>1611</v>
      </c>
      <c r="Q40">
        <v>2692.2</v>
      </c>
    </row>
    <row r="41" spans="1:17" hidden="1">
      <c r="A41" t="s">
        <v>718</v>
      </c>
      <c r="B41" t="s">
        <v>719</v>
      </c>
      <c r="C41" s="28">
        <v>84</v>
      </c>
      <c r="D41" s="19">
        <f t="shared" si="1"/>
        <v>2.8</v>
      </c>
      <c r="E41" s="5">
        <v>0</v>
      </c>
      <c r="H41" s="19">
        <f t="shared" si="2"/>
        <v>168</v>
      </c>
      <c r="I41" t="b">
        <f t="shared" si="3"/>
        <v>1</v>
      </c>
      <c r="J41" s="4">
        <f t="shared" si="0"/>
        <v>-1</v>
      </c>
      <c r="M41"/>
      <c r="O41" t="s">
        <v>107</v>
      </c>
      <c r="P41">
        <v>2321</v>
      </c>
      <c r="Q41">
        <v>4250.3999999999996</v>
      </c>
    </row>
    <row r="42" spans="1:17" hidden="1">
      <c r="A42" t="s">
        <v>75</v>
      </c>
      <c r="B42" t="s">
        <v>76</v>
      </c>
      <c r="C42" s="28">
        <v>4920</v>
      </c>
      <c r="D42" s="19">
        <f t="shared" si="1"/>
        <v>164</v>
      </c>
      <c r="E42" s="5">
        <v>8589.69</v>
      </c>
      <c r="H42" s="19">
        <f t="shared" si="2"/>
        <v>9840</v>
      </c>
      <c r="I42" t="b">
        <f t="shared" si="3"/>
        <v>1</v>
      </c>
      <c r="J42" s="4">
        <f t="shared" si="0"/>
        <v>-0.12706402439024389</v>
      </c>
      <c r="M42"/>
      <c r="O42" t="s">
        <v>205</v>
      </c>
      <c r="P42">
        <v>2223</v>
      </c>
      <c r="Q42">
        <v>4480.07</v>
      </c>
    </row>
    <row r="43" spans="1:17" hidden="1">
      <c r="A43" t="s">
        <v>110</v>
      </c>
      <c r="B43" s="27" t="s">
        <v>111</v>
      </c>
      <c r="C43" s="28">
        <v>3073</v>
      </c>
      <c r="D43" s="19">
        <f t="shared" si="1"/>
        <v>102.43333333333334</v>
      </c>
      <c r="E43" s="5">
        <v>2614.14</v>
      </c>
      <c r="H43" s="19">
        <f t="shared" si="2"/>
        <v>6146</v>
      </c>
      <c r="I43" t="b">
        <f t="shared" si="3"/>
        <v>1</v>
      </c>
      <c r="J43" s="4">
        <f t="shared" si="0"/>
        <v>-0.57465994142531729</v>
      </c>
      <c r="M43"/>
      <c r="O43" t="s">
        <v>510</v>
      </c>
      <c r="P43">
        <v>741</v>
      </c>
      <c r="Q43">
        <v>1596.79</v>
      </c>
    </row>
    <row r="44" spans="1:17" hidden="1">
      <c r="A44" s="54" t="s">
        <v>580</v>
      </c>
      <c r="B44" s="37" t="s">
        <v>581</v>
      </c>
      <c r="C44" s="28">
        <v>394</v>
      </c>
      <c r="D44" s="19">
        <f t="shared" si="1"/>
        <v>13.133333333333333</v>
      </c>
      <c r="E44" s="5">
        <v>380.91</v>
      </c>
      <c r="H44" s="19">
        <f t="shared" si="2"/>
        <v>788</v>
      </c>
      <c r="I44" t="b">
        <f t="shared" si="3"/>
        <v>1</v>
      </c>
      <c r="J44" s="4">
        <f t="shared" si="0"/>
        <v>-0.51661167512690354</v>
      </c>
      <c r="M44"/>
      <c r="O44" t="s">
        <v>133</v>
      </c>
      <c r="P44">
        <v>1931</v>
      </c>
      <c r="Q44">
        <v>4461.28</v>
      </c>
    </row>
    <row r="45" spans="1:17" hidden="1">
      <c r="A45" t="s">
        <v>492</v>
      </c>
      <c r="B45" t="s">
        <v>493</v>
      </c>
      <c r="C45" s="28">
        <v>666</v>
      </c>
      <c r="D45" s="19">
        <f t="shared" si="1"/>
        <v>22.2</v>
      </c>
      <c r="E45" s="5">
        <v>304.29000000000002</v>
      </c>
      <c r="H45" s="19">
        <f t="shared" si="2"/>
        <v>1332</v>
      </c>
      <c r="I45" t="b">
        <f t="shared" si="3"/>
        <v>1</v>
      </c>
      <c r="J45" s="4">
        <f t="shared" si="0"/>
        <v>-0.77155405405405397</v>
      </c>
      <c r="M45"/>
      <c r="O45" t="s">
        <v>454</v>
      </c>
      <c r="P45">
        <v>1390</v>
      </c>
      <c r="Q45">
        <v>1789.01</v>
      </c>
    </row>
    <row r="46" spans="1:17" hidden="1">
      <c r="A46" t="s">
        <v>126</v>
      </c>
      <c r="B46" t="s">
        <v>127</v>
      </c>
      <c r="C46" s="28">
        <v>2751</v>
      </c>
      <c r="D46" s="19">
        <f t="shared" si="1"/>
        <v>91.7</v>
      </c>
      <c r="E46" s="5">
        <v>4243.88</v>
      </c>
      <c r="H46" s="19">
        <f t="shared" si="2"/>
        <v>5502</v>
      </c>
      <c r="I46" t="b">
        <f t="shared" si="3"/>
        <v>1</v>
      </c>
      <c r="J46" s="4">
        <f t="shared" si="0"/>
        <v>-0.22866593965830606</v>
      </c>
      <c r="M46"/>
      <c r="O46" t="s">
        <v>253</v>
      </c>
      <c r="P46">
        <v>940</v>
      </c>
      <c r="Q46">
        <v>1618.45</v>
      </c>
    </row>
    <row r="47" spans="1:17" hidden="1">
      <c r="A47" t="s">
        <v>309</v>
      </c>
      <c r="B47" t="s">
        <v>310</v>
      </c>
      <c r="C47" s="28">
        <v>1248</v>
      </c>
      <c r="D47" s="19">
        <f t="shared" si="1"/>
        <v>41.6</v>
      </c>
      <c r="E47" s="5">
        <v>1195.5</v>
      </c>
      <c r="H47" s="19">
        <f t="shared" si="2"/>
        <v>2496</v>
      </c>
      <c r="I47" t="b">
        <f t="shared" si="3"/>
        <v>1</v>
      </c>
      <c r="J47" s="4">
        <f t="shared" si="0"/>
        <v>-0.52103365384615385</v>
      </c>
      <c r="M47"/>
      <c r="O47" t="s">
        <v>95</v>
      </c>
      <c r="P47">
        <v>3488</v>
      </c>
      <c r="Q47">
        <v>6528.03</v>
      </c>
    </row>
    <row r="48" spans="1:17" hidden="1">
      <c r="A48" t="s">
        <v>172</v>
      </c>
      <c r="B48" t="s">
        <v>173</v>
      </c>
      <c r="C48" s="28">
        <v>2293</v>
      </c>
      <c r="D48" s="19">
        <f t="shared" si="1"/>
        <v>76.433333333333337</v>
      </c>
      <c r="E48" s="5">
        <v>2431.2199999999998</v>
      </c>
      <c r="H48" s="19">
        <f t="shared" si="2"/>
        <v>4586</v>
      </c>
      <c r="I48" t="b">
        <f t="shared" si="3"/>
        <v>1</v>
      </c>
      <c r="J48" s="4">
        <f t="shared" si="0"/>
        <v>-0.46986044483209777</v>
      </c>
      <c r="M48"/>
      <c r="O48" t="s">
        <v>66</v>
      </c>
      <c r="P48">
        <v>5377</v>
      </c>
      <c r="Q48">
        <v>8788.83</v>
      </c>
    </row>
    <row r="49" spans="1:17" hidden="1">
      <c r="A49" t="s">
        <v>244</v>
      </c>
      <c r="B49" t="s">
        <v>245</v>
      </c>
      <c r="C49" s="28">
        <v>1688</v>
      </c>
      <c r="D49" s="19">
        <f t="shared" si="1"/>
        <v>56.266666666666666</v>
      </c>
      <c r="E49" s="5">
        <v>2852.32</v>
      </c>
      <c r="H49" s="19">
        <f t="shared" si="2"/>
        <v>3376</v>
      </c>
      <c r="I49" t="b">
        <f t="shared" si="3"/>
        <v>1</v>
      </c>
      <c r="J49" s="4">
        <f t="shared" si="0"/>
        <v>-0.15511848341232226</v>
      </c>
      <c r="M49"/>
      <c r="O49" t="s">
        <v>792</v>
      </c>
      <c r="P49">
        <v>633</v>
      </c>
      <c r="Q49">
        <v>1173.22</v>
      </c>
    </row>
    <row r="50" spans="1:17" hidden="1">
      <c r="A50" t="s">
        <v>152</v>
      </c>
      <c r="B50" t="s">
        <v>153</v>
      </c>
      <c r="C50" s="28">
        <v>2457</v>
      </c>
      <c r="D50" s="19">
        <f t="shared" si="1"/>
        <v>81.900000000000006</v>
      </c>
      <c r="E50" s="5">
        <v>2084.63</v>
      </c>
      <c r="H50" s="19">
        <f t="shared" si="2"/>
        <v>4914</v>
      </c>
      <c r="I50" t="b">
        <f t="shared" si="3"/>
        <v>1</v>
      </c>
      <c r="J50" s="4">
        <f t="shared" si="0"/>
        <v>-0.57577737077737079</v>
      </c>
      <c r="M50"/>
      <c r="O50" t="s">
        <v>312</v>
      </c>
      <c r="P50">
        <v>1412</v>
      </c>
      <c r="Q50">
        <v>2519.35</v>
      </c>
    </row>
    <row r="51" spans="1:17" hidden="1">
      <c r="A51" s="27" t="s">
        <v>204</v>
      </c>
      <c r="B51" t="s">
        <v>205</v>
      </c>
      <c r="C51" s="28">
        <v>1974</v>
      </c>
      <c r="D51" s="19">
        <f t="shared" si="1"/>
        <v>65.8</v>
      </c>
      <c r="E51" s="5">
        <v>1635.21</v>
      </c>
      <c r="H51" s="19">
        <f t="shared" si="2"/>
        <v>3948</v>
      </c>
      <c r="I51" t="b">
        <f t="shared" si="3"/>
        <v>1</v>
      </c>
      <c r="J51" s="4">
        <f t="shared" si="0"/>
        <v>-0.58581306990881465</v>
      </c>
      <c r="M51"/>
      <c r="O51" t="s">
        <v>642</v>
      </c>
      <c r="P51">
        <v>829</v>
      </c>
      <c r="Q51">
        <v>1139.6600000000001</v>
      </c>
    </row>
    <row r="52" spans="1:17" hidden="1">
      <c r="A52" t="s">
        <v>226</v>
      </c>
      <c r="B52" t="s">
        <v>227</v>
      </c>
      <c r="C52" s="28">
        <v>1774</v>
      </c>
      <c r="D52" s="19">
        <f t="shared" si="1"/>
        <v>59.133333333333333</v>
      </c>
      <c r="E52" s="5">
        <v>2407.3200000000002</v>
      </c>
      <c r="H52" s="19">
        <f t="shared" si="2"/>
        <v>3548</v>
      </c>
      <c r="I52" t="b">
        <f t="shared" si="3"/>
        <v>1</v>
      </c>
      <c r="J52" s="4">
        <f t="shared" si="0"/>
        <v>-0.32149943630214206</v>
      </c>
      <c r="M52"/>
      <c r="O52" t="s">
        <v>105</v>
      </c>
      <c r="P52">
        <v>3176</v>
      </c>
      <c r="Q52">
        <v>4296.8900000000003</v>
      </c>
    </row>
    <row r="53" spans="1:17" hidden="1">
      <c r="A53" t="s">
        <v>41</v>
      </c>
      <c r="B53" t="s">
        <v>42</v>
      </c>
      <c r="C53" s="28">
        <v>10959</v>
      </c>
      <c r="D53" s="19">
        <f t="shared" si="1"/>
        <v>365.3</v>
      </c>
      <c r="E53" s="5">
        <v>7898.32</v>
      </c>
      <c r="H53" s="19">
        <f t="shared" si="2"/>
        <v>21918</v>
      </c>
      <c r="I53" t="b">
        <f t="shared" si="3"/>
        <v>1</v>
      </c>
      <c r="J53" s="4">
        <f t="shared" si="0"/>
        <v>-0.6396423031298476</v>
      </c>
      <c r="O53" t="s">
        <v>631</v>
      </c>
      <c r="P53">
        <v>775</v>
      </c>
      <c r="Q53">
        <v>1364.36</v>
      </c>
    </row>
    <row r="54" spans="1:17" hidden="1">
      <c r="A54" t="s">
        <v>311</v>
      </c>
      <c r="B54" t="s">
        <v>312</v>
      </c>
      <c r="C54" s="28">
        <v>1242</v>
      </c>
      <c r="D54" s="19">
        <f t="shared" si="1"/>
        <v>41.4</v>
      </c>
      <c r="E54" s="5">
        <v>1651.81</v>
      </c>
      <c r="H54" s="19">
        <f t="shared" si="2"/>
        <v>2484</v>
      </c>
      <c r="I54" t="b">
        <f t="shared" si="3"/>
        <v>1</v>
      </c>
      <c r="J54" s="4">
        <f t="shared" si="0"/>
        <v>-0.33502012882447663</v>
      </c>
      <c r="M54"/>
      <c r="O54" t="s">
        <v>611</v>
      </c>
      <c r="P54">
        <v>652</v>
      </c>
      <c r="Q54">
        <v>1543.21</v>
      </c>
    </row>
    <row r="55" spans="1:17" hidden="1">
      <c r="A55" t="s">
        <v>680</v>
      </c>
      <c r="B55" t="s">
        <v>681</v>
      </c>
      <c r="C55" s="28">
        <v>168</v>
      </c>
      <c r="D55" s="19">
        <f t="shared" si="1"/>
        <v>5.6</v>
      </c>
      <c r="E55" s="5">
        <v>82.73</v>
      </c>
      <c r="H55" s="19">
        <f t="shared" si="2"/>
        <v>336</v>
      </c>
      <c r="I55" t="b">
        <f t="shared" si="3"/>
        <v>1</v>
      </c>
      <c r="J55" s="4">
        <f t="shared" si="0"/>
        <v>-0.75377976190476192</v>
      </c>
      <c r="M55"/>
      <c r="O55" t="s">
        <v>52</v>
      </c>
      <c r="P55">
        <v>7423</v>
      </c>
      <c r="Q55">
        <v>11232.22</v>
      </c>
    </row>
    <row r="56" spans="1:17" hidden="1">
      <c r="A56" t="s">
        <v>428</v>
      </c>
      <c r="B56" t="s">
        <v>429</v>
      </c>
      <c r="C56" s="28">
        <v>815</v>
      </c>
      <c r="D56" s="19">
        <f t="shared" si="1"/>
        <v>27.166666666666668</v>
      </c>
      <c r="E56" s="5">
        <v>489.07</v>
      </c>
      <c r="H56" s="19">
        <f t="shared" si="2"/>
        <v>1630</v>
      </c>
      <c r="I56" t="b">
        <f t="shared" si="3"/>
        <v>1</v>
      </c>
      <c r="J56" s="4">
        <f t="shared" si="0"/>
        <v>-0.69995705521472396</v>
      </c>
      <c r="M56"/>
      <c r="O56" t="s">
        <v>145</v>
      </c>
      <c r="P56">
        <v>1327</v>
      </c>
      <c r="Q56">
        <v>3076.45</v>
      </c>
    </row>
    <row r="57" spans="1:17" hidden="1">
      <c r="A57" t="s">
        <v>773</v>
      </c>
      <c r="B57" t="s">
        <v>774</v>
      </c>
      <c r="C57" s="28">
        <v>0</v>
      </c>
      <c r="D57" s="19">
        <f t="shared" si="1"/>
        <v>0</v>
      </c>
      <c r="E57" s="5">
        <v>0</v>
      </c>
      <c r="H57" s="19">
        <f t="shared" si="2"/>
        <v>0</v>
      </c>
      <c r="I57" t="b">
        <f t="shared" si="3"/>
        <v>1</v>
      </c>
      <c r="J57" s="4" t="e">
        <f t="shared" si="0"/>
        <v>#DIV/0!</v>
      </c>
      <c r="M57"/>
      <c r="O57" t="s">
        <v>741</v>
      </c>
      <c r="P57">
        <v>932</v>
      </c>
      <c r="Q57">
        <v>1032.94</v>
      </c>
    </row>
    <row r="58" spans="1:17" hidden="1">
      <c r="A58" t="s">
        <v>360</v>
      </c>
      <c r="B58" t="s">
        <v>361</v>
      </c>
      <c r="C58" s="28">
        <v>1039</v>
      </c>
      <c r="D58" s="19">
        <f t="shared" si="1"/>
        <v>34.633333333333333</v>
      </c>
      <c r="E58" s="5">
        <v>640.91</v>
      </c>
      <c r="H58" s="19">
        <f t="shared" si="2"/>
        <v>2078</v>
      </c>
      <c r="I58" t="b">
        <f t="shared" si="3"/>
        <v>1</v>
      </c>
      <c r="J58" s="4">
        <f t="shared" si="0"/>
        <v>-0.69157362848893167</v>
      </c>
      <c r="M58"/>
      <c r="O58" t="s">
        <v>633</v>
      </c>
      <c r="P58">
        <v>1214</v>
      </c>
      <c r="Q58">
        <v>1000.47</v>
      </c>
    </row>
    <row r="59" spans="1:17" hidden="1">
      <c r="A59" t="s">
        <v>290</v>
      </c>
      <c r="B59" t="s">
        <v>291</v>
      </c>
      <c r="C59" s="28">
        <v>1366</v>
      </c>
      <c r="D59" s="19">
        <f t="shared" si="1"/>
        <v>45.533333333333331</v>
      </c>
      <c r="E59" s="5">
        <v>1201.6400000000001</v>
      </c>
      <c r="H59" s="19">
        <f t="shared" si="2"/>
        <v>2732</v>
      </c>
      <c r="I59" t="b">
        <f t="shared" si="3"/>
        <v>1</v>
      </c>
      <c r="J59" s="4">
        <f t="shared" si="0"/>
        <v>-0.56016105417276718</v>
      </c>
      <c r="M59"/>
      <c r="O59" t="s">
        <v>213</v>
      </c>
      <c r="P59">
        <v>1982</v>
      </c>
      <c r="Q59">
        <v>1597.03</v>
      </c>
    </row>
    <row r="60" spans="1:17" hidden="1">
      <c r="A60" t="s">
        <v>323</v>
      </c>
      <c r="B60" t="s">
        <v>324</v>
      </c>
      <c r="C60" s="28">
        <v>1166</v>
      </c>
      <c r="D60" s="19">
        <f t="shared" si="1"/>
        <v>38.866666666666667</v>
      </c>
      <c r="E60" s="5">
        <v>1201.21</v>
      </c>
      <c r="H60" s="19">
        <f t="shared" si="2"/>
        <v>2332</v>
      </c>
      <c r="I60" t="b">
        <f t="shared" si="3"/>
        <v>1</v>
      </c>
      <c r="J60" s="4">
        <f t="shared" si="0"/>
        <v>-0.48490137221269292</v>
      </c>
      <c r="M60"/>
      <c r="O60" t="s">
        <v>211</v>
      </c>
      <c r="P60">
        <v>1254</v>
      </c>
      <c r="Q60">
        <v>3319.52</v>
      </c>
    </row>
    <row r="61" spans="1:17" hidden="1">
      <c r="A61" t="s">
        <v>176</v>
      </c>
      <c r="B61" t="s">
        <v>177</v>
      </c>
      <c r="C61" s="28">
        <v>2267</v>
      </c>
      <c r="D61" s="19">
        <f t="shared" si="1"/>
        <v>75.566666666666663</v>
      </c>
      <c r="E61" s="5">
        <v>1755.92</v>
      </c>
      <c r="H61" s="19">
        <f t="shared" si="2"/>
        <v>4534</v>
      </c>
      <c r="I61" t="b">
        <f t="shared" si="3"/>
        <v>1</v>
      </c>
      <c r="J61" s="4">
        <f t="shared" si="0"/>
        <v>-0.61272165857962069</v>
      </c>
      <c r="M61"/>
      <c r="O61" t="s">
        <v>450</v>
      </c>
      <c r="P61">
        <v>971</v>
      </c>
      <c r="Q61">
        <v>1914.05</v>
      </c>
    </row>
    <row r="62" spans="1:17" hidden="1">
      <c r="A62" t="s">
        <v>519</v>
      </c>
      <c r="B62" t="s">
        <v>520</v>
      </c>
      <c r="C62" s="28">
        <v>584</v>
      </c>
      <c r="D62" s="19">
        <f t="shared" si="1"/>
        <v>19.466666666666665</v>
      </c>
      <c r="E62" s="5">
        <v>497.9</v>
      </c>
      <c r="H62" s="19">
        <f t="shared" si="2"/>
        <v>1168</v>
      </c>
      <c r="I62" t="b">
        <f t="shared" si="3"/>
        <v>1</v>
      </c>
      <c r="J62" s="4">
        <f t="shared" si="0"/>
        <v>-0.57371575342465753</v>
      </c>
      <c r="M62"/>
      <c r="O62" t="s">
        <v>72</v>
      </c>
      <c r="P62">
        <v>3925</v>
      </c>
      <c r="Q62">
        <v>5623.45</v>
      </c>
    </row>
    <row r="63" spans="1:17" hidden="1">
      <c r="A63" t="s">
        <v>507</v>
      </c>
      <c r="B63" t="s">
        <v>508</v>
      </c>
      <c r="C63" s="28">
        <v>621</v>
      </c>
      <c r="D63" s="19">
        <f t="shared" si="1"/>
        <v>20.7</v>
      </c>
      <c r="E63" s="5">
        <v>412.75</v>
      </c>
      <c r="H63" s="19">
        <f t="shared" si="2"/>
        <v>1242</v>
      </c>
      <c r="I63" t="b">
        <f t="shared" si="3"/>
        <v>1</v>
      </c>
      <c r="J63" s="4">
        <f t="shared" si="0"/>
        <v>-0.66767310789049916</v>
      </c>
      <c r="M63"/>
      <c r="O63" t="s">
        <v>812</v>
      </c>
      <c r="P63">
        <v>470</v>
      </c>
      <c r="Q63">
        <v>1363.19</v>
      </c>
    </row>
    <row r="64" spans="1:17" hidden="1">
      <c r="A64" t="s">
        <v>246</v>
      </c>
      <c r="B64" t="s">
        <v>247</v>
      </c>
      <c r="C64" s="28">
        <v>1680</v>
      </c>
      <c r="D64" s="19">
        <f t="shared" si="1"/>
        <v>56</v>
      </c>
      <c r="E64" s="5">
        <v>628.65</v>
      </c>
      <c r="H64" s="19">
        <f t="shared" si="2"/>
        <v>3360</v>
      </c>
      <c r="I64" t="b">
        <f t="shared" si="3"/>
        <v>1</v>
      </c>
      <c r="J64" s="4">
        <f t="shared" si="0"/>
        <v>-0.81290178571428573</v>
      </c>
      <c r="M64"/>
      <c r="O64" t="s">
        <v>353</v>
      </c>
      <c r="P64">
        <v>2026</v>
      </c>
      <c r="Q64">
        <v>2164.4299999999998</v>
      </c>
    </row>
    <row r="65" spans="1:17" hidden="1">
      <c r="A65" t="s">
        <v>389</v>
      </c>
      <c r="B65" t="s">
        <v>390</v>
      </c>
      <c r="C65" s="28">
        <v>917</v>
      </c>
      <c r="D65" s="19">
        <f t="shared" si="1"/>
        <v>30.566666666666666</v>
      </c>
      <c r="E65" s="5">
        <v>1010.25</v>
      </c>
      <c r="H65" s="19">
        <f t="shared" si="2"/>
        <v>1834</v>
      </c>
      <c r="I65" t="b">
        <f t="shared" ref="I65:I128" si="4">IF(E65&gt;1.2*H65,FALSE,TRUE)</f>
        <v>1</v>
      </c>
      <c r="J65" s="4">
        <f t="shared" ref="J65:J128" si="5">E65/H65-1</f>
        <v>-0.44915485278080702</v>
      </c>
      <c r="M65"/>
      <c r="O65" t="s">
        <v>173</v>
      </c>
      <c r="P65">
        <v>2247</v>
      </c>
      <c r="Q65">
        <v>4321.58</v>
      </c>
    </row>
    <row r="66" spans="1:17" hidden="1">
      <c r="A66" t="s">
        <v>154</v>
      </c>
      <c r="B66" t="s">
        <v>155</v>
      </c>
      <c r="C66" s="28">
        <v>2440</v>
      </c>
      <c r="D66" s="19">
        <f t="shared" si="1"/>
        <v>81.333333333333329</v>
      </c>
      <c r="E66" s="5">
        <v>3703.9</v>
      </c>
      <c r="H66" s="19">
        <f t="shared" si="2"/>
        <v>4880</v>
      </c>
      <c r="I66" t="b">
        <f t="shared" si="4"/>
        <v>1</v>
      </c>
      <c r="J66" s="4">
        <f t="shared" si="5"/>
        <v>-0.24100409836065573</v>
      </c>
      <c r="M66"/>
      <c r="O66" t="s">
        <v>441</v>
      </c>
      <c r="P66">
        <v>2514</v>
      </c>
      <c r="Q66">
        <v>2598.67</v>
      </c>
    </row>
    <row r="67" spans="1:17" hidden="1">
      <c r="A67" s="54" t="s">
        <v>586</v>
      </c>
      <c r="B67" s="37" t="s">
        <v>587</v>
      </c>
      <c r="C67" s="19">
        <v>379</v>
      </c>
      <c r="D67" s="19">
        <f t="shared" ref="D67:D130" si="6">C67/30</f>
        <v>12.633333333333333</v>
      </c>
      <c r="E67" s="5">
        <v>672.92</v>
      </c>
      <c r="H67" s="19">
        <f t="shared" ref="H67:H130" si="7">IF((C67/30)&gt;100,C67*2,C67*2)</f>
        <v>758</v>
      </c>
      <c r="I67" t="b">
        <f t="shared" si="4"/>
        <v>1</v>
      </c>
      <c r="J67" s="4">
        <f t="shared" si="5"/>
        <v>-0.11224274406332457</v>
      </c>
      <c r="M67"/>
      <c r="O67" t="s">
        <v>721</v>
      </c>
      <c r="P67">
        <v>666</v>
      </c>
      <c r="Q67">
        <v>974.04</v>
      </c>
    </row>
    <row r="68" spans="1:17" hidden="1">
      <c r="A68" t="s">
        <v>189</v>
      </c>
      <c r="B68" t="s">
        <v>190</v>
      </c>
      <c r="C68" s="28">
        <v>2124</v>
      </c>
      <c r="D68" s="19">
        <f t="shared" si="6"/>
        <v>70.8</v>
      </c>
      <c r="E68" s="5">
        <v>1594.76</v>
      </c>
      <c r="H68" s="19">
        <f t="shared" si="7"/>
        <v>4248</v>
      </c>
      <c r="I68" t="b">
        <f t="shared" si="4"/>
        <v>1</v>
      </c>
      <c r="J68" s="4">
        <f t="shared" si="5"/>
        <v>-0.62458568738229747</v>
      </c>
      <c r="M68"/>
      <c r="O68" t="s">
        <v>135</v>
      </c>
      <c r="P68">
        <v>2677</v>
      </c>
      <c r="Q68">
        <v>4678.3900000000003</v>
      </c>
    </row>
    <row r="69" spans="1:17" hidden="1">
      <c r="A69" s="54" t="s">
        <v>254</v>
      </c>
      <c r="B69" s="37" t="s">
        <v>255</v>
      </c>
      <c r="C69" s="28">
        <v>1605</v>
      </c>
      <c r="D69" s="19">
        <f t="shared" si="6"/>
        <v>53.5</v>
      </c>
      <c r="E69" s="5">
        <v>2765.8</v>
      </c>
      <c r="H69" s="19">
        <f t="shared" si="7"/>
        <v>3210</v>
      </c>
      <c r="I69" t="b">
        <f t="shared" si="4"/>
        <v>1</v>
      </c>
      <c r="J69" s="4">
        <f t="shared" si="5"/>
        <v>-0.13838006230529587</v>
      </c>
      <c r="M69"/>
      <c r="O69" t="s">
        <v>310</v>
      </c>
      <c r="P69">
        <v>1267</v>
      </c>
      <c r="Q69">
        <v>2666.4</v>
      </c>
    </row>
    <row r="70" spans="1:17" hidden="1">
      <c r="A70" s="27" t="s">
        <v>174</v>
      </c>
      <c r="B70" s="27" t="s">
        <v>175</v>
      </c>
      <c r="C70" s="28">
        <v>2285</v>
      </c>
      <c r="D70" s="19">
        <f t="shared" si="6"/>
        <v>76.166666666666671</v>
      </c>
      <c r="E70" s="5">
        <v>2020.11</v>
      </c>
      <c r="H70" s="19">
        <f t="shared" si="7"/>
        <v>4570</v>
      </c>
      <c r="I70" t="b">
        <f t="shared" si="4"/>
        <v>1</v>
      </c>
      <c r="J70" s="4">
        <f t="shared" si="5"/>
        <v>-0.5579628008752735</v>
      </c>
      <c r="M70"/>
      <c r="O70" t="s">
        <v>207</v>
      </c>
      <c r="P70">
        <v>1937</v>
      </c>
      <c r="Q70">
        <v>3822.55</v>
      </c>
    </row>
    <row r="71" spans="1:17" hidden="1">
      <c r="A71" s="54" t="s">
        <v>645</v>
      </c>
      <c r="B71" s="37" t="s">
        <v>646</v>
      </c>
      <c r="C71" s="19">
        <v>253</v>
      </c>
      <c r="D71" s="19">
        <f t="shared" si="6"/>
        <v>8.4333333333333336</v>
      </c>
      <c r="E71" s="5">
        <v>558.49</v>
      </c>
      <c r="H71" s="19">
        <f t="shared" si="7"/>
        <v>506</v>
      </c>
      <c r="I71" t="b">
        <f t="shared" si="4"/>
        <v>1</v>
      </c>
      <c r="J71" s="4">
        <f t="shared" si="5"/>
        <v>0.10373517786561259</v>
      </c>
      <c r="M71"/>
      <c r="O71" t="s">
        <v>165</v>
      </c>
      <c r="P71">
        <v>898</v>
      </c>
      <c r="Q71">
        <v>1192.75</v>
      </c>
    </row>
    <row r="72" spans="1:17" hidden="1">
      <c r="A72" t="s">
        <v>362</v>
      </c>
      <c r="B72" t="s">
        <v>363</v>
      </c>
      <c r="C72" s="28">
        <v>1036</v>
      </c>
      <c r="D72" s="19">
        <f t="shared" si="6"/>
        <v>34.533333333333331</v>
      </c>
      <c r="E72" s="5">
        <v>1801.37</v>
      </c>
      <c r="H72" s="19">
        <f t="shared" si="7"/>
        <v>2072</v>
      </c>
      <c r="I72" t="b">
        <f t="shared" si="4"/>
        <v>1</v>
      </c>
      <c r="J72" s="4">
        <f t="shared" si="5"/>
        <v>-0.13061293436293442</v>
      </c>
      <c r="M72"/>
      <c r="O72" t="s">
        <v>672</v>
      </c>
      <c r="P72">
        <v>866</v>
      </c>
      <c r="Q72">
        <v>951.69</v>
      </c>
    </row>
    <row r="73" spans="1:17" hidden="1">
      <c r="A73" t="s">
        <v>358</v>
      </c>
      <c r="B73" t="s">
        <v>359</v>
      </c>
      <c r="C73" s="28">
        <v>1054</v>
      </c>
      <c r="D73" s="19">
        <f t="shared" si="6"/>
        <v>35.133333333333333</v>
      </c>
      <c r="E73" s="5">
        <v>2405.59</v>
      </c>
      <c r="H73" s="19">
        <f t="shared" si="7"/>
        <v>2108</v>
      </c>
      <c r="I73" t="b">
        <f t="shared" si="4"/>
        <v>1</v>
      </c>
      <c r="J73" s="4">
        <f t="shared" si="5"/>
        <v>0.14117172675521839</v>
      </c>
      <c r="M73"/>
      <c r="O73" t="s">
        <v>175</v>
      </c>
      <c r="P73">
        <v>1675</v>
      </c>
      <c r="Q73">
        <v>3354.17</v>
      </c>
    </row>
    <row r="74" spans="1:17" hidden="1">
      <c r="A74" t="s">
        <v>655</v>
      </c>
      <c r="B74" t="s">
        <v>656</v>
      </c>
      <c r="C74" s="28">
        <v>238</v>
      </c>
      <c r="D74" s="19">
        <f t="shared" si="6"/>
        <v>7.9333333333333336</v>
      </c>
      <c r="E74" s="5">
        <v>484.89</v>
      </c>
      <c r="H74" s="19">
        <f t="shared" si="7"/>
        <v>476</v>
      </c>
      <c r="I74" t="b">
        <f t="shared" si="4"/>
        <v>1</v>
      </c>
      <c r="J74" s="4">
        <f t="shared" si="5"/>
        <v>1.8676470588235183E-2</v>
      </c>
      <c r="M74"/>
      <c r="O74" t="s">
        <v>749</v>
      </c>
      <c r="P74">
        <v>821</v>
      </c>
      <c r="Q74">
        <v>1269.99</v>
      </c>
    </row>
    <row r="75" spans="1:17" hidden="1">
      <c r="A75" t="s">
        <v>220</v>
      </c>
      <c r="B75" t="s">
        <v>221</v>
      </c>
      <c r="C75" s="28">
        <v>1813</v>
      </c>
      <c r="D75" s="19">
        <f t="shared" si="6"/>
        <v>60.43333333333333</v>
      </c>
      <c r="E75" s="5">
        <v>1517.72</v>
      </c>
      <c r="H75" s="19">
        <f t="shared" si="7"/>
        <v>3626</v>
      </c>
      <c r="I75" t="b">
        <f t="shared" si="4"/>
        <v>1</v>
      </c>
      <c r="J75" s="4">
        <f t="shared" si="5"/>
        <v>-0.58143408714837286</v>
      </c>
      <c r="M75"/>
      <c r="O75" t="s">
        <v>737</v>
      </c>
      <c r="P75">
        <v>472</v>
      </c>
      <c r="Q75">
        <v>962.02</v>
      </c>
    </row>
    <row r="76" spans="1:17" hidden="1">
      <c r="A76" s="54" t="s">
        <v>787</v>
      </c>
      <c r="B76" s="37" t="s">
        <v>788</v>
      </c>
      <c r="C76" s="28">
        <v>0</v>
      </c>
      <c r="D76" s="19">
        <f t="shared" si="6"/>
        <v>0</v>
      </c>
      <c r="E76" s="5">
        <v>0</v>
      </c>
      <c r="H76" s="19">
        <f t="shared" si="7"/>
        <v>0</v>
      </c>
      <c r="I76" t="b">
        <f t="shared" si="4"/>
        <v>1</v>
      </c>
      <c r="J76" s="4" t="e">
        <f t="shared" si="5"/>
        <v>#DIV/0!</v>
      </c>
      <c r="M76"/>
      <c r="O76" t="s">
        <v>760</v>
      </c>
      <c r="P76">
        <v>525</v>
      </c>
      <c r="Q76">
        <v>774.67</v>
      </c>
    </row>
    <row r="77" spans="1:17" hidden="1">
      <c r="A77" t="s">
        <v>809</v>
      </c>
      <c r="B77" t="s">
        <v>810</v>
      </c>
      <c r="C77" s="28">
        <v>0</v>
      </c>
      <c r="D77" s="19">
        <f t="shared" si="6"/>
        <v>0</v>
      </c>
      <c r="E77" s="5">
        <v>0</v>
      </c>
      <c r="H77" s="19">
        <f t="shared" si="7"/>
        <v>0</v>
      </c>
      <c r="I77" t="b">
        <f t="shared" si="4"/>
        <v>1</v>
      </c>
      <c r="J77" s="4" t="e">
        <f t="shared" si="5"/>
        <v>#DIV/0!</v>
      </c>
      <c r="M77"/>
      <c r="O77" t="s">
        <v>818</v>
      </c>
      <c r="P77">
        <v>901</v>
      </c>
      <c r="Q77">
        <v>1451.22</v>
      </c>
    </row>
    <row r="78" spans="1:17" hidden="1">
      <c r="A78" t="s">
        <v>71</v>
      </c>
      <c r="B78" t="s">
        <v>72</v>
      </c>
      <c r="C78" s="28">
        <v>5047</v>
      </c>
      <c r="D78" s="19">
        <f t="shared" si="6"/>
        <v>168.23333333333332</v>
      </c>
      <c r="E78" s="5">
        <v>5154.9799999999996</v>
      </c>
      <c r="H78" s="19">
        <f t="shared" si="7"/>
        <v>10094</v>
      </c>
      <c r="I78" t="b">
        <f t="shared" si="4"/>
        <v>1</v>
      </c>
      <c r="J78" s="4">
        <f t="shared" si="5"/>
        <v>-0.48930255597384587</v>
      </c>
      <c r="M78"/>
      <c r="O78" t="s">
        <v>190</v>
      </c>
      <c r="P78">
        <v>2428</v>
      </c>
      <c r="Q78">
        <v>2821.81</v>
      </c>
    </row>
    <row r="79" spans="1:17" hidden="1">
      <c r="A79" s="54" t="s">
        <v>273</v>
      </c>
      <c r="B79" s="37" t="s">
        <v>274</v>
      </c>
      <c r="C79" s="28">
        <v>1471</v>
      </c>
      <c r="D79" s="19">
        <f t="shared" si="6"/>
        <v>49.033333333333331</v>
      </c>
      <c r="E79" s="5">
        <v>3125.37</v>
      </c>
      <c r="H79" s="19">
        <f t="shared" si="7"/>
        <v>2942</v>
      </c>
      <c r="I79" t="b">
        <f t="shared" si="4"/>
        <v>1</v>
      </c>
      <c r="J79" s="4">
        <f t="shared" si="5"/>
        <v>6.2328348062542505E-2</v>
      </c>
      <c r="M79"/>
      <c r="O79" t="s">
        <v>629</v>
      </c>
      <c r="P79">
        <v>1476</v>
      </c>
      <c r="Q79">
        <v>1165.81</v>
      </c>
    </row>
    <row r="80" spans="1:17">
      <c r="A80" s="54" t="s">
        <v>511</v>
      </c>
      <c r="B80" s="37" t="s">
        <v>512</v>
      </c>
      <c r="C80" s="28">
        <v>609</v>
      </c>
      <c r="D80" s="19">
        <f t="shared" si="6"/>
        <v>20.3</v>
      </c>
      <c r="E80" s="5">
        <v>1517.49</v>
      </c>
      <c r="H80" s="19">
        <f t="shared" si="7"/>
        <v>1218</v>
      </c>
      <c r="I80" t="b">
        <f t="shared" si="4"/>
        <v>0</v>
      </c>
      <c r="J80" s="4">
        <f>E80/H80-1</f>
        <v>0.24588669950738917</v>
      </c>
      <c r="O80" t="s">
        <v>717</v>
      </c>
      <c r="P80">
        <v>978</v>
      </c>
      <c r="Q80">
        <v>871.95</v>
      </c>
    </row>
    <row r="81" spans="1:17" hidden="1">
      <c r="A81" s="54" t="s">
        <v>459</v>
      </c>
      <c r="B81" s="37" t="s">
        <v>460</v>
      </c>
      <c r="C81" s="19">
        <v>748</v>
      </c>
      <c r="D81" s="19">
        <f t="shared" si="6"/>
        <v>24.933333333333334</v>
      </c>
      <c r="E81" s="5">
        <v>1085.7</v>
      </c>
      <c r="H81" s="19">
        <f t="shared" si="7"/>
        <v>1496</v>
      </c>
      <c r="I81" t="b">
        <f t="shared" si="4"/>
        <v>1</v>
      </c>
      <c r="J81" s="4">
        <f t="shared" si="5"/>
        <v>-0.27426470588235297</v>
      </c>
      <c r="M81"/>
      <c r="O81" t="s">
        <v>458</v>
      </c>
      <c r="P81">
        <v>952</v>
      </c>
      <c r="Q81">
        <v>1464.03</v>
      </c>
    </row>
    <row r="82" spans="1:17" hidden="1">
      <c r="A82" s="55" t="s">
        <v>178</v>
      </c>
      <c r="B82" s="37" t="s">
        <v>179</v>
      </c>
      <c r="C82" s="28">
        <v>2252</v>
      </c>
      <c r="D82" s="19">
        <f t="shared" si="6"/>
        <v>75.066666666666663</v>
      </c>
      <c r="E82" s="5">
        <v>4340.08</v>
      </c>
      <c r="H82" s="19">
        <f t="shared" si="7"/>
        <v>4504</v>
      </c>
      <c r="I82" t="b">
        <f t="shared" si="4"/>
        <v>1</v>
      </c>
      <c r="J82" s="4">
        <f t="shared" si="5"/>
        <v>-3.6394316163410267E-2</v>
      </c>
      <c r="M82"/>
      <c r="O82" t="s">
        <v>247</v>
      </c>
      <c r="P82">
        <v>1631</v>
      </c>
      <c r="Q82">
        <v>994.98</v>
      </c>
    </row>
    <row r="83" spans="1:17" hidden="1">
      <c r="A83" t="s">
        <v>426</v>
      </c>
      <c r="B83" t="s">
        <v>427</v>
      </c>
      <c r="C83" s="28">
        <v>815</v>
      </c>
      <c r="D83" s="19">
        <f t="shared" si="6"/>
        <v>27.166666666666668</v>
      </c>
      <c r="E83" s="5">
        <v>1104.93</v>
      </c>
      <c r="H83" s="19">
        <f t="shared" si="7"/>
        <v>1630</v>
      </c>
      <c r="I83" t="b">
        <f t="shared" si="4"/>
        <v>1</v>
      </c>
      <c r="J83" s="4">
        <f t="shared" si="5"/>
        <v>-0.32212883435582818</v>
      </c>
      <c r="M83"/>
      <c r="O83" t="s">
        <v>729</v>
      </c>
      <c r="P83">
        <v>602</v>
      </c>
      <c r="Q83">
        <v>654.19000000000005</v>
      </c>
    </row>
    <row r="84" spans="1:17" hidden="1">
      <c r="A84" t="s">
        <v>521</v>
      </c>
      <c r="B84" t="s">
        <v>522</v>
      </c>
      <c r="C84" s="28">
        <v>571</v>
      </c>
      <c r="D84" s="19">
        <f t="shared" si="6"/>
        <v>19.033333333333335</v>
      </c>
      <c r="E84" s="5">
        <v>1300.3399999999999</v>
      </c>
      <c r="H84" s="19">
        <f t="shared" si="7"/>
        <v>1142</v>
      </c>
      <c r="I84" t="b">
        <f t="shared" si="4"/>
        <v>1</v>
      </c>
      <c r="J84" s="4">
        <f t="shared" si="5"/>
        <v>0.13865148861646226</v>
      </c>
      <c r="M84"/>
      <c r="O84" t="s">
        <v>524</v>
      </c>
      <c r="P84">
        <v>1231</v>
      </c>
      <c r="Q84">
        <v>2064.81</v>
      </c>
    </row>
    <row r="85" spans="1:17" hidden="1">
      <c r="A85" t="s">
        <v>234</v>
      </c>
      <c r="B85" t="s">
        <v>235</v>
      </c>
      <c r="C85" s="28">
        <v>1736</v>
      </c>
      <c r="D85" s="19">
        <f t="shared" si="6"/>
        <v>57.866666666666667</v>
      </c>
      <c r="E85" s="5">
        <v>696.69</v>
      </c>
      <c r="H85" s="19">
        <f t="shared" si="7"/>
        <v>3472</v>
      </c>
      <c r="I85" t="b">
        <f t="shared" si="4"/>
        <v>1</v>
      </c>
      <c r="J85" s="4">
        <f t="shared" si="5"/>
        <v>-0.79934043778801844</v>
      </c>
      <c r="M85"/>
      <c r="O85" t="s">
        <v>249</v>
      </c>
      <c r="P85">
        <v>1672</v>
      </c>
      <c r="Q85">
        <v>3182.12</v>
      </c>
    </row>
    <row r="86" spans="1:17" hidden="1">
      <c r="A86" t="s">
        <v>791</v>
      </c>
      <c r="B86" t="s">
        <v>792</v>
      </c>
      <c r="C86" s="28">
        <v>0</v>
      </c>
      <c r="D86" s="19">
        <f t="shared" si="6"/>
        <v>0</v>
      </c>
      <c r="E86" s="5">
        <v>0</v>
      </c>
      <c r="H86" s="19">
        <f t="shared" si="7"/>
        <v>0</v>
      </c>
      <c r="I86" t="b">
        <f t="shared" si="4"/>
        <v>1</v>
      </c>
      <c r="J86" s="4" t="e">
        <f t="shared" si="5"/>
        <v>#DIV/0!</v>
      </c>
      <c r="M86"/>
      <c r="O86" t="s">
        <v>530</v>
      </c>
      <c r="P86">
        <v>662</v>
      </c>
      <c r="Q86">
        <v>310.57</v>
      </c>
    </row>
    <row r="87" spans="1:17" hidden="1">
      <c r="A87" t="s">
        <v>423</v>
      </c>
      <c r="B87" t="s">
        <v>424</v>
      </c>
      <c r="C87" s="28">
        <v>818</v>
      </c>
      <c r="D87" s="19">
        <f t="shared" si="6"/>
        <v>27.266666666666666</v>
      </c>
      <c r="E87" s="5">
        <v>1112.03</v>
      </c>
      <c r="H87" s="19">
        <f t="shared" si="7"/>
        <v>1636</v>
      </c>
      <c r="I87" t="b">
        <f t="shared" si="4"/>
        <v>1</v>
      </c>
      <c r="J87" s="4">
        <f t="shared" si="5"/>
        <v>-0.32027506112469439</v>
      </c>
      <c r="M87"/>
      <c r="O87" t="s">
        <v>392</v>
      </c>
      <c r="P87">
        <v>423</v>
      </c>
      <c r="Q87">
        <v>765.94</v>
      </c>
    </row>
    <row r="88" spans="1:17" hidden="1">
      <c r="A88" s="54" t="s">
        <v>304</v>
      </c>
      <c r="B88" s="37" t="s">
        <v>305</v>
      </c>
      <c r="C88" s="28">
        <v>1272</v>
      </c>
      <c r="D88" s="19">
        <f t="shared" si="6"/>
        <v>42.4</v>
      </c>
      <c r="E88" s="5">
        <v>2328.4100000000003</v>
      </c>
      <c r="H88" s="19">
        <f t="shared" si="7"/>
        <v>2544</v>
      </c>
      <c r="I88" t="b">
        <f t="shared" si="4"/>
        <v>1</v>
      </c>
      <c r="J88" s="4">
        <f t="shared" si="5"/>
        <v>-8.4744496855345797E-2</v>
      </c>
      <c r="M88"/>
      <c r="O88" t="s">
        <v>703</v>
      </c>
      <c r="P88">
        <v>431</v>
      </c>
      <c r="Q88">
        <v>742.51</v>
      </c>
    </row>
    <row r="89" spans="1:17" hidden="1">
      <c r="A89" s="37" t="s">
        <v>252</v>
      </c>
      <c r="B89" s="37" t="s">
        <v>253</v>
      </c>
      <c r="C89" s="28">
        <v>1608</v>
      </c>
      <c r="D89" s="19">
        <f t="shared" si="6"/>
        <v>53.6</v>
      </c>
      <c r="E89" s="5">
        <v>2894.97</v>
      </c>
      <c r="H89" s="19">
        <f t="shared" si="7"/>
        <v>3216</v>
      </c>
      <c r="I89" t="b">
        <f t="shared" si="4"/>
        <v>1</v>
      </c>
      <c r="J89" s="4">
        <f t="shared" si="5"/>
        <v>-9.9822761194029885E-2</v>
      </c>
      <c r="M89"/>
      <c r="O89" t="s">
        <v>1514</v>
      </c>
      <c r="P89">
        <v>208</v>
      </c>
      <c r="Q89">
        <v>461.06</v>
      </c>
    </row>
    <row r="90" spans="1:17" hidden="1">
      <c r="A90" s="37" t="s">
        <v>252</v>
      </c>
      <c r="B90" s="37" t="s">
        <v>253</v>
      </c>
      <c r="C90" s="28">
        <v>1608</v>
      </c>
      <c r="D90" s="19">
        <f t="shared" si="6"/>
        <v>53.6</v>
      </c>
      <c r="E90" s="5">
        <v>2894.97</v>
      </c>
      <c r="H90" s="19">
        <f t="shared" si="7"/>
        <v>3216</v>
      </c>
      <c r="I90" t="b">
        <f t="shared" si="4"/>
        <v>1</v>
      </c>
      <c r="J90" s="4">
        <f t="shared" si="5"/>
        <v>-9.9822761194029885E-2</v>
      </c>
      <c r="M90"/>
      <c r="O90" t="s">
        <v>743</v>
      </c>
      <c r="P90">
        <v>427</v>
      </c>
      <c r="Q90">
        <v>594.62</v>
      </c>
    </row>
    <row r="91" spans="1:17" hidden="1">
      <c r="A91" t="s">
        <v>158</v>
      </c>
      <c r="B91" t="s">
        <v>159</v>
      </c>
      <c r="C91" s="28">
        <v>2410</v>
      </c>
      <c r="D91" s="19">
        <f t="shared" si="6"/>
        <v>80.333333333333329</v>
      </c>
      <c r="E91" s="5">
        <v>3586.03</v>
      </c>
      <c r="H91" s="19">
        <f t="shared" si="7"/>
        <v>4820</v>
      </c>
      <c r="I91" t="b">
        <f t="shared" si="4"/>
        <v>1</v>
      </c>
      <c r="J91" s="4">
        <f t="shared" si="5"/>
        <v>-0.25601037344398336</v>
      </c>
      <c r="M91"/>
      <c r="O91" t="s">
        <v>68</v>
      </c>
      <c r="P91">
        <v>6857</v>
      </c>
      <c r="Q91">
        <v>7319.16</v>
      </c>
    </row>
    <row r="92" spans="1:17" hidden="1">
      <c r="A92" t="s">
        <v>436</v>
      </c>
      <c r="B92" t="s">
        <v>437</v>
      </c>
      <c r="C92" s="28">
        <v>791</v>
      </c>
      <c r="D92" s="19">
        <f t="shared" si="6"/>
        <v>26.366666666666667</v>
      </c>
      <c r="E92" s="5">
        <v>670.99</v>
      </c>
      <c r="H92" s="19">
        <f t="shared" si="7"/>
        <v>1582</v>
      </c>
      <c r="I92" t="b">
        <f t="shared" si="4"/>
        <v>1</v>
      </c>
      <c r="J92" s="4">
        <f t="shared" si="5"/>
        <v>-0.5758596713021491</v>
      </c>
      <c r="M92"/>
      <c r="O92" t="s">
        <v>499</v>
      </c>
      <c r="P92">
        <v>1277</v>
      </c>
      <c r="Q92">
        <v>2567.0300000000002</v>
      </c>
    </row>
    <row r="93" spans="1:17" hidden="1">
      <c r="A93" t="s">
        <v>402</v>
      </c>
      <c r="B93" t="s">
        <v>403</v>
      </c>
      <c r="C93" s="28">
        <v>893</v>
      </c>
      <c r="D93" s="19">
        <f t="shared" si="6"/>
        <v>29.766666666666666</v>
      </c>
      <c r="E93" s="5">
        <v>1013.06</v>
      </c>
      <c r="H93" s="19">
        <f t="shared" si="7"/>
        <v>1786</v>
      </c>
      <c r="I93" t="b">
        <f t="shared" si="4"/>
        <v>1</v>
      </c>
      <c r="J93" s="4">
        <f t="shared" si="5"/>
        <v>-0.43277715565509522</v>
      </c>
      <c r="M93"/>
      <c r="O93" t="s">
        <v>420</v>
      </c>
      <c r="P93">
        <v>1046</v>
      </c>
      <c r="Q93">
        <v>905.93</v>
      </c>
    </row>
    <row r="94" spans="1:17" hidden="1">
      <c r="A94" s="54" t="s">
        <v>191</v>
      </c>
      <c r="B94" s="37" t="s">
        <v>192</v>
      </c>
      <c r="C94" s="28">
        <v>2080</v>
      </c>
      <c r="D94" s="19">
        <f t="shared" si="6"/>
        <v>69.333333333333329</v>
      </c>
      <c r="E94" s="5">
        <v>4815.33</v>
      </c>
      <c r="H94" s="19">
        <f t="shared" si="7"/>
        <v>4160</v>
      </c>
      <c r="I94" t="b">
        <f t="shared" si="4"/>
        <v>1</v>
      </c>
      <c r="J94" s="4">
        <f t="shared" si="5"/>
        <v>0.1575312499999999</v>
      </c>
      <c r="M94"/>
      <c r="O94" t="s">
        <v>725</v>
      </c>
      <c r="P94">
        <v>577</v>
      </c>
      <c r="Q94">
        <v>720.77</v>
      </c>
    </row>
    <row r="95" spans="1:17" hidden="1">
      <c r="A95" t="s">
        <v>419</v>
      </c>
      <c r="B95" t="s">
        <v>420</v>
      </c>
      <c r="C95" s="28">
        <v>820</v>
      </c>
      <c r="D95" s="19">
        <f t="shared" si="6"/>
        <v>27.333333333333332</v>
      </c>
      <c r="E95" s="5">
        <v>575.41999999999996</v>
      </c>
      <c r="H95" s="19">
        <f t="shared" si="7"/>
        <v>1640</v>
      </c>
      <c r="I95" t="b">
        <f t="shared" si="4"/>
        <v>1</v>
      </c>
      <c r="J95" s="4">
        <f t="shared" si="5"/>
        <v>-0.64913414634146349</v>
      </c>
      <c r="M95"/>
      <c r="O95" t="s">
        <v>751</v>
      </c>
      <c r="P95">
        <v>576</v>
      </c>
      <c r="Q95">
        <v>686.87</v>
      </c>
    </row>
    <row r="96" spans="1:17" hidden="1">
      <c r="A96" s="54" t="s">
        <v>542</v>
      </c>
      <c r="B96" s="37" t="s">
        <v>543</v>
      </c>
      <c r="C96" s="28">
        <v>507</v>
      </c>
      <c r="D96" s="19">
        <f t="shared" si="6"/>
        <v>16.899999999999999</v>
      </c>
      <c r="E96" s="5">
        <v>1084.56</v>
      </c>
      <c r="H96" s="19">
        <f t="shared" si="7"/>
        <v>1014</v>
      </c>
      <c r="I96" t="b">
        <f t="shared" si="4"/>
        <v>1</v>
      </c>
      <c r="J96" s="4">
        <f t="shared" si="5"/>
        <v>6.9585798816568012E-2</v>
      </c>
      <c r="M96"/>
      <c r="O96" t="s">
        <v>719</v>
      </c>
      <c r="P96">
        <v>752</v>
      </c>
      <c r="Q96">
        <v>616.62</v>
      </c>
    </row>
    <row r="97" spans="1:17" hidden="1">
      <c r="A97" s="54" t="s">
        <v>404</v>
      </c>
      <c r="B97" s="37" t="s">
        <v>405</v>
      </c>
      <c r="C97" s="28">
        <v>889</v>
      </c>
      <c r="D97" s="19">
        <f t="shared" si="6"/>
        <v>29.633333333333333</v>
      </c>
      <c r="E97" s="5">
        <v>1292.8599999999999</v>
      </c>
      <c r="H97" s="19">
        <f t="shared" si="7"/>
        <v>1778</v>
      </c>
      <c r="I97" t="b">
        <f t="shared" si="4"/>
        <v>1</v>
      </c>
      <c r="J97" s="4">
        <f t="shared" si="5"/>
        <v>-0.27285714285714291</v>
      </c>
      <c r="M97"/>
      <c r="O97" t="s">
        <v>609</v>
      </c>
      <c r="P97">
        <v>613</v>
      </c>
      <c r="Q97">
        <v>1513.71</v>
      </c>
    </row>
    <row r="98" spans="1:17" hidden="1">
      <c r="A98" t="s">
        <v>496</v>
      </c>
      <c r="B98" t="s">
        <v>497</v>
      </c>
      <c r="C98" s="28">
        <v>659</v>
      </c>
      <c r="D98" s="19">
        <f t="shared" si="6"/>
        <v>21.966666666666665</v>
      </c>
      <c r="E98" s="5">
        <v>1465.13</v>
      </c>
      <c r="H98" s="19">
        <f t="shared" si="7"/>
        <v>1318</v>
      </c>
      <c r="I98" t="b">
        <f t="shared" si="4"/>
        <v>1</v>
      </c>
      <c r="J98" s="4">
        <f t="shared" si="5"/>
        <v>0.11163125948406694</v>
      </c>
      <c r="M98"/>
      <c r="O98" t="s">
        <v>307</v>
      </c>
      <c r="P98">
        <v>1880</v>
      </c>
      <c r="Q98">
        <v>3516.22</v>
      </c>
    </row>
    <row r="99" spans="1:17" hidden="1">
      <c r="A99" t="s">
        <v>300</v>
      </c>
      <c r="B99" t="s">
        <v>301</v>
      </c>
      <c r="C99" s="28">
        <v>1298</v>
      </c>
      <c r="D99" s="19">
        <f t="shared" si="6"/>
        <v>43.266666666666666</v>
      </c>
      <c r="E99" s="5">
        <v>872.8</v>
      </c>
      <c r="H99" s="19">
        <f t="shared" si="7"/>
        <v>2596</v>
      </c>
      <c r="I99" t="b">
        <f t="shared" si="4"/>
        <v>1</v>
      </c>
      <c r="J99" s="4">
        <f t="shared" si="5"/>
        <v>-0.66379044684129429</v>
      </c>
      <c r="M99"/>
      <c r="O99" t="s">
        <v>804</v>
      </c>
      <c r="P99">
        <v>513</v>
      </c>
      <c r="Q99">
        <v>883.21</v>
      </c>
    </row>
    <row r="100" spans="1:17" hidden="1">
      <c r="A100" t="s">
        <v>805</v>
      </c>
      <c r="B100" t="s">
        <v>806</v>
      </c>
      <c r="C100" s="28">
        <v>0</v>
      </c>
      <c r="D100" s="19">
        <f t="shared" si="6"/>
        <v>0</v>
      </c>
      <c r="E100" s="5">
        <v>0</v>
      </c>
      <c r="H100" s="19">
        <f t="shared" si="7"/>
        <v>0</v>
      </c>
      <c r="I100" t="b">
        <f t="shared" si="4"/>
        <v>1</v>
      </c>
      <c r="J100" s="4" t="e">
        <f t="shared" si="5"/>
        <v>#DIV/0!</v>
      </c>
      <c r="M100"/>
      <c r="O100" t="s">
        <v>778</v>
      </c>
      <c r="P100">
        <v>196</v>
      </c>
      <c r="Q100">
        <v>537.36</v>
      </c>
    </row>
    <row r="101" spans="1:17" hidden="1">
      <c r="A101" s="37" t="s">
        <v>267</v>
      </c>
      <c r="B101" s="37" t="s">
        <v>268</v>
      </c>
      <c r="C101" s="28">
        <v>1526</v>
      </c>
      <c r="D101" s="19">
        <f t="shared" si="6"/>
        <v>50.866666666666667</v>
      </c>
      <c r="E101" s="5">
        <v>1486.11</v>
      </c>
      <c r="H101" s="19">
        <f t="shared" si="7"/>
        <v>3052</v>
      </c>
      <c r="I101" t="b">
        <f t="shared" si="4"/>
        <v>1</v>
      </c>
      <c r="J101" s="4">
        <f t="shared" si="5"/>
        <v>-0.51307011795543911</v>
      </c>
      <c r="M101"/>
      <c r="O101" t="s">
        <v>802</v>
      </c>
      <c r="P101">
        <v>707</v>
      </c>
      <c r="Q101">
        <v>1007.87</v>
      </c>
    </row>
    <row r="102" spans="1:17" hidden="1">
      <c r="A102" s="54" t="s">
        <v>376</v>
      </c>
      <c r="B102" s="37" t="s">
        <v>377</v>
      </c>
      <c r="C102" s="28">
        <v>963</v>
      </c>
      <c r="D102" s="19">
        <f t="shared" si="6"/>
        <v>32.1</v>
      </c>
      <c r="E102" s="5">
        <v>1872.64</v>
      </c>
      <c r="H102" s="19">
        <f t="shared" si="7"/>
        <v>1926</v>
      </c>
      <c r="I102" t="b">
        <f t="shared" si="4"/>
        <v>1</v>
      </c>
      <c r="J102" s="4">
        <f t="shared" si="5"/>
        <v>-2.7705088265835842E-2</v>
      </c>
      <c r="M102"/>
      <c r="O102" t="s">
        <v>452</v>
      </c>
      <c r="P102">
        <v>1594</v>
      </c>
      <c r="Q102">
        <v>209.91</v>
      </c>
    </row>
    <row r="103" spans="1:17" hidden="1">
      <c r="A103" t="s">
        <v>815</v>
      </c>
      <c r="B103" t="s">
        <v>816</v>
      </c>
      <c r="C103" s="28">
        <v>0</v>
      </c>
      <c r="D103" s="19">
        <f t="shared" si="6"/>
        <v>0</v>
      </c>
      <c r="E103" s="5">
        <v>0</v>
      </c>
      <c r="H103" s="19">
        <f t="shared" si="7"/>
        <v>0</v>
      </c>
      <c r="I103" t="b">
        <f t="shared" si="4"/>
        <v>1</v>
      </c>
      <c r="J103" s="4" t="e">
        <f t="shared" si="5"/>
        <v>#DIV/0!</v>
      </c>
      <c r="M103"/>
      <c r="O103" t="s">
        <v>297</v>
      </c>
      <c r="P103">
        <v>2511</v>
      </c>
      <c r="Q103">
        <v>2473.92</v>
      </c>
    </row>
    <row r="104" spans="1:17" hidden="1">
      <c r="A104" t="s">
        <v>343</v>
      </c>
      <c r="B104" t="s">
        <v>344</v>
      </c>
      <c r="C104" s="28">
        <v>1099</v>
      </c>
      <c r="D104" s="19">
        <f t="shared" si="6"/>
        <v>36.633333333333333</v>
      </c>
      <c r="E104" s="5">
        <v>592.96</v>
      </c>
      <c r="H104" s="19">
        <f t="shared" si="7"/>
        <v>2198</v>
      </c>
      <c r="I104" t="b">
        <f t="shared" si="4"/>
        <v>1</v>
      </c>
      <c r="J104" s="4">
        <f t="shared" si="5"/>
        <v>-0.73022747952684264</v>
      </c>
      <c r="M104"/>
      <c r="O104" t="s">
        <v>429</v>
      </c>
      <c r="P104">
        <v>1114</v>
      </c>
      <c r="Q104">
        <v>1550.98</v>
      </c>
    </row>
    <row r="105" spans="1:17" hidden="1">
      <c r="A105" t="s">
        <v>118</v>
      </c>
      <c r="B105" t="s">
        <v>119</v>
      </c>
      <c r="C105" s="28">
        <v>2931</v>
      </c>
      <c r="D105" s="19">
        <f t="shared" si="6"/>
        <v>97.7</v>
      </c>
      <c r="E105" s="5">
        <v>4160.45</v>
      </c>
      <c r="H105" s="19">
        <f t="shared" si="7"/>
        <v>5862</v>
      </c>
      <c r="I105" t="b">
        <f t="shared" si="4"/>
        <v>1</v>
      </c>
      <c r="J105" s="4">
        <f t="shared" si="5"/>
        <v>-0.29026782668031392</v>
      </c>
      <c r="M105"/>
      <c r="O105" t="s">
        <v>644</v>
      </c>
      <c r="P105">
        <v>950</v>
      </c>
      <c r="Q105">
        <v>648.47</v>
      </c>
    </row>
    <row r="106" spans="1:17">
      <c r="A106" t="s">
        <v>757</v>
      </c>
      <c r="B106" t="s">
        <v>758</v>
      </c>
      <c r="C106" s="28">
        <v>31</v>
      </c>
      <c r="D106" s="19">
        <f t="shared" si="6"/>
        <v>1.0333333333333334</v>
      </c>
      <c r="E106" s="5">
        <v>78.61</v>
      </c>
      <c r="H106" s="19">
        <f t="shared" si="7"/>
        <v>62</v>
      </c>
      <c r="I106" t="b">
        <f t="shared" si="4"/>
        <v>0</v>
      </c>
      <c r="J106" s="4">
        <f t="shared" si="5"/>
        <v>0.26790322580645154</v>
      </c>
      <c r="M106"/>
      <c r="O106" t="s">
        <v>745</v>
      </c>
      <c r="P106">
        <v>756</v>
      </c>
      <c r="Q106">
        <v>555.17999999999995</v>
      </c>
    </row>
    <row r="107" spans="1:17" hidden="1">
      <c r="A107" t="s">
        <v>479</v>
      </c>
      <c r="B107" t="s">
        <v>480</v>
      </c>
      <c r="C107" s="28">
        <v>701</v>
      </c>
      <c r="D107" s="19">
        <f t="shared" si="6"/>
        <v>23.366666666666667</v>
      </c>
      <c r="E107" s="5">
        <v>619.48</v>
      </c>
      <c r="H107" s="19">
        <f t="shared" si="7"/>
        <v>1402</v>
      </c>
      <c r="I107" t="b">
        <f t="shared" si="4"/>
        <v>1</v>
      </c>
      <c r="J107" s="4">
        <f t="shared" si="5"/>
        <v>-0.55814550641940086</v>
      </c>
      <c r="M107"/>
      <c r="O107" t="s">
        <v>814</v>
      </c>
      <c r="P107">
        <v>535</v>
      </c>
      <c r="Q107">
        <v>654.45000000000005</v>
      </c>
    </row>
    <row r="108" spans="1:17" hidden="1">
      <c r="A108" t="s">
        <v>214</v>
      </c>
      <c r="B108" t="s">
        <v>215</v>
      </c>
      <c r="C108" s="28">
        <v>1862</v>
      </c>
      <c r="D108" s="19">
        <f t="shared" si="6"/>
        <v>62.06666666666667</v>
      </c>
      <c r="E108" s="5">
        <v>1500.37</v>
      </c>
      <c r="H108" s="19">
        <f t="shared" si="7"/>
        <v>3724</v>
      </c>
      <c r="I108" t="b">
        <f t="shared" si="4"/>
        <v>1</v>
      </c>
      <c r="J108" s="4">
        <f t="shared" si="5"/>
        <v>-0.59710794844253501</v>
      </c>
      <c r="M108"/>
      <c r="O108" t="s">
        <v>117</v>
      </c>
      <c r="P108">
        <v>1992</v>
      </c>
      <c r="Q108">
        <v>2894.27</v>
      </c>
    </row>
    <row r="109" spans="1:17" hidden="1">
      <c r="A109" s="54" t="s">
        <v>256</v>
      </c>
      <c r="B109" s="37" t="s">
        <v>257</v>
      </c>
      <c r="C109" s="19">
        <v>1600</v>
      </c>
      <c r="D109" s="19">
        <f t="shared" si="6"/>
        <v>53.333333333333336</v>
      </c>
      <c r="E109" s="5">
        <v>3018.95</v>
      </c>
      <c r="H109" s="19">
        <f t="shared" si="7"/>
        <v>3200</v>
      </c>
      <c r="I109" t="b">
        <f t="shared" si="4"/>
        <v>1</v>
      </c>
      <c r="J109" s="4">
        <f t="shared" si="5"/>
        <v>-5.6578125000000035E-2</v>
      </c>
      <c r="O109" t="s">
        <v>569</v>
      </c>
      <c r="P109">
        <v>910</v>
      </c>
      <c r="Q109">
        <v>725.37</v>
      </c>
    </row>
    <row r="110" spans="1:17" hidden="1">
      <c r="A110" t="s">
        <v>801</v>
      </c>
      <c r="B110" t="s">
        <v>802</v>
      </c>
      <c r="C110" s="28">
        <v>0</v>
      </c>
      <c r="D110" s="19">
        <f t="shared" si="6"/>
        <v>0</v>
      </c>
      <c r="E110" s="5">
        <v>0</v>
      </c>
      <c r="H110" s="19">
        <f t="shared" si="7"/>
        <v>0</v>
      </c>
      <c r="I110" t="b">
        <f t="shared" si="4"/>
        <v>1</v>
      </c>
      <c r="J110" s="4" t="e">
        <f t="shared" si="5"/>
        <v>#DIV/0!</v>
      </c>
      <c r="M110"/>
      <c r="O110" t="s">
        <v>693</v>
      </c>
      <c r="P110">
        <v>991</v>
      </c>
      <c r="Q110">
        <v>1487.32</v>
      </c>
    </row>
    <row r="111" spans="1:17" hidden="1">
      <c r="A111" t="s">
        <v>391</v>
      </c>
      <c r="B111" t="s">
        <v>392</v>
      </c>
      <c r="C111" s="28">
        <v>908</v>
      </c>
      <c r="D111" s="19">
        <f t="shared" si="6"/>
        <v>30.266666666666666</v>
      </c>
      <c r="E111" s="5">
        <v>1794.35</v>
      </c>
      <c r="H111" s="19">
        <f t="shared" si="7"/>
        <v>1816</v>
      </c>
      <c r="I111" t="b">
        <f t="shared" si="4"/>
        <v>1</v>
      </c>
      <c r="J111" s="4">
        <f t="shared" si="5"/>
        <v>-1.1921806167400906E-2</v>
      </c>
      <c r="M111"/>
      <c r="O111" t="s">
        <v>355</v>
      </c>
      <c r="P111">
        <v>1070</v>
      </c>
      <c r="Q111">
        <v>1533.49</v>
      </c>
    </row>
    <row r="112" spans="1:17" hidden="1">
      <c r="A112" t="s">
        <v>667</v>
      </c>
      <c r="B112" t="s">
        <v>668</v>
      </c>
      <c r="C112" s="28">
        <v>191</v>
      </c>
      <c r="D112" s="19">
        <f t="shared" si="6"/>
        <v>6.3666666666666663</v>
      </c>
      <c r="E112" s="5">
        <v>0</v>
      </c>
      <c r="H112" s="19">
        <f t="shared" si="7"/>
        <v>382</v>
      </c>
      <c r="I112" t="b">
        <f t="shared" si="4"/>
        <v>1</v>
      </c>
      <c r="J112" s="4">
        <f t="shared" si="5"/>
        <v>-1</v>
      </c>
      <c r="M112"/>
      <c r="O112" t="s">
        <v>794</v>
      </c>
      <c r="P112">
        <v>269</v>
      </c>
      <c r="Q112">
        <v>387.38</v>
      </c>
    </row>
    <row r="113" spans="1:17" hidden="1">
      <c r="A113" t="s">
        <v>319</v>
      </c>
      <c r="B113" t="s">
        <v>320</v>
      </c>
      <c r="C113" s="28">
        <v>1184</v>
      </c>
      <c r="D113" s="19">
        <f t="shared" si="6"/>
        <v>39.466666666666669</v>
      </c>
      <c r="E113" s="5">
        <v>973.08</v>
      </c>
      <c r="H113" s="19">
        <f t="shared" si="7"/>
        <v>2368</v>
      </c>
      <c r="I113" t="b">
        <f t="shared" si="4"/>
        <v>1</v>
      </c>
      <c r="J113" s="4">
        <f t="shared" si="5"/>
        <v>-0.589070945945946</v>
      </c>
      <c r="M113"/>
      <c r="O113" t="s">
        <v>589</v>
      </c>
      <c r="P113">
        <v>366</v>
      </c>
      <c r="Q113">
        <v>652.61</v>
      </c>
    </row>
    <row r="114" spans="1:17" hidden="1">
      <c r="A114" s="55" t="s">
        <v>378</v>
      </c>
      <c r="B114" s="37" t="s">
        <v>379</v>
      </c>
      <c r="C114" s="28">
        <v>953</v>
      </c>
      <c r="D114" s="19">
        <f t="shared" si="6"/>
        <v>31.766666666666666</v>
      </c>
      <c r="E114" s="5">
        <v>2072.29</v>
      </c>
      <c r="H114" s="19">
        <f t="shared" si="7"/>
        <v>1906</v>
      </c>
      <c r="I114" t="b">
        <f t="shared" si="4"/>
        <v>1</v>
      </c>
      <c r="J114" s="4">
        <f t="shared" si="5"/>
        <v>8.7245540398740884E-2</v>
      </c>
      <c r="M114"/>
      <c r="O114" t="s">
        <v>215</v>
      </c>
      <c r="P114">
        <v>2113</v>
      </c>
      <c r="Q114">
        <v>2307.63</v>
      </c>
    </row>
    <row r="115" spans="1:17" hidden="1">
      <c r="A115" t="s">
        <v>544</v>
      </c>
      <c r="B115" t="s">
        <v>545</v>
      </c>
      <c r="C115" s="28">
        <v>503</v>
      </c>
      <c r="D115" s="19">
        <f t="shared" si="6"/>
        <v>16.766666666666666</v>
      </c>
      <c r="E115" s="5">
        <v>568.49</v>
      </c>
      <c r="H115" s="19">
        <f t="shared" si="7"/>
        <v>1006</v>
      </c>
      <c r="I115" t="b">
        <f t="shared" si="4"/>
        <v>1</v>
      </c>
      <c r="J115" s="4">
        <f t="shared" si="5"/>
        <v>-0.43490059642147116</v>
      </c>
      <c r="M115"/>
      <c r="O115" t="s">
        <v>301</v>
      </c>
      <c r="P115">
        <v>1161</v>
      </c>
      <c r="Q115">
        <v>883.15</v>
      </c>
    </row>
    <row r="116" spans="1:17" hidden="1">
      <c r="A116" t="s">
        <v>449</v>
      </c>
      <c r="B116" t="s">
        <v>450</v>
      </c>
      <c r="C116" s="28">
        <v>760</v>
      </c>
      <c r="D116" s="19">
        <f t="shared" si="6"/>
        <v>25.333333333333332</v>
      </c>
      <c r="E116" s="5">
        <v>1522.27</v>
      </c>
      <c r="H116" s="19">
        <f t="shared" si="7"/>
        <v>1520</v>
      </c>
      <c r="I116" t="b">
        <f t="shared" si="4"/>
        <v>1</v>
      </c>
      <c r="J116" s="4">
        <f t="shared" si="5"/>
        <v>1.4934210526316161E-3</v>
      </c>
      <c r="M116"/>
      <c r="O116" t="s">
        <v>670</v>
      </c>
      <c r="P116">
        <v>690</v>
      </c>
      <c r="Q116">
        <v>545.20000000000005</v>
      </c>
    </row>
    <row r="117" spans="1:17" hidden="1">
      <c r="A117" s="54" t="s">
        <v>282</v>
      </c>
      <c r="B117" s="37" t="s">
        <v>283</v>
      </c>
      <c r="C117" s="28">
        <v>1434</v>
      </c>
      <c r="D117" s="19">
        <f t="shared" si="6"/>
        <v>47.8</v>
      </c>
      <c r="E117" s="5">
        <v>1884.57</v>
      </c>
      <c r="H117" s="19">
        <f t="shared" si="7"/>
        <v>2868</v>
      </c>
      <c r="I117" t="b">
        <f t="shared" si="4"/>
        <v>1</v>
      </c>
      <c r="J117" s="4">
        <f t="shared" si="5"/>
        <v>-0.34289748953974897</v>
      </c>
      <c r="M117"/>
      <c r="O117" t="s">
        <v>424</v>
      </c>
      <c r="P117">
        <v>1115</v>
      </c>
      <c r="Q117">
        <v>2200.4899999999998</v>
      </c>
    </row>
    <row r="118" spans="1:17" hidden="1">
      <c r="A118" t="s">
        <v>195</v>
      </c>
      <c r="B118" t="s">
        <v>196</v>
      </c>
      <c r="C118" s="28">
        <v>2007</v>
      </c>
      <c r="D118" s="19">
        <f t="shared" si="6"/>
        <v>66.900000000000006</v>
      </c>
      <c r="E118" s="5">
        <v>2982.77</v>
      </c>
      <c r="H118" s="19">
        <f t="shared" si="7"/>
        <v>4014</v>
      </c>
      <c r="I118" t="b">
        <f t="shared" si="4"/>
        <v>1</v>
      </c>
      <c r="J118" s="4">
        <f t="shared" si="5"/>
        <v>-0.25690832087693072</v>
      </c>
      <c r="M118"/>
      <c r="O118" t="s">
        <v>598</v>
      </c>
      <c r="P118">
        <v>1273</v>
      </c>
      <c r="Q118">
        <v>1409.27</v>
      </c>
    </row>
    <row r="119" spans="1:17" hidden="1">
      <c r="A119" s="37" t="s">
        <v>582</v>
      </c>
      <c r="B119" s="37" t="s">
        <v>583</v>
      </c>
      <c r="C119" s="28">
        <v>390</v>
      </c>
      <c r="D119" s="19">
        <f t="shared" si="6"/>
        <v>13</v>
      </c>
      <c r="E119" s="5">
        <v>355.31</v>
      </c>
      <c r="H119" s="19">
        <f t="shared" si="7"/>
        <v>780</v>
      </c>
      <c r="I119" t="b">
        <f t="shared" si="4"/>
        <v>1</v>
      </c>
      <c r="J119" s="4">
        <f t="shared" si="5"/>
        <v>-0.54447435897435903</v>
      </c>
      <c r="M119"/>
      <c r="O119" t="s">
        <v>416</v>
      </c>
      <c r="P119">
        <v>1003</v>
      </c>
      <c r="Q119">
        <v>2186.44</v>
      </c>
    </row>
    <row r="120" spans="1:17">
      <c r="A120" t="s">
        <v>673</v>
      </c>
      <c r="B120" t="s">
        <v>674</v>
      </c>
      <c r="C120" s="28">
        <v>181</v>
      </c>
      <c r="D120" s="19">
        <f t="shared" si="6"/>
        <v>6.0333333333333332</v>
      </c>
      <c r="E120" s="5">
        <v>666.94</v>
      </c>
      <c r="H120" s="19">
        <f t="shared" si="7"/>
        <v>362</v>
      </c>
      <c r="I120" t="b">
        <f t="shared" si="4"/>
        <v>0</v>
      </c>
      <c r="J120" s="4">
        <f t="shared" si="5"/>
        <v>0.84237569060773487</v>
      </c>
      <c r="M120"/>
      <c r="O120" t="s">
        <v>699</v>
      </c>
      <c r="P120">
        <v>425</v>
      </c>
      <c r="Q120">
        <v>530.95000000000005</v>
      </c>
    </row>
    <row r="121" spans="1:17" hidden="1">
      <c r="A121" t="s">
        <v>517</v>
      </c>
      <c r="B121" t="s">
        <v>518</v>
      </c>
      <c r="C121" s="28">
        <v>594</v>
      </c>
      <c r="D121" s="19">
        <f t="shared" si="6"/>
        <v>19.8</v>
      </c>
      <c r="E121" s="5">
        <v>310.83999999999997</v>
      </c>
      <c r="H121" s="19">
        <f t="shared" si="7"/>
        <v>1188</v>
      </c>
      <c r="I121" t="b">
        <f t="shared" si="4"/>
        <v>1</v>
      </c>
      <c r="J121" s="4">
        <f t="shared" si="5"/>
        <v>-0.73835016835016831</v>
      </c>
      <c r="M121"/>
      <c r="O121" t="s">
        <v>774</v>
      </c>
      <c r="P121">
        <v>457</v>
      </c>
      <c r="Q121">
        <v>280.43</v>
      </c>
    </row>
    <row r="122" spans="1:17" hidden="1">
      <c r="A122" t="s">
        <v>527</v>
      </c>
      <c r="B122" t="s">
        <v>528</v>
      </c>
      <c r="C122" s="28">
        <v>544</v>
      </c>
      <c r="D122" s="19">
        <f t="shared" si="6"/>
        <v>18.133333333333333</v>
      </c>
      <c r="E122" s="5">
        <v>327.7</v>
      </c>
      <c r="H122" s="19">
        <f t="shared" si="7"/>
        <v>1088</v>
      </c>
      <c r="I122" t="b">
        <f t="shared" si="4"/>
        <v>1</v>
      </c>
      <c r="J122" s="4">
        <f t="shared" si="5"/>
        <v>-0.69880514705882346</v>
      </c>
      <c r="M122"/>
      <c r="O122" t="s">
        <v>800</v>
      </c>
      <c r="P122">
        <v>396</v>
      </c>
      <c r="Q122">
        <v>403.81</v>
      </c>
    </row>
    <row r="123" spans="1:17" hidden="1">
      <c r="A123" t="s">
        <v>156</v>
      </c>
      <c r="B123" t="s">
        <v>157</v>
      </c>
      <c r="C123" s="28">
        <v>2415</v>
      </c>
      <c r="D123" s="19">
        <f t="shared" si="6"/>
        <v>80.5</v>
      </c>
      <c r="E123" s="5">
        <v>2131.06</v>
      </c>
      <c r="H123" s="19">
        <f t="shared" si="7"/>
        <v>4830</v>
      </c>
      <c r="I123" t="b">
        <f t="shared" si="4"/>
        <v>1</v>
      </c>
      <c r="J123" s="4">
        <f t="shared" si="5"/>
        <v>-0.5587867494824017</v>
      </c>
      <c r="M123"/>
      <c r="O123" t="s">
        <v>723</v>
      </c>
      <c r="P123">
        <v>374</v>
      </c>
      <c r="Q123">
        <v>329.94</v>
      </c>
    </row>
    <row r="124" spans="1:17" hidden="1">
      <c r="A124" t="s">
        <v>321</v>
      </c>
      <c r="B124" t="s">
        <v>322</v>
      </c>
      <c r="C124" s="28">
        <v>1176</v>
      </c>
      <c r="D124" s="19">
        <f t="shared" si="6"/>
        <v>39.200000000000003</v>
      </c>
      <c r="E124" s="5">
        <v>2262.2800000000002</v>
      </c>
      <c r="H124" s="19">
        <f t="shared" si="7"/>
        <v>2352</v>
      </c>
      <c r="I124" t="b">
        <f t="shared" si="4"/>
        <v>1</v>
      </c>
      <c r="J124" s="4">
        <f t="shared" si="5"/>
        <v>-3.8146258503401254E-2</v>
      </c>
      <c r="M124"/>
      <c r="O124" t="s">
        <v>318</v>
      </c>
      <c r="P124">
        <v>2024</v>
      </c>
      <c r="Q124">
        <v>4886.3999999999996</v>
      </c>
    </row>
    <row r="125" spans="1:17" hidden="1">
      <c r="A125" t="s">
        <v>498</v>
      </c>
      <c r="B125" t="s">
        <v>499</v>
      </c>
      <c r="C125" s="28">
        <v>653</v>
      </c>
      <c r="D125" s="19">
        <f t="shared" si="6"/>
        <v>21.766666666666666</v>
      </c>
      <c r="E125" s="5">
        <v>857.5</v>
      </c>
      <c r="H125" s="19">
        <f t="shared" si="7"/>
        <v>1306</v>
      </c>
      <c r="I125" t="b">
        <f t="shared" si="4"/>
        <v>1</v>
      </c>
      <c r="J125" s="4">
        <f t="shared" si="5"/>
        <v>-0.34341500765696786</v>
      </c>
      <c r="M125"/>
      <c r="O125" t="s">
        <v>806</v>
      </c>
      <c r="P125">
        <v>444</v>
      </c>
      <c r="Q125">
        <v>278.83</v>
      </c>
    </row>
    <row r="126" spans="1:17">
      <c r="A126" s="54" t="s">
        <v>481</v>
      </c>
      <c r="B126" s="37" t="s">
        <v>482</v>
      </c>
      <c r="C126" s="28">
        <v>691</v>
      </c>
      <c r="D126" s="19">
        <f t="shared" si="6"/>
        <v>23.033333333333335</v>
      </c>
      <c r="E126" s="5">
        <v>2079.58</v>
      </c>
      <c r="H126" s="19">
        <f t="shared" si="7"/>
        <v>1382</v>
      </c>
      <c r="I126" t="b">
        <f t="shared" si="4"/>
        <v>0</v>
      </c>
      <c r="J126" s="4">
        <f t="shared" si="5"/>
        <v>0.50476121562952248</v>
      </c>
      <c r="M126"/>
      <c r="O126" t="s">
        <v>747</v>
      </c>
      <c r="P126">
        <v>384</v>
      </c>
      <c r="Q126">
        <v>284.83</v>
      </c>
    </row>
    <row r="127" spans="1:17" hidden="1">
      <c r="A127" t="s">
        <v>533</v>
      </c>
      <c r="B127" t="s">
        <v>534</v>
      </c>
      <c r="C127" s="28">
        <v>533</v>
      </c>
      <c r="D127" s="19">
        <f t="shared" si="6"/>
        <v>17.766666666666666</v>
      </c>
      <c r="E127" s="5">
        <v>0</v>
      </c>
      <c r="H127" s="19">
        <f t="shared" si="7"/>
        <v>1066</v>
      </c>
      <c r="I127" t="b">
        <f t="shared" si="4"/>
        <v>1</v>
      </c>
      <c r="J127" s="4">
        <f>E127/H127-1</f>
        <v>-1</v>
      </c>
      <c r="M127"/>
      <c r="O127" t="s">
        <v>157</v>
      </c>
      <c r="P127">
        <v>4667</v>
      </c>
      <c r="Q127">
        <v>10317.379999999999</v>
      </c>
    </row>
    <row r="128" spans="1:17" hidden="1">
      <c r="A128" s="55" t="s">
        <v>345</v>
      </c>
      <c r="B128" s="37" t="s">
        <v>346</v>
      </c>
      <c r="C128" s="28">
        <v>1096</v>
      </c>
      <c r="D128" s="19">
        <f t="shared" si="6"/>
        <v>36.533333333333331</v>
      </c>
      <c r="E128" s="5">
        <v>2417.54</v>
      </c>
      <c r="H128" s="19">
        <f t="shared" si="7"/>
        <v>2192</v>
      </c>
      <c r="I128" t="b">
        <f t="shared" si="4"/>
        <v>1</v>
      </c>
      <c r="J128" s="4">
        <f t="shared" si="5"/>
        <v>0.10289233576642332</v>
      </c>
      <c r="M128"/>
      <c r="O128" t="s">
        <v>167</v>
      </c>
      <c r="P128">
        <v>2577</v>
      </c>
      <c r="Q128">
        <v>5023.1499999999996</v>
      </c>
    </row>
    <row r="129" spans="1:17" hidden="1">
      <c r="A129" t="s">
        <v>597</v>
      </c>
      <c r="B129" t="s">
        <v>598</v>
      </c>
      <c r="C129" s="28">
        <v>371</v>
      </c>
      <c r="D129" s="19">
        <f t="shared" si="6"/>
        <v>12.366666666666667</v>
      </c>
      <c r="E129" s="5">
        <v>516.28</v>
      </c>
      <c r="H129" s="19">
        <f t="shared" si="7"/>
        <v>742</v>
      </c>
      <c r="I129" t="b">
        <f t="shared" ref="I129:I188" si="8">IF(E129&gt;1.2*H129,FALSE,TRUE)</f>
        <v>1</v>
      </c>
      <c r="J129" s="4">
        <f t="shared" ref="J129:J188" si="9">E129/H129-1</f>
        <v>-0.30420485175202161</v>
      </c>
      <c r="M129"/>
      <c r="O129" t="s">
        <v>159</v>
      </c>
      <c r="P129">
        <v>2165</v>
      </c>
      <c r="Q129">
        <v>3961.47</v>
      </c>
    </row>
    <row r="130" spans="1:17" hidden="1">
      <c r="A130" t="s">
        <v>260</v>
      </c>
      <c r="B130" t="s">
        <v>261</v>
      </c>
      <c r="C130" s="28">
        <v>1577</v>
      </c>
      <c r="D130" s="19">
        <f t="shared" si="6"/>
        <v>52.56666666666667</v>
      </c>
      <c r="E130" s="5">
        <v>2228.3200000000002</v>
      </c>
      <c r="H130" s="19">
        <f t="shared" si="7"/>
        <v>3154</v>
      </c>
      <c r="I130" t="b">
        <f t="shared" si="8"/>
        <v>1</v>
      </c>
      <c r="J130" s="4">
        <f t="shared" si="9"/>
        <v>-0.29349397590361437</v>
      </c>
      <c r="M130"/>
      <c r="O130" t="s">
        <v>401</v>
      </c>
      <c r="P130">
        <v>1108</v>
      </c>
      <c r="Q130">
        <v>2267.13</v>
      </c>
    </row>
    <row r="131" spans="1:17" hidden="1">
      <c r="A131" t="s">
        <v>742</v>
      </c>
      <c r="B131" t="s">
        <v>743</v>
      </c>
      <c r="C131" s="28">
        <v>46</v>
      </c>
      <c r="D131" s="19">
        <f t="shared" ref="D131:D194" si="10">C131/30</f>
        <v>1.5333333333333334</v>
      </c>
      <c r="E131" s="5">
        <v>0</v>
      </c>
      <c r="H131" s="19">
        <f t="shared" ref="H131:H194" si="11">IF((C131/30)&gt;100,C131*2,C131*2)</f>
        <v>92</v>
      </c>
      <c r="I131" t="b">
        <f t="shared" si="8"/>
        <v>1</v>
      </c>
      <c r="J131" s="4">
        <f t="shared" si="9"/>
        <v>-1</v>
      </c>
      <c r="M131"/>
      <c r="O131" t="s">
        <v>227</v>
      </c>
      <c r="P131">
        <v>2302</v>
      </c>
      <c r="Q131">
        <v>4803.66</v>
      </c>
    </row>
    <row r="132" spans="1:17" hidden="1">
      <c r="A132" t="s">
        <v>608</v>
      </c>
      <c r="B132" t="s">
        <v>609</v>
      </c>
      <c r="C132" s="28">
        <v>345</v>
      </c>
      <c r="D132" s="19">
        <f t="shared" si="10"/>
        <v>11.5</v>
      </c>
      <c r="E132" s="5">
        <v>620.91</v>
      </c>
      <c r="H132" s="19">
        <f t="shared" si="11"/>
        <v>690</v>
      </c>
      <c r="I132" t="b">
        <f t="shared" si="8"/>
        <v>1</v>
      </c>
      <c r="J132" s="4">
        <f t="shared" si="9"/>
        <v>-0.10013043478260875</v>
      </c>
      <c r="M132"/>
      <c r="O132" t="s">
        <v>571</v>
      </c>
      <c r="P132">
        <v>760</v>
      </c>
      <c r="Q132">
        <v>1679.4</v>
      </c>
    </row>
    <row r="133" spans="1:17" hidden="1">
      <c r="A133" s="37" t="s">
        <v>445</v>
      </c>
      <c r="B133" s="37" t="s">
        <v>446</v>
      </c>
      <c r="C133" s="28">
        <v>774</v>
      </c>
      <c r="D133" s="19">
        <f t="shared" si="10"/>
        <v>25.8</v>
      </c>
      <c r="E133" s="5">
        <v>1670.93</v>
      </c>
      <c r="H133" s="19">
        <f t="shared" si="11"/>
        <v>1548</v>
      </c>
      <c r="I133" t="b">
        <f t="shared" si="8"/>
        <v>1</v>
      </c>
      <c r="J133" s="4">
        <f t="shared" si="9"/>
        <v>7.9412144702842413E-2</v>
      </c>
      <c r="M133"/>
      <c r="O133" t="s">
        <v>403</v>
      </c>
      <c r="P133">
        <v>1249</v>
      </c>
      <c r="Q133">
        <v>1523.67</v>
      </c>
    </row>
    <row r="134" spans="1:17" hidden="1">
      <c r="A134" t="s">
        <v>317</v>
      </c>
      <c r="B134" t="s">
        <v>318</v>
      </c>
      <c r="C134" s="28">
        <v>1206</v>
      </c>
      <c r="D134" s="19">
        <f t="shared" si="10"/>
        <v>40.200000000000003</v>
      </c>
      <c r="E134" s="5">
        <v>1576.95</v>
      </c>
      <c r="H134" s="19">
        <f t="shared" si="11"/>
        <v>2412</v>
      </c>
      <c r="I134" t="b">
        <f t="shared" si="8"/>
        <v>1</v>
      </c>
      <c r="J134" s="4">
        <f t="shared" si="9"/>
        <v>-0.3462064676616915</v>
      </c>
      <c r="M134"/>
      <c r="P134">
        <v>0</v>
      </c>
      <c r="Q134">
        <v>0</v>
      </c>
    </row>
    <row r="135" spans="1:17" hidden="1">
      <c r="A135" t="s">
        <v>632</v>
      </c>
      <c r="B135" t="s">
        <v>633</v>
      </c>
      <c r="C135" s="28">
        <v>286</v>
      </c>
      <c r="D135" s="19">
        <f t="shared" si="10"/>
        <v>9.5333333333333332</v>
      </c>
      <c r="E135" s="5">
        <v>242.95</v>
      </c>
      <c r="H135" s="19">
        <f t="shared" si="11"/>
        <v>572</v>
      </c>
      <c r="I135" t="b">
        <f t="shared" si="8"/>
        <v>1</v>
      </c>
      <c r="J135" s="4">
        <f t="shared" si="9"/>
        <v>-0.57526223776223784</v>
      </c>
      <c r="M135"/>
      <c r="P135">
        <v>0</v>
      </c>
      <c r="Q135">
        <v>0</v>
      </c>
    </row>
    <row r="136" spans="1:17" hidden="1">
      <c r="A136" t="s">
        <v>643</v>
      </c>
      <c r="B136" t="s">
        <v>644</v>
      </c>
      <c r="C136" s="28">
        <v>255</v>
      </c>
      <c r="D136" s="19">
        <f t="shared" si="10"/>
        <v>8.5</v>
      </c>
      <c r="E136" s="5">
        <v>0</v>
      </c>
      <c r="H136" s="19">
        <f t="shared" si="11"/>
        <v>510</v>
      </c>
      <c r="I136" t="b">
        <f t="shared" si="8"/>
        <v>1</v>
      </c>
      <c r="J136" s="4">
        <f t="shared" si="9"/>
        <v>-1</v>
      </c>
      <c r="M136"/>
      <c r="P136">
        <v>0</v>
      </c>
      <c r="Q136">
        <v>0</v>
      </c>
    </row>
    <row r="137" spans="1:17" hidden="1">
      <c r="A137" t="s">
        <v>140</v>
      </c>
      <c r="B137" t="s">
        <v>141</v>
      </c>
      <c r="C137" s="28">
        <v>2536</v>
      </c>
      <c r="D137" s="19">
        <f t="shared" si="10"/>
        <v>84.533333333333331</v>
      </c>
      <c r="E137" s="5">
        <v>3095.45</v>
      </c>
      <c r="H137" s="19">
        <f t="shared" si="11"/>
        <v>5072</v>
      </c>
      <c r="I137" t="b">
        <f t="shared" si="8"/>
        <v>1</v>
      </c>
      <c r="J137" s="4">
        <f t="shared" si="9"/>
        <v>-0.38969834384858049</v>
      </c>
      <c r="M137"/>
      <c r="P137">
        <v>0</v>
      </c>
      <c r="Q137">
        <v>0</v>
      </c>
    </row>
    <row r="138" spans="1:17" hidden="1">
      <c r="A138" t="s">
        <v>440</v>
      </c>
      <c r="B138" t="s">
        <v>441</v>
      </c>
      <c r="C138" s="28">
        <v>789</v>
      </c>
      <c r="D138" s="19">
        <f t="shared" si="10"/>
        <v>26.3</v>
      </c>
      <c r="E138" s="5">
        <v>882.03</v>
      </c>
      <c r="H138" s="19">
        <f t="shared" si="11"/>
        <v>1578</v>
      </c>
      <c r="I138" t="b">
        <f t="shared" si="8"/>
        <v>1</v>
      </c>
      <c r="J138" s="4">
        <f t="shared" si="9"/>
        <v>-0.44104562737642583</v>
      </c>
      <c r="M138"/>
      <c r="P138">
        <v>0</v>
      </c>
      <c r="Q138">
        <v>0</v>
      </c>
    </row>
    <row r="139" spans="1:17" hidden="1">
      <c r="A139" t="s">
        <v>797</v>
      </c>
      <c r="B139" t="s">
        <v>798</v>
      </c>
      <c r="C139" s="28">
        <v>0</v>
      </c>
      <c r="D139" s="19">
        <f t="shared" si="10"/>
        <v>0</v>
      </c>
      <c r="E139" s="5">
        <v>0</v>
      </c>
      <c r="H139" s="19">
        <f t="shared" si="11"/>
        <v>0</v>
      </c>
      <c r="I139" t="b">
        <f t="shared" si="8"/>
        <v>1</v>
      </c>
      <c r="J139" s="4" t="e">
        <f t="shared" si="9"/>
        <v>#DIV/0!</v>
      </c>
      <c r="M139"/>
      <c r="P139">
        <v>0</v>
      </c>
      <c r="Q139">
        <v>0</v>
      </c>
    </row>
    <row r="140" spans="1:17" hidden="1">
      <c r="A140" t="s">
        <v>294</v>
      </c>
      <c r="B140" t="s">
        <v>295</v>
      </c>
      <c r="C140" s="28">
        <v>1352</v>
      </c>
      <c r="D140" s="19">
        <f t="shared" si="10"/>
        <v>45.06666666666667</v>
      </c>
      <c r="E140" s="5">
        <v>1072.6300000000001</v>
      </c>
      <c r="H140" s="19">
        <f t="shared" si="11"/>
        <v>2704</v>
      </c>
      <c r="I140" t="b">
        <f t="shared" si="8"/>
        <v>1</v>
      </c>
      <c r="J140" s="4">
        <f t="shared" si="9"/>
        <v>-0.60331730769230763</v>
      </c>
      <c r="M140"/>
      <c r="O140" t="s">
        <v>534</v>
      </c>
      <c r="P140">
        <v>477</v>
      </c>
      <c r="Q140">
        <v>944.89</v>
      </c>
    </row>
    <row r="141" spans="1:17" hidden="1">
      <c r="A141" t="s">
        <v>467</v>
      </c>
      <c r="B141" t="s">
        <v>468</v>
      </c>
      <c r="C141" s="28">
        <v>716</v>
      </c>
      <c r="D141" s="19">
        <f t="shared" si="10"/>
        <v>23.866666666666667</v>
      </c>
      <c r="E141" s="5">
        <v>1318.46</v>
      </c>
      <c r="H141" s="19">
        <f t="shared" si="11"/>
        <v>1432</v>
      </c>
      <c r="I141" t="b">
        <f t="shared" si="8"/>
        <v>1</v>
      </c>
      <c r="J141" s="4">
        <f t="shared" si="9"/>
        <v>-7.9287709497206649E-2</v>
      </c>
      <c r="M141"/>
      <c r="O141" t="s">
        <v>470</v>
      </c>
      <c r="P141">
        <v>732</v>
      </c>
      <c r="Q141">
        <v>2164.04</v>
      </c>
    </row>
    <row r="142" spans="1:17" hidden="1">
      <c r="A142" t="s">
        <v>248</v>
      </c>
      <c r="B142" t="s">
        <v>249</v>
      </c>
      <c r="C142" s="28">
        <v>1674</v>
      </c>
      <c r="D142" s="19">
        <f t="shared" si="10"/>
        <v>55.8</v>
      </c>
      <c r="E142" s="5">
        <v>1076.8800000000001</v>
      </c>
      <c r="H142" s="19">
        <f t="shared" si="11"/>
        <v>3348</v>
      </c>
      <c r="I142" t="b">
        <f t="shared" si="8"/>
        <v>1</v>
      </c>
      <c r="J142" s="4">
        <f t="shared" si="9"/>
        <v>-0.67835125448028677</v>
      </c>
      <c r="M142"/>
      <c r="O142" t="s">
        <v>545</v>
      </c>
      <c r="P142">
        <v>807</v>
      </c>
      <c r="Q142">
        <v>1003.12</v>
      </c>
    </row>
    <row r="143" spans="1:17" hidden="1">
      <c r="A143" s="37" t="s">
        <v>622</v>
      </c>
      <c r="B143" s="37" t="s">
        <v>623</v>
      </c>
      <c r="C143" s="28">
        <v>309</v>
      </c>
      <c r="D143" s="19">
        <f t="shared" si="10"/>
        <v>10.3</v>
      </c>
      <c r="E143" s="5">
        <v>289.98</v>
      </c>
      <c r="H143" s="19">
        <f t="shared" si="11"/>
        <v>618</v>
      </c>
      <c r="I143" t="b">
        <f t="shared" si="8"/>
        <v>1</v>
      </c>
      <c r="J143" s="4">
        <f t="shared" si="9"/>
        <v>-0.53077669902912616</v>
      </c>
      <c r="M143"/>
      <c r="O143" t="s">
        <v>235</v>
      </c>
      <c r="P143">
        <v>1176</v>
      </c>
      <c r="Q143">
        <v>1389.04</v>
      </c>
    </row>
    <row r="144" spans="1:17" hidden="1">
      <c r="A144" s="54" t="s">
        <v>356</v>
      </c>
      <c r="B144" s="37" t="s">
        <v>357</v>
      </c>
      <c r="C144" s="28">
        <v>1065</v>
      </c>
      <c r="D144" s="19">
        <f t="shared" si="10"/>
        <v>35.5</v>
      </c>
      <c r="E144" s="5">
        <v>1817.06</v>
      </c>
      <c r="H144" s="19">
        <f t="shared" si="11"/>
        <v>2130</v>
      </c>
      <c r="I144" t="b">
        <f t="shared" si="8"/>
        <v>1</v>
      </c>
      <c r="J144" s="4">
        <f t="shared" si="9"/>
        <v>-0.1469201877934273</v>
      </c>
      <c r="M144"/>
      <c r="O144" t="s">
        <v>668</v>
      </c>
      <c r="P144">
        <v>485</v>
      </c>
      <c r="Q144">
        <v>1024.1400000000001</v>
      </c>
    </row>
    <row r="145" spans="1:17" hidden="1">
      <c r="A145" t="s">
        <v>720</v>
      </c>
      <c r="B145" t="s">
        <v>721</v>
      </c>
      <c r="C145" s="28">
        <v>76</v>
      </c>
      <c r="D145" s="19">
        <f t="shared" si="10"/>
        <v>2.5333333333333332</v>
      </c>
      <c r="E145" s="5">
        <v>119.78</v>
      </c>
      <c r="H145" s="19">
        <f t="shared" si="11"/>
        <v>152</v>
      </c>
      <c r="I145" t="b">
        <f t="shared" si="8"/>
        <v>1</v>
      </c>
      <c r="J145" s="4">
        <f t="shared" si="9"/>
        <v>-0.21197368421052631</v>
      </c>
      <c r="M145"/>
      <c r="O145" t="s">
        <v>303</v>
      </c>
      <c r="P145">
        <v>1603</v>
      </c>
      <c r="Q145">
        <v>2952.38</v>
      </c>
    </row>
    <row r="146" spans="1:17" hidden="1">
      <c r="A146" t="s">
        <v>212</v>
      </c>
      <c r="B146" t="s">
        <v>213</v>
      </c>
      <c r="C146" s="28">
        <v>1871</v>
      </c>
      <c r="D146" s="19">
        <f t="shared" si="10"/>
        <v>62.366666666666667</v>
      </c>
      <c r="E146" s="5">
        <v>1565.68</v>
      </c>
      <c r="H146" s="19">
        <f t="shared" si="11"/>
        <v>3742</v>
      </c>
      <c r="I146" t="b">
        <f t="shared" si="8"/>
        <v>1</v>
      </c>
      <c r="J146" s="4">
        <f t="shared" si="9"/>
        <v>-0.58159273115980759</v>
      </c>
      <c r="M146"/>
      <c r="O146" t="s">
        <v>115</v>
      </c>
      <c r="P146">
        <v>5633</v>
      </c>
      <c r="Q146">
        <v>3251.64</v>
      </c>
    </row>
    <row r="147" spans="1:17" hidden="1">
      <c r="A147" s="54" t="s">
        <v>568</v>
      </c>
      <c r="B147" s="37" t="s">
        <v>569</v>
      </c>
      <c r="C147" s="28">
        <v>413</v>
      </c>
      <c r="D147" s="19">
        <f t="shared" si="10"/>
        <v>13.766666666666667</v>
      </c>
      <c r="E147" s="5">
        <v>457.51</v>
      </c>
      <c r="H147" s="19">
        <f t="shared" si="11"/>
        <v>826</v>
      </c>
      <c r="I147" t="b">
        <f t="shared" si="8"/>
        <v>1</v>
      </c>
      <c r="J147" s="4">
        <f t="shared" si="9"/>
        <v>-0.44611380145278456</v>
      </c>
      <c r="M147"/>
      <c r="O147" t="s">
        <v>169</v>
      </c>
      <c r="P147">
        <v>3162</v>
      </c>
      <c r="Q147">
        <v>3743.79</v>
      </c>
    </row>
    <row r="148" spans="1:17" hidden="1">
      <c r="A148" t="s">
        <v>461</v>
      </c>
      <c r="B148" t="s">
        <v>462</v>
      </c>
      <c r="C148" s="28">
        <v>744</v>
      </c>
      <c r="D148" s="19">
        <f t="shared" si="10"/>
        <v>24.8</v>
      </c>
      <c r="E148" s="5">
        <v>730.1</v>
      </c>
      <c r="H148" s="19">
        <f t="shared" si="11"/>
        <v>1488</v>
      </c>
      <c r="I148" t="b">
        <f t="shared" si="8"/>
        <v>1</v>
      </c>
      <c r="J148" s="4">
        <f t="shared" si="9"/>
        <v>-0.50934139784946231</v>
      </c>
      <c r="M148"/>
      <c r="O148" t="s">
        <v>324</v>
      </c>
      <c r="P148">
        <v>1430</v>
      </c>
      <c r="Q148">
        <v>2394.31</v>
      </c>
    </row>
    <row r="149" spans="1:17" hidden="1">
      <c r="A149" t="s">
        <v>116</v>
      </c>
      <c r="B149" t="s">
        <v>117</v>
      </c>
      <c r="C149" s="28">
        <v>2942</v>
      </c>
      <c r="D149" s="19">
        <f t="shared" si="10"/>
        <v>98.066666666666663</v>
      </c>
      <c r="E149" s="5">
        <v>4452.76</v>
      </c>
      <c r="H149" s="19">
        <f t="shared" si="11"/>
        <v>5884</v>
      </c>
      <c r="I149" t="b">
        <f t="shared" si="8"/>
        <v>1</v>
      </c>
      <c r="J149" s="4">
        <f t="shared" si="9"/>
        <v>-0.24324269204622706</v>
      </c>
      <c r="M149"/>
      <c r="O149" t="s">
        <v>683</v>
      </c>
      <c r="P149">
        <v>751</v>
      </c>
      <c r="Q149">
        <v>53.21</v>
      </c>
    </row>
    <row r="150" spans="1:17" hidden="1">
      <c r="A150" t="s">
        <v>682</v>
      </c>
      <c r="B150" t="s">
        <v>683</v>
      </c>
      <c r="C150" s="28">
        <v>167</v>
      </c>
      <c r="D150" s="19">
        <f t="shared" si="10"/>
        <v>5.5666666666666664</v>
      </c>
      <c r="E150" s="5">
        <v>21.01</v>
      </c>
      <c r="H150" s="19">
        <f t="shared" si="11"/>
        <v>334</v>
      </c>
      <c r="I150" t="b">
        <f t="shared" si="8"/>
        <v>1</v>
      </c>
      <c r="J150" s="4">
        <f t="shared" si="9"/>
        <v>-0.93709580838323348</v>
      </c>
      <c r="M150"/>
      <c r="O150" t="s">
        <v>816</v>
      </c>
      <c r="P150">
        <v>696</v>
      </c>
      <c r="Q150">
        <v>966.85</v>
      </c>
    </row>
    <row r="151" spans="1:17" hidden="1">
      <c r="A151" s="54" t="s">
        <v>341</v>
      </c>
      <c r="B151" s="37" t="s">
        <v>342</v>
      </c>
      <c r="C151" s="28">
        <v>1100</v>
      </c>
      <c r="D151" s="19">
        <f t="shared" si="10"/>
        <v>36.666666666666664</v>
      </c>
      <c r="E151" s="5">
        <v>1794.32</v>
      </c>
      <c r="H151" s="19">
        <f t="shared" si="11"/>
        <v>2200</v>
      </c>
      <c r="I151" t="b">
        <f t="shared" si="8"/>
        <v>1</v>
      </c>
      <c r="J151" s="4">
        <f t="shared" si="9"/>
        <v>-0.18440000000000001</v>
      </c>
      <c r="M151"/>
      <c r="O151" t="s">
        <v>326</v>
      </c>
      <c r="P151">
        <v>1272</v>
      </c>
      <c r="Q151">
        <v>2336.77</v>
      </c>
    </row>
    <row r="152" spans="1:17" hidden="1">
      <c r="A152" t="s">
        <v>415</v>
      </c>
      <c r="B152" t="s">
        <v>416</v>
      </c>
      <c r="C152" s="28">
        <v>860</v>
      </c>
      <c r="D152" s="19">
        <f t="shared" si="10"/>
        <v>28.666666666666668</v>
      </c>
      <c r="E152" s="5">
        <v>1445.77</v>
      </c>
      <c r="H152" s="19">
        <f t="shared" si="11"/>
        <v>1720</v>
      </c>
      <c r="I152" t="b">
        <f t="shared" si="8"/>
        <v>1</v>
      </c>
      <c r="J152" s="4">
        <f t="shared" si="9"/>
        <v>-0.1594360465116279</v>
      </c>
      <c r="M152"/>
      <c r="O152" t="s">
        <v>369</v>
      </c>
      <c r="P152">
        <v>924</v>
      </c>
      <c r="Q152">
        <v>1371.73</v>
      </c>
    </row>
    <row r="153" spans="1:17" hidden="1">
      <c r="A153" t="s">
        <v>803</v>
      </c>
      <c r="B153" t="s">
        <v>804</v>
      </c>
      <c r="C153" s="28">
        <v>0</v>
      </c>
      <c r="D153" s="19">
        <f t="shared" si="10"/>
        <v>0</v>
      </c>
      <c r="E153" s="5">
        <v>0</v>
      </c>
      <c r="H153" s="19">
        <f t="shared" si="11"/>
        <v>0</v>
      </c>
      <c r="I153" t="b">
        <f t="shared" si="8"/>
        <v>1</v>
      </c>
      <c r="J153" s="4" t="e">
        <f t="shared" si="9"/>
        <v>#DIV/0!</v>
      </c>
      <c r="M153"/>
      <c r="O153" t="s">
        <v>1523</v>
      </c>
      <c r="P153">
        <v>3</v>
      </c>
      <c r="Q153">
        <v>4.76</v>
      </c>
    </row>
    <row r="154" spans="1:17">
      <c r="A154" t="s">
        <v>702</v>
      </c>
      <c r="B154" t="s">
        <v>703</v>
      </c>
      <c r="C154" s="28">
        <v>121</v>
      </c>
      <c r="D154" s="19">
        <f t="shared" si="10"/>
        <v>4.0333333333333332</v>
      </c>
      <c r="E154" s="5">
        <v>389.35</v>
      </c>
      <c r="H154" s="19">
        <f t="shared" si="11"/>
        <v>242</v>
      </c>
      <c r="I154" t="b">
        <f t="shared" si="8"/>
        <v>0</v>
      </c>
      <c r="J154" s="4">
        <f t="shared" si="9"/>
        <v>0.6088842975206612</v>
      </c>
      <c r="M154"/>
      <c r="O154" t="s">
        <v>497</v>
      </c>
      <c r="P154">
        <v>654</v>
      </c>
      <c r="Q154">
        <v>1923.98</v>
      </c>
    </row>
    <row r="155" spans="1:17" hidden="1">
      <c r="A155" s="54" t="s">
        <v>688</v>
      </c>
      <c r="B155" s="37" t="s">
        <v>689</v>
      </c>
      <c r="C155" s="19">
        <v>160</v>
      </c>
      <c r="D155" s="19">
        <f t="shared" si="10"/>
        <v>5.333333333333333</v>
      </c>
      <c r="E155" s="5">
        <v>220.54</v>
      </c>
      <c r="H155" s="19">
        <f t="shared" si="11"/>
        <v>320</v>
      </c>
      <c r="I155" t="b">
        <f t="shared" si="8"/>
        <v>1</v>
      </c>
      <c r="J155" s="4">
        <f t="shared" si="9"/>
        <v>-0.31081250000000005</v>
      </c>
      <c r="M155"/>
      <c r="O155" t="s">
        <v>1502</v>
      </c>
      <c r="P155">
        <v>272</v>
      </c>
      <c r="Q155">
        <v>150.43</v>
      </c>
    </row>
    <row r="156" spans="1:17" hidden="1">
      <c r="A156" t="s">
        <v>612</v>
      </c>
      <c r="B156" t="s">
        <v>613</v>
      </c>
      <c r="C156" s="28">
        <v>336</v>
      </c>
      <c r="D156" s="19">
        <f t="shared" si="10"/>
        <v>11.2</v>
      </c>
      <c r="E156" s="5">
        <v>0</v>
      </c>
      <c r="H156" s="19">
        <f t="shared" si="11"/>
        <v>672</v>
      </c>
      <c r="I156" t="b">
        <f t="shared" si="8"/>
        <v>1</v>
      </c>
      <c r="J156" s="4">
        <f t="shared" si="9"/>
        <v>-1</v>
      </c>
      <c r="M156"/>
      <c r="O156" t="s">
        <v>1495</v>
      </c>
      <c r="P156">
        <v>8</v>
      </c>
      <c r="Q156">
        <v>0</v>
      </c>
    </row>
    <row r="157" spans="1:17" hidden="1">
      <c r="A157" t="s">
        <v>694</v>
      </c>
      <c r="B157" t="s">
        <v>695</v>
      </c>
      <c r="C157" s="28">
        <v>143</v>
      </c>
      <c r="D157" s="19">
        <f t="shared" si="10"/>
        <v>4.7666666666666666</v>
      </c>
      <c r="E157" s="5">
        <v>340.54</v>
      </c>
      <c r="H157" s="19">
        <f t="shared" si="11"/>
        <v>286</v>
      </c>
      <c r="I157" t="b">
        <f t="shared" si="8"/>
        <v>1</v>
      </c>
      <c r="J157" s="4">
        <f t="shared" si="9"/>
        <v>0.19069930069930074</v>
      </c>
      <c r="O157" t="s">
        <v>756</v>
      </c>
      <c r="P157">
        <v>460</v>
      </c>
      <c r="Q157">
        <v>0</v>
      </c>
    </row>
    <row r="158" spans="1:17" hidden="1">
      <c r="A158" t="s">
        <v>777</v>
      </c>
      <c r="B158" t="s">
        <v>778</v>
      </c>
      <c r="C158" s="28">
        <v>0</v>
      </c>
      <c r="D158" s="19">
        <f t="shared" si="10"/>
        <v>0</v>
      </c>
      <c r="E158" s="5">
        <v>0</v>
      </c>
      <c r="H158" s="19">
        <f t="shared" si="11"/>
        <v>0</v>
      </c>
      <c r="I158" t="b">
        <f t="shared" si="8"/>
        <v>1</v>
      </c>
      <c r="J158" s="4" t="e">
        <f t="shared" si="9"/>
        <v>#DIV/0!</v>
      </c>
      <c r="M158"/>
      <c r="O158" t="s">
        <v>359</v>
      </c>
      <c r="P158">
        <v>1605</v>
      </c>
      <c r="Q158">
        <v>3252.58</v>
      </c>
    </row>
    <row r="159" spans="1:17" hidden="1">
      <c r="A159" t="s">
        <v>692</v>
      </c>
      <c r="B159" t="s">
        <v>693</v>
      </c>
      <c r="C159" s="28">
        <v>152</v>
      </c>
      <c r="D159" s="19">
        <f t="shared" si="10"/>
        <v>5.0666666666666664</v>
      </c>
      <c r="E159" s="5">
        <v>4.37</v>
      </c>
      <c r="H159" s="19">
        <f t="shared" si="11"/>
        <v>304</v>
      </c>
      <c r="I159" t="b">
        <f t="shared" si="8"/>
        <v>1</v>
      </c>
      <c r="J159" s="4">
        <f t="shared" si="9"/>
        <v>-0.98562499999999997</v>
      </c>
      <c r="M159"/>
      <c r="O159" t="s">
        <v>493</v>
      </c>
      <c r="P159">
        <v>906</v>
      </c>
      <c r="Q159">
        <v>870.89</v>
      </c>
    </row>
    <row r="160" spans="1:17" hidden="1">
      <c r="A160" t="s">
        <v>755</v>
      </c>
      <c r="B160" t="s">
        <v>756</v>
      </c>
      <c r="C160" s="28">
        <v>36</v>
      </c>
      <c r="D160" s="19">
        <f t="shared" si="10"/>
        <v>1.2</v>
      </c>
      <c r="E160" s="5">
        <v>0</v>
      </c>
      <c r="H160" s="19">
        <f t="shared" si="11"/>
        <v>72</v>
      </c>
      <c r="I160" t="b">
        <f t="shared" si="8"/>
        <v>1</v>
      </c>
      <c r="J160" s="4">
        <f t="shared" si="9"/>
        <v>-1</v>
      </c>
      <c r="M160"/>
      <c r="O160" t="s">
        <v>1509</v>
      </c>
      <c r="P160">
        <v>2</v>
      </c>
      <c r="Q160">
        <v>5.22</v>
      </c>
    </row>
    <row r="161" spans="1:17" hidden="1">
      <c r="A161" t="s">
        <v>576</v>
      </c>
      <c r="B161" t="s">
        <v>577</v>
      </c>
      <c r="C161" s="28">
        <v>406</v>
      </c>
      <c r="D161" s="19">
        <f t="shared" si="10"/>
        <v>13.533333333333333</v>
      </c>
      <c r="E161" s="5">
        <v>758.45</v>
      </c>
      <c r="H161" s="19">
        <f t="shared" si="11"/>
        <v>812</v>
      </c>
      <c r="I161" t="b">
        <f t="shared" si="8"/>
        <v>1</v>
      </c>
      <c r="J161" s="4">
        <f t="shared" si="9"/>
        <v>-6.5948275862068861E-2</v>
      </c>
      <c r="O161" t="s">
        <v>289</v>
      </c>
      <c r="P161">
        <v>910</v>
      </c>
      <c r="Q161">
        <v>1227.83</v>
      </c>
    </row>
    <row r="162" spans="1:17">
      <c r="A162" t="s">
        <v>610</v>
      </c>
      <c r="B162" t="s">
        <v>611</v>
      </c>
      <c r="C162" s="28">
        <v>343</v>
      </c>
      <c r="D162" s="19">
        <f>C162/30</f>
        <v>11.433333333333334</v>
      </c>
      <c r="E162" s="5">
        <v>993.82</v>
      </c>
      <c r="H162" s="19">
        <f>IF((C162/30)&gt;100,C162*2,C162*2)</f>
        <v>686</v>
      </c>
      <c r="I162" t="b">
        <f>IF(E162&gt;1.2*H162,FALSE,TRUE)</f>
        <v>0</v>
      </c>
      <c r="J162" s="4">
        <f>E162/H162-1</f>
        <v>0.44871720116618086</v>
      </c>
      <c r="M162"/>
      <c r="O162" t="s">
        <v>1515</v>
      </c>
      <c r="P162">
        <v>401</v>
      </c>
      <c r="Q162">
        <v>371.16</v>
      </c>
    </row>
    <row r="163" spans="1:17" hidden="1">
      <c r="A163" t="s">
        <v>626</v>
      </c>
      <c r="B163" t="s">
        <v>627</v>
      </c>
      <c r="C163" s="28">
        <v>303</v>
      </c>
      <c r="D163" s="19">
        <f t="shared" si="10"/>
        <v>10.1</v>
      </c>
      <c r="E163" s="5">
        <v>604.80999999999995</v>
      </c>
      <c r="H163" s="19">
        <f t="shared" si="11"/>
        <v>606</v>
      </c>
      <c r="I163" t="b">
        <f t="shared" si="8"/>
        <v>1</v>
      </c>
      <c r="J163" s="4">
        <f t="shared" si="9"/>
        <v>-1.9636963696370024E-3</v>
      </c>
      <c r="M163"/>
      <c r="O163" t="s">
        <v>50</v>
      </c>
      <c r="P163">
        <v>2224</v>
      </c>
      <c r="Q163">
        <v>3393.97</v>
      </c>
    </row>
    <row r="164" spans="1:17" hidden="1">
      <c r="A164" t="s">
        <v>641</v>
      </c>
      <c r="B164" t="s">
        <v>642</v>
      </c>
      <c r="C164" s="28">
        <v>260</v>
      </c>
      <c r="D164" s="19">
        <f t="shared" si="10"/>
        <v>8.6666666666666661</v>
      </c>
      <c r="E164" s="5">
        <v>355</v>
      </c>
      <c r="H164" s="19">
        <f t="shared" si="11"/>
        <v>520</v>
      </c>
      <c r="I164" t="b">
        <f t="shared" si="8"/>
        <v>1</v>
      </c>
      <c r="J164" s="4">
        <f t="shared" si="9"/>
        <v>-0.31730769230769229</v>
      </c>
      <c r="O164" t="s">
        <v>348</v>
      </c>
      <c r="P164">
        <v>739</v>
      </c>
      <c r="Q164">
        <v>1714.51</v>
      </c>
    </row>
    <row r="165" spans="1:17" hidden="1">
      <c r="A165" s="54" t="s">
        <v>475</v>
      </c>
      <c r="B165" s="37" t="s">
        <v>476</v>
      </c>
      <c r="C165" s="28">
        <v>702</v>
      </c>
      <c r="D165" s="19">
        <f t="shared" si="10"/>
        <v>23.4</v>
      </c>
      <c r="E165" s="5">
        <v>932.2</v>
      </c>
      <c r="H165" s="19">
        <f t="shared" si="11"/>
        <v>1404</v>
      </c>
      <c r="I165" t="b">
        <f t="shared" si="8"/>
        <v>1</v>
      </c>
      <c r="J165" s="4">
        <f t="shared" si="9"/>
        <v>-0.33603988603988599</v>
      </c>
      <c r="M165"/>
      <c r="O165" t="s">
        <v>1512</v>
      </c>
      <c r="P165">
        <v>131</v>
      </c>
      <c r="Q165">
        <v>91.13</v>
      </c>
    </row>
    <row r="166" spans="1:17" hidden="1">
      <c r="A166" t="s">
        <v>306</v>
      </c>
      <c r="B166" t="s">
        <v>307</v>
      </c>
      <c r="C166" s="28">
        <v>1259</v>
      </c>
      <c r="D166" s="19">
        <f t="shared" si="10"/>
        <v>41.966666666666669</v>
      </c>
      <c r="E166" s="5">
        <v>2087.88</v>
      </c>
      <c r="H166" s="19">
        <f t="shared" si="11"/>
        <v>2518</v>
      </c>
      <c r="I166" t="b">
        <f t="shared" si="8"/>
        <v>1</v>
      </c>
      <c r="J166" s="4">
        <f t="shared" si="9"/>
        <v>-0.17081810961080213</v>
      </c>
      <c r="M166"/>
      <c r="O166" t="s">
        <v>627</v>
      </c>
      <c r="P166">
        <v>241</v>
      </c>
      <c r="Q166">
        <v>1011.31</v>
      </c>
    </row>
    <row r="167" spans="1:17" hidden="1">
      <c r="A167" t="s">
        <v>588</v>
      </c>
      <c r="B167" t="s">
        <v>589</v>
      </c>
      <c r="C167" s="28">
        <v>376</v>
      </c>
      <c r="D167" s="19">
        <f t="shared" si="10"/>
        <v>12.533333333333333</v>
      </c>
      <c r="E167" s="5">
        <v>412.38</v>
      </c>
      <c r="H167" s="19">
        <f t="shared" si="11"/>
        <v>752</v>
      </c>
      <c r="I167" t="b">
        <f t="shared" si="8"/>
        <v>1</v>
      </c>
      <c r="J167" s="4">
        <f t="shared" si="9"/>
        <v>-0.45162234042553195</v>
      </c>
      <c r="M167"/>
      <c r="O167" t="s">
        <v>147</v>
      </c>
      <c r="P167">
        <v>2823</v>
      </c>
      <c r="Q167">
        <v>3165.3</v>
      </c>
    </row>
    <row r="168" spans="1:17">
      <c r="A168" s="143" t="s">
        <v>653</v>
      </c>
      <c r="B168" s="37" t="s">
        <v>654</v>
      </c>
      <c r="C168" s="28">
        <v>240</v>
      </c>
      <c r="D168" s="19">
        <f t="shared" si="10"/>
        <v>8</v>
      </c>
      <c r="E168" s="5">
        <v>721.45</v>
      </c>
      <c r="H168" s="19">
        <f t="shared" si="11"/>
        <v>480</v>
      </c>
      <c r="I168" t="b">
        <f t="shared" si="8"/>
        <v>0</v>
      </c>
      <c r="J168" s="4">
        <f t="shared" si="9"/>
        <v>0.50302083333333347</v>
      </c>
      <c r="M168" s="124"/>
      <c r="O168" t="s">
        <v>251</v>
      </c>
      <c r="P168">
        <v>1428</v>
      </c>
      <c r="Q168">
        <v>2934.62</v>
      </c>
    </row>
    <row r="169" spans="1:17" hidden="1">
      <c r="A169" s="54" t="s">
        <v>447</v>
      </c>
      <c r="B169" s="37" t="s">
        <v>448</v>
      </c>
      <c r="C169" s="28">
        <v>764</v>
      </c>
      <c r="D169" s="19">
        <f t="shared" si="10"/>
        <v>25.466666666666665</v>
      </c>
      <c r="E169" s="5">
        <v>281.48</v>
      </c>
      <c r="H169" s="19">
        <f t="shared" si="11"/>
        <v>1528</v>
      </c>
      <c r="I169" t="b">
        <f t="shared" si="8"/>
        <v>1</v>
      </c>
      <c r="J169" s="4">
        <f t="shared" si="9"/>
        <v>-0.81578534031413608</v>
      </c>
      <c r="M169"/>
      <c r="O169" t="s">
        <v>613</v>
      </c>
      <c r="P169">
        <v>623</v>
      </c>
      <c r="Q169">
        <v>1035.93</v>
      </c>
    </row>
    <row r="170" spans="1:17" hidden="1">
      <c r="A170" s="54" t="s">
        <v>665</v>
      </c>
      <c r="B170" s="37" t="s">
        <v>666</v>
      </c>
      <c r="C170" s="28">
        <v>198</v>
      </c>
      <c r="D170" s="19">
        <f t="shared" si="10"/>
        <v>6.6</v>
      </c>
      <c r="E170" s="5">
        <v>38.85</v>
      </c>
      <c r="H170" s="19">
        <f t="shared" si="11"/>
        <v>396</v>
      </c>
      <c r="I170" t="b">
        <f t="shared" si="8"/>
        <v>1</v>
      </c>
      <c r="J170" s="4">
        <f t="shared" si="9"/>
        <v>-0.90189393939393936</v>
      </c>
      <c r="M170"/>
      <c r="O170" t="s">
        <v>474</v>
      </c>
      <c r="P170">
        <v>787</v>
      </c>
      <c r="Q170">
        <v>1703.07</v>
      </c>
    </row>
    <row r="171" spans="1:17" hidden="1">
      <c r="A171" s="142" t="s">
        <v>540</v>
      </c>
      <c r="B171" s="142" t="s">
        <v>541</v>
      </c>
      <c r="C171" s="28">
        <v>509</v>
      </c>
      <c r="D171" s="19">
        <f t="shared" si="10"/>
        <v>16.966666666666665</v>
      </c>
      <c r="E171" s="5">
        <v>817.05</v>
      </c>
      <c r="H171" s="19">
        <f t="shared" si="11"/>
        <v>1018</v>
      </c>
      <c r="I171" t="b">
        <f t="shared" si="8"/>
        <v>1</v>
      </c>
      <c r="J171" s="4">
        <f t="shared" si="9"/>
        <v>-0.1973968565815325</v>
      </c>
      <c r="M171"/>
      <c r="O171" t="s">
        <v>520</v>
      </c>
      <c r="P171">
        <v>626</v>
      </c>
      <c r="Q171">
        <v>1564.77</v>
      </c>
    </row>
    <row r="172" spans="1:17" hidden="1">
      <c r="A172" t="s">
        <v>513</v>
      </c>
      <c r="B172" t="s">
        <v>514</v>
      </c>
      <c r="C172" s="28">
        <v>607</v>
      </c>
      <c r="D172" s="19">
        <f t="shared" si="10"/>
        <v>20.233333333333334</v>
      </c>
      <c r="E172" s="5">
        <v>938.14</v>
      </c>
      <c r="H172" s="19">
        <f t="shared" si="11"/>
        <v>1214</v>
      </c>
      <c r="I172" t="b">
        <f t="shared" si="8"/>
        <v>1</v>
      </c>
      <c r="J172" s="4">
        <f t="shared" si="9"/>
        <v>-0.22723228995057665</v>
      </c>
      <c r="M172"/>
      <c r="O172" t="s">
        <v>462</v>
      </c>
      <c r="P172">
        <v>685</v>
      </c>
      <c r="Q172">
        <v>641.12</v>
      </c>
    </row>
    <row r="173" spans="1:17" hidden="1">
      <c r="A173" t="s">
        <v>811</v>
      </c>
      <c r="B173" t="s">
        <v>812</v>
      </c>
      <c r="C173" s="28">
        <v>0</v>
      </c>
      <c r="D173" s="19">
        <f t="shared" si="10"/>
        <v>0</v>
      </c>
      <c r="E173" s="5">
        <v>0</v>
      </c>
      <c r="H173" s="19">
        <f t="shared" si="11"/>
        <v>0</v>
      </c>
      <c r="I173" t="b">
        <f t="shared" si="8"/>
        <v>1</v>
      </c>
      <c r="J173" s="4" t="e">
        <f t="shared" si="9"/>
        <v>#DIV/0!</v>
      </c>
      <c r="M173"/>
      <c r="O173" t="s">
        <v>480</v>
      </c>
      <c r="P173">
        <v>1328</v>
      </c>
      <c r="Q173">
        <v>1448.98</v>
      </c>
    </row>
    <row r="174" spans="1:17" hidden="1">
      <c r="A174" t="s">
        <v>740</v>
      </c>
      <c r="B174" t="s">
        <v>741</v>
      </c>
      <c r="C174" s="28">
        <v>52</v>
      </c>
      <c r="D174" s="19">
        <f t="shared" si="10"/>
        <v>1.7333333333333334</v>
      </c>
      <c r="E174" s="5">
        <v>2.4300000000000002</v>
      </c>
      <c r="H174" s="19">
        <f t="shared" si="11"/>
        <v>104</v>
      </c>
      <c r="I174" t="b">
        <f t="shared" si="8"/>
        <v>1</v>
      </c>
      <c r="J174" s="4">
        <f t="shared" si="9"/>
        <v>-0.97663461538461538</v>
      </c>
      <c r="M174"/>
      <c r="O174" t="s">
        <v>287</v>
      </c>
      <c r="P174">
        <v>668</v>
      </c>
      <c r="Q174">
        <v>1066.51</v>
      </c>
    </row>
    <row r="175" spans="1:17">
      <c r="A175" s="143" t="s">
        <v>708</v>
      </c>
      <c r="B175" s="37" t="s">
        <v>709</v>
      </c>
      <c r="C175" s="28">
        <v>104</v>
      </c>
      <c r="D175" s="19">
        <f t="shared" si="10"/>
        <v>3.4666666666666668</v>
      </c>
      <c r="E175" s="5">
        <v>707.82</v>
      </c>
      <c r="H175" s="19">
        <f t="shared" si="11"/>
        <v>208</v>
      </c>
      <c r="I175" t="b">
        <f t="shared" si="8"/>
        <v>0</v>
      </c>
      <c r="J175" s="4">
        <f t="shared" si="9"/>
        <v>2.4029807692307696</v>
      </c>
      <c r="M175"/>
      <c r="O175" t="s">
        <v>784</v>
      </c>
      <c r="P175">
        <v>1509</v>
      </c>
      <c r="Q175">
        <v>1951.13</v>
      </c>
    </row>
    <row r="176" spans="1:17" hidden="1">
      <c r="A176" s="143" t="s">
        <v>349</v>
      </c>
      <c r="B176" s="37" t="s">
        <v>350</v>
      </c>
      <c r="C176" s="28">
        <v>1078</v>
      </c>
      <c r="D176" s="19">
        <f t="shared" si="10"/>
        <v>35.93333333333333</v>
      </c>
      <c r="E176" s="5">
        <v>1869.26</v>
      </c>
      <c r="H176" s="19">
        <f t="shared" si="11"/>
        <v>2156</v>
      </c>
      <c r="I176" t="b">
        <f t="shared" si="8"/>
        <v>1</v>
      </c>
      <c r="J176" s="4">
        <f t="shared" si="9"/>
        <v>-0.13299628942486086</v>
      </c>
      <c r="M176"/>
      <c r="O176" t="s">
        <v>171</v>
      </c>
      <c r="P176">
        <v>3022</v>
      </c>
      <c r="Q176">
        <v>5124.5200000000004</v>
      </c>
    </row>
    <row r="177" spans="1:17">
      <c r="A177" t="s">
        <v>736</v>
      </c>
      <c r="B177" t="s">
        <v>737</v>
      </c>
      <c r="C177" s="28">
        <v>54</v>
      </c>
      <c r="D177" s="19">
        <f t="shared" si="10"/>
        <v>1.8</v>
      </c>
      <c r="E177" s="5">
        <v>227.08</v>
      </c>
      <c r="H177" s="19">
        <f t="shared" si="11"/>
        <v>108</v>
      </c>
      <c r="I177" t="b">
        <f t="shared" si="8"/>
        <v>0</v>
      </c>
      <c r="J177" s="4">
        <f t="shared" si="9"/>
        <v>1.1025925925925928</v>
      </c>
      <c r="M177"/>
      <c r="O177" t="s">
        <v>575</v>
      </c>
      <c r="P177">
        <v>1145</v>
      </c>
      <c r="Q177">
        <v>1818.18</v>
      </c>
    </row>
    <row r="178" spans="1:17" hidden="1">
      <c r="A178" t="s">
        <v>168</v>
      </c>
      <c r="B178" t="s">
        <v>169</v>
      </c>
      <c r="C178" s="28">
        <v>2357</v>
      </c>
      <c r="D178" s="19">
        <f t="shared" si="10"/>
        <v>78.566666666666663</v>
      </c>
      <c r="E178" s="5">
        <v>1910.73</v>
      </c>
      <c r="H178" s="19">
        <f t="shared" si="11"/>
        <v>4714</v>
      </c>
      <c r="I178" t="b">
        <f t="shared" si="8"/>
        <v>1</v>
      </c>
      <c r="J178" s="4">
        <f t="shared" si="9"/>
        <v>-0.59466907085277887</v>
      </c>
      <c r="M178"/>
      <c r="O178" t="s">
        <v>186</v>
      </c>
      <c r="P178">
        <v>1394</v>
      </c>
      <c r="Q178">
        <v>1861.92</v>
      </c>
    </row>
    <row r="179" spans="1:17" hidden="1">
      <c r="A179" t="s">
        <v>288</v>
      </c>
      <c r="B179" t="s">
        <v>289</v>
      </c>
      <c r="C179" s="28">
        <v>1393</v>
      </c>
      <c r="D179" s="19">
        <f t="shared" si="10"/>
        <v>46.43333333333333</v>
      </c>
      <c r="E179" s="5">
        <v>1937.17</v>
      </c>
      <c r="H179" s="19">
        <f t="shared" si="11"/>
        <v>2786</v>
      </c>
      <c r="I179" t="b">
        <f t="shared" si="8"/>
        <v>1</v>
      </c>
      <c r="J179" s="4">
        <f t="shared" si="9"/>
        <v>-0.30467695620961954</v>
      </c>
      <c r="M179"/>
      <c r="O179" t="s">
        <v>21</v>
      </c>
      <c r="P179">
        <v>33472</v>
      </c>
      <c r="Q179">
        <v>35816.089999999997</v>
      </c>
    </row>
    <row r="180" spans="1:17">
      <c r="A180" t="s">
        <v>574</v>
      </c>
      <c r="B180" t="s">
        <v>575</v>
      </c>
      <c r="C180" s="28">
        <v>406</v>
      </c>
      <c r="D180" s="19">
        <f t="shared" si="10"/>
        <v>13.533333333333333</v>
      </c>
      <c r="E180" s="5">
        <v>1023.78</v>
      </c>
      <c r="H180" s="19">
        <f t="shared" si="11"/>
        <v>812</v>
      </c>
      <c r="I180" t="b">
        <f t="shared" si="8"/>
        <v>0</v>
      </c>
      <c r="J180" s="4">
        <f t="shared" si="9"/>
        <v>0.2608128078817733</v>
      </c>
      <c r="M180"/>
      <c r="O180" t="s">
        <v>437</v>
      </c>
      <c r="P180">
        <v>1079</v>
      </c>
      <c r="Q180">
        <v>1820.14</v>
      </c>
    </row>
    <row r="181" spans="1:17" hidden="1">
      <c r="A181" t="s">
        <v>296</v>
      </c>
      <c r="B181" t="s">
        <v>297</v>
      </c>
      <c r="C181" s="28">
        <v>1351</v>
      </c>
      <c r="D181" s="19">
        <f t="shared" si="10"/>
        <v>45.033333333333331</v>
      </c>
      <c r="E181" s="5">
        <v>1837.16</v>
      </c>
      <c r="H181" s="19">
        <f t="shared" si="11"/>
        <v>2702</v>
      </c>
      <c r="I181" t="b">
        <f t="shared" si="8"/>
        <v>1</v>
      </c>
      <c r="J181" s="4">
        <f>E181/H181-1</f>
        <v>-0.32007401924500367</v>
      </c>
      <c r="M181"/>
      <c r="O181" t="s">
        <v>111</v>
      </c>
      <c r="P181">
        <v>1417</v>
      </c>
      <c r="Q181">
        <v>2743.68</v>
      </c>
    </row>
    <row r="182" spans="1:17" hidden="1">
      <c r="A182" t="s">
        <v>759</v>
      </c>
      <c r="B182" t="s">
        <v>760</v>
      </c>
      <c r="C182" s="28">
        <v>26</v>
      </c>
      <c r="D182" s="19">
        <f t="shared" si="10"/>
        <v>0.8666666666666667</v>
      </c>
      <c r="E182" s="5">
        <v>2.42</v>
      </c>
      <c r="H182" s="19">
        <f t="shared" si="11"/>
        <v>52</v>
      </c>
      <c r="I182" t="b">
        <f t="shared" si="8"/>
        <v>1</v>
      </c>
      <c r="J182" s="4">
        <f t="shared" si="9"/>
        <v>-0.95346153846153847</v>
      </c>
      <c r="M182"/>
      <c r="O182" t="s">
        <v>518</v>
      </c>
      <c r="P182">
        <v>834</v>
      </c>
      <c r="Q182">
        <v>558.63</v>
      </c>
    </row>
    <row r="183" spans="1:17" hidden="1">
      <c r="A183" t="s">
        <v>698</v>
      </c>
      <c r="B183" t="s">
        <v>699</v>
      </c>
      <c r="C183" s="28">
        <v>131</v>
      </c>
      <c r="D183" s="19">
        <f t="shared" si="10"/>
        <v>4.3666666666666663</v>
      </c>
      <c r="E183" s="5">
        <v>135.21</v>
      </c>
      <c r="H183" s="19">
        <f t="shared" si="11"/>
        <v>262</v>
      </c>
      <c r="I183" t="b">
        <f t="shared" si="8"/>
        <v>1</v>
      </c>
      <c r="J183" s="4">
        <f t="shared" si="9"/>
        <v>-0.4839312977099236</v>
      </c>
      <c r="O183" t="s">
        <v>155</v>
      </c>
      <c r="P183">
        <v>1625</v>
      </c>
      <c r="Q183">
        <v>2545.71</v>
      </c>
    </row>
    <row r="184" spans="1:17" hidden="1">
      <c r="A184" t="s">
        <v>628</v>
      </c>
      <c r="B184" t="s">
        <v>629</v>
      </c>
      <c r="C184" s="28">
        <v>303</v>
      </c>
      <c r="D184" s="19">
        <f t="shared" si="10"/>
        <v>10.1</v>
      </c>
      <c r="E184" s="5">
        <v>0</v>
      </c>
      <c r="H184" s="19">
        <f t="shared" si="11"/>
        <v>606</v>
      </c>
      <c r="I184" t="b">
        <f t="shared" si="8"/>
        <v>1</v>
      </c>
      <c r="J184" s="4">
        <f t="shared" si="9"/>
        <v>-1</v>
      </c>
      <c r="M184"/>
      <c r="O184" t="s">
        <v>151</v>
      </c>
      <c r="P184">
        <v>1102</v>
      </c>
      <c r="Q184">
        <v>2842.03</v>
      </c>
    </row>
    <row r="185" spans="1:17" hidden="1">
      <c r="A185" s="143" t="s">
        <v>148</v>
      </c>
      <c r="B185" s="37" t="s">
        <v>149</v>
      </c>
      <c r="C185" s="28">
        <v>2475</v>
      </c>
      <c r="D185" s="19">
        <f t="shared" si="10"/>
        <v>82.5</v>
      </c>
      <c r="E185" s="5">
        <v>3219.59</v>
      </c>
      <c r="H185" s="19">
        <f t="shared" si="11"/>
        <v>4950</v>
      </c>
      <c r="I185" t="b">
        <f t="shared" si="8"/>
        <v>1</v>
      </c>
      <c r="J185" s="4">
        <f t="shared" si="9"/>
        <v>-0.34957777777777777</v>
      </c>
      <c r="M185"/>
      <c r="O185" t="s">
        <v>261</v>
      </c>
      <c r="P185">
        <v>2369</v>
      </c>
      <c r="Q185">
        <v>4283</v>
      </c>
    </row>
    <row r="186" spans="1:17" hidden="1">
      <c r="A186" s="143" t="s">
        <v>500</v>
      </c>
      <c r="B186" s="37" t="s">
        <v>501</v>
      </c>
      <c r="C186" s="28">
        <v>640</v>
      </c>
      <c r="D186" s="19">
        <f t="shared" si="10"/>
        <v>21.333333333333332</v>
      </c>
      <c r="E186" s="5">
        <v>1042.71</v>
      </c>
      <c r="H186" s="19">
        <f t="shared" si="11"/>
        <v>1280</v>
      </c>
      <c r="I186" t="b">
        <f t="shared" si="8"/>
        <v>1</v>
      </c>
      <c r="J186" s="4">
        <f t="shared" si="9"/>
        <v>-0.18538281249999999</v>
      </c>
      <c r="M186"/>
      <c r="O186" t="s">
        <v>705</v>
      </c>
      <c r="P186">
        <v>399</v>
      </c>
      <c r="Q186">
        <v>1084.67</v>
      </c>
    </row>
    <row r="187" spans="1:17" hidden="1">
      <c r="A187" s="54" t="s">
        <v>238</v>
      </c>
      <c r="B187" s="37" t="s">
        <v>239</v>
      </c>
      <c r="C187" s="28">
        <v>1713</v>
      </c>
      <c r="D187" s="19">
        <f t="shared" si="10"/>
        <v>57.1</v>
      </c>
      <c r="E187" s="5">
        <v>3315.32</v>
      </c>
      <c r="H187" s="19">
        <f t="shared" si="11"/>
        <v>3426</v>
      </c>
      <c r="I187" t="b">
        <f t="shared" si="8"/>
        <v>1</v>
      </c>
      <c r="J187" s="4">
        <f t="shared" si="9"/>
        <v>-3.2305896088733133E-2</v>
      </c>
      <c r="M187"/>
      <c r="O187" t="s">
        <v>346</v>
      </c>
      <c r="P187">
        <v>2274</v>
      </c>
      <c r="Q187">
        <v>2660.71</v>
      </c>
    </row>
    <row r="188" spans="1:17" hidden="1">
      <c r="A188" t="s">
        <v>817</v>
      </c>
      <c r="B188" t="s">
        <v>818</v>
      </c>
      <c r="C188" s="28">
        <v>0</v>
      </c>
      <c r="D188" s="19">
        <f t="shared" si="10"/>
        <v>0</v>
      </c>
      <c r="E188" s="5">
        <v>0</v>
      </c>
      <c r="H188" s="19">
        <f t="shared" si="11"/>
        <v>0</v>
      </c>
      <c r="I188" t="b">
        <f t="shared" si="8"/>
        <v>1</v>
      </c>
      <c r="J188" s="4" t="e">
        <f t="shared" si="9"/>
        <v>#DIV/0!</v>
      </c>
      <c r="M188"/>
      <c r="O188" t="s">
        <v>495</v>
      </c>
      <c r="P188">
        <v>15</v>
      </c>
      <c r="Q188">
        <v>6.29</v>
      </c>
    </row>
    <row r="189" spans="1:17" hidden="1">
      <c r="A189" t="s">
        <v>473</v>
      </c>
      <c r="B189" t="s">
        <v>474</v>
      </c>
      <c r="C189" s="28">
        <v>706</v>
      </c>
      <c r="D189" s="19">
        <f t="shared" si="10"/>
        <v>23.533333333333335</v>
      </c>
      <c r="E189" s="5">
        <v>968.48</v>
      </c>
      <c r="H189" s="19">
        <f t="shared" si="11"/>
        <v>1412</v>
      </c>
      <c r="I189" t="b">
        <f t="shared" ref="I189:I246" si="12">IF(E189&gt;1.2*H189,FALSE,TRUE)</f>
        <v>1</v>
      </c>
      <c r="J189" s="4">
        <f t="shared" ref="J189:J246" si="13">E189/H189-1</f>
        <v>-0.31410764872521246</v>
      </c>
      <c r="M189"/>
      <c r="O189" t="s">
        <v>272</v>
      </c>
      <c r="P189">
        <v>1363</v>
      </c>
      <c r="Q189">
        <v>2351.85</v>
      </c>
    </row>
    <row r="190" spans="1:17" hidden="1">
      <c r="A190" t="s">
        <v>400</v>
      </c>
      <c r="B190" t="s">
        <v>401</v>
      </c>
      <c r="C190" s="28">
        <v>893</v>
      </c>
      <c r="D190" s="19">
        <f t="shared" si="10"/>
        <v>29.766666666666666</v>
      </c>
      <c r="E190" s="5">
        <v>1190.75</v>
      </c>
      <c r="H190" s="19">
        <f t="shared" si="11"/>
        <v>1786</v>
      </c>
      <c r="I190" t="b">
        <f t="shared" si="12"/>
        <v>1</v>
      </c>
      <c r="J190" s="4">
        <f t="shared" si="13"/>
        <v>-0.33328667413213886</v>
      </c>
      <c r="M190"/>
      <c r="O190" t="s">
        <v>127</v>
      </c>
      <c r="P190">
        <v>3262</v>
      </c>
      <c r="Q190">
        <v>5310.92</v>
      </c>
    </row>
    <row r="191" spans="1:17" hidden="1">
      <c r="A191" t="s">
        <v>728</v>
      </c>
      <c r="B191" t="s">
        <v>729</v>
      </c>
      <c r="C191" s="28">
        <v>63</v>
      </c>
      <c r="D191" s="19">
        <f t="shared" si="10"/>
        <v>2.1</v>
      </c>
      <c r="E191" s="5">
        <v>0</v>
      </c>
      <c r="H191" s="19">
        <f t="shared" si="11"/>
        <v>126</v>
      </c>
      <c r="I191" t="b">
        <f t="shared" si="12"/>
        <v>1</v>
      </c>
      <c r="J191" s="4">
        <f t="shared" si="13"/>
        <v>-1</v>
      </c>
      <c r="M191"/>
      <c r="O191" t="s">
        <v>295</v>
      </c>
      <c r="P191">
        <v>1048</v>
      </c>
      <c r="Q191">
        <v>1891.9</v>
      </c>
    </row>
    <row r="192" spans="1:17" hidden="1">
      <c r="A192" t="s">
        <v>671</v>
      </c>
      <c r="B192" t="s">
        <v>672</v>
      </c>
      <c r="C192" s="28">
        <v>190</v>
      </c>
      <c r="D192" s="19">
        <f t="shared" si="10"/>
        <v>6.333333333333333</v>
      </c>
      <c r="E192" s="5">
        <v>0</v>
      </c>
      <c r="H192" s="19">
        <f t="shared" si="11"/>
        <v>380</v>
      </c>
      <c r="I192" t="b">
        <f t="shared" si="12"/>
        <v>1</v>
      </c>
      <c r="J192" s="4">
        <f t="shared" si="13"/>
        <v>-1</v>
      </c>
      <c r="M192"/>
      <c r="O192" t="s">
        <v>656</v>
      </c>
      <c r="P192">
        <v>1647</v>
      </c>
      <c r="Q192">
        <v>2183.27</v>
      </c>
    </row>
    <row r="193" spans="1:17" hidden="1">
      <c r="A193" t="s">
        <v>333</v>
      </c>
      <c r="B193" t="s">
        <v>334</v>
      </c>
      <c r="C193" s="28">
        <v>1126</v>
      </c>
      <c r="D193" s="19">
        <f t="shared" si="10"/>
        <v>37.533333333333331</v>
      </c>
      <c r="E193" s="5">
        <v>1491.89</v>
      </c>
      <c r="H193" s="19">
        <f t="shared" si="11"/>
        <v>2252</v>
      </c>
      <c r="I193" t="b">
        <f t="shared" si="12"/>
        <v>1</v>
      </c>
      <c r="J193" s="4">
        <f t="shared" si="13"/>
        <v>-0.33752664298401414</v>
      </c>
      <c r="M193"/>
      <c r="O193" t="s">
        <v>687</v>
      </c>
      <c r="P193">
        <v>704</v>
      </c>
      <c r="Q193">
        <v>1247.75</v>
      </c>
    </row>
    <row r="194" spans="1:17" hidden="1">
      <c r="A194" s="54" t="s">
        <v>438</v>
      </c>
      <c r="B194" s="37" t="s">
        <v>439</v>
      </c>
      <c r="C194" s="19">
        <v>790</v>
      </c>
      <c r="D194" s="19">
        <f t="shared" si="10"/>
        <v>26.333333333333332</v>
      </c>
      <c r="E194" s="5">
        <v>1492.59</v>
      </c>
      <c r="H194" s="19">
        <f t="shared" si="11"/>
        <v>1580</v>
      </c>
      <c r="I194" t="b">
        <f t="shared" si="12"/>
        <v>1</v>
      </c>
      <c r="J194" s="4">
        <f t="shared" si="13"/>
        <v>-5.5322784810126646E-2</v>
      </c>
      <c r="M194"/>
      <c r="O194" t="s">
        <v>276</v>
      </c>
      <c r="P194">
        <v>1322</v>
      </c>
      <c r="Q194">
        <v>3434.74</v>
      </c>
    </row>
    <row r="195" spans="1:17" hidden="1">
      <c r="A195" t="s">
        <v>128</v>
      </c>
      <c r="B195" t="s">
        <v>129</v>
      </c>
      <c r="C195" s="28">
        <v>2746</v>
      </c>
      <c r="D195" s="19">
        <f t="shared" ref="D195:D258" si="14">C195/30</f>
        <v>91.533333333333331</v>
      </c>
      <c r="E195" s="5">
        <v>1065.21</v>
      </c>
      <c r="H195" s="19">
        <f t="shared" ref="H195:H258" si="15">IF((C195/30)&gt;100,C195*2,C195*2)</f>
        <v>5492</v>
      </c>
      <c r="I195" t="b">
        <f t="shared" si="12"/>
        <v>1</v>
      </c>
      <c r="J195" s="4">
        <f t="shared" si="13"/>
        <v>-0.80604333576110709</v>
      </c>
      <c r="M195"/>
      <c r="O195" t="s">
        <v>177</v>
      </c>
      <c r="P195">
        <v>1858</v>
      </c>
      <c r="Q195">
        <v>2426.17</v>
      </c>
    </row>
    <row r="196" spans="1:17" hidden="1">
      <c r="A196" t="s">
        <v>523</v>
      </c>
      <c r="B196" t="s">
        <v>524</v>
      </c>
      <c r="C196" s="28">
        <v>567</v>
      </c>
      <c r="D196" s="19">
        <f t="shared" si="14"/>
        <v>18.899999999999999</v>
      </c>
      <c r="E196" s="5">
        <v>674.03</v>
      </c>
      <c r="H196" s="19">
        <f t="shared" si="15"/>
        <v>1134</v>
      </c>
      <c r="I196" t="b">
        <f t="shared" si="12"/>
        <v>1</v>
      </c>
      <c r="J196" s="4">
        <f t="shared" si="13"/>
        <v>-0.40561728395061736</v>
      </c>
      <c r="M196"/>
      <c r="O196" t="s">
        <v>330</v>
      </c>
      <c r="P196">
        <v>1829</v>
      </c>
      <c r="Q196">
        <v>3966.6</v>
      </c>
    </row>
    <row r="197" spans="1:17">
      <c r="A197" s="54" t="s">
        <v>769</v>
      </c>
      <c r="B197" s="37" t="s">
        <v>770</v>
      </c>
      <c r="C197" s="19">
        <v>1</v>
      </c>
      <c r="D197" s="19">
        <f t="shared" si="14"/>
        <v>3.3333333333333333E-2</v>
      </c>
      <c r="E197" s="5">
        <v>2.6</v>
      </c>
      <c r="H197" s="19">
        <f t="shared" si="15"/>
        <v>2</v>
      </c>
      <c r="I197" t="b">
        <f t="shared" si="12"/>
        <v>0</v>
      </c>
      <c r="J197" s="4">
        <f t="shared" si="13"/>
        <v>0.30000000000000004</v>
      </c>
      <c r="O197" t="s">
        <v>810</v>
      </c>
      <c r="P197">
        <v>1488</v>
      </c>
      <c r="Q197">
        <v>1258.69</v>
      </c>
    </row>
    <row r="198" spans="1:17" hidden="1">
      <c r="A198" t="s">
        <v>746</v>
      </c>
      <c r="B198" t="s">
        <v>747</v>
      </c>
      <c r="C198" s="28">
        <v>43</v>
      </c>
      <c r="D198" s="19">
        <f t="shared" si="14"/>
        <v>1.4333333333333333</v>
      </c>
      <c r="E198" s="5">
        <v>1.1200000000000001</v>
      </c>
      <c r="H198" s="19">
        <f t="shared" si="15"/>
        <v>86</v>
      </c>
      <c r="I198" t="b">
        <f t="shared" si="12"/>
        <v>1</v>
      </c>
      <c r="J198" s="4">
        <f t="shared" si="13"/>
        <v>-0.98697674418604653</v>
      </c>
      <c r="M198"/>
      <c r="O198" t="s">
        <v>76</v>
      </c>
      <c r="P198">
        <v>4708</v>
      </c>
      <c r="Q198">
        <v>8799.1</v>
      </c>
    </row>
    <row r="199" spans="1:17" hidden="1">
      <c r="A199" t="s">
        <v>494</v>
      </c>
      <c r="B199" t="s">
        <v>495</v>
      </c>
      <c r="C199" s="28">
        <v>662</v>
      </c>
      <c r="D199" s="19">
        <f t="shared" si="14"/>
        <v>22.066666666666666</v>
      </c>
      <c r="E199" s="5">
        <v>1229.4100000000001</v>
      </c>
      <c r="H199" s="19">
        <f t="shared" si="15"/>
        <v>1324</v>
      </c>
      <c r="I199" t="b">
        <f t="shared" si="12"/>
        <v>1</v>
      </c>
      <c r="J199" s="4">
        <f t="shared" si="13"/>
        <v>-7.1442598187311135E-2</v>
      </c>
      <c r="M199"/>
      <c r="O199" t="s">
        <v>153</v>
      </c>
      <c r="P199">
        <v>1863</v>
      </c>
      <c r="Q199">
        <v>2162.81</v>
      </c>
    </row>
    <row r="200" spans="1:17" hidden="1">
      <c r="A200" s="54" t="s">
        <v>634</v>
      </c>
      <c r="B200" s="37" t="s">
        <v>635</v>
      </c>
      <c r="C200" s="19">
        <v>285</v>
      </c>
      <c r="D200" s="19">
        <f t="shared" si="14"/>
        <v>9.5</v>
      </c>
      <c r="E200" s="5">
        <v>352.04999999999995</v>
      </c>
      <c r="H200" s="19">
        <f t="shared" si="15"/>
        <v>570</v>
      </c>
      <c r="I200" t="b">
        <f t="shared" si="12"/>
        <v>1</v>
      </c>
      <c r="J200" s="4">
        <f t="shared" si="13"/>
        <v>-0.38236842105263169</v>
      </c>
      <c r="M200"/>
      <c r="O200" t="s">
        <v>681</v>
      </c>
      <c r="P200">
        <v>872</v>
      </c>
      <c r="Q200">
        <v>1214.8699999999999</v>
      </c>
    </row>
    <row r="201" spans="1:17" hidden="1">
      <c r="A201" t="s">
        <v>722</v>
      </c>
      <c r="B201" t="s">
        <v>723</v>
      </c>
      <c r="C201" s="28">
        <v>73</v>
      </c>
      <c r="D201" s="19">
        <f t="shared" si="14"/>
        <v>2.4333333333333331</v>
      </c>
      <c r="E201" s="5">
        <v>0.9</v>
      </c>
      <c r="H201" s="19">
        <f t="shared" si="15"/>
        <v>146</v>
      </c>
      <c r="I201" t="b">
        <f t="shared" si="12"/>
        <v>1</v>
      </c>
      <c r="J201" s="4">
        <f t="shared" si="13"/>
        <v>-0.99383561643835616</v>
      </c>
      <c r="M201"/>
      <c r="O201" t="s">
        <v>522</v>
      </c>
      <c r="P201">
        <v>881</v>
      </c>
      <c r="Q201">
        <v>1652.3</v>
      </c>
    </row>
    <row r="202" spans="1:17" ht="14.25" hidden="1" customHeight="1">
      <c r="A202" t="s">
        <v>65</v>
      </c>
      <c r="B202" t="s">
        <v>66</v>
      </c>
      <c r="C202" s="28">
        <v>5476</v>
      </c>
      <c r="D202" s="19">
        <f t="shared" si="14"/>
        <v>182.53333333333333</v>
      </c>
      <c r="E202" s="5">
        <v>4344.22</v>
      </c>
      <c r="H202" s="19">
        <f t="shared" si="15"/>
        <v>10952</v>
      </c>
      <c r="I202" t="b">
        <f t="shared" si="12"/>
        <v>1</v>
      </c>
      <c r="J202" s="4">
        <f t="shared" si="13"/>
        <v>-0.60334002921840757</v>
      </c>
      <c r="M202"/>
      <c r="O202" t="s">
        <v>141</v>
      </c>
      <c r="P202">
        <v>1829</v>
      </c>
      <c r="Q202">
        <v>4095.28</v>
      </c>
    </row>
    <row r="203" spans="1:17" hidden="1">
      <c r="A203" t="s">
        <v>630</v>
      </c>
      <c r="B203" t="s">
        <v>631</v>
      </c>
      <c r="C203" s="28">
        <v>286</v>
      </c>
      <c r="D203" s="19">
        <f t="shared" si="14"/>
        <v>9.5333333333333332</v>
      </c>
      <c r="E203" s="5">
        <v>283.83</v>
      </c>
      <c r="H203" s="19">
        <f t="shared" si="15"/>
        <v>572</v>
      </c>
      <c r="I203" t="b">
        <f t="shared" si="12"/>
        <v>1</v>
      </c>
      <c r="J203" s="4">
        <f t="shared" si="13"/>
        <v>-0.50379370629370634</v>
      </c>
      <c r="M203"/>
      <c r="O203" t="s">
        <v>1520</v>
      </c>
      <c r="P203">
        <v>0</v>
      </c>
      <c r="Q203">
        <v>0</v>
      </c>
    </row>
    <row r="204" spans="1:17" hidden="1">
      <c r="A204" t="s">
        <v>716</v>
      </c>
      <c r="B204" t="s">
        <v>717</v>
      </c>
      <c r="C204" s="28">
        <v>86</v>
      </c>
      <c r="D204" s="19">
        <f t="shared" si="14"/>
        <v>2.8666666666666667</v>
      </c>
      <c r="E204" s="5">
        <v>0</v>
      </c>
      <c r="H204" s="19">
        <f t="shared" si="15"/>
        <v>172</v>
      </c>
      <c r="I204" t="b">
        <f t="shared" si="12"/>
        <v>1</v>
      </c>
      <c r="J204" s="4">
        <f t="shared" si="13"/>
        <v>-1</v>
      </c>
      <c r="M204"/>
      <c r="O204" t="s">
        <v>60</v>
      </c>
      <c r="P204">
        <v>3661</v>
      </c>
      <c r="Q204">
        <v>7728.05</v>
      </c>
    </row>
    <row r="205" spans="1:17">
      <c r="A205" s="142" t="s">
        <v>696</v>
      </c>
      <c r="B205" s="37" t="s">
        <v>697</v>
      </c>
      <c r="C205" s="28">
        <v>143</v>
      </c>
      <c r="D205" s="19">
        <f t="shared" si="14"/>
        <v>4.7666666666666666</v>
      </c>
      <c r="E205" s="5">
        <v>398.4</v>
      </c>
      <c r="H205" s="19">
        <f t="shared" si="15"/>
        <v>286</v>
      </c>
      <c r="I205" t="b">
        <f t="shared" si="12"/>
        <v>0</v>
      </c>
      <c r="J205" s="4">
        <f t="shared" si="13"/>
        <v>0.39300699300699282</v>
      </c>
      <c r="M205"/>
      <c r="O205" t="s">
        <v>427</v>
      </c>
      <c r="P205">
        <v>941</v>
      </c>
      <c r="Q205">
        <v>2119.17</v>
      </c>
    </row>
    <row r="206" spans="1:17" hidden="1">
      <c r="A206" s="54" t="s">
        <v>639</v>
      </c>
      <c r="B206" s="37" t="s">
        <v>640</v>
      </c>
      <c r="C206" s="28">
        <v>278</v>
      </c>
      <c r="D206" s="19">
        <f t="shared" si="14"/>
        <v>9.2666666666666675</v>
      </c>
      <c r="E206" s="5">
        <v>523.67999999999995</v>
      </c>
      <c r="H206" s="19">
        <f t="shared" si="15"/>
        <v>556</v>
      </c>
      <c r="I206" t="b">
        <f t="shared" si="12"/>
        <v>1</v>
      </c>
      <c r="J206" s="4">
        <f t="shared" si="13"/>
        <v>-5.8129496402877789E-2</v>
      </c>
      <c r="M206"/>
      <c r="O206" t="s">
        <v>528</v>
      </c>
      <c r="P206">
        <v>1614</v>
      </c>
      <c r="Q206">
        <v>3807.06</v>
      </c>
    </row>
    <row r="207" spans="1:17">
      <c r="A207" t="s">
        <v>706</v>
      </c>
      <c r="B207" t="s">
        <v>707</v>
      </c>
      <c r="C207" s="28">
        <v>110</v>
      </c>
      <c r="D207" s="19">
        <f t="shared" si="14"/>
        <v>3.6666666666666665</v>
      </c>
      <c r="E207" s="5">
        <v>318.18</v>
      </c>
      <c r="H207" s="19">
        <f t="shared" si="15"/>
        <v>220</v>
      </c>
      <c r="I207" t="b">
        <f t="shared" si="12"/>
        <v>0</v>
      </c>
      <c r="J207" s="4">
        <f t="shared" si="13"/>
        <v>0.44627272727272738</v>
      </c>
      <c r="M207"/>
      <c r="O207" t="s">
        <v>336</v>
      </c>
      <c r="P207">
        <v>627</v>
      </c>
      <c r="Q207">
        <v>626.16</v>
      </c>
    </row>
    <row r="208" spans="1:17" hidden="1">
      <c r="A208" s="142" t="s">
        <v>651</v>
      </c>
      <c r="B208" s="37" t="s">
        <v>652</v>
      </c>
      <c r="C208" s="28">
        <v>246</v>
      </c>
      <c r="D208" s="19">
        <f t="shared" si="14"/>
        <v>8.1999999999999993</v>
      </c>
      <c r="E208" s="5">
        <v>175.74</v>
      </c>
      <c r="H208" s="19">
        <f t="shared" si="15"/>
        <v>492</v>
      </c>
      <c r="I208" t="b">
        <f t="shared" si="12"/>
        <v>1</v>
      </c>
      <c r="J208" s="4">
        <f t="shared" si="13"/>
        <v>-0.6428048780487805</v>
      </c>
      <c r="M208"/>
      <c r="O208" t="s">
        <v>291</v>
      </c>
      <c r="P208">
        <v>1753</v>
      </c>
      <c r="Q208">
        <v>1596.89</v>
      </c>
    </row>
    <row r="209" spans="1:17" hidden="1">
      <c r="A209" t="s">
        <v>750</v>
      </c>
      <c r="B209" t="s">
        <v>751</v>
      </c>
      <c r="C209" s="28">
        <v>42</v>
      </c>
      <c r="D209" s="19">
        <f t="shared" si="14"/>
        <v>1.4</v>
      </c>
      <c r="E209" s="5">
        <v>0</v>
      </c>
      <c r="H209" s="19">
        <f t="shared" si="15"/>
        <v>84</v>
      </c>
      <c r="I209" t="b">
        <f t="shared" si="12"/>
        <v>1</v>
      </c>
      <c r="J209" s="4">
        <f t="shared" si="13"/>
        <v>-1</v>
      </c>
      <c r="M209"/>
      <c r="O209" t="s">
        <v>361</v>
      </c>
      <c r="P209">
        <v>1376</v>
      </c>
      <c r="Q209">
        <v>2237.9499999999998</v>
      </c>
    </row>
    <row r="210" spans="1:17" hidden="1">
      <c r="A210" t="s">
        <v>206</v>
      </c>
      <c r="B210" t="s">
        <v>207</v>
      </c>
      <c r="C210" s="28">
        <v>1943</v>
      </c>
      <c r="D210" s="19">
        <f t="shared" si="14"/>
        <v>64.766666666666666</v>
      </c>
      <c r="E210" s="5">
        <v>2440.9299999999998</v>
      </c>
      <c r="H210" s="19">
        <f t="shared" si="15"/>
        <v>3886</v>
      </c>
      <c r="I210" t="b">
        <f t="shared" si="12"/>
        <v>1</v>
      </c>
      <c r="J210" s="4">
        <f t="shared" si="13"/>
        <v>-0.37186567164179107</v>
      </c>
      <c r="M210"/>
      <c r="O210" t="s">
        <v>508</v>
      </c>
      <c r="P210">
        <v>351</v>
      </c>
      <c r="Q210">
        <v>625.14</v>
      </c>
    </row>
    <row r="211" spans="1:17" hidden="1">
      <c r="A211" s="54" t="s">
        <v>284</v>
      </c>
      <c r="B211" s="37" t="s">
        <v>285</v>
      </c>
      <c r="C211" s="19">
        <v>1427</v>
      </c>
      <c r="D211" s="19">
        <f>C211/30</f>
        <v>47.56666666666667</v>
      </c>
      <c r="E211" s="5">
        <v>3130.51</v>
      </c>
      <c r="H211" s="19">
        <f t="shared" si="15"/>
        <v>2854</v>
      </c>
      <c r="I211" t="b">
        <f t="shared" si="12"/>
        <v>1</v>
      </c>
      <c r="J211" s="4">
        <f t="shared" si="13"/>
        <v>9.6885073580939007E-2</v>
      </c>
      <c r="M211"/>
      <c r="O211" t="s">
        <v>88</v>
      </c>
      <c r="P211">
        <v>4617</v>
      </c>
      <c r="Q211">
        <v>5247.92</v>
      </c>
    </row>
    <row r="212" spans="1:17">
      <c r="A212" t="s">
        <v>714</v>
      </c>
      <c r="B212" t="s">
        <v>715</v>
      </c>
      <c r="C212" s="28">
        <v>89</v>
      </c>
      <c r="D212" s="19">
        <f t="shared" si="14"/>
        <v>2.9666666666666668</v>
      </c>
      <c r="E212" s="18">
        <v>261.19</v>
      </c>
      <c r="H212" s="19">
        <f t="shared" si="15"/>
        <v>178</v>
      </c>
      <c r="I212" t="b">
        <f t="shared" si="12"/>
        <v>0</v>
      </c>
      <c r="J212" s="4">
        <f t="shared" si="13"/>
        <v>0.46735955056179779</v>
      </c>
      <c r="M212"/>
      <c r="O212" t="s">
        <v>245</v>
      </c>
      <c r="P212">
        <v>3350</v>
      </c>
      <c r="Q212">
        <v>6045.53</v>
      </c>
    </row>
    <row r="213" spans="1:17" hidden="1">
      <c r="A213" s="54" t="s">
        <v>384</v>
      </c>
      <c r="B213" s="37" t="s">
        <v>385</v>
      </c>
      <c r="C213" s="28">
        <v>923</v>
      </c>
      <c r="D213" s="19">
        <f t="shared" si="14"/>
        <v>30.766666666666666</v>
      </c>
      <c r="E213" s="5">
        <v>1483.97</v>
      </c>
      <c r="H213" s="19">
        <f t="shared" si="15"/>
        <v>1846</v>
      </c>
      <c r="I213" t="b">
        <f t="shared" si="12"/>
        <v>1</v>
      </c>
      <c r="J213" s="4">
        <f t="shared" si="13"/>
        <v>-0.19611592632719388</v>
      </c>
      <c r="M213"/>
      <c r="O213" t="s">
        <v>320</v>
      </c>
      <c r="P213">
        <v>1866</v>
      </c>
      <c r="Q213">
        <v>3855.15</v>
      </c>
    </row>
    <row r="214" spans="1:17" hidden="1">
      <c r="A214" t="s">
        <v>799</v>
      </c>
      <c r="B214" t="s">
        <v>800</v>
      </c>
      <c r="C214" s="28">
        <v>0</v>
      </c>
      <c r="D214" s="19">
        <f t="shared" si="14"/>
        <v>0</v>
      </c>
      <c r="E214" s="5">
        <v>0</v>
      </c>
      <c r="H214" s="19">
        <f t="shared" si="15"/>
        <v>0</v>
      </c>
      <c r="I214" t="b">
        <f t="shared" si="12"/>
        <v>1</v>
      </c>
      <c r="J214" s="4" t="e">
        <f t="shared" si="13"/>
        <v>#DIV/0!</v>
      </c>
      <c r="M214"/>
      <c r="O214" t="s">
        <v>363</v>
      </c>
      <c r="P214">
        <v>1077</v>
      </c>
      <c r="Q214">
        <v>3291.87</v>
      </c>
    </row>
    <row r="215" spans="1:17" hidden="1">
      <c r="A215" t="s">
        <v>240</v>
      </c>
      <c r="B215" t="s">
        <v>241</v>
      </c>
      <c r="C215" s="28">
        <v>1712</v>
      </c>
      <c r="D215" s="19">
        <f t="shared" si="14"/>
        <v>57.06666666666667</v>
      </c>
      <c r="E215" s="5">
        <v>2937.39</v>
      </c>
      <c r="H215" s="19">
        <f t="shared" si="15"/>
        <v>3424</v>
      </c>
      <c r="I215" t="b">
        <f t="shared" si="12"/>
        <v>1</v>
      </c>
      <c r="J215" s="4">
        <f t="shared" si="13"/>
        <v>-0.14211740654205607</v>
      </c>
      <c r="M215"/>
      <c r="O215" t="s">
        <v>691</v>
      </c>
      <c r="P215">
        <v>746</v>
      </c>
      <c r="Q215">
        <v>1167.75</v>
      </c>
    </row>
    <row r="216" spans="1:17" hidden="1">
      <c r="A216" t="s">
        <v>690</v>
      </c>
      <c r="B216" t="s">
        <v>691</v>
      </c>
      <c r="C216" s="28">
        <v>159</v>
      </c>
      <c r="D216" s="19">
        <f t="shared" si="14"/>
        <v>5.3</v>
      </c>
      <c r="E216" s="5">
        <v>34.770000000000003</v>
      </c>
      <c r="H216" s="19">
        <f t="shared" si="15"/>
        <v>318</v>
      </c>
      <c r="I216" t="b">
        <f t="shared" si="12"/>
        <v>1</v>
      </c>
      <c r="J216" s="4">
        <f t="shared" si="13"/>
        <v>-0.89066037735849057</v>
      </c>
      <c r="M216"/>
      <c r="O216" t="s">
        <v>129</v>
      </c>
      <c r="P216">
        <v>1508</v>
      </c>
      <c r="Q216">
        <v>26.36</v>
      </c>
    </row>
    <row r="217" spans="1:17" hidden="1">
      <c r="A217" t="s">
        <v>744</v>
      </c>
      <c r="B217" t="s">
        <v>745</v>
      </c>
      <c r="C217" s="28">
        <v>44</v>
      </c>
      <c r="D217" s="19">
        <f t="shared" si="14"/>
        <v>1.4666666666666666</v>
      </c>
      <c r="E217" s="5">
        <v>7.53</v>
      </c>
      <c r="H217" s="19">
        <f t="shared" si="15"/>
        <v>88</v>
      </c>
      <c r="I217" t="b">
        <f t="shared" si="12"/>
        <v>1</v>
      </c>
      <c r="J217" s="4">
        <f t="shared" si="13"/>
        <v>-0.91443181818181818</v>
      </c>
      <c r="M217"/>
      <c r="O217" t="s">
        <v>322</v>
      </c>
      <c r="P217">
        <v>1031</v>
      </c>
      <c r="Q217">
        <v>2527.0700000000002</v>
      </c>
    </row>
    <row r="218" spans="1:17" hidden="1">
      <c r="A218" t="s">
        <v>352</v>
      </c>
      <c r="B218" t="s">
        <v>353</v>
      </c>
      <c r="C218" s="28">
        <v>1077</v>
      </c>
      <c r="D218" s="19">
        <f t="shared" si="14"/>
        <v>35.9</v>
      </c>
      <c r="E218" s="5">
        <v>297.7</v>
      </c>
      <c r="H218" s="19">
        <f t="shared" si="15"/>
        <v>2154</v>
      </c>
      <c r="I218" t="b">
        <f t="shared" si="12"/>
        <v>1</v>
      </c>
      <c r="J218" s="4">
        <f t="shared" si="13"/>
        <v>-0.8617920148560817</v>
      </c>
      <c r="O218" t="s">
        <v>78</v>
      </c>
      <c r="P218">
        <v>4286</v>
      </c>
      <c r="Q218">
        <v>4897.3</v>
      </c>
    </row>
    <row r="219" spans="1:17">
      <c r="A219" s="54" t="s">
        <v>538</v>
      </c>
      <c r="B219" s="37" t="s">
        <v>539</v>
      </c>
      <c r="C219" s="28">
        <v>517</v>
      </c>
      <c r="D219" s="19">
        <f t="shared" si="14"/>
        <v>17.233333333333334</v>
      </c>
      <c r="E219" s="5">
        <v>1528.72</v>
      </c>
      <c r="H219" s="19">
        <f t="shared" si="15"/>
        <v>1034</v>
      </c>
      <c r="I219" t="b">
        <f t="shared" si="12"/>
        <v>0</v>
      </c>
      <c r="J219" s="4">
        <f t="shared" si="13"/>
        <v>0.47845261121856875</v>
      </c>
      <c r="M219"/>
      <c r="O219" t="s">
        <v>86</v>
      </c>
      <c r="P219">
        <v>5987</v>
      </c>
      <c r="Q219">
        <v>6518.57</v>
      </c>
    </row>
    <row r="220" spans="1:17" hidden="1">
      <c r="A220" s="54" t="s">
        <v>477</v>
      </c>
      <c r="B220" s="37" t="s">
        <v>478</v>
      </c>
      <c r="C220" s="28">
        <v>702</v>
      </c>
      <c r="D220" s="19">
        <f t="shared" si="14"/>
        <v>23.4</v>
      </c>
      <c r="E220" s="5">
        <v>1632.4</v>
      </c>
      <c r="H220" s="19">
        <f t="shared" si="15"/>
        <v>1404</v>
      </c>
      <c r="I220" t="b">
        <f t="shared" si="12"/>
        <v>1</v>
      </c>
      <c r="J220" s="4">
        <f t="shared" si="13"/>
        <v>0.16267806267806284</v>
      </c>
      <c r="M220"/>
      <c r="O220" t="s">
        <v>225</v>
      </c>
      <c r="P220">
        <v>2067</v>
      </c>
      <c r="Q220">
        <v>1152.29</v>
      </c>
    </row>
    <row r="221" spans="1:17" hidden="1">
      <c r="A221" t="s">
        <v>570</v>
      </c>
      <c r="B221" t="s">
        <v>571</v>
      </c>
      <c r="C221" s="28">
        <v>413</v>
      </c>
      <c r="D221" s="19">
        <f t="shared" si="14"/>
        <v>13.766666666666667</v>
      </c>
      <c r="E221" s="5">
        <v>804.67</v>
      </c>
      <c r="H221" s="19">
        <f t="shared" si="15"/>
        <v>826</v>
      </c>
      <c r="I221" t="b">
        <f t="shared" si="12"/>
        <v>1</v>
      </c>
      <c r="J221" s="4">
        <f t="shared" si="13"/>
        <v>-2.58232445520582E-2</v>
      </c>
      <c r="M221"/>
      <c r="O221" t="s">
        <v>99</v>
      </c>
      <c r="P221">
        <v>3090</v>
      </c>
      <c r="Q221">
        <v>3298.37</v>
      </c>
    </row>
    <row r="222" spans="1:17">
      <c r="A222" s="54" t="s">
        <v>618</v>
      </c>
      <c r="B222" s="37" t="s">
        <v>619</v>
      </c>
      <c r="C222" s="28">
        <v>320</v>
      </c>
      <c r="D222" s="19">
        <f t="shared" si="14"/>
        <v>10.666666666666666</v>
      </c>
      <c r="E222" s="5">
        <v>1060.18</v>
      </c>
      <c r="H222" s="19">
        <f t="shared" si="15"/>
        <v>640</v>
      </c>
      <c r="I222" t="b">
        <f t="shared" si="12"/>
        <v>0</v>
      </c>
      <c r="J222" s="4">
        <f t="shared" si="13"/>
        <v>0.65653125000000001</v>
      </c>
      <c r="M222"/>
      <c r="O222" t="s">
        <v>196</v>
      </c>
      <c r="P222">
        <v>1664</v>
      </c>
      <c r="Q222">
        <v>2049.73</v>
      </c>
    </row>
    <row r="223" spans="1:17" hidden="1">
      <c r="A223" s="37" t="s">
        <v>218</v>
      </c>
      <c r="B223" s="37" t="s">
        <v>219</v>
      </c>
      <c r="C223" s="28">
        <v>1842</v>
      </c>
      <c r="D223" s="19">
        <f t="shared" si="14"/>
        <v>61.4</v>
      </c>
      <c r="E223" s="5">
        <v>3291.33</v>
      </c>
      <c r="H223" s="19">
        <f t="shared" si="15"/>
        <v>3684</v>
      </c>
      <c r="I223" t="b">
        <f t="shared" si="12"/>
        <v>1</v>
      </c>
      <c r="J223" s="4">
        <f t="shared" si="13"/>
        <v>-0.10658794788273618</v>
      </c>
      <c r="O223" t="s">
        <v>468</v>
      </c>
      <c r="P223">
        <v>124</v>
      </c>
      <c r="Q223">
        <v>275.04000000000002</v>
      </c>
    </row>
    <row r="224" spans="1:17" hidden="1">
      <c r="A224" t="s">
        <v>669</v>
      </c>
      <c r="B224" t="s">
        <v>670</v>
      </c>
      <c r="C224" s="28">
        <v>191</v>
      </c>
      <c r="D224" s="19">
        <f t="shared" si="14"/>
        <v>6.3666666666666663</v>
      </c>
      <c r="E224" s="5">
        <v>2.16</v>
      </c>
      <c r="H224" s="19">
        <f t="shared" si="15"/>
        <v>382</v>
      </c>
      <c r="I224" t="b">
        <f t="shared" si="12"/>
        <v>1</v>
      </c>
      <c r="J224" s="4">
        <f t="shared" si="13"/>
        <v>-0.99434554973821987</v>
      </c>
      <c r="M224"/>
      <c r="O224" t="s">
        <v>1525</v>
      </c>
      <c r="P224">
        <v>64</v>
      </c>
      <c r="Q224">
        <v>178.31</v>
      </c>
    </row>
    <row r="225" spans="1:17">
      <c r="A225" s="54" t="s">
        <v>455</v>
      </c>
      <c r="B225" s="37" t="s">
        <v>456</v>
      </c>
      <c r="C225" s="28">
        <v>751</v>
      </c>
      <c r="D225" s="19">
        <f t="shared" si="14"/>
        <v>25.033333333333335</v>
      </c>
      <c r="E225" s="5">
        <v>1914.59</v>
      </c>
      <c r="H225" s="19">
        <f t="shared" si="15"/>
        <v>1502</v>
      </c>
      <c r="I225" t="b">
        <f t="shared" si="12"/>
        <v>0</v>
      </c>
      <c r="J225" s="4">
        <f t="shared" si="13"/>
        <v>0.27469374167776284</v>
      </c>
      <c r="M225"/>
      <c r="O225" t="s">
        <v>316</v>
      </c>
      <c r="P225">
        <v>1664</v>
      </c>
      <c r="Q225">
        <v>1764.37</v>
      </c>
    </row>
    <row r="226" spans="1:17" hidden="1">
      <c r="A226" t="s">
        <v>529</v>
      </c>
      <c r="B226" t="s">
        <v>530</v>
      </c>
      <c r="C226" s="28">
        <v>542</v>
      </c>
      <c r="D226" s="19">
        <f t="shared" si="14"/>
        <v>18.066666666666666</v>
      </c>
      <c r="E226" s="5">
        <v>249.94</v>
      </c>
      <c r="H226" s="19">
        <f t="shared" si="15"/>
        <v>1084</v>
      </c>
      <c r="I226" t="b">
        <f t="shared" si="12"/>
        <v>1</v>
      </c>
      <c r="J226" s="4">
        <f t="shared" si="13"/>
        <v>-0.76942804428044287</v>
      </c>
      <c r="M226"/>
      <c r="O226" t="s">
        <v>514</v>
      </c>
      <c r="P226">
        <v>1145</v>
      </c>
      <c r="Q226">
        <v>1234.98</v>
      </c>
    </row>
    <row r="227" spans="1:17" hidden="1">
      <c r="A227" t="s">
        <v>793</v>
      </c>
      <c r="B227" t="s">
        <v>794</v>
      </c>
      <c r="C227" s="28">
        <v>0</v>
      </c>
      <c r="D227" s="19">
        <f t="shared" si="14"/>
        <v>0</v>
      </c>
      <c r="E227" s="5">
        <v>0</v>
      </c>
      <c r="H227" s="19">
        <f t="shared" si="15"/>
        <v>0</v>
      </c>
      <c r="I227" t="b">
        <f t="shared" si="12"/>
        <v>1</v>
      </c>
      <c r="J227" s="4" t="e">
        <f t="shared" si="13"/>
        <v>#DIV/0!</v>
      </c>
      <c r="M227"/>
      <c r="O227" t="s">
        <v>299</v>
      </c>
      <c r="P227">
        <v>1134</v>
      </c>
      <c r="Q227">
        <v>2253.0500000000002</v>
      </c>
    </row>
    <row r="228" spans="1:17" hidden="1">
      <c r="A228" t="s">
        <v>566</v>
      </c>
      <c r="B228" t="s">
        <v>567</v>
      </c>
      <c r="C228" s="28">
        <v>419</v>
      </c>
      <c r="D228" s="19">
        <f t="shared" si="14"/>
        <v>13.966666666666667</v>
      </c>
      <c r="E228" s="5">
        <v>536.86</v>
      </c>
      <c r="H228" s="19">
        <f t="shared" si="15"/>
        <v>838</v>
      </c>
      <c r="I228" t="b">
        <f t="shared" si="12"/>
        <v>1</v>
      </c>
      <c r="J228" s="4">
        <f t="shared" si="13"/>
        <v>-0.35935560859188542</v>
      </c>
      <c r="M228"/>
      <c r="O228" t="s">
        <v>263</v>
      </c>
      <c r="P228">
        <v>38</v>
      </c>
      <c r="Q228">
        <v>156.91</v>
      </c>
    </row>
    <row r="229" spans="1:17" hidden="1">
      <c r="A229" t="s">
        <v>354</v>
      </c>
      <c r="B229" t="s">
        <v>355</v>
      </c>
      <c r="C229" s="28">
        <v>1065</v>
      </c>
      <c r="D229" s="19">
        <f t="shared" si="14"/>
        <v>35.5</v>
      </c>
      <c r="E229" s="5">
        <v>906.31</v>
      </c>
      <c r="H229" s="19">
        <f t="shared" si="15"/>
        <v>2130</v>
      </c>
      <c r="I229" t="b">
        <f t="shared" si="12"/>
        <v>1</v>
      </c>
      <c r="J229" s="4">
        <f t="shared" si="13"/>
        <v>-0.57450234741784034</v>
      </c>
      <c r="M229"/>
      <c r="O229" t="s">
        <v>103</v>
      </c>
      <c r="P229">
        <v>4242</v>
      </c>
      <c r="Q229">
        <v>7415.45</v>
      </c>
    </row>
    <row r="230" spans="1:17" hidden="1">
      <c r="A230" t="s">
        <v>748</v>
      </c>
      <c r="B230" t="s">
        <v>749</v>
      </c>
      <c r="C230" s="28">
        <v>43</v>
      </c>
      <c r="D230" s="19">
        <f t="shared" si="14"/>
        <v>1.4333333333333333</v>
      </c>
      <c r="E230" s="5">
        <v>0</v>
      </c>
      <c r="H230" s="19">
        <f t="shared" si="15"/>
        <v>86</v>
      </c>
      <c r="I230" t="b">
        <f t="shared" si="12"/>
        <v>1</v>
      </c>
      <c r="J230" s="4">
        <f t="shared" si="13"/>
        <v>-1</v>
      </c>
      <c r="M230"/>
      <c r="O230" t="s">
        <v>143</v>
      </c>
      <c r="P230">
        <v>6399</v>
      </c>
      <c r="Q230">
        <v>1838.47</v>
      </c>
    </row>
    <row r="231" spans="1:17" hidden="1">
      <c r="A231" s="37" t="s">
        <v>374</v>
      </c>
      <c r="B231" s="37" t="s">
        <v>375</v>
      </c>
      <c r="C231" s="28">
        <v>970</v>
      </c>
      <c r="D231" s="19">
        <f t="shared" si="14"/>
        <v>32.333333333333336</v>
      </c>
      <c r="E231" s="5">
        <v>1863.28</v>
      </c>
      <c r="H231" s="19">
        <f t="shared" si="15"/>
        <v>1940</v>
      </c>
      <c r="I231" t="b">
        <f t="shared" si="12"/>
        <v>1</v>
      </c>
      <c r="J231" s="4">
        <f t="shared" si="13"/>
        <v>-3.9546391752577348E-2</v>
      </c>
      <c r="M231"/>
      <c r="O231" t="s">
        <v>864</v>
      </c>
      <c r="P231">
        <v>7632</v>
      </c>
      <c r="Q231">
        <v>11858.24</v>
      </c>
    </row>
    <row r="232" spans="1:17" hidden="1">
      <c r="A232" t="s">
        <v>230</v>
      </c>
      <c r="B232" t="s">
        <v>231</v>
      </c>
      <c r="C232" s="28">
        <v>1750</v>
      </c>
      <c r="D232" s="19">
        <f t="shared" si="14"/>
        <v>58.333333333333336</v>
      </c>
      <c r="E232" s="5">
        <v>2165.52</v>
      </c>
      <c r="H232" s="19">
        <f t="shared" si="15"/>
        <v>3500</v>
      </c>
      <c r="I232" t="b">
        <f t="shared" si="12"/>
        <v>1</v>
      </c>
      <c r="J232" s="4">
        <f t="shared" si="13"/>
        <v>-0.38127999999999995</v>
      </c>
      <c r="M232"/>
      <c r="O232" t="s">
        <v>835</v>
      </c>
      <c r="P232">
        <v>3762</v>
      </c>
      <c r="Q232">
        <v>6511.64</v>
      </c>
    </row>
    <row r="233" spans="1:17" hidden="1">
      <c r="A233" s="54" t="s">
        <v>620</v>
      </c>
      <c r="B233" s="37" t="s">
        <v>621</v>
      </c>
      <c r="C233" s="28">
        <v>313</v>
      </c>
      <c r="D233" s="19">
        <f t="shared" si="14"/>
        <v>10.433333333333334</v>
      </c>
      <c r="E233" s="5">
        <v>558.67999999999995</v>
      </c>
      <c r="H233" s="19">
        <f t="shared" si="15"/>
        <v>626</v>
      </c>
      <c r="I233" t="b">
        <f t="shared" si="12"/>
        <v>1</v>
      </c>
      <c r="J233" s="4">
        <f t="shared" si="13"/>
        <v>-0.10753993610223656</v>
      </c>
      <c r="M233"/>
      <c r="O233" t="s">
        <v>868</v>
      </c>
      <c r="P233">
        <v>3048</v>
      </c>
      <c r="Q233">
        <v>4722.41</v>
      </c>
    </row>
    <row r="234" spans="1:17" hidden="1">
      <c r="A234" s="54" t="s">
        <v>69</v>
      </c>
      <c r="B234" s="37" t="s">
        <v>70</v>
      </c>
      <c r="C234" s="28">
        <v>5113</v>
      </c>
      <c r="D234" s="19">
        <f t="shared" si="14"/>
        <v>170.43333333333334</v>
      </c>
      <c r="E234" s="5">
        <v>5756.9</v>
      </c>
      <c r="H234" s="19">
        <f t="shared" si="15"/>
        <v>10226</v>
      </c>
      <c r="I234" t="b">
        <f t="shared" si="12"/>
        <v>1</v>
      </c>
      <c r="J234" s="4">
        <f t="shared" si="13"/>
        <v>-0.43703305300215145</v>
      </c>
      <c r="M234"/>
      <c r="O234" t="s">
        <v>898</v>
      </c>
      <c r="P234">
        <v>3637</v>
      </c>
      <c r="Q234">
        <v>7335.47</v>
      </c>
    </row>
    <row r="235" spans="1:17" hidden="1">
      <c r="A235" s="54" t="s">
        <v>546</v>
      </c>
      <c r="B235" s="37" t="s">
        <v>547</v>
      </c>
      <c r="C235" s="19">
        <v>485</v>
      </c>
      <c r="D235" s="19">
        <f t="shared" si="14"/>
        <v>16.166666666666668</v>
      </c>
      <c r="E235" s="5">
        <v>733.57</v>
      </c>
      <c r="H235" s="19">
        <f t="shared" si="15"/>
        <v>970</v>
      </c>
      <c r="I235" t="b">
        <f t="shared" si="12"/>
        <v>1</v>
      </c>
      <c r="J235" s="4">
        <f t="shared" si="13"/>
        <v>-0.24374226804123711</v>
      </c>
      <c r="M235"/>
      <c r="O235" t="s">
        <v>992</v>
      </c>
      <c r="P235">
        <v>4317</v>
      </c>
      <c r="Q235">
        <v>6897.7699999999995</v>
      </c>
    </row>
    <row r="236" spans="1:17" hidden="1">
      <c r="A236" s="37" t="s">
        <v>649</v>
      </c>
      <c r="B236" s="37" t="s">
        <v>650</v>
      </c>
      <c r="C236" s="28">
        <v>248</v>
      </c>
      <c r="D236" s="19">
        <f t="shared" si="14"/>
        <v>8.2666666666666675</v>
      </c>
      <c r="E236" s="5">
        <v>179</v>
      </c>
      <c r="H236" s="19">
        <f t="shared" si="15"/>
        <v>496</v>
      </c>
      <c r="I236" t="b">
        <f t="shared" si="12"/>
        <v>1</v>
      </c>
      <c r="J236" s="4">
        <f t="shared" si="13"/>
        <v>-0.63911290322580649</v>
      </c>
      <c r="M236"/>
      <c r="O236" t="s">
        <v>1164</v>
      </c>
      <c r="P236">
        <v>5550</v>
      </c>
      <c r="Q236">
        <v>9885.65</v>
      </c>
    </row>
    <row r="237" spans="1:17" hidden="1">
      <c r="A237" t="s">
        <v>325</v>
      </c>
      <c r="B237" t="s">
        <v>326</v>
      </c>
      <c r="C237" s="28">
        <v>1163</v>
      </c>
      <c r="D237" s="19">
        <f t="shared" si="14"/>
        <v>38.766666666666666</v>
      </c>
      <c r="E237" s="5">
        <v>1795.62</v>
      </c>
      <c r="H237" s="19">
        <f t="shared" si="15"/>
        <v>2326</v>
      </c>
      <c r="I237" t="b">
        <f t="shared" si="12"/>
        <v>1</v>
      </c>
      <c r="J237" s="4">
        <f t="shared" si="13"/>
        <v>-0.22802235597592435</v>
      </c>
      <c r="M237"/>
      <c r="O237" t="s">
        <v>968</v>
      </c>
      <c r="P237">
        <v>1894</v>
      </c>
      <c r="Q237">
        <v>3441.08</v>
      </c>
    </row>
    <row r="238" spans="1:17" hidden="1">
      <c r="A238" t="s">
        <v>724</v>
      </c>
      <c r="B238" t="s">
        <v>725</v>
      </c>
      <c r="C238" s="28">
        <v>67</v>
      </c>
      <c r="D238" s="19">
        <f t="shared" si="14"/>
        <v>2.2333333333333334</v>
      </c>
      <c r="E238" s="5">
        <v>3.33</v>
      </c>
      <c r="H238" s="19">
        <f t="shared" si="15"/>
        <v>134</v>
      </c>
      <c r="I238" t="b">
        <f t="shared" si="12"/>
        <v>1</v>
      </c>
      <c r="J238" s="4">
        <f t="shared" si="13"/>
        <v>-0.97514925373134331</v>
      </c>
      <c r="M238"/>
      <c r="O238" t="s">
        <v>1539</v>
      </c>
      <c r="P238">
        <v>2</v>
      </c>
      <c r="Q238">
        <v>0</v>
      </c>
    </row>
    <row r="239" spans="1:17" hidden="1">
      <c r="A239" t="s">
        <v>813</v>
      </c>
      <c r="B239" t="s">
        <v>814</v>
      </c>
      <c r="C239" s="28">
        <v>0</v>
      </c>
      <c r="D239" s="19">
        <f t="shared" si="14"/>
        <v>0</v>
      </c>
      <c r="E239" s="5">
        <v>0</v>
      </c>
      <c r="H239" s="19">
        <f t="shared" si="15"/>
        <v>0</v>
      </c>
      <c r="I239" t="b">
        <f t="shared" si="12"/>
        <v>1</v>
      </c>
      <c r="J239" s="4" t="e">
        <f t="shared" si="13"/>
        <v>#DIV/0!</v>
      </c>
      <c r="M239"/>
      <c r="O239" t="s">
        <v>837</v>
      </c>
      <c r="P239">
        <v>3398</v>
      </c>
      <c r="Q239">
        <v>4409.53</v>
      </c>
    </row>
    <row r="240" spans="1:17" hidden="1">
      <c r="A240" t="s">
        <v>347</v>
      </c>
      <c r="B240" t="s">
        <v>348</v>
      </c>
      <c r="C240" s="28">
        <v>1090</v>
      </c>
      <c r="D240" s="19">
        <f t="shared" si="14"/>
        <v>36.333333333333336</v>
      </c>
      <c r="E240" s="5">
        <v>1479.67</v>
      </c>
      <c r="H240" s="19">
        <f t="shared" si="15"/>
        <v>2180</v>
      </c>
      <c r="I240" t="b">
        <f t="shared" si="12"/>
        <v>1</v>
      </c>
      <c r="J240" s="4">
        <f t="shared" si="13"/>
        <v>-0.32125229357798157</v>
      </c>
      <c r="M240"/>
      <c r="O240" t="s">
        <v>1152</v>
      </c>
      <c r="P240">
        <v>5137</v>
      </c>
      <c r="Q240">
        <v>8701.9699999999993</v>
      </c>
    </row>
    <row r="241" spans="1:17" hidden="1">
      <c r="A241" s="143" t="s">
        <v>584</v>
      </c>
      <c r="B241" s="37" t="s">
        <v>585</v>
      </c>
      <c r="C241" s="28">
        <v>386</v>
      </c>
      <c r="D241" s="19">
        <f t="shared" si="14"/>
        <v>12.866666666666667</v>
      </c>
      <c r="E241" s="5">
        <v>803</v>
      </c>
      <c r="H241" s="19">
        <f t="shared" si="15"/>
        <v>772</v>
      </c>
      <c r="I241" t="b">
        <f t="shared" si="12"/>
        <v>1</v>
      </c>
      <c r="J241" s="4">
        <f t="shared" si="13"/>
        <v>4.0155440414507693E-2</v>
      </c>
      <c r="M241"/>
      <c r="O241" t="s">
        <v>1059</v>
      </c>
      <c r="P241">
        <v>711</v>
      </c>
      <c r="Q241">
        <v>1448.65</v>
      </c>
    </row>
    <row r="242" spans="1:17" hidden="1">
      <c r="A242" t="s">
        <v>275</v>
      </c>
      <c r="B242" s="27" t="s">
        <v>276</v>
      </c>
      <c r="C242" s="28">
        <v>1466</v>
      </c>
      <c r="D242" s="19">
        <f t="shared" si="14"/>
        <v>48.866666666666667</v>
      </c>
      <c r="E242" s="5">
        <v>2406.5</v>
      </c>
      <c r="H242" s="19">
        <f t="shared" si="15"/>
        <v>2932</v>
      </c>
      <c r="I242" t="b">
        <f t="shared" si="12"/>
        <v>1</v>
      </c>
      <c r="J242" s="4">
        <f t="shared" si="13"/>
        <v>-0.17922919508867663</v>
      </c>
      <c r="M242"/>
      <c r="O242" t="s">
        <v>851</v>
      </c>
      <c r="P242">
        <v>2183</v>
      </c>
      <c r="Q242">
        <v>3642.64</v>
      </c>
    </row>
    <row r="243" spans="1:17" hidden="1">
      <c r="A243" t="s">
        <v>686</v>
      </c>
      <c r="B243" t="s">
        <v>687</v>
      </c>
      <c r="C243" s="28">
        <v>162</v>
      </c>
      <c r="D243" s="19">
        <f t="shared" si="14"/>
        <v>5.4</v>
      </c>
      <c r="E243" s="5">
        <v>209.17</v>
      </c>
      <c r="H243" s="19">
        <f t="shared" si="15"/>
        <v>324</v>
      </c>
      <c r="I243" t="b">
        <f t="shared" si="12"/>
        <v>1</v>
      </c>
      <c r="J243" s="4">
        <f t="shared" si="13"/>
        <v>-0.35441358024691361</v>
      </c>
      <c r="M243"/>
      <c r="O243" t="s">
        <v>960</v>
      </c>
      <c r="P243">
        <v>1995</v>
      </c>
      <c r="Q243">
        <v>4535.91</v>
      </c>
    </row>
    <row r="244" spans="1:17" hidden="1">
      <c r="A244" t="s">
        <v>509</v>
      </c>
      <c r="B244" t="s">
        <v>510</v>
      </c>
      <c r="C244" s="28">
        <v>616</v>
      </c>
      <c r="D244" s="19">
        <f t="shared" si="14"/>
        <v>20.533333333333335</v>
      </c>
      <c r="E244" s="5">
        <v>1050.58</v>
      </c>
      <c r="H244" s="19">
        <f t="shared" si="15"/>
        <v>1232</v>
      </c>
      <c r="I244" t="b">
        <f t="shared" si="12"/>
        <v>1</v>
      </c>
      <c r="J244" s="4">
        <f t="shared" si="13"/>
        <v>-0.14725649350649361</v>
      </c>
      <c r="M244"/>
      <c r="O244" t="s">
        <v>1069</v>
      </c>
      <c r="P244">
        <v>1870</v>
      </c>
      <c r="Q244">
        <v>3839.5</v>
      </c>
    </row>
    <row r="245" spans="1:17" hidden="1">
      <c r="A245" s="142" t="s">
        <v>550</v>
      </c>
      <c r="B245" s="37" t="s">
        <v>551</v>
      </c>
      <c r="C245" s="28">
        <v>480</v>
      </c>
      <c r="D245" s="19">
        <f t="shared" si="14"/>
        <v>16</v>
      </c>
      <c r="E245" s="5">
        <v>560.6</v>
      </c>
      <c r="H245" s="19">
        <f t="shared" si="15"/>
        <v>960</v>
      </c>
      <c r="I245" t="b">
        <f t="shared" si="12"/>
        <v>1</v>
      </c>
      <c r="J245" s="4">
        <f t="shared" si="13"/>
        <v>-0.41604166666666664</v>
      </c>
      <c r="M245"/>
      <c r="O245" t="s">
        <v>883</v>
      </c>
      <c r="P245">
        <v>1727</v>
      </c>
      <c r="Q245">
        <v>3534.84</v>
      </c>
    </row>
    <row r="246" spans="1:17" hidden="1">
      <c r="A246" s="37" t="s">
        <v>280</v>
      </c>
      <c r="B246" s="37" t="s">
        <v>281</v>
      </c>
      <c r="C246" s="28">
        <v>1440</v>
      </c>
      <c r="D246" s="19">
        <f t="shared" si="14"/>
        <v>48</v>
      </c>
      <c r="E246" s="5">
        <v>1968.64</v>
      </c>
      <c r="H246" s="19">
        <f t="shared" si="15"/>
        <v>2880</v>
      </c>
      <c r="I246" t="b">
        <f t="shared" si="12"/>
        <v>1</v>
      </c>
      <c r="J246" s="4">
        <f t="shared" si="13"/>
        <v>-0.31644444444444442</v>
      </c>
      <c r="M246"/>
      <c r="O246" t="s">
        <v>830</v>
      </c>
      <c r="P246">
        <v>40373</v>
      </c>
      <c r="Q246">
        <v>31043.68</v>
      </c>
    </row>
    <row r="247" spans="1:17" hidden="1">
      <c r="A247" s="54" t="s">
        <v>785</v>
      </c>
      <c r="B247" s="37" t="s">
        <v>786</v>
      </c>
      <c r="C247" s="28">
        <v>0</v>
      </c>
      <c r="D247" s="19">
        <f t="shared" si="14"/>
        <v>0</v>
      </c>
      <c r="E247" s="5">
        <v>0</v>
      </c>
      <c r="H247" s="19">
        <f t="shared" si="15"/>
        <v>0</v>
      </c>
      <c r="I247" t="b">
        <f t="shared" ref="I247:I296" si="16">IF(E247&gt;1.2*H247,FALSE,TRUE)</f>
        <v>1</v>
      </c>
      <c r="J247" s="4" t="e">
        <f t="shared" ref="J247:J296" si="17">E247/H247-1</f>
        <v>#DIV/0!</v>
      </c>
      <c r="M247"/>
      <c r="O247" t="s">
        <v>916</v>
      </c>
      <c r="P247">
        <v>1614</v>
      </c>
      <c r="Q247">
        <v>3358.06</v>
      </c>
    </row>
    <row r="248" spans="1:17" hidden="1">
      <c r="A248" t="s">
        <v>335</v>
      </c>
      <c r="B248" t="s">
        <v>336</v>
      </c>
      <c r="C248" s="28">
        <v>1109</v>
      </c>
      <c r="D248" s="19">
        <f t="shared" si="14"/>
        <v>36.966666666666669</v>
      </c>
      <c r="E248" s="5">
        <v>1960</v>
      </c>
      <c r="H248" s="19">
        <f t="shared" si="15"/>
        <v>2218</v>
      </c>
      <c r="I248" t="b">
        <f t="shared" si="16"/>
        <v>1</v>
      </c>
      <c r="J248" s="4">
        <f t="shared" si="17"/>
        <v>-0.11632100991884575</v>
      </c>
      <c r="M248"/>
      <c r="O248" t="s">
        <v>1162</v>
      </c>
      <c r="P248">
        <v>2721</v>
      </c>
      <c r="Q248">
        <v>5511.35</v>
      </c>
    </row>
    <row r="249" spans="1:17">
      <c r="A249" s="54" t="s">
        <v>661</v>
      </c>
      <c r="B249" s="27" t="s">
        <v>662</v>
      </c>
      <c r="C249" s="28">
        <v>219</v>
      </c>
      <c r="D249" s="19">
        <f t="shared" si="14"/>
        <v>7.3</v>
      </c>
      <c r="E249" s="5">
        <v>661.61</v>
      </c>
      <c r="H249" s="19">
        <f t="shared" si="15"/>
        <v>438</v>
      </c>
      <c r="I249" t="b">
        <f t="shared" si="16"/>
        <v>0</v>
      </c>
      <c r="J249" s="4">
        <f t="shared" si="17"/>
        <v>0.51052511415525115</v>
      </c>
      <c r="M249"/>
      <c r="O249" t="s">
        <v>1056</v>
      </c>
      <c r="P249">
        <v>1207</v>
      </c>
      <c r="Q249">
        <v>2348.6</v>
      </c>
    </row>
    <row r="250" spans="1:17" hidden="1">
      <c r="A250" t="s">
        <v>531</v>
      </c>
      <c r="B250" t="s">
        <v>532</v>
      </c>
      <c r="C250" s="28">
        <v>540</v>
      </c>
      <c r="D250" s="19">
        <f t="shared" si="14"/>
        <v>18</v>
      </c>
      <c r="E250" s="5">
        <v>527.48</v>
      </c>
      <c r="H250" s="19">
        <f t="shared" si="15"/>
        <v>1080</v>
      </c>
      <c r="I250" t="b">
        <f t="shared" si="16"/>
        <v>1</v>
      </c>
      <c r="J250" s="4">
        <f t="shared" si="17"/>
        <v>-0.5115925925925926</v>
      </c>
      <c r="M250"/>
      <c r="O250" t="s">
        <v>956</v>
      </c>
      <c r="P250">
        <v>611</v>
      </c>
      <c r="Q250">
        <v>1458.74</v>
      </c>
    </row>
    <row r="251" spans="1:17" hidden="1">
      <c r="A251" t="s">
        <v>457</v>
      </c>
      <c r="B251" t="s">
        <v>458</v>
      </c>
      <c r="C251" s="28">
        <v>749</v>
      </c>
      <c r="D251" s="19">
        <f t="shared" si="14"/>
        <v>24.966666666666665</v>
      </c>
      <c r="E251" s="5">
        <v>977.2</v>
      </c>
      <c r="H251" s="19">
        <f t="shared" si="15"/>
        <v>1498</v>
      </c>
      <c r="I251" t="b">
        <f t="shared" si="16"/>
        <v>1</v>
      </c>
      <c r="J251" s="4">
        <f t="shared" si="17"/>
        <v>-0.34766355140186911</v>
      </c>
      <c r="M251"/>
      <c r="O251" t="s">
        <v>1138</v>
      </c>
      <c r="P251">
        <v>2751</v>
      </c>
      <c r="Q251">
        <v>3498.09</v>
      </c>
    </row>
    <row r="252" spans="1:17" hidden="1">
      <c r="A252" s="54" t="s">
        <v>337</v>
      </c>
      <c r="B252" s="37" t="s">
        <v>338</v>
      </c>
      <c r="C252" s="28">
        <v>1103</v>
      </c>
      <c r="D252" s="19">
        <f t="shared" si="14"/>
        <v>36.766666666666666</v>
      </c>
      <c r="E252" s="5">
        <v>2218.86</v>
      </c>
      <c r="H252" s="19">
        <f t="shared" si="15"/>
        <v>2206</v>
      </c>
      <c r="I252" t="b">
        <f t="shared" si="16"/>
        <v>1</v>
      </c>
      <c r="J252" s="4">
        <f t="shared" si="17"/>
        <v>5.8295557570262613E-3</v>
      </c>
      <c r="M252"/>
      <c r="O252" t="s">
        <v>855</v>
      </c>
      <c r="P252">
        <v>2185</v>
      </c>
      <c r="Q252">
        <v>3732.5</v>
      </c>
    </row>
    <row r="253" spans="1:17" hidden="1">
      <c r="A253" s="143" t="s">
        <v>807</v>
      </c>
      <c r="B253" s="37" t="s">
        <v>808</v>
      </c>
      <c r="C253" s="28">
        <v>0</v>
      </c>
      <c r="D253" s="19">
        <f t="shared" si="14"/>
        <v>0</v>
      </c>
      <c r="E253" s="5">
        <v>0</v>
      </c>
      <c r="H253" s="19">
        <f t="shared" si="15"/>
        <v>0</v>
      </c>
      <c r="I253" t="b">
        <f t="shared" si="16"/>
        <v>1</v>
      </c>
      <c r="J253" s="4" t="e">
        <f t="shared" si="17"/>
        <v>#DIV/0!</v>
      </c>
      <c r="M253"/>
      <c r="O253" t="s">
        <v>1065</v>
      </c>
      <c r="P253">
        <v>1039</v>
      </c>
      <c r="Q253">
        <v>1446.12</v>
      </c>
    </row>
    <row r="254" spans="1:17" hidden="1">
      <c r="A254" s="27" t="s">
        <v>469</v>
      </c>
      <c r="B254" s="37" t="s">
        <v>470</v>
      </c>
      <c r="C254" s="28">
        <v>712</v>
      </c>
      <c r="D254" s="19">
        <f t="shared" si="14"/>
        <v>23.733333333333334</v>
      </c>
      <c r="E254" s="5">
        <v>930.55</v>
      </c>
      <c r="H254" s="19">
        <f t="shared" si="15"/>
        <v>1424</v>
      </c>
      <c r="I254" t="b">
        <f t="shared" si="16"/>
        <v>1</v>
      </c>
      <c r="J254" s="4">
        <f t="shared" si="17"/>
        <v>-0.34652387640449445</v>
      </c>
      <c r="M254"/>
      <c r="O254" t="s">
        <v>1127</v>
      </c>
      <c r="P254">
        <v>1195</v>
      </c>
      <c r="Q254">
        <v>2255.9299999999998</v>
      </c>
    </row>
    <row r="255" spans="1:17" hidden="1">
      <c r="A255" t="s">
        <v>164</v>
      </c>
      <c r="B255" t="s">
        <v>165</v>
      </c>
      <c r="C255" s="28">
        <v>2367</v>
      </c>
      <c r="D255" s="19">
        <f t="shared" si="14"/>
        <v>78.900000000000006</v>
      </c>
      <c r="E255" s="5">
        <v>5462.96</v>
      </c>
      <c r="H255" s="19">
        <f t="shared" si="15"/>
        <v>4734</v>
      </c>
      <c r="I255" t="b">
        <f t="shared" si="16"/>
        <v>1</v>
      </c>
      <c r="J255" s="4">
        <f t="shared" si="17"/>
        <v>0.15398394592310938</v>
      </c>
      <c r="L255" s="122"/>
      <c r="M255"/>
      <c r="O255" t="s">
        <v>966</v>
      </c>
      <c r="P255">
        <v>2263</v>
      </c>
      <c r="Q255">
        <v>5130.78</v>
      </c>
    </row>
    <row r="256" spans="1:17" hidden="1">
      <c r="A256" t="s">
        <v>315</v>
      </c>
      <c r="B256" t="s">
        <v>316</v>
      </c>
      <c r="C256" s="28">
        <v>1210</v>
      </c>
      <c r="D256" s="19">
        <f t="shared" si="14"/>
        <v>40.333333333333336</v>
      </c>
      <c r="E256" s="5">
        <v>1319</v>
      </c>
      <c r="H256" s="19">
        <f t="shared" si="15"/>
        <v>2420</v>
      </c>
      <c r="I256" t="b">
        <f t="shared" si="16"/>
        <v>1</v>
      </c>
      <c r="J256" s="4">
        <f t="shared" si="17"/>
        <v>-0.45495867768595044</v>
      </c>
      <c r="O256" t="s">
        <v>1150</v>
      </c>
      <c r="P256">
        <v>2201</v>
      </c>
      <c r="Q256">
        <v>2780.43</v>
      </c>
    </row>
    <row r="257" spans="1:17" hidden="1">
      <c r="A257" t="s">
        <v>150</v>
      </c>
      <c r="B257" t="s">
        <v>151</v>
      </c>
      <c r="C257" s="28">
        <v>2465</v>
      </c>
      <c r="D257" s="19">
        <f t="shared" si="14"/>
        <v>82.166666666666671</v>
      </c>
      <c r="E257" s="5">
        <v>3417.68</v>
      </c>
      <c r="H257" s="19">
        <f t="shared" si="15"/>
        <v>4930</v>
      </c>
      <c r="I257" t="b">
        <f t="shared" si="16"/>
        <v>1</v>
      </c>
      <c r="J257" s="4">
        <f t="shared" si="17"/>
        <v>-0.3067586206896552</v>
      </c>
      <c r="M257"/>
      <c r="O257" t="s">
        <v>1134</v>
      </c>
      <c r="P257">
        <v>1667</v>
      </c>
      <c r="Q257">
        <v>2965.44</v>
      </c>
    </row>
    <row r="258" spans="1:17" hidden="1">
      <c r="A258" t="s">
        <v>329</v>
      </c>
      <c r="B258" t="s">
        <v>330</v>
      </c>
      <c r="C258" s="28">
        <v>1133</v>
      </c>
      <c r="D258" s="19">
        <f t="shared" si="14"/>
        <v>37.766666666666666</v>
      </c>
      <c r="E258" s="5">
        <v>904.59</v>
      </c>
      <c r="H258" s="19">
        <f t="shared" si="15"/>
        <v>2266</v>
      </c>
      <c r="I258" t="b">
        <f t="shared" si="16"/>
        <v>1</v>
      </c>
      <c r="J258" s="4">
        <f t="shared" si="17"/>
        <v>-0.60079876434245372</v>
      </c>
      <c r="M258"/>
      <c r="O258" t="s">
        <v>1167</v>
      </c>
      <c r="P258">
        <v>4039</v>
      </c>
      <c r="Q258">
        <v>5176.58</v>
      </c>
    </row>
    <row r="259" spans="1:17" hidden="1">
      <c r="A259" t="s">
        <v>298</v>
      </c>
      <c r="B259" t="s">
        <v>299</v>
      </c>
      <c r="C259" s="28">
        <v>1341</v>
      </c>
      <c r="D259" s="19">
        <f t="shared" ref="D259:D322" si="18">C259/30</f>
        <v>44.7</v>
      </c>
      <c r="E259" s="5">
        <v>2516.9</v>
      </c>
      <c r="H259" s="19">
        <f t="shared" ref="H259:H322" si="19">IF((C259/30)&gt;100,C259*2,C259*2)</f>
        <v>2682</v>
      </c>
      <c r="I259" t="b">
        <f t="shared" si="16"/>
        <v>1</v>
      </c>
      <c r="J259" s="4">
        <f t="shared" si="17"/>
        <v>-6.1558538404175911E-2</v>
      </c>
      <c r="M259"/>
      <c r="O259" t="s">
        <v>1106</v>
      </c>
      <c r="P259">
        <v>1372</v>
      </c>
      <c r="Q259">
        <v>3179.39</v>
      </c>
    </row>
    <row r="260" spans="1:17" hidden="1">
      <c r="A260" s="54" t="s">
        <v>515</v>
      </c>
      <c r="B260" s="37" t="s">
        <v>516</v>
      </c>
      <c r="C260" s="28">
        <v>601</v>
      </c>
      <c r="D260" s="19">
        <f t="shared" si="18"/>
        <v>20.033333333333335</v>
      </c>
      <c r="E260" s="5">
        <v>839.89</v>
      </c>
      <c r="H260" s="19">
        <f t="shared" si="19"/>
        <v>1202</v>
      </c>
      <c r="I260" t="b">
        <f t="shared" si="16"/>
        <v>1</v>
      </c>
      <c r="J260" s="4">
        <f t="shared" si="17"/>
        <v>-0.30125623960066561</v>
      </c>
      <c r="M260" s="125"/>
      <c r="O260" t="s">
        <v>1541</v>
      </c>
      <c r="P260">
        <v>3</v>
      </c>
      <c r="Q260">
        <v>0</v>
      </c>
    </row>
    <row r="261" spans="1:17" hidden="1">
      <c r="A261" s="54" t="s">
        <v>413</v>
      </c>
      <c r="B261" s="37" t="s">
        <v>414</v>
      </c>
      <c r="C261" s="28">
        <v>872</v>
      </c>
      <c r="D261" s="19">
        <f t="shared" si="18"/>
        <v>29.066666666666666</v>
      </c>
      <c r="E261" s="5">
        <v>1330.92</v>
      </c>
      <c r="H261" s="19">
        <f t="shared" si="19"/>
        <v>1744</v>
      </c>
      <c r="I261" t="b">
        <f t="shared" si="16"/>
        <v>1</v>
      </c>
      <c r="J261" s="4">
        <f t="shared" si="17"/>
        <v>-0.23685779816513752</v>
      </c>
      <c r="M261"/>
      <c r="O261" t="s">
        <v>1006</v>
      </c>
      <c r="P261">
        <v>740</v>
      </c>
      <c r="Q261">
        <v>1692.16</v>
      </c>
    </row>
    <row r="262" spans="1:17" hidden="1">
      <c r="A262" t="s">
        <v>39</v>
      </c>
      <c r="B262" t="s">
        <v>40</v>
      </c>
      <c r="C262" s="28">
        <v>14036</v>
      </c>
      <c r="D262" s="19">
        <f t="shared" si="18"/>
        <v>467.86666666666667</v>
      </c>
      <c r="E262" s="5">
        <v>16588.150000000001</v>
      </c>
      <c r="H262" s="19">
        <f t="shared" si="19"/>
        <v>28072</v>
      </c>
      <c r="I262" t="b">
        <f t="shared" si="16"/>
        <v>1</v>
      </c>
      <c r="J262" s="4">
        <f t="shared" si="17"/>
        <v>-0.40908556568823018</v>
      </c>
      <c r="M262"/>
      <c r="O262" t="s">
        <v>1140</v>
      </c>
      <c r="P262">
        <v>934</v>
      </c>
      <c r="Q262">
        <v>1679.4</v>
      </c>
    </row>
    <row r="263" spans="1:17" hidden="1">
      <c r="A263" t="s">
        <v>704</v>
      </c>
      <c r="B263" t="s">
        <v>705</v>
      </c>
      <c r="C263" s="28">
        <v>110</v>
      </c>
      <c r="D263" s="19">
        <f t="shared" si="18"/>
        <v>3.6666666666666665</v>
      </c>
      <c r="E263" s="5">
        <v>98.12</v>
      </c>
      <c r="H263" s="19">
        <f t="shared" si="19"/>
        <v>220</v>
      </c>
      <c r="I263" t="b">
        <f t="shared" si="16"/>
        <v>1</v>
      </c>
      <c r="J263" s="4">
        <f t="shared" si="17"/>
        <v>-0.55400000000000005</v>
      </c>
      <c r="M263"/>
      <c r="O263" t="s">
        <v>1100</v>
      </c>
      <c r="P263">
        <v>1221</v>
      </c>
      <c r="Q263">
        <v>1238.4000000000001</v>
      </c>
    </row>
    <row r="264" spans="1:17" hidden="1">
      <c r="A264" t="s">
        <v>185</v>
      </c>
      <c r="B264" t="s">
        <v>186</v>
      </c>
      <c r="C264" s="28">
        <v>2206</v>
      </c>
      <c r="D264" s="19">
        <f t="shared" si="18"/>
        <v>73.533333333333331</v>
      </c>
      <c r="E264" s="5">
        <v>2600.87</v>
      </c>
      <c r="H264" s="19">
        <f t="shared" si="19"/>
        <v>4412</v>
      </c>
      <c r="I264" t="b">
        <f t="shared" si="16"/>
        <v>1</v>
      </c>
      <c r="J264" s="4">
        <f t="shared" si="17"/>
        <v>-0.41050090661831373</v>
      </c>
      <c r="M264"/>
      <c r="O264" t="s">
        <v>1116</v>
      </c>
      <c r="P264">
        <v>706</v>
      </c>
      <c r="Q264">
        <v>887.74</v>
      </c>
    </row>
    <row r="265" spans="1:17" hidden="1">
      <c r="A265" s="37" t="s">
        <v>442</v>
      </c>
      <c r="B265" s="37" t="s">
        <v>443</v>
      </c>
      <c r="C265" s="28">
        <v>782</v>
      </c>
      <c r="D265" s="19">
        <f t="shared" si="18"/>
        <v>26.066666666666666</v>
      </c>
      <c r="E265" s="5">
        <v>1723.89</v>
      </c>
      <c r="H265" s="19">
        <f t="shared" si="19"/>
        <v>1564</v>
      </c>
      <c r="I265" t="b">
        <f t="shared" si="16"/>
        <v>1</v>
      </c>
      <c r="J265" s="4">
        <f t="shared" si="17"/>
        <v>0.10223145780051168</v>
      </c>
      <c r="M265"/>
      <c r="O265" t="s">
        <v>962</v>
      </c>
      <c r="P265">
        <v>995</v>
      </c>
      <c r="Q265">
        <v>1253.03</v>
      </c>
    </row>
    <row r="266" spans="1:17" hidden="1">
      <c r="A266" t="s">
        <v>73</v>
      </c>
      <c r="B266" t="s">
        <v>74</v>
      </c>
      <c r="C266" s="28">
        <v>4999</v>
      </c>
      <c r="D266" s="19">
        <f t="shared" si="18"/>
        <v>166.63333333333333</v>
      </c>
      <c r="E266" s="5">
        <v>4708.91</v>
      </c>
      <c r="H266" s="19">
        <f t="shared" si="19"/>
        <v>9998</v>
      </c>
      <c r="I266" t="b">
        <f t="shared" si="16"/>
        <v>1</v>
      </c>
      <c r="J266" s="4">
        <f t="shared" si="17"/>
        <v>-0.52901480296059211</v>
      </c>
      <c r="M266"/>
      <c r="O266" t="s">
        <v>1081</v>
      </c>
      <c r="P266">
        <v>942</v>
      </c>
      <c r="Q266">
        <v>1905.07</v>
      </c>
    </row>
    <row r="267" spans="1:17" hidden="1">
      <c r="A267" s="54" t="s">
        <v>96</v>
      </c>
      <c r="B267" s="37" t="s">
        <v>97</v>
      </c>
      <c r="C267" s="28">
        <v>3353</v>
      </c>
      <c r="D267" s="19">
        <f t="shared" si="18"/>
        <v>111.76666666666667</v>
      </c>
      <c r="E267" s="5">
        <v>3510.39</v>
      </c>
      <c r="H267" s="19">
        <f t="shared" si="19"/>
        <v>6706</v>
      </c>
      <c r="I267" t="b">
        <f t="shared" si="16"/>
        <v>1</v>
      </c>
      <c r="J267" s="4">
        <f t="shared" si="17"/>
        <v>-0.47652997315836565</v>
      </c>
      <c r="M267"/>
      <c r="O267" t="s">
        <v>1004</v>
      </c>
      <c r="P267">
        <v>697</v>
      </c>
      <c r="Q267">
        <v>933.22</v>
      </c>
    </row>
    <row r="268" spans="1:17" hidden="1">
      <c r="A268" s="54" t="s">
        <v>552</v>
      </c>
      <c r="B268" s="37" t="s">
        <v>553</v>
      </c>
      <c r="C268" s="28">
        <v>478</v>
      </c>
      <c r="D268" s="19">
        <f t="shared" si="18"/>
        <v>15.933333333333334</v>
      </c>
      <c r="E268" s="5">
        <v>624.49</v>
      </c>
      <c r="H268" s="19">
        <f t="shared" si="19"/>
        <v>956</v>
      </c>
      <c r="I268" t="b">
        <f t="shared" si="16"/>
        <v>1</v>
      </c>
      <c r="J268" s="4">
        <f t="shared" si="17"/>
        <v>-0.34676778242677819</v>
      </c>
      <c r="M268"/>
      <c r="O268" t="s">
        <v>1146</v>
      </c>
      <c r="P268">
        <v>1585</v>
      </c>
      <c r="Q268">
        <v>1853.67</v>
      </c>
    </row>
    <row r="269" spans="1:17" hidden="1">
      <c r="A269" t="s">
        <v>100</v>
      </c>
      <c r="B269" t="s">
        <v>101</v>
      </c>
      <c r="C269" s="28">
        <v>3221</v>
      </c>
      <c r="D269" s="19">
        <f t="shared" si="18"/>
        <v>107.36666666666666</v>
      </c>
      <c r="E269" s="5">
        <v>3841.18</v>
      </c>
      <c r="H269" s="19">
        <f t="shared" si="19"/>
        <v>6442</v>
      </c>
      <c r="I269" t="b">
        <f t="shared" si="16"/>
        <v>1</v>
      </c>
      <c r="J269" s="4">
        <f t="shared" si="17"/>
        <v>-0.40372865569698857</v>
      </c>
      <c r="M269"/>
      <c r="O269" t="s">
        <v>1144</v>
      </c>
      <c r="P269">
        <v>1841</v>
      </c>
      <c r="Q269">
        <v>2630.37</v>
      </c>
    </row>
    <row r="270" spans="1:17">
      <c r="A270" t="s">
        <v>657</v>
      </c>
      <c r="B270" t="s">
        <v>658</v>
      </c>
      <c r="C270" s="28">
        <v>238</v>
      </c>
      <c r="D270" s="19">
        <f t="shared" si="18"/>
        <v>7.9333333333333336</v>
      </c>
      <c r="E270" s="5">
        <v>677.06</v>
      </c>
      <c r="H270" s="19">
        <f t="shared" si="19"/>
        <v>476</v>
      </c>
      <c r="I270" t="b">
        <f t="shared" si="16"/>
        <v>0</v>
      </c>
      <c r="J270" s="4">
        <f t="shared" si="17"/>
        <v>0.42239495798319315</v>
      </c>
      <c r="M270"/>
      <c r="O270" t="s">
        <v>1108</v>
      </c>
      <c r="P270">
        <v>1079</v>
      </c>
      <c r="Q270">
        <v>2122.04</v>
      </c>
    </row>
    <row r="271" spans="1:17" hidden="1">
      <c r="A271" s="54" t="s">
        <v>560</v>
      </c>
      <c r="B271" s="37" t="s">
        <v>561</v>
      </c>
      <c r="C271" s="28">
        <v>472</v>
      </c>
      <c r="D271" s="19">
        <f t="shared" si="18"/>
        <v>15.733333333333333</v>
      </c>
      <c r="E271" s="5">
        <v>1045.97</v>
      </c>
      <c r="H271" s="19">
        <f t="shared" si="19"/>
        <v>944</v>
      </c>
      <c r="I271" t="b">
        <f t="shared" si="16"/>
        <v>1</v>
      </c>
      <c r="J271" s="4">
        <f t="shared" si="17"/>
        <v>0.10801906779661019</v>
      </c>
      <c r="M271"/>
      <c r="O271" t="s">
        <v>943</v>
      </c>
      <c r="P271">
        <v>337</v>
      </c>
      <c r="Q271">
        <v>529.88</v>
      </c>
    </row>
    <row r="272" spans="1:17" hidden="1">
      <c r="A272" t="s">
        <v>144</v>
      </c>
      <c r="B272" t="s">
        <v>145</v>
      </c>
      <c r="C272" s="28">
        <v>2477</v>
      </c>
      <c r="D272" s="19">
        <f t="shared" si="18"/>
        <v>82.566666666666663</v>
      </c>
      <c r="E272" s="5">
        <v>1640.77</v>
      </c>
      <c r="H272" s="19">
        <f t="shared" si="19"/>
        <v>4954</v>
      </c>
      <c r="I272" t="b">
        <f t="shared" si="16"/>
        <v>1</v>
      </c>
      <c r="J272" s="4">
        <f t="shared" si="17"/>
        <v>-0.66879895034315706</v>
      </c>
      <c r="M272"/>
      <c r="O272" t="s">
        <v>1028</v>
      </c>
      <c r="P272">
        <v>456</v>
      </c>
      <c r="Q272">
        <v>569.27</v>
      </c>
    </row>
    <row r="273" spans="1:17" hidden="1">
      <c r="A273" t="s">
        <v>592</v>
      </c>
      <c r="B273" t="s">
        <v>593</v>
      </c>
      <c r="C273" s="28">
        <v>373</v>
      </c>
      <c r="D273" s="19">
        <f t="shared" si="18"/>
        <v>12.433333333333334</v>
      </c>
      <c r="E273" s="5">
        <v>589.41</v>
      </c>
      <c r="H273" s="19">
        <f t="shared" si="19"/>
        <v>746</v>
      </c>
      <c r="I273" t="b">
        <f t="shared" si="16"/>
        <v>1</v>
      </c>
      <c r="J273" s="4">
        <f t="shared" si="17"/>
        <v>-0.20990616621983915</v>
      </c>
      <c r="M273"/>
      <c r="O273" t="s">
        <v>920</v>
      </c>
      <c r="P273">
        <v>1330</v>
      </c>
      <c r="Q273">
        <v>1531.91</v>
      </c>
    </row>
    <row r="274" spans="1:17" hidden="1">
      <c r="A274" t="s">
        <v>684</v>
      </c>
      <c r="B274" t="s">
        <v>685</v>
      </c>
      <c r="C274" s="28">
        <v>163</v>
      </c>
      <c r="D274" s="19">
        <f t="shared" si="18"/>
        <v>5.4333333333333336</v>
      </c>
      <c r="E274" s="5">
        <v>27.42</v>
      </c>
      <c r="H274" s="19">
        <f t="shared" si="19"/>
        <v>326</v>
      </c>
      <c r="I274" t="b">
        <f t="shared" si="16"/>
        <v>1</v>
      </c>
      <c r="J274" s="4">
        <f t="shared" si="17"/>
        <v>-0.91588957055214726</v>
      </c>
      <c r="M274"/>
      <c r="O274" t="s">
        <v>1010</v>
      </c>
      <c r="P274">
        <v>736</v>
      </c>
      <c r="Q274">
        <v>930.48</v>
      </c>
    </row>
    <row r="275" spans="1:17" hidden="1">
      <c r="A275" t="s">
        <v>564</v>
      </c>
      <c r="B275" t="s">
        <v>565</v>
      </c>
      <c r="C275" s="28">
        <v>437</v>
      </c>
      <c r="D275" s="19">
        <f t="shared" si="18"/>
        <v>14.566666666666666</v>
      </c>
      <c r="E275" s="5">
        <v>988.49</v>
      </c>
      <c r="H275" s="19">
        <f t="shared" si="19"/>
        <v>874</v>
      </c>
      <c r="I275" t="b">
        <f t="shared" si="16"/>
        <v>1</v>
      </c>
      <c r="J275" s="4">
        <f t="shared" si="17"/>
        <v>0.13099542334096115</v>
      </c>
      <c r="M275"/>
      <c r="O275" t="s">
        <v>1067</v>
      </c>
      <c r="P275">
        <v>468</v>
      </c>
      <c r="Q275">
        <v>604.41</v>
      </c>
    </row>
    <row r="276" spans="1:17" hidden="1">
      <c r="A276" s="54" t="s">
        <v>370</v>
      </c>
      <c r="B276" s="37" t="s">
        <v>371</v>
      </c>
      <c r="C276" s="28">
        <v>991</v>
      </c>
      <c r="D276" s="19">
        <f t="shared" si="18"/>
        <v>33.033333333333331</v>
      </c>
      <c r="E276" s="5">
        <v>1396.96</v>
      </c>
      <c r="H276" s="19">
        <f t="shared" si="19"/>
        <v>1982</v>
      </c>
      <c r="I276" t="b">
        <f t="shared" si="16"/>
        <v>1</v>
      </c>
      <c r="J276" s="4">
        <f t="shared" si="17"/>
        <v>-0.29517658930373358</v>
      </c>
      <c r="M276"/>
      <c r="O276" t="s">
        <v>1051</v>
      </c>
      <c r="P276">
        <v>1391</v>
      </c>
      <c r="Q276">
        <v>3435.81</v>
      </c>
    </row>
    <row r="277" spans="1:17" hidden="1">
      <c r="A277" t="s">
        <v>250</v>
      </c>
      <c r="B277" t="s">
        <v>251</v>
      </c>
      <c r="C277" s="28">
        <v>1645</v>
      </c>
      <c r="D277" s="19">
        <f t="shared" si="18"/>
        <v>54.833333333333336</v>
      </c>
      <c r="E277" s="5">
        <v>2647.17</v>
      </c>
      <c r="H277" s="19">
        <f t="shared" si="19"/>
        <v>3290</v>
      </c>
      <c r="I277" t="b">
        <f t="shared" si="16"/>
        <v>1</v>
      </c>
      <c r="J277" s="4">
        <f t="shared" si="17"/>
        <v>-0.19538905775075988</v>
      </c>
      <c r="M277"/>
      <c r="O277" t="s">
        <v>999</v>
      </c>
      <c r="P277">
        <v>1388</v>
      </c>
      <c r="Q277">
        <v>939.57</v>
      </c>
    </row>
    <row r="278" spans="1:17">
      <c r="A278" s="54" t="s">
        <v>599</v>
      </c>
      <c r="B278" s="37" t="s">
        <v>600</v>
      </c>
      <c r="C278" s="19">
        <v>357</v>
      </c>
      <c r="D278" s="19">
        <f t="shared" si="18"/>
        <v>11.9</v>
      </c>
      <c r="E278" s="5">
        <v>1004.71</v>
      </c>
      <c r="H278" s="19">
        <f t="shared" si="19"/>
        <v>714</v>
      </c>
      <c r="I278" t="b">
        <f t="shared" si="16"/>
        <v>0</v>
      </c>
      <c r="J278" s="4">
        <f t="shared" si="17"/>
        <v>0.4071568627450981</v>
      </c>
      <c r="M278"/>
      <c r="O278" t="s">
        <v>954</v>
      </c>
      <c r="P278">
        <v>2475</v>
      </c>
      <c r="Q278">
        <v>4662.12</v>
      </c>
    </row>
    <row r="279" spans="1:17" hidden="1">
      <c r="A279" s="37" t="s">
        <v>368</v>
      </c>
      <c r="B279" s="37" t="s">
        <v>369</v>
      </c>
      <c r="C279" s="28">
        <v>993</v>
      </c>
      <c r="D279" s="19">
        <f t="shared" si="18"/>
        <v>33.1</v>
      </c>
      <c r="E279" s="5">
        <v>1656.96</v>
      </c>
      <c r="H279" s="19">
        <f t="shared" si="19"/>
        <v>1986</v>
      </c>
      <c r="I279" t="b">
        <f t="shared" si="16"/>
        <v>1</v>
      </c>
      <c r="J279" s="4">
        <f t="shared" si="17"/>
        <v>-0.16567975830815707</v>
      </c>
      <c r="M279"/>
      <c r="O279" t="s">
        <v>1034</v>
      </c>
      <c r="P279">
        <v>480</v>
      </c>
      <c r="Q279">
        <v>1367.15</v>
      </c>
    </row>
    <row r="280" spans="1:17" hidden="1">
      <c r="A280" s="54" t="s">
        <v>364</v>
      </c>
      <c r="B280" s="37" t="s">
        <v>365</v>
      </c>
      <c r="C280" s="19">
        <v>1009</v>
      </c>
      <c r="D280" s="19">
        <f t="shared" si="18"/>
        <v>33.633333333333333</v>
      </c>
      <c r="E280" s="5">
        <v>1427.13</v>
      </c>
      <c r="H280" s="19">
        <f t="shared" si="19"/>
        <v>2018</v>
      </c>
      <c r="I280" t="b">
        <f t="shared" si="16"/>
        <v>1</v>
      </c>
      <c r="J280" s="4">
        <f t="shared" si="17"/>
        <v>-0.29279980178394449</v>
      </c>
      <c r="M280"/>
      <c r="O280" t="s">
        <v>972</v>
      </c>
      <c r="P280">
        <v>2459</v>
      </c>
      <c r="Q280">
        <v>2134.25</v>
      </c>
    </row>
    <row r="281" spans="1:17" hidden="1">
      <c r="A281" t="s">
        <v>606</v>
      </c>
      <c r="B281" t="s">
        <v>607</v>
      </c>
      <c r="C281" s="28">
        <v>346</v>
      </c>
      <c r="D281" s="19">
        <f t="shared" si="18"/>
        <v>11.533333333333333</v>
      </c>
      <c r="E281" s="5">
        <v>733.87</v>
      </c>
      <c r="H281" s="19">
        <f t="shared" si="19"/>
        <v>692</v>
      </c>
      <c r="I281" t="b">
        <f t="shared" si="16"/>
        <v>1</v>
      </c>
      <c r="J281" s="4">
        <f t="shared" si="17"/>
        <v>6.0505780346820748E-2</v>
      </c>
      <c r="M281"/>
      <c r="O281" t="s">
        <v>1026</v>
      </c>
      <c r="P281">
        <v>957</v>
      </c>
      <c r="Q281">
        <v>952.57</v>
      </c>
    </row>
    <row r="282" spans="1:17" hidden="1">
      <c r="A282" t="s">
        <v>222</v>
      </c>
      <c r="B282" t="s">
        <v>223</v>
      </c>
      <c r="C282" s="28">
        <v>1792</v>
      </c>
      <c r="D282" s="19">
        <f t="shared" si="18"/>
        <v>59.733333333333334</v>
      </c>
      <c r="E282" s="5">
        <v>352.05</v>
      </c>
      <c r="H282" s="19">
        <f t="shared" si="19"/>
        <v>3584</v>
      </c>
      <c r="I282" t="b">
        <f t="shared" si="16"/>
        <v>1</v>
      </c>
      <c r="J282" s="4">
        <f t="shared" si="17"/>
        <v>-0.90177176339285714</v>
      </c>
      <c r="M282"/>
      <c r="O282" t="s">
        <v>1085</v>
      </c>
      <c r="P282">
        <v>171</v>
      </c>
      <c r="Q282">
        <v>98.72</v>
      </c>
    </row>
    <row r="283" spans="1:17" hidden="1">
      <c r="A283" t="s">
        <v>104</v>
      </c>
      <c r="B283" t="s">
        <v>105</v>
      </c>
      <c r="C283" s="28">
        <v>3165</v>
      </c>
      <c r="D283" s="19">
        <f t="shared" si="18"/>
        <v>105.5</v>
      </c>
      <c r="E283" s="5">
        <v>2441.23</v>
      </c>
      <c r="H283" s="19">
        <f t="shared" si="19"/>
        <v>6330</v>
      </c>
      <c r="I283" t="b">
        <f t="shared" si="16"/>
        <v>1</v>
      </c>
      <c r="J283" s="4">
        <f t="shared" si="17"/>
        <v>-0.61433965244865718</v>
      </c>
      <c r="M283"/>
      <c r="O283" t="s">
        <v>1612</v>
      </c>
      <c r="P283">
        <v>0</v>
      </c>
      <c r="Q283">
        <v>0</v>
      </c>
    </row>
    <row r="284" spans="1:17">
      <c r="A284" t="s">
        <v>382</v>
      </c>
      <c r="B284" t="s">
        <v>383</v>
      </c>
      <c r="C284" s="28">
        <v>930</v>
      </c>
      <c r="D284" s="19">
        <f t="shared" si="18"/>
        <v>31</v>
      </c>
      <c r="E284" s="5">
        <v>2942.27</v>
      </c>
      <c r="H284" s="19">
        <f t="shared" si="19"/>
        <v>1860</v>
      </c>
      <c r="I284" t="b">
        <f t="shared" si="16"/>
        <v>0</v>
      </c>
      <c r="J284" s="4">
        <f t="shared" si="17"/>
        <v>0.58186559139784944</v>
      </c>
      <c r="M284"/>
      <c r="O284" t="s">
        <v>887</v>
      </c>
      <c r="P284">
        <v>671</v>
      </c>
      <c r="Q284">
        <v>0</v>
      </c>
    </row>
    <row r="285" spans="1:17" hidden="1">
      <c r="A285" t="s">
        <v>380</v>
      </c>
      <c r="B285" t="s">
        <v>381</v>
      </c>
      <c r="C285" s="28">
        <v>948</v>
      </c>
      <c r="D285" s="19">
        <f t="shared" si="18"/>
        <v>31.6</v>
      </c>
      <c r="E285" s="5">
        <v>2034.47</v>
      </c>
      <c r="H285" s="19">
        <f t="shared" si="19"/>
        <v>1896</v>
      </c>
      <c r="I285" t="b">
        <f t="shared" si="16"/>
        <v>1</v>
      </c>
      <c r="J285" s="4">
        <f t="shared" si="17"/>
        <v>7.3032700421940877E-2</v>
      </c>
      <c r="M285"/>
      <c r="O285" t="s">
        <v>1024</v>
      </c>
      <c r="P285">
        <v>1758</v>
      </c>
      <c r="Q285">
        <v>3478.4</v>
      </c>
    </row>
    <row r="286" spans="1:17" hidden="1">
      <c r="A286" t="s">
        <v>210</v>
      </c>
      <c r="B286" s="27" t="s">
        <v>211</v>
      </c>
      <c r="C286" s="28">
        <v>1890</v>
      </c>
      <c r="D286" s="19">
        <f t="shared" si="18"/>
        <v>63</v>
      </c>
      <c r="E286" s="5">
        <v>2315.33</v>
      </c>
      <c r="H286" s="19">
        <f t="shared" si="19"/>
        <v>3780</v>
      </c>
      <c r="I286" t="b">
        <f t="shared" si="16"/>
        <v>1</v>
      </c>
      <c r="J286" s="4">
        <f t="shared" si="17"/>
        <v>-0.38747883597883603</v>
      </c>
      <c r="M286"/>
      <c r="O286" t="s">
        <v>1129</v>
      </c>
      <c r="P286">
        <v>1810</v>
      </c>
      <c r="Q286">
        <v>2248.7199999999998</v>
      </c>
    </row>
    <row r="287" spans="1:17" hidden="1">
      <c r="A287" s="54" t="s">
        <v>57</v>
      </c>
      <c r="B287" s="37" t="s">
        <v>58</v>
      </c>
      <c r="C287" s="19">
        <v>6157</v>
      </c>
      <c r="D287" s="19">
        <f t="shared" si="18"/>
        <v>205.23333333333332</v>
      </c>
      <c r="E287" s="5">
        <v>7976.37</v>
      </c>
      <c r="H287" s="19">
        <f t="shared" si="19"/>
        <v>12314</v>
      </c>
      <c r="I287" t="b">
        <f t="shared" si="16"/>
        <v>1</v>
      </c>
      <c r="J287" s="4">
        <f t="shared" si="17"/>
        <v>-0.35225190839694653</v>
      </c>
      <c r="M287"/>
      <c r="O287" t="s">
        <v>1540</v>
      </c>
      <c r="P287">
        <v>130</v>
      </c>
      <c r="Q287">
        <v>0</v>
      </c>
    </row>
    <row r="288" spans="1:17" hidden="1">
      <c r="A288" t="s">
        <v>262</v>
      </c>
      <c r="B288" t="s">
        <v>263</v>
      </c>
      <c r="C288" s="28">
        <v>1566</v>
      </c>
      <c r="D288" s="19">
        <f t="shared" si="18"/>
        <v>52.2</v>
      </c>
      <c r="E288" s="5">
        <v>958.25</v>
      </c>
      <c r="H288" s="19">
        <f t="shared" si="19"/>
        <v>3132</v>
      </c>
      <c r="I288" t="b">
        <f t="shared" si="16"/>
        <v>1</v>
      </c>
      <c r="J288" s="4">
        <f t="shared" si="17"/>
        <v>-0.69404533844189009</v>
      </c>
      <c r="M288"/>
      <c r="O288" t="s">
        <v>978</v>
      </c>
      <c r="P288">
        <v>1461</v>
      </c>
      <c r="Q288">
        <v>3193.14</v>
      </c>
    </row>
    <row r="289" spans="1:17" hidden="1">
      <c r="A289" t="s">
        <v>22</v>
      </c>
      <c r="B289" t="s">
        <v>23</v>
      </c>
      <c r="C289" s="28">
        <v>44290</v>
      </c>
      <c r="D289" s="19">
        <f t="shared" si="18"/>
        <v>1476.3333333333333</v>
      </c>
      <c r="E289" s="5">
        <v>54763.47</v>
      </c>
      <c r="H289" s="19">
        <f t="shared" si="19"/>
        <v>88580</v>
      </c>
      <c r="I289" t="b">
        <f t="shared" si="16"/>
        <v>1</v>
      </c>
      <c r="J289" s="4">
        <f t="shared" si="17"/>
        <v>-0.38176258749153302</v>
      </c>
      <c r="M289" s="125"/>
      <c r="O289" t="s">
        <v>1038</v>
      </c>
      <c r="P289">
        <v>898</v>
      </c>
      <c r="Q289">
        <v>1140.48</v>
      </c>
    </row>
    <row r="290" spans="1:17" hidden="1">
      <c r="A290" s="37" t="s">
        <v>193</v>
      </c>
      <c r="B290" s="27" t="s">
        <v>194</v>
      </c>
      <c r="C290" s="28">
        <v>2016</v>
      </c>
      <c r="D290" s="19">
        <f t="shared" si="18"/>
        <v>67.2</v>
      </c>
      <c r="E290" s="5">
        <v>3087.29</v>
      </c>
      <c r="H290" s="19">
        <f t="shared" si="19"/>
        <v>4032</v>
      </c>
      <c r="I290" t="b">
        <f t="shared" si="16"/>
        <v>1</v>
      </c>
      <c r="J290" s="4">
        <f t="shared" si="17"/>
        <v>-0.23430307539682538</v>
      </c>
      <c r="M290"/>
      <c r="O290" t="s">
        <v>937</v>
      </c>
      <c r="P290">
        <v>767</v>
      </c>
      <c r="Q290">
        <v>780.51</v>
      </c>
    </row>
    <row r="291" spans="1:17" hidden="1">
      <c r="A291" s="54" t="s">
        <v>488</v>
      </c>
      <c r="B291" s="37" t="s">
        <v>489</v>
      </c>
      <c r="C291" s="28">
        <v>676</v>
      </c>
      <c r="D291" s="19">
        <f t="shared" si="18"/>
        <v>22.533333333333335</v>
      </c>
      <c r="E291" s="5">
        <v>1283.93</v>
      </c>
      <c r="H291" s="19">
        <f t="shared" si="19"/>
        <v>1352</v>
      </c>
      <c r="I291" t="b">
        <f t="shared" si="16"/>
        <v>1</v>
      </c>
      <c r="J291" s="4">
        <f t="shared" si="17"/>
        <v>-5.0347633136094583E-2</v>
      </c>
      <c r="M291"/>
      <c r="O291" t="s">
        <v>974</v>
      </c>
      <c r="P291">
        <v>1069</v>
      </c>
      <c r="Q291">
        <v>1609.44</v>
      </c>
    </row>
    <row r="292" spans="1:17" hidden="1">
      <c r="A292" s="55" t="s">
        <v>81</v>
      </c>
      <c r="B292" s="37" t="s">
        <v>82</v>
      </c>
      <c r="C292" s="28">
        <v>3821</v>
      </c>
      <c r="D292" s="19">
        <f t="shared" si="18"/>
        <v>127.36666666666666</v>
      </c>
      <c r="E292" s="5">
        <v>7184.69</v>
      </c>
      <c r="H292" s="19">
        <f t="shared" si="19"/>
        <v>7642</v>
      </c>
      <c r="I292" t="b">
        <f t="shared" si="16"/>
        <v>1</v>
      </c>
      <c r="J292" s="4">
        <f t="shared" si="17"/>
        <v>-5.9841664485736801E-2</v>
      </c>
      <c r="M292"/>
      <c r="O292" t="s">
        <v>848</v>
      </c>
      <c r="P292">
        <v>1050</v>
      </c>
      <c r="Q292">
        <v>2642.42</v>
      </c>
    </row>
    <row r="293" spans="1:17">
      <c r="A293" t="s">
        <v>396</v>
      </c>
      <c r="B293" t="s">
        <v>397</v>
      </c>
      <c r="C293" s="28">
        <v>902</v>
      </c>
      <c r="D293" s="19">
        <f t="shared" si="18"/>
        <v>30.066666666666666</v>
      </c>
      <c r="E293" s="5">
        <v>2559.46</v>
      </c>
      <c r="H293" s="19">
        <f t="shared" si="19"/>
        <v>1804</v>
      </c>
      <c r="I293" t="b">
        <f t="shared" si="16"/>
        <v>0</v>
      </c>
      <c r="J293" s="4">
        <f t="shared" si="17"/>
        <v>0.41876940133037688</v>
      </c>
      <c r="M293"/>
      <c r="O293" t="s">
        <v>1040</v>
      </c>
      <c r="P293">
        <v>1599</v>
      </c>
      <c r="Q293">
        <v>2462.29</v>
      </c>
    </row>
    <row r="294" spans="1:17" hidden="1">
      <c r="A294" s="37" t="s">
        <v>286</v>
      </c>
      <c r="B294" s="37" t="s">
        <v>287</v>
      </c>
      <c r="C294" s="28">
        <v>1403</v>
      </c>
      <c r="D294" s="19">
        <f t="shared" si="18"/>
        <v>46.766666666666666</v>
      </c>
      <c r="E294" s="5">
        <v>2037.94</v>
      </c>
      <c r="H294" s="19">
        <f t="shared" si="19"/>
        <v>2806</v>
      </c>
      <c r="I294" t="b">
        <f t="shared" si="16"/>
        <v>1</v>
      </c>
      <c r="J294" s="4">
        <f t="shared" si="17"/>
        <v>-0.27372059871703491</v>
      </c>
      <c r="M294"/>
      <c r="O294" t="s">
        <v>1030</v>
      </c>
      <c r="P294">
        <v>986</v>
      </c>
      <c r="Q294">
        <v>1511.76</v>
      </c>
    </row>
    <row r="295" spans="1:17" hidden="1">
      <c r="A295" t="s">
        <v>417</v>
      </c>
      <c r="B295" t="s">
        <v>418</v>
      </c>
      <c r="C295" s="28">
        <v>853</v>
      </c>
      <c r="D295" s="19">
        <f t="shared" si="18"/>
        <v>28.433333333333334</v>
      </c>
      <c r="E295" s="5">
        <v>1382.39</v>
      </c>
      <c r="H295" s="19">
        <f t="shared" si="19"/>
        <v>1706</v>
      </c>
      <c r="I295" t="b">
        <f t="shared" si="16"/>
        <v>1</v>
      </c>
      <c r="J295" s="4">
        <f t="shared" si="17"/>
        <v>-0.18968933177022274</v>
      </c>
      <c r="M295"/>
      <c r="O295" t="s">
        <v>1002</v>
      </c>
      <c r="P295">
        <v>1097</v>
      </c>
      <c r="Q295">
        <v>2322.02</v>
      </c>
    </row>
    <row r="296" spans="1:17" hidden="1">
      <c r="A296" s="54" t="s">
        <v>408</v>
      </c>
      <c r="B296" s="37" t="s">
        <v>409</v>
      </c>
      <c r="C296" s="28">
        <v>877</v>
      </c>
      <c r="D296" s="19">
        <f t="shared" si="18"/>
        <v>29.233333333333334</v>
      </c>
      <c r="E296" s="5">
        <v>1962.91</v>
      </c>
      <c r="H296" s="19">
        <f t="shared" si="19"/>
        <v>1754</v>
      </c>
      <c r="I296" t="b">
        <f t="shared" si="16"/>
        <v>1</v>
      </c>
      <c r="J296" s="4">
        <f t="shared" si="17"/>
        <v>0.11910490307867727</v>
      </c>
      <c r="M296"/>
      <c r="O296" t="s">
        <v>853</v>
      </c>
      <c r="P296">
        <v>4451</v>
      </c>
      <c r="Q296">
        <v>6429.45</v>
      </c>
    </row>
    <row r="297" spans="1:17" hidden="1">
      <c r="A297" s="37" t="s">
        <v>61</v>
      </c>
      <c r="B297" s="37" t="s">
        <v>62</v>
      </c>
      <c r="C297" s="28">
        <v>5735</v>
      </c>
      <c r="D297" s="19">
        <f t="shared" si="18"/>
        <v>191.16666666666666</v>
      </c>
      <c r="E297" s="5">
        <v>9966.93</v>
      </c>
      <c r="H297" s="19">
        <f t="shared" si="19"/>
        <v>11470</v>
      </c>
      <c r="I297" t="b">
        <f t="shared" ref="I297:I338" si="20">IF(E297&gt;1.2*H297,FALSE,TRUE)</f>
        <v>1</v>
      </c>
      <c r="J297" s="4">
        <f t="shared" ref="J297:J338" si="21">E297/H297-1</f>
        <v>-0.13104359197907578</v>
      </c>
      <c r="M297"/>
      <c r="O297" t="s">
        <v>924</v>
      </c>
      <c r="P297">
        <v>1048</v>
      </c>
      <c r="Q297">
        <v>1274.44</v>
      </c>
    </row>
    <row r="298" spans="1:17" hidden="1">
      <c r="A298" s="54" t="s">
        <v>122</v>
      </c>
      <c r="B298" s="37" t="s">
        <v>123</v>
      </c>
      <c r="C298" s="28">
        <v>2780</v>
      </c>
      <c r="D298" s="19">
        <f t="shared" si="18"/>
        <v>92.666666666666671</v>
      </c>
      <c r="E298" s="5">
        <v>3450.76</v>
      </c>
      <c r="H298" s="19">
        <f t="shared" si="19"/>
        <v>5560</v>
      </c>
      <c r="I298" t="b">
        <f t="shared" si="20"/>
        <v>1</v>
      </c>
      <c r="J298" s="4">
        <f t="shared" si="21"/>
        <v>-0.37935971223021581</v>
      </c>
      <c r="O298" t="s">
        <v>1542</v>
      </c>
      <c r="P298">
        <v>140</v>
      </c>
      <c r="Q298">
        <v>0</v>
      </c>
    </row>
    <row r="299" spans="1:17">
      <c r="A299" s="54" t="s">
        <v>372</v>
      </c>
      <c r="B299" s="37" t="s">
        <v>373</v>
      </c>
      <c r="C299" s="28">
        <v>972</v>
      </c>
      <c r="D299" s="19">
        <f t="shared" si="18"/>
        <v>32.4</v>
      </c>
      <c r="E299" s="131">
        <v>2876.56</v>
      </c>
      <c r="H299" s="19">
        <f t="shared" si="19"/>
        <v>1944</v>
      </c>
      <c r="I299" t="b">
        <f t="shared" si="20"/>
        <v>0</v>
      </c>
      <c r="J299" s="4">
        <f t="shared" si="21"/>
        <v>0.47971193415637847</v>
      </c>
      <c r="M299"/>
      <c r="O299" t="s">
        <v>1104</v>
      </c>
      <c r="P299">
        <v>931</v>
      </c>
      <c r="Q299">
        <v>1583.03</v>
      </c>
    </row>
    <row r="300" spans="1:17" hidden="1">
      <c r="A300" t="s">
        <v>366</v>
      </c>
      <c r="B300" t="s">
        <v>367</v>
      </c>
      <c r="C300" s="28">
        <v>1001</v>
      </c>
      <c r="D300" s="19">
        <f t="shared" si="18"/>
        <v>33.366666666666667</v>
      </c>
      <c r="E300" s="5">
        <v>1730.43</v>
      </c>
      <c r="H300" s="19">
        <f t="shared" si="19"/>
        <v>2002</v>
      </c>
      <c r="I300" t="b">
        <f t="shared" si="20"/>
        <v>1</v>
      </c>
      <c r="J300" s="4">
        <f t="shared" si="21"/>
        <v>-0.13564935064935058</v>
      </c>
      <c r="M300"/>
      <c r="O300" t="s">
        <v>1077</v>
      </c>
      <c r="P300">
        <v>348</v>
      </c>
      <c r="Q300">
        <v>233.13</v>
      </c>
    </row>
    <row r="301" spans="1:17" hidden="1">
      <c r="A301" s="54" t="s">
        <v>91</v>
      </c>
      <c r="B301" s="37" t="s">
        <v>92</v>
      </c>
      <c r="C301" s="28">
        <v>3358</v>
      </c>
      <c r="D301" s="19">
        <f t="shared" si="18"/>
        <v>111.93333333333334</v>
      </c>
      <c r="E301" s="5">
        <v>5986.86</v>
      </c>
      <c r="H301" s="19">
        <f t="shared" si="19"/>
        <v>6716</v>
      </c>
      <c r="I301" t="b">
        <f t="shared" si="20"/>
        <v>1</v>
      </c>
      <c r="J301" s="4">
        <f t="shared" si="21"/>
        <v>-0.108567599761763</v>
      </c>
      <c r="M301"/>
      <c r="O301" t="s">
        <v>901</v>
      </c>
      <c r="P301">
        <v>1493</v>
      </c>
      <c r="Q301">
        <v>2515.94</v>
      </c>
    </row>
    <row r="302" spans="1:17" hidden="1">
      <c r="A302" s="54" t="s">
        <v>228</v>
      </c>
      <c r="B302" s="37" t="s">
        <v>229</v>
      </c>
      <c r="C302" s="28">
        <v>1753</v>
      </c>
      <c r="D302" s="19">
        <f t="shared" si="18"/>
        <v>58.43333333333333</v>
      </c>
      <c r="E302" s="5">
        <v>3027.01</v>
      </c>
      <c r="H302" s="19">
        <f t="shared" si="19"/>
        <v>3506</v>
      </c>
      <c r="I302" t="b">
        <f t="shared" si="20"/>
        <v>1</v>
      </c>
      <c r="J302" s="4">
        <f t="shared" si="21"/>
        <v>-0.13662007986309177</v>
      </c>
      <c r="M302"/>
      <c r="O302" t="s">
        <v>912</v>
      </c>
      <c r="P302">
        <v>1954</v>
      </c>
      <c r="Q302">
        <v>2412.92</v>
      </c>
    </row>
    <row r="303" spans="1:17" hidden="1">
      <c r="A303" t="s">
        <v>112</v>
      </c>
      <c r="B303" t="s">
        <v>113</v>
      </c>
      <c r="C303" s="28">
        <v>3067</v>
      </c>
      <c r="D303" s="19">
        <f t="shared" si="18"/>
        <v>102.23333333333333</v>
      </c>
      <c r="E303" s="5">
        <v>3786.18</v>
      </c>
      <c r="H303" s="19">
        <f t="shared" si="19"/>
        <v>6134</v>
      </c>
      <c r="I303" t="b">
        <f t="shared" si="20"/>
        <v>1</v>
      </c>
      <c r="J303" s="4">
        <f t="shared" si="21"/>
        <v>-0.38275513531137928</v>
      </c>
      <c r="M303"/>
      <c r="O303" t="s">
        <v>1528</v>
      </c>
      <c r="P303">
        <v>595</v>
      </c>
      <c r="Q303">
        <v>486.99</v>
      </c>
    </row>
    <row r="304" spans="1:17">
      <c r="A304" t="s">
        <v>603</v>
      </c>
      <c r="B304" t="s">
        <v>604</v>
      </c>
      <c r="C304" s="28">
        <v>347</v>
      </c>
      <c r="D304" s="19">
        <f t="shared" si="18"/>
        <v>11.566666666666666</v>
      </c>
      <c r="E304" s="5">
        <v>868.68</v>
      </c>
      <c r="H304" s="19">
        <f t="shared" si="19"/>
        <v>694</v>
      </c>
      <c r="I304" t="b">
        <f t="shared" si="20"/>
        <v>0</v>
      </c>
      <c r="J304" s="4">
        <f t="shared" si="21"/>
        <v>0.2517002881844379</v>
      </c>
      <c r="M304"/>
      <c r="O304" t="s">
        <v>1110</v>
      </c>
      <c r="P304">
        <v>1003</v>
      </c>
      <c r="Q304">
        <v>879.2</v>
      </c>
    </row>
    <row r="305" spans="1:17" hidden="1">
      <c r="A305" t="s">
        <v>102</v>
      </c>
      <c r="B305" t="s">
        <v>103</v>
      </c>
      <c r="C305" s="28">
        <v>3199</v>
      </c>
      <c r="D305" s="19">
        <f t="shared" si="18"/>
        <v>106.63333333333334</v>
      </c>
      <c r="E305" s="5">
        <v>5302.99</v>
      </c>
      <c r="H305" s="19">
        <f t="shared" si="19"/>
        <v>6398</v>
      </c>
      <c r="I305" t="b">
        <f t="shared" si="20"/>
        <v>1</v>
      </c>
      <c r="J305" s="4">
        <f t="shared" si="21"/>
        <v>-0.17114879649890591</v>
      </c>
      <c r="M305"/>
      <c r="O305" t="s">
        <v>1112</v>
      </c>
      <c r="P305">
        <v>721</v>
      </c>
      <c r="Q305">
        <v>855.88</v>
      </c>
    </row>
    <row r="306" spans="1:17" hidden="1">
      <c r="A306" t="s">
        <v>339</v>
      </c>
      <c r="B306" t="s">
        <v>340</v>
      </c>
      <c r="C306" s="28">
        <v>1102</v>
      </c>
      <c r="D306" s="19">
        <f t="shared" si="18"/>
        <v>36.733333333333334</v>
      </c>
      <c r="E306" s="5">
        <v>1535.33</v>
      </c>
      <c r="H306" s="19">
        <f t="shared" si="19"/>
        <v>2204</v>
      </c>
      <c r="I306" t="b">
        <f t="shared" si="20"/>
        <v>1</v>
      </c>
      <c r="J306" s="4">
        <f t="shared" si="21"/>
        <v>-0.3033892921960073</v>
      </c>
      <c r="M306"/>
      <c r="O306" t="s">
        <v>976</v>
      </c>
      <c r="P306">
        <v>1221</v>
      </c>
      <c r="Q306">
        <v>0</v>
      </c>
    </row>
    <row r="307" spans="1:17" hidden="1">
      <c r="A307" t="s">
        <v>269</v>
      </c>
      <c r="B307" t="s">
        <v>270</v>
      </c>
      <c r="C307" s="28">
        <v>1514</v>
      </c>
      <c r="D307" s="19">
        <f t="shared" si="18"/>
        <v>50.466666666666669</v>
      </c>
      <c r="E307" s="5">
        <v>3537.1</v>
      </c>
      <c r="H307" s="19">
        <f t="shared" si="19"/>
        <v>3028</v>
      </c>
      <c r="I307" t="b">
        <f t="shared" si="20"/>
        <v>1</v>
      </c>
      <c r="J307" s="4">
        <f t="shared" si="21"/>
        <v>0.16813077939233811</v>
      </c>
      <c r="M307"/>
      <c r="O307" t="s">
        <v>1053</v>
      </c>
      <c r="P307">
        <v>722</v>
      </c>
      <c r="Q307">
        <v>486.87</v>
      </c>
    </row>
    <row r="308" spans="1:17" hidden="1">
      <c r="A308" t="s">
        <v>136</v>
      </c>
      <c r="B308" t="s">
        <v>137</v>
      </c>
      <c r="C308" s="28">
        <v>2677</v>
      </c>
      <c r="D308" s="19">
        <f t="shared" si="18"/>
        <v>89.233333333333334</v>
      </c>
      <c r="E308" s="5">
        <v>523.46</v>
      </c>
      <c r="H308" s="19">
        <f t="shared" si="19"/>
        <v>5354</v>
      </c>
      <c r="I308" t="b">
        <f t="shared" si="20"/>
        <v>1</v>
      </c>
      <c r="J308" s="4">
        <f t="shared" si="21"/>
        <v>-0.90223010833022044</v>
      </c>
      <c r="M308"/>
      <c r="O308" t="s">
        <v>844</v>
      </c>
      <c r="P308">
        <v>1270</v>
      </c>
      <c r="Q308">
        <v>2839.08</v>
      </c>
    </row>
    <row r="309" spans="1:17" hidden="1">
      <c r="A309" s="54" t="s">
        <v>327</v>
      </c>
      <c r="B309" s="37" t="s">
        <v>328</v>
      </c>
      <c r="C309" s="28">
        <v>1147</v>
      </c>
      <c r="D309" s="19">
        <f t="shared" si="18"/>
        <v>38.233333333333334</v>
      </c>
      <c r="E309" s="5">
        <v>1024.6099999999999</v>
      </c>
      <c r="H309" s="19">
        <f t="shared" si="19"/>
        <v>2294</v>
      </c>
      <c r="I309" t="b">
        <f t="shared" si="20"/>
        <v>1</v>
      </c>
      <c r="J309" s="4">
        <f t="shared" si="21"/>
        <v>-0.55335222319093291</v>
      </c>
      <c r="O309" t="s">
        <v>857</v>
      </c>
      <c r="P309">
        <v>3590</v>
      </c>
      <c r="Q309">
        <v>3329.15</v>
      </c>
    </row>
    <row r="310" spans="1:17" hidden="1">
      <c r="A310" t="s">
        <v>49</v>
      </c>
      <c r="B310" t="s">
        <v>50</v>
      </c>
      <c r="C310" s="28">
        <v>7220</v>
      </c>
      <c r="D310" s="19">
        <f t="shared" si="18"/>
        <v>240.66666666666666</v>
      </c>
      <c r="E310" s="5">
        <v>6293.82</v>
      </c>
      <c r="H310" s="19">
        <f t="shared" si="19"/>
        <v>14440</v>
      </c>
      <c r="I310" t="b">
        <f t="shared" si="20"/>
        <v>1</v>
      </c>
      <c r="J310" s="4">
        <f t="shared" si="21"/>
        <v>-0.5641398891966759</v>
      </c>
      <c r="M310"/>
      <c r="O310" t="s">
        <v>984</v>
      </c>
      <c r="P310">
        <v>1071</v>
      </c>
      <c r="Q310">
        <v>1111.29</v>
      </c>
    </row>
    <row r="311" spans="1:17" hidden="1">
      <c r="A311" s="54" t="s">
        <v>265</v>
      </c>
      <c r="B311" s="37" t="s">
        <v>266</v>
      </c>
      <c r="C311" s="19">
        <v>1527</v>
      </c>
      <c r="D311" s="19">
        <f t="shared" si="18"/>
        <v>50.9</v>
      </c>
      <c r="E311" s="5">
        <v>2792.36</v>
      </c>
      <c r="H311" s="19">
        <f t="shared" si="19"/>
        <v>3054</v>
      </c>
      <c r="I311" t="b">
        <f t="shared" si="20"/>
        <v>1</v>
      </c>
      <c r="J311" s="4">
        <f t="shared" si="21"/>
        <v>-8.5671250818598499E-2</v>
      </c>
      <c r="M311"/>
      <c r="O311" t="s">
        <v>982</v>
      </c>
      <c r="P311">
        <v>1019</v>
      </c>
      <c r="Q311">
        <v>2154.46</v>
      </c>
    </row>
    <row r="312" spans="1:17" hidden="1">
      <c r="A312" t="s">
        <v>33</v>
      </c>
      <c r="B312" t="s">
        <v>34</v>
      </c>
      <c r="C312" s="28">
        <v>19267</v>
      </c>
      <c r="D312" s="19">
        <f t="shared" si="18"/>
        <v>642.23333333333335</v>
      </c>
      <c r="E312" s="5">
        <v>14033.66</v>
      </c>
      <c r="H312" s="19">
        <f t="shared" si="19"/>
        <v>38534</v>
      </c>
      <c r="I312" t="b">
        <f t="shared" si="20"/>
        <v>1</v>
      </c>
      <c r="J312" s="4">
        <f t="shared" si="21"/>
        <v>-0.6358109721285099</v>
      </c>
      <c r="M312"/>
      <c r="O312" t="s">
        <v>908</v>
      </c>
      <c r="P312">
        <v>2100</v>
      </c>
      <c r="Q312">
        <v>2900.04</v>
      </c>
    </row>
    <row r="313" spans="1:17" hidden="1">
      <c r="A313" s="54" t="s">
        <v>108</v>
      </c>
      <c r="B313" s="37" t="s">
        <v>109</v>
      </c>
      <c r="C313" s="28">
        <v>3135</v>
      </c>
      <c r="D313" s="19">
        <f t="shared" si="18"/>
        <v>104.5</v>
      </c>
      <c r="E313" s="5">
        <v>4052.96</v>
      </c>
      <c r="H313" s="19">
        <f t="shared" si="19"/>
        <v>6270</v>
      </c>
      <c r="I313" t="b">
        <f t="shared" si="20"/>
        <v>1</v>
      </c>
      <c r="J313" s="4">
        <f t="shared" si="21"/>
        <v>-0.35359489633173846</v>
      </c>
      <c r="M313"/>
      <c r="O313" t="s">
        <v>874</v>
      </c>
      <c r="P313">
        <v>2322</v>
      </c>
      <c r="Q313">
        <v>2781.16</v>
      </c>
    </row>
    <row r="314" spans="1:17" hidden="1">
      <c r="A314" s="54" t="s">
        <v>490</v>
      </c>
      <c r="B314" s="37" t="s">
        <v>491</v>
      </c>
      <c r="C314" s="19">
        <v>670</v>
      </c>
      <c r="D314" s="19">
        <f t="shared" si="18"/>
        <v>22.333333333333332</v>
      </c>
      <c r="E314" s="5">
        <v>918.98</v>
      </c>
      <c r="H314" s="19">
        <f t="shared" si="19"/>
        <v>1340</v>
      </c>
      <c r="I314" t="b">
        <f t="shared" si="20"/>
        <v>1</v>
      </c>
      <c r="J314" s="4">
        <f t="shared" si="21"/>
        <v>-0.31419402985074629</v>
      </c>
      <c r="M314"/>
      <c r="O314" t="s">
        <v>1049</v>
      </c>
      <c r="P314">
        <v>485</v>
      </c>
      <c r="Q314">
        <v>329.07</v>
      </c>
    </row>
    <row r="315" spans="1:17" hidden="1">
      <c r="A315" t="s">
        <v>59</v>
      </c>
      <c r="B315" t="s">
        <v>60</v>
      </c>
      <c r="C315" s="28">
        <v>5932</v>
      </c>
      <c r="D315" s="19">
        <f t="shared" si="18"/>
        <v>197.73333333333332</v>
      </c>
      <c r="E315" s="5">
        <v>9421.5499999999993</v>
      </c>
      <c r="H315" s="19">
        <f t="shared" si="19"/>
        <v>11864</v>
      </c>
      <c r="I315" t="b">
        <f t="shared" si="20"/>
        <v>1</v>
      </c>
      <c r="J315" s="4">
        <f t="shared" si="21"/>
        <v>-0.2058707012811869</v>
      </c>
      <c r="M315"/>
      <c r="O315" t="s">
        <v>910</v>
      </c>
      <c r="P315">
        <v>1498</v>
      </c>
      <c r="Q315">
        <v>723.63</v>
      </c>
    </row>
    <row r="316" spans="1:17" hidden="1">
      <c r="A316" s="54" t="s">
        <v>465</v>
      </c>
      <c r="B316" s="37" t="s">
        <v>466</v>
      </c>
      <c r="C316" s="28">
        <v>730</v>
      </c>
      <c r="D316" s="19">
        <f t="shared" si="18"/>
        <v>24.333333333333332</v>
      </c>
      <c r="E316" s="5">
        <v>1294.94</v>
      </c>
      <c r="H316" s="19">
        <f t="shared" si="19"/>
        <v>1460</v>
      </c>
      <c r="I316" t="b">
        <f t="shared" si="20"/>
        <v>1</v>
      </c>
      <c r="J316" s="4">
        <f t="shared" si="21"/>
        <v>-0.1130547945205479</v>
      </c>
      <c r="M316"/>
      <c r="O316" t="s">
        <v>1156</v>
      </c>
      <c r="P316">
        <v>10278</v>
      </c>
      <c r="Q316">
        <v>8437.92</v>
      </c>
    </row>
    <row r="317" spans="1:17" hidden="1">
      <c r="A317" s="54" t="s">
        <v>432</v>
      </c>
      <c r="B317" s="37" t="s">
        <v>433</v>
      </c>
      <c r="C317" s="28">
        <v>797</v>
      </c>
      <c r="D317" s="19">
        <f t="shared" si="18"/>
        <v>26.566666666666666</v>
      </c>
      <c r="E317" s="5">
        <v>1848.16</v>
      </c>
      <c r="H317" s="19">
        <f t="shared" si="19"/>
        <v>1594</v>
      </c>
      <c r="I317" t="b">
        <f t="shared" si="20"/>
        <v>1</v>
      </c>
      <c r="J317" s="4">
        <f t="shared" si="21"/>
        <v>0.1594479297365119</v>
      </c>
      <c r="M317"/>
      <c r="O317" t="s">
        <v>904</v>
      </c>
      <c r="P317">
        <v>1468</v>
      </c>
      <c r="Q317">
        <v>459.8</v>
      </c>
    </row>
    <row r="318" spans="1:17" hidden="1">
      <c r="A318" t="s">
        <v>47</v>
      </c>
      <c r="B318" t="s">
        <v>48</v>
      </c>
      <c r="C318" s="28">
        <v>7409</v>
      </c>
      <c r="D318" s="19">
        <f t="shared" si="18"/>
        <v>246.96666666666667</v>
      </c>
      <c r="E318" s="5">
        <v>13315.49</v>
      </c>
      <c r="H318" s="19">
        <f t="shared" si="19"/>
        <v>14818</v>
      </c>
      <c r="I318" t="b">
        <f t="shared" si="20"/>
        <v>1</v>
      </c>
      <c r="J318" s="4">
        <f t="shared" si="21"/>
        <v>-0.1013976245107302</v>
      </c>
      <c r="M318"/>
      <c r="O318" t="s">
        <v>952</v>
      </c>
      <c r="P318">
        <v>1079</v>
      </c>
      <c r="Q318">
        <v>2197.5700000000002</v>
      </c>
    </row>
    <row r="319" spans="1:17" hidden="1">
      <c r="A319" s="54" t="s">
        <v>162</v>
      </c>
      <c r="B319" s="37" t="s">
        <v>163</v>
      </c>
      <c r="C319" s="19">
        <v>2370</v>
      </c>
      <c r="D319" s="19">
        <f t="shared" si="18"/>
        <v>79</v>
      </c>
      <c r="E319" s="5">
        <v>934.33</v>
      </c>
      <c r="H319" s="19">
        <f t="shared" si="19"/>
        <v>4740</v>
      </c>
      <c r="I319" t="b">
        <f t="shared" si="20"/>
        <v>1</v>
      </c>
      <c r="J319" s="4">
        <f t="shared" si="21"/>
        <v>-0.80288396624472569</v>
      </c>
      <c r="M319"/>
      <c r="O319" t="s">
        <v>914</v>
      </c>
      <c r="P319">
        <v>1017</v>
      </c>
      <c r="Q319">
        <v>1281.21</v>
      </c>
    </row>
    <row r="320" spans="1:17" hidden="1">
      <c r="A320" s="54" t="s">
        <v>208</v>
      </c>
      <c r="B320" s="37" t="s">
        <v>209</v>
      </c>
      <c r="C320" s="28">
        <v>1918</v>
      </c>
      <c r="D320" s="19">
        <f t="shared" si="18"/>
        <v>63.93333333333333</v>
      </c>
      <c r="E320" s="5">
        <v>3458.7</v>
      </c>
      <c r="H320" s="19">
        <f t="shared" si="19"/>
        <v>3836</v>
      </c>
      <c r="I320" t="b">
        <f t="shared" si="20"/>
        <v>1</v>
      </c>
      <c r="J320" s="4">
        <f t="shared" si="21"/>
        <v>-9.8357664233576725E-2</v>
      </c>
      <c r="M320"/>
      <c r="O320" t="s">
        <v>1020</v>
      </c>
      <c r="P320">
        <v>1132</v>
      </c>
      <c r="Q320">
        <v>960.15</v>
      </c>
    </row>
    <row r="321" spans="1:17" hidden="1">
      <c r="A321" t="s">
        <v>765</v>
      </c>
      <c r="B321" t="s">
        <v>766</v>
      </c>
      <c r="C321" s="28">
        <v>8</v>
      </c>
      <c r="D321" s="19">
        <f t="shared" si="18"/>
        <v>0.26666666666666666</v>
      </c>
      <c r="E321" s="5">
        <v>0</v>
      </c>
      <c r="H321" s="19">
        <f t="shared" si="19"/>
        <v>16</v>
      </c>
      <c r="I321" t="b">
        <f t="shared" si="20"/>
        <v>1</v>
      </c>
      <c r="J321" s="4">
        <f t="shared" si="21"/>
        <v>-1</v>
      </c>
      <c r="M321"/>
      <c r="O321" t="s">
        <v>1036</v>
      </c>
      <c r="P321">
        <v>1142</v>
      </c>
      <c r="Q321">
        <v>598.61</v>
      </c>
    </row>
    <row r="322" spans="1:17" hidden="1">
      <c r="A322" t="s">
        <v>94</v>
      </c>
      <c r="B322" t="s">
        <v>95</v>
      </c>
      <c r="C322" s="28">
        <v>3353</v>
      </c>
      <c r="D322" s="19">
        <f t="shared" si="18"/>
        <v>111.76666666666667</v>
      </c>
      <c r="E322" s="5">
        <v>6897.94</v>
      </c>
      <c r="H322" s="19">
        <f t="shared" si="19"/>
        <v>6706</v>
      </c>
      <c r="I322" t="b">
        <f t="shared" si="20"/>
        <v>1</v>
      </c>
      <c r="J322" s="4">
        <f t="shared" si="21"/>
        <v>2.8622129436325583E-2</v>
      </c>
      <c r="M322"/>
      <c r="O322" t="s">
        <v>1075</v>
      </c>
      <c r="P322">
        <v>1001</v>
      </c>
      <c r="Q322">
        <v>1293.8800000000001</v>
      </c>
    </row>
    <row r="323" spans="1:17" hidden="1">
      <c r="A323" t="s">
        <v>556</v>
      </c>
      <c r="B323" t="s">
        <v>557</v>
      </c>
      <c r="C323" s="28">
        <v>475</v>
      </c>
      <c r="D323" s="19">
        <f t="shared" ref="D323:D386" si="22">C323/30</f>
        <v>15.833333333333334</v>
      </c>
      <c r="E323" s="5">
        <v>656.78</v>
      </c>
      <c r="H323" s="19">
        <f t="shared" ref="H323:H386" si="23">IF((C323/30)&gt;100,C323*2,C323*2)</f>
        <v>950</v>
      </c>
      <c r="I323" t="b">
        <f t="shared" si="20"/>
        <v>1</v>
      </c>
      <c r="J323" s="4">
        <f t="shared" si="21"/>
        <v>-0.3086526315789474</v>
      </c>
      <c r="M323"/>
      <c r="O323" t="s">
        <v>1118</v>
      </c>
      <c r="P323">
        <v>442</v>
      </c>
      <c r="Q323">
        <v>0</v>
      </c>
    </row>
    <row r="324" spans="1:17" hidden="1">
      <c r="A324" s="54" t="s">
        <v>463</v>
      </c>
      <c r="B324" s="37" t="s">
        <v>464</v>
      </c>
      <c r="C324" s="28">
        <v>744</v>
      </c>
      <c r="D324" s="19">
        <f t="shared" si="22"/>
        <v>24.8</v>
      </c>
      <c r="E324" s="5">
        <v>1710.47</v>
      </c>
      <c r="H324" s="19">
        <f t="shared" si="23"/>
        <v>1488</v>
      </c>
      <c r="I324" t="b">
        <f t="shared" si="20"/>
        <v>1</v>
      </c>
      <c r="J324" s="4">
        <f t="shared" si="21"/>
        <v>0.14950940860215045</v>
      </c>
      <c r="M324"/>
      <c r="O324" t="s">
        <v>1063</v>
      </c>
      <c r="P324">
        <v>352</v>
      </c>
      <c r="Q324">
        <v>304.18</v>
      </c>
    </row>
    <row r="325" spans="1:17" hidden="1">
      <c r="A325" t="s">
        <v>89</v>
      </c>
      <c r="B325" t="s">
        <v>90</v>
      </c>
      <c r="C325" s="28">
        <v>3366</v>
      </c>
      <c r="D325" s="19">
        <f t="shared" si="22"/>
        <v>112.2</v>
      </c>
      <c r="E325" s="5">
        <v>6572.1</v>
      </c>
      <c r="H325" s="19">
        <f t="shared" si="23"/>
        <v>6732</v>
      </c>
      <c r="I325" t="b">
        <f t="shared" si="20"/>
        <v>1</v>
      </c>
      <c r="J325" s="4">
        <f>E325/H325-1</f>
        <v>-2.3752228163992806E-2</v>
      </c>
      <c r="M325"/>
      <c r="O325" t="s">
        <v>1548</v>
      </c>
      <c r="P325">
        <v>433</v>
      </c>
      <c r="Q325">
        <v>283.95999999999998</v>
      </c>
    </row>
    <row r="326" spans="1:17" hidden="1">
      <c r="A326" t="s">
        <v>183</v>
      </c>
      <c r="B326" t="s">
        <v>184</v>
      </c>
      <c r="C326" s="28">
        <v>2225</v>
      </c>
      <c r="D326" s="19">
        <f t="shared" si="22"/>
        <v>74.166666666666671</v>
      </c>
      <c r="E326" s="5">
        <v>3535.64</v>
      </c>
      <c r="H326" s="19">
        <f t="shared" si="23"/>
        <v>4450</v>
      </c>
      <c r="I326" t="b">
        <f t="shared" si="20"/>
        <v>1</v>
      </c>
      <c r="J326" s="4">
        <f t="shared" si="21"/>
        <v>-0.20547415730337082</v>
      </c>
      <c r="M326"/>
      <c r="O326" t="s">
        <v>933</v>
      </c>
      <c r="P326">
        <v>1773</v>
      </c>
      <c r="Q326">
        <v>658.97</v>
      </c>
    </row>
    <row r="327" spans="1:17" hidden="1">
      <c r="A327" t="s">
        <v>79</v>
      </c>
      <c r="B327" t="s">
        <v>80</v>
      </c>
      <c r="C327" s="28">
        <v>4331</v>
      </c>
      <c r="D327" s="19">
        <f t="shared" si="22"/>
        <v>144.36666666666667</v>
      </c>
      <c r="E327" s="5">
        <v>5669.93</v>
      </c>
      <c r="H327" s="19">
        <f t="shared" si="23"/>
        <v>8662</v>
      </c>
      <c r="I327" t="b">
        <f t="shared" si="20"/>
        <v>1</v>
      </c>
      <c r="J327" s="4">
        <f t="shared" si="21"/>
        <v>-0.34542484414684826</v>
      </c>
      <c r="M327"/>
      <c r="O327" t="s">
        <v>833</v>
      </c>
      <c r="P327">
        <v>4088</v>
      </c>
      <c r="Q327">
        <v>1357.7</v>
      </c>
    </row>
    <row r="328" spans="1:17">
      <c r="A328" s="54" t="s">
        <v>483</v>
      </c>
      <c r="B328" s="37" t="s">
        <v>484</v>
      </c>
      <c r="C328" s="28">
        <v>684</v>
      </c>
      <c r="D328" s="19">
        <f t="shared" si="22"/>
        <v>22.8</v>
      </c>
      <c r="E328" s="5">
        <v>2037.61</v>
      </c>
      <c r="H328" s="19">
        <f t="shared" si="23"/>
        <v>1368</v>
      </c>
      <c r="I328" t="b">
        <f t="shared" si="20"/>
        <v>0</v>
      </c>
      <c r="J328" s="4">
        <f t="shared" si="21"/>
        <v>0.4894809941520466</v>
      </c>
      <c r="M328"/>
      <c r="O328" t="s">
        <v>1047</v>
      </c>
      <c r="P328">
        <v>307</v>
      </c>
      <c r="Q328">
        <v>316.98</v>
      </c>
    </row>
    <row r="329" spans="1:17">
      <c r="A329" t="s">
        <v>197</v>
      </c>
      <c r="B329" t="s">
        <v>198</v>
      </c>
      <c r="C329" s="28">
        <v>2005</v>
      </c>
      <c r="D329" s="19">
        <f t="shared" si="22"/>
        <v>66.833333333333329</v>
      </c>
      <c r="E329" s="5">
        <v>5094.05</v>
      </c>
      <c r="H329" s="19">
        <f t="shared" si="23"/>
        <v>4010</v>
      </c>
      <c r="I329" t="b">
        <f t="shared" si="20"/>
        <v>0</v>
      </c>
      <c r="J329" s="4">
        <f t="shared" si="21"/>
        <v>0.27033665835411469</v>
      </c>
      <c r="M329"/>
      <c r="O329" t="s">
        <v>862</v>
      </c>
      <c r="P329">
        <v>1359</v>
      </c>
      <c r="Q329">
        <v>2670.18</v>
      </c>
    </row>
    <row r="330" spans="1:17" hidden="1">
      <c r="A330" t="s">
        <v>180</v>
      </c>
      <c r="B330" t="s">
        <v>181</v>
      </c>
      <c r="C330" s="28">
        <v>2227</v>
      </c>
      <c r="D330" s="19">
        <f t="shared" si="22"/>
        <v>74.233333333333334</v>
      </c>
      <c r="E330" s="5">
        <v>3893.45</v>
      </c>
      <c r="H330" s="19">
        <f t="shared" si="23"/>
        <v>4454</v>
      </c>
      <c r="I330" t="b">
        <f t="shared" si="20"/>
        <v>1</v>
      </c>
      <c r="J330" s="4">
        <f t="shared" si="21"/>
        <v>-0.12585316569375848</v>
      </c>
      <c r="M330"/>
      <c r="O330" t="s">
        <v>1154</v>
      </c>
      <c r="P330">
        <v>4341</v>
      </c>
      <c r="Q330">
        <v>5128.26</v>
      </c>
    </row>
    <row r="331" spans="1:17" hidden="1">
      <c r="A331" s="54" t="s">
        <v>53</v>
      </c>
      <c r="B331" s="37" t="s">
        <v>54</v>
      </c>
      <c r="C331" s="19">
        <v>6556</v>
      </c>
      <c r="D331" s="19">
        <f t="shared" si="22"/>
        <v>218.53333333333333</v>
      </c>
      <c r="E331" s="5">
        <v>7910.14</v>
      </c>
      <c r="H331" s="19">
        <f t="shared" si="23"/>
        <v>13112</v>
      </c>
      <c r="I331" t="b">
        <f t="shared" si="20"/>
        <v>1</v>
      </c>
      <c r="J331" s="4">
        <f t="shared" si="21"/>
        <v>-0.39672513727882852</v>
      </c>
      <c r="M331"/>
      <c r="O331" t="s">
        <v>1136</v>
      </c>
      <c r="P331">
        <v>2197</v>
      </c>
      <c r="Q331">
        <v>3365.88</v>
      </c>
    </row>
    <row r="332" spans="1:17" hidden="1">
      <c r="A332" s="37" t="s">
        <v>292</v>
      </c>
      <c r="B332" s="37" t="s">
        <v>293</v>
      </c>
      <c r="C332" s="28">
        <v>1356</v>
      </c>
      <c r="D332" s="19">
        <f t="shared" si="22"/>
        <v>45.2</v>
      </c>
      <c r="E332" s="5">
        <v>1191.68</v>
      </c>
      <c r="H332" s="19">
        <f t="shared" si="23"/>
        <v>2712</v>
      </c>
      <c r="I332" t="b">
        <f t="shared" si="20"/>
        <v>1</v>
      </c>
      <c r="J332" s="4">
        <f t="shared" si="21"/>
        <v>-0.56058997050147497</v>
      </c>
      <c r="M332"/>
      <c r="O332" t="s">
        <v>896</v>
      </c>
      <c r="P332">
        <v>680</v>
      </c>
      <c r="Q332">
        <v>313.06</v>
      </c>
    </row>
    <row r="333" spans="1:17" hidden="1">
      <c r="A333" t="s">
        <v>63</v>
      </c>
      <c r="B333" t="s">
        <v>64</v>
      </c>
      <c r="C333" s="28">
        <v>5729</v>
      </c>
      <c r="D333" s="19">
        <f t="shared" si="22"/>
        <v>190.96666666666667</v>
      </c>
      <c r="E333" s="5">
        <v>9543.24</v>
      </c>
      <c r="H333" s="19">
        <f t="shared" si="23"/>
        <v>11458</v>
      </c>
      <c r="I333" t="b">
        <f t="shared" si="20"/>
        <v>1</v>
      </c>
      <c r="J333" s="4">
        <f t="shared" si="21"/>
        <v>-0.16711118868912556</v>
      </c>
      <c r="M333"/>
      <c r="O333" t="s">
        <v>947</v>
      </c>
      <c r="P333">
        <v>556</v>
      </c>
      <c r="Q333">
        <v>825.59</v>
      </c>
    </row>
    <row r="334" spans="1:17" hidden="1">
      <c r="A334" t="s">
        <v>37</v>
      </c>
      <c r="B334" t="s">
        <v>38</v>
      </c>
      <c r="C334" s="28">
        <v>14458</v>
      </c>
      <c r="D334" s="19">
        <f t="shared" si="22"/>
        <v>481.93333333333334</v>
      </c>
      <c r="E334" s="19">
        <v>12138.01</v>
      </c>
      <c r="H334" s="19">
        <f t="shared" si="23"/>
        <v>28916</v>
      </c>
      <c r="I334" t="b">
        <f t="shared" si="20"/>
        <v>1</v>
      </c>
      <c r="J334" s="4">
        <f t="shared" si="21"/>
        <v>-0.58023205145939971</v>
      </c>
      <c r="M334"/>
      <c r="O334" t="s">
        <v>926</v>
      </c>
      <c r="P334">
        <v>709</v>
      </c>
      <c r="Q334">
        <v>343.68</v>
      </c>
    </row>
    <row r="335" spans="1:17" hidden="1">
      <c r="A335" t="s">
        <v>51</v>
      </c>
      <c r="B335" t="s">
        <v>52</v>
      </c>
      <c r="C335" s="28">
        <v>6741</v>
      </c>
      <c r="D335" s="19">
        <f t="shared" si="22"/>
        <v>224.7</v>
      </c>
      <c r="E335" s="5">
        <v>8686.35</v>
      </c>
      <c r="H335" s="19">
        <f t="shared" si="23"/>
        <v>13482</v>
      </c>
      <c r="I335" t="b">
        <f t="shared" si="20"/>
        <v>1</v>
      </c>
      <c r="J335" s="4">
        <f t="shared" si="21"/>
        <v>-0.35570761014686247</v>
      </c>
      <c r="M335"/>
      <c r="O335" t="s">
        <v>941</v>
      </c>
      <c r="P335">
        <v>1391</v>
      </c>
      <c r="Q335">
        <v>753.72</v>
      </c>
    </row>
    <row r="336" spans="1:17" hidden="1">
      <c r="A336" s="37" t="s">
        <v>25</v>
      </c>
      <c r="B336" s="37" t="s">
        <v>26</v>
      </c>
      <c r="C336" s="28">
        <v>37319</v>
      </c>
      <c r="D336" s="19">
        <f t="shared" si="22"/>
        <v>1243.9666666666667</v>
      </c>
      <c r="E336" s="5">
        <v>44355.740000000005</v>
      </c>
      <c r="H336" s="19">
        <f t="shared" si="23"/>
        <v>74638</v>
      </c>
      <c r="I336" t="b">
        <f t="shared" si="20"/>
        <v>1</v>
      </c>
      <c r="J336" s="4">
        <f t="shared" si="21"/>
        <v>-0.40572175031485291</v>
      </c>
      <c r="M336"/>
      <c r="O336" t="s">
        <v>1008</v>
      </c>
      <c r="P336">
        <v>994</v>
      </c>
      <c r="Q336">
        <v>2606.08</v>
      </c>
    </row>
    <row r="337" spans="1:17" hidden="1">
      <c r="A337" s="54" t="s">
        <v>525</v>
      </c>
      <c r="B337" s="37" t="s">
        <v>526</v>
      </c>
      <c r="C337" s="28">
        <v>546</v>
      </c>
      <c r="D337" s="19">
        <f t="shared" si="22"/>
        <v>18.2</v>
      </c>
      <c r="E337" s="5">
        <v>1153.6099999999999</v>
      </c>
      <c r="H337" s="19">
        <f t="shared" si="23"/>
        <v>1092</v>
      </c>
      <c r="I337" t="b">
        <f t="shared" si="20"/>
        <v>1</v>
      </c>
      <c r="J337" s="4">
        <f t="shared" si="21"/>
        <v>5.6419413919413852E-2</v>
      </c>
      <c r="M337"/>
      <c r="O337" t="s">
        <v>928</v>
      </c>
      <c r="P337">
        <v>2392</v>
      </c>
      <c r="Q337">
        <v>3804.61</v>
      </c>
    </row>
    <row r="338" spans="1:17" hidden="1">
      <c r="A338" s="27" t="s">
        <v>331</v>
      </c>
      <c r="B338" s="149" t="s">
        <v>332</v>
      </c>
      <c r="C338" s="28">
        <v>1131</v>
      </c>
      <c r="D338" s="19">
        <f t="shared" si="22"/>
        <v>37.700000000000003</v>
      </c>
      <c r="E338" s="5">
        <v>1389.41</v>
      </c>
      <c r="H338" s="19">
        <f t="shared" si="23"/>
        <v>2262</v>
      </c>
      <c r="I338" t="b">
        <f t="shared" si="20"/>
        <v>1</v>
      </c>
      <c r="J338" s="4">
        <f t="shared" si="21"/>
        <v>-0.38576038903625109</v>
      </c>
      <c r="M338"/>
      <c r="O338" t="s">
        <v>958</v>
      </c>
      <c r="P338">
        <v>968</v>
      </c>
      <c r="Q338">
        <v>2030.96</v>
      </c>
    </row>
    <row r="339" spans="1:17">
      <c r="A339" s="150" t="s">
        <v>624</v>
      </c>
      <c r="B339" s="149" t="s">
        <v>625</v>
      </c>
      <c r="C339" s="28">
        <v>305</v>
      </c>
      <c r="D339" s="19">
        <f t="shared" si="22"/>
        <v>10.166666666666666</v>
      </c>
      <c r="E339" s="5">
        <v>756.01</v>
      </c>
      <c r="H339" s="19">
        <f t="shared" si="23"/>
        <v>610</v>
      </c>
      <c r="I339" t="b">
        <f t="shared" ref="I339:I362" si="24">IF(E339&gt;1.2*H339,FALSE,TRUE)</f>
        <v>0</v>
      </c>
      <c r="J339" s="4">
        <f t="shared" ref="J339:J362" si="25">E339/H339-1</f>
        <v>0.23936065573770482</v>
      </c>
      <c r="M339"/>
      <c r="O339" t="s">
        <v>1125</v>
      </c>
      <c r="P339">
        <v>1050</v>
      </c>
      <c r="Q339">
        <v>214.39</v>
      </c>
    </row>
    <row r="340" spans="1:17" hidden="1">
      <c r="A340" s="54" t="s">
        <v>675</v>
      </c>
      <c r="B340" s="27" t="s">
        <v>676</v>
      </c>
      <c r="C340" s="28">
        <v>178</v>
      </c>
      <c r="D340" s="19">
        <f t="shared" si="22"/>
        <v>5.9333333333333336</v>
      </c>
      <c r="E340" s="5">
        <v>199.06</v>
      </c>
      <c r="H340" s="19">
        <f t="shared" si="23"/>
        <v>356</v>
      </c>
      <c r="I340" t="b">
        <f t="shared" si="24"/>
        <v>1</v>
      </c>
      <c r="J340" s="4">
        <f t="shared" si="25"/>
        <v>-0.44084269662921349</v>
      </c>
      <c r="M340"/>
      <c r="O340" t="s">
        <v>892</v>
      </c>
      <c r="P340">
        <v>932</v>
      </c>
      <c r="Q340">
        <v>1821.75</v>
      </c>
    </row>
    <row r="341" spans="1:17">
      <c r="A341" s="54" t="s">
        <v>558</v>
      </c>
      <c r="B341" s="37" t="s">
        <v>559</v>
      </c>
      <c r="C341" s="28">
        <v>472</v>
      </c>
      <c r="D341" s="19">
        <f t="shared" si="22"/>
        <v>15.733333333333333</v>
      </c>
      <c r="E341" s="5">
        <v>1202.57</v>
      </c>
      <c r="H341" s="19">
        <f t="shared" si="23"/>
        <v>944</v>
      </c>
      <c r="I341" t="b">
        <f t="shared" si="24"/>
        <v>0</v>
      </c>
      <c r="J341" s="4">
        <f t="shared" si="25"/>
        <v>0.27390889830508458</v>
      </c>
      <c r="M341"/>
      <c r="O341" t="s">
        <v>964</v>
      </c>
      <c r="P341">
        <v>2202</v>
      </c>
      <c r="Q341">
        <v>4728.72</v>
      </c>
    </row>
    <row r="342" spans="1:17" hidden="1">
      <c r="A342" s="54" t="s">
        <v>795</v>
      </c>
      <c r="B342" s="37" t="s">
        <v>796</v>
      </c>
      <c r="C342" s="28">
        <v>0</v>
      </c>
      <c r="D342" s="19">
        <f t="shared" si="22"/>
        <v>0</v>
      </c>
      <c r="E342" s="5">
        <v>0</v>
      </c>
      <c r="H342" s="19">
        <f t="shared" si="23"/>
        <v>0</v>
      </c>
      <c r="I342" t="b">
        <f t="shared" si="24"/>
        <v>1</v>
      </c>
      <c r="J342" s="4" t="e">
        <f t="shared" si="25"/>
        <v>#DIV/0!</v>
      </c>
      <c r="O342" t="s">
        <v>906</v>
      </c>
      <c r="P342">
        <v>1002</v>
      </c>
      <c r="Q342">
        <v>1222.03</v>
      </c>
    </row>
    <row r="343" spans="1:17" hidden="1">
      <c r="A343" s="54" t="s">
        <v>789</v>
      </c>
      <c r="B343" s="37" t="s">
        <v>790</v>
      </c>
      <c r="C343" s="28">
        <v>0</v>
      </c>
      <c r="D343" s="19">
        <f t="shared" si="22"/>
        <v>0</v>
      </c>
      <c r="E343" s="131">
        <v>0</v>
      </c>
      <c r="H343" s="19">
        <f t="shared" si="23"/>
        <v>0</v>
      </c>
      <c r="I343" t="b">
        <f t="shared" si="24"/>
        <v>1</v>
      </c>
      <c r="J343" s="4" t="e">
        <f t="shared" si="25"/>
        <v>#DIV/0!</v>
      </c>
      <c r="M343"/>
      <c r="O343" t="s">
        <v>846</v>
      </c>
      <c r="P343">
        <v>871</v>
      </c>
      <c r="Q343">
        <v>1788.28</v>
      </c>
    </row>
    <row r="344" spans="1:17" ht="30" hidden="1">
      <c r="A344" s="54" t="s">
        <v>138</v>
      </c>
      <c r="B344" s="37" t="s">
        <v>139</v>
      </c>
      <c r="C344" s="28">
        <v>2539</v>
      </c>
      <c r="D344" s="19">
        <f t="shared" si="22"/>
        <v>84.63333333333334</v>
      </c>
      <c r="E344" s="5">
        <v>5376.81</v>
      </c>
      <c r="H344" s="19">
        <f t="shared" si="23"/>
        <v>5078</v>
      </c>
      <c r="I344" t="b">
        <f t="shared" si="24"/>
        <v>1</v>
      </c>
      <c r="J344" s="4">
        <f t="shared" si="25"/>
        <v>5.8844033083891301E-2</v>
      </c>
      <c r="M344"/>
      <c r="P344">
        <v>0</v>
      </c>
      <c r="Q344">
        <v>0</v>
      </c>
    </row>
    <row r="345" spans="1:17">
      <c r="A345" s="54" t="s">
        <v>712</v>
      </c>
      <c r="B345" s="37" t="s">
        <v>713</v>
      </c>
      <c r="C345" s="28">
        <v>96</v>
      </c>
      <c r="D345" s="19">
        <f t="shared" si="22"/>
        <v>3.2</v>
      </c>
      <c r="E345" s="5">
        <v>296.70999999999998</v>
      </c>
      <c r="H345" s="19">
        <f t="shared" si="23"/>
        <v>192</v>
      </c>
      <c r="I345" t="b">
        <f t="shared" si="24"/>
        <v>0</v>
      </c>
      <c r="J345" s="4">
        <f t="shared" si="25"/>
        <v>0.54536458333333315</v>
      </c>
      <c r="M345"/>
      <c r="P345">
        <v>0</v>
      </c>
      <c r="Q345">
        <v>0</v>
      </c>
    </row>
    <row r="346" spans="1:17" hidden="1">
      <c r="A346" s="54" t="s">
        <v>647</v>
      </c>
      <c r="B346" s="37" t="s">
        <v>648</v>
      </c>
      <c r="C346" s="28">
        <v>253</v>
      </c>
      <c r="D346" s="19">
        <f t="shared" si="22"/>
        <v>8.4333333333333336</v>
      </c>
      <c r="E346" s="5">
        <v>474.33</v>
      </c>
      <c r="H346" s="19">
        <f t="shared" si="23"/>
        <v>506</v>
      </c>
      <c r="I346" t="b">
        <f t="shared" si="24"/>
        <v>1</v>
      </c>
      <c r="J346" s="4">
        <f t="shared" si="25"/>
        <v>-6.258893280632416E-2</v>
      </c>
      <c r="M346"/>
      <c r="P346">
        <v>0</v>
      </c>
      <c r="Q346">
        <v>0</v>
      </c>
    </row>
    <row r="347" spans="1:17" hidden="1">
      <c r="A347" s="143" t="s">
        <v>485</v>
      </c>
      <c r="B347" s="37" t="s">
        <v>486</v>
      </c>
      <c r="C347" s="28">
        <v>683</v>
      </c>
      <c r="D347" s="19">
        <f t="shared" si="22"/>
        <v>22.766666666666666</v>
      </c>
      <c r="E347" s="5">
        <v>1491.01</v>
      </c>
      <c r="H347" s="19">
        <f t="shared" si="23"/>
        <v>1366</v>
      </c>
      <c r="I347" t="b">
        <f t="shared" si="24"/>
        <v>1</v>
      </c>
      <c r="J347" s="4">
        <f t="shared" si="25"/>
        <v>9.1515373352855089E-2</v>
      </c>
      <c r="M347"/>
      <c r="P347">
        <v>0</v>
      </c>
      <c r="Q347">
        <v>0</v>
      </c>
    </row>
    <row r="348" spans="1:17">
      <c r="A348" s="143" t="s">
        <v>535</v>
      </c>
      <c r="B348" s="143" t="s">
        <v>536</v>
      </c>
      <c r="C348" s="28">
        <v>518</v>
      </c>
      <c r="D348" s="19">
        <f t="shared" si="22"/>
        <v>17.266666666666666</v>
      </c>
      <c r="E348" s="5">
        <v>1584.42</v>
      </c>
      <c r="H348" s="19">
        <f t="shared" si="23"/>
        <v>1036</v>
      </c>
      <c r="I348" t="b">
        <f t="shared" si="24"/>
        <v>0</v>
      </c>
      <c r="J348" s="4">
        <f t="shared" si="25"/>
        <v>0.52936293436293447</v>
      </c>
      <c r="M348"/>
      <c r="P348">
        <v>0</v>
      </c>
      <c r="Q348">
        <v>0</v>
      </c>
    </row>
    <row r="349" spans="1:17">
      <c r="A349" s="143" t="s">
        <v>710</v>
      </c>
      <c r="B349" s="143" t="s">
        <v>711</v>
      </c>
      <c r="C349" s="28">
        <v>101</v>
      </c>
      <c r="D349" s="19">
        <f t="shared" si="22"/>
        <v>3.3666666666666667</v>
      </c>
      <c r="E349" s="5">
        <v>388.07</v>
      </c>
      <c r="H349" s="19">
        <f t="shared" si="23"/>
        <v>202</v>
      </c>
      <c r="I349" t="b">
        <f t="shared" si="24"/>
        <v>0</v>
      </c>
      <c r="J349" s="4">
        <f t="shared" si="25"/>
        <v>0.92113861386138618</v>
      </c>
      <c r="M349"/>
      <c r="O349" t="s">
        <v>1372</v>
      </c>
      <c r="P349">
        <v>2357</v>
      </c>
      <c r="Q349">
        <v>4551.13</v>
      </c>
    </row>
    <row r="350" spans="1:17">
      <c r="A350" s="143" t="s">
        <v>752</v>
      </c>
      <c r="B350" s="143" t="s">
        <v>753</v>
      </c>
      <c r="C350" s="28">
        <v>39</v>
      </c>
      <c r="D350" s="19">
        <f t="shared" si="22"/>
        <v>1.3</v>
      </c>
      <c r="E350" s="5">
        <v>107.6</v>
      </c>
      <c r="H350" s="19">
        <f t="shared" si="23"/>
        <v>78</v>
      </c>
      <c r="I350" t="b">
        <f t="shared" si="24"/>
        <v>0</v>
      </c>
      <c r="J350" s="4">
        <f t="shared" si="25"/>
        <v>0.37948717948717947</v>
      </c>
      <c r="M350"/>
      <c r="O350" t="s">
        <v>1217</v>
      </c>
      <c r="P350">
        <v>1605</v>
      </c>
      <c r="Q350">
        <v>1997.57</v>
      </c>
    </row>
    <row r="351" spans="1:17" hidden="1">
      <c r="A351" s="143" t="s">
        <v>594</v>
      </c>
      <c r="B351" s="143" t="s">
        <v>595</v>
      </c>
      <c r="C351" s="28">
        <v>371</v>
      </c>
      <c r="D351" s="19">
        <f t="shared" si="22"/>
        <v>12.366666666666667</v>
      </c>
      <c r="E351" s="5">
        <v>349.63</v>
      </c>
      <c r="H351" s="19">
        <f t="shared" si="23"/>
        <v>742</v>
      </c>
      <c r="I351" t="b">
        <f t="shared" si="24"/>
        <v>1</v>
      </c>
      <c r="J351" s="4">
        <f t="shared" si="25"/>
        <v>-0.52880053908355795</v>
      </c>
      <c r="M351"/>
      <c r="O351" t="s">
        <v>1386</v>
      </c>
      <c r="P351">
        <v>2820</v>
      </c>
      <c r="Q351">
        <v>5352.41</v>
      </c>
    </row>
    <row r="352" spans="1:17" hidden="1">
      <c r="A352" s="143" t="s">
        <v>25</v>
      </c>
      <c r="B352" s="143" t="s">
        <v>26</v>
      </c>
      <c r="C352" s="28">
        <v>37319</v>
      </c>
      <c r="D352" s="19">
        <f t="shared" si="22"/>
        <v>1243.9666666666667</v>
      </c>
      <c r="E352" s="5">
        <v>44355.740000000005</v>
      </c>
      <c r="H352" s="19">
        <f t="shared" si="23"/>
        <v>74638</v>
      </c>
      <c r="I352" t="b">
        <f t="shared" si="24"/>
        <v>1</v>
      </c>
      <c r="J352" s="4">
        <f t="shared" si="25"/>
        <v>-0.40572175031485291</v>
      </c>
      <c r="M352"/>
      <c r="O352" t="s">
        <v>1231</v>
      </c>
      <c r="P352">
        <v>4202</v>
      </c>
      <c r="Q352">
        <v>3829.56</v>
      </c>
    </row>
    <row r="353" spans="1:17" hidden="1">
      <c r="A353" s="143" t="s">
        <v>93</v>
      </c>
      <c r="B353" s="143" t="s">
        <v>92</v>
      </c>
      <c r="C353" s="28">
        <v>3358</v>
      </c>
      <c r="D353" s="19">
        <f t="shared" si="22"/>
        <v>111.93333333333334</v>
      </c>
      <c r="E353" s="5">
        <v>5986.86</v>
      </c>
      <c r="H353" s="19">
        <f t="shared" si="23"/>
        <v>6716</v>
      </c>
      <c r="I353" t="b">
        <f t="shared" si="24"/>
        <v>1</v>
      </c>
      <c r="J353" s="4">
        <f t="shared" si="25"/>
        <v>-0.108567599761763</v>
      </c>
      <c r="M353"/>
      <c r="O353" t="s">
        <v>1382</v>
      </c>
      <c r="P353">
        <v>1460</v>
      </c>
      <c r="Q353">
        <v>3168.75</v>
      </c>
    </row>
    <row r="354" spans="1:17" hidden="1">
      <c r="A354" s="143" t="s">
        <v>370</v>
      </c>
      <c r="B354" s="143" t="s">
        <v>371</v>
      </c>
      <c r="C354" s="28">
        <v>991</v>
      </c>
      <c r="D354" s="19">
        <f t="shared" si="22"/>
        <v>33.033333333333331</v>
      </c>
      <c r="E354" s="5">
        <v>1396.96</v>
      </c>
      <c r="H354" s="19">
        <f t="shared" si="23"/>
        <v>1982</v>
      </c>
      <c r="I354" t="b">
        <f t="shared" si="24"/>
        <v>1</v>
      </c>
      <c r="J354" s="4">
        <f t="shared" si="25"/>
        <v>-0.29517658930373358</v>
      </c>
      <c r="M354"/>
      <c r="O354" t="s">
        <v>1336</v>
      </c>
      <c r="P354">
        <v>871</v>
      </c>
      <c r="Q354">
        <v>1459.05</v>
      </c>
    </row>
    <row r="355" spans="1:17">
      <c r="A355" s="143" t="s">
        <v>601</v>
      </c>
      <c r="B355" s="143" t="s">
        <v>602</v>
      </c>
      <c r="C355" s="28">
        <v>354</v>
      </c>
      <c r="D355" s="19">
        <f t="shared" si="22"/>
        <v>11.8</v>
      </c>
      <c r="E355" s="5">
        <v>1075.28</v>
      </c>
      <c r="H355" s="19">
        <f t="shared" si="23"/>
        <v>708</v>
      </c>
      <c r="I355" t="b">
        <f t="shared" si="24"/>
        <v>0</v>
      </c>
      <c r="J355" s="4">
        <f t="shared" si="25"/>
        <v>0.51875706214689266</v>
      </c>
      <c r="O355" t="s">
        <v>1312</v>
      </c>
      <c r="P355">
        <v>4871</v>
      </c>
      <c r="Q355">
        <v>8603.15</v>
      </c>
    </row>
    <row r="356" spans="1:17" hidden="1">
      <c r="A356" s="143" t="s">
        <v>659</v>
      </c>
      <c r="B356" s="143" t="s">
        <v>660</v>
      </c>
      <c r="C356" s="28">
        <v>219</v>
      </c>
      <c r="D356" s="19">
        <f t="shared" si="22"/>
        <v>7.3</v>
      </c>
      <c r="E356" s="5">
        <v>354.88</v>
      </c>
      <c r="H356" s="19">
        <f t="shared" si="23"/>
        <v>438</v>
      </c>
      <c r="I356" t="b">
        <f t="shared" si="24"/>
        <v>1</v>
      </c>
      <c r="J356" s="4">
        <f t="shared" si="25"/>
        <v>-0.18977168949771694</v>
      </c>
      <c r="M356"/>
      <c r="O356" t="s">
        <v>1172</v>
      </c>
      <c r="P356">
        <v>10863</v>
      </c>
      <c r="Q356">
        <v>10572.08</v>
      </c>
    </row>
    <row r="357" spans="1:17">
      <c r="A357" s="143" t="s">
        <v>578</v>
      </c>
      <c r="B357" s="143" t="s">
        <v>579</v>
      </c>
      <c r="C357" s="28">
        <v>404</v>
      </c>
      <c r="D357" s="19">
        <f t="shared" si="22"/>
        <v>13.466666666666667</v>
      </c>
      <c r="E357" s="5">
        <v>1200.6099999999999</v>
      </c>
      <c r="H357" s="19">
        <f t="shared" si="23"/>
        <v>808</v>
      </c>
      <c r="I357" t="b">
        <f t="shared" si="24"/>
        <v>0</v>
      </c>
      <c r="J357" s="4">
        <f t="shared" si="25"/>
        <v>0.48590346534653461</v>
      </c>
      <c r="M357"/>
      <c r="O357" t="s">
        <v>1401</v>
      </c>
      <c r="P357">
        <v>2105</v>
      </c>
      <c r="Q357">
        <v>5222.25</v>
      </c>
    </row>
    <row r="358" spans="1:17" hidden="1">
      <c r="A358" s="143" t="s">
        <v>636</v>
      </c>
      <c r="B358" s="143" t="s">
        <v>637</v>
      </c>
      <c r="C358" s="28">
        <v>280</v>
      </c>
      <c r="D358" s="19">
        <f t="shared" si="22"/>
        <v>9.3333333333333339</v>
      </c>
      <c r="E358" s="5">
        <v>624.87</v>
      </c>
      <c r="H358" s="19">
        <f t="shared" si="23"/>
        <v>560</v>
      </c>
      <c r="I358" t="b">
        <f t="shared" si="24"/>
        <v>1</v>
      </c>
      <c r="J358" s="4">
        <f t="shared" si="25"/>
        <v>0.11583928571428581</v>
      </c>
      <c r="O358" t="s">
        <v>1247</v>
      </c>
      <c r="P358">
        <v>1161</v>
      </c>
      <c r="Q358">
        <v>1374.2</v>
      </c>
    </row>
    <row r="359" spans="1:17" hidden="1">
      <c r="A359" s="143" t="s">
        <v>410</v>
      </c>
      <c r="B359" s="143" t="s">
        <v>411</v>
      </c>
      <c r="C359" s="28">
        <v>875</v>
      </c>
      <c r="D359" s="19">
        <f t="shared" si="22"/>
        <v>29.166666666666668</v>
      </c>
      <c r="E359" s="5">
        <v>1679.27</v>
      </c>
      <c r="H359" s="19">
        <f t="shared" si="23"/>
        <v>1750</v>
      </c>
      <c r="I359" t="b">
        <f t="shared" si="24"/>
        <v>1</v>
      </c>
      <c r="J359" s="4">
        <f t="shared" si="25"/>
        <v>-4.0417142857142818E-2</v>
      </c>
      <c r="M359"/>
      <c r="O359" t="s">
        <v>1227</v>
      </c>
      <c r="P359">
        <v>2704</v>
      </c>
      <c r="Q359">
        <v>3791.04</v>
      </c>
    </row>
    <row r="360" spans="1:17">
      <c r="A360" s="143" t="s">
        <v>554</v>
      </c>
      <c r="B360" s="143" t="s">
        <v>555</v>
      </c>
      <c r="C360" s="28">
        <v>477</v>
      </c>
      <c r="D360" s="19">
        <f t="shared" si="22"/>
        <v>15.9</v>
      </c>
      <c r="E360" s="5">
        <v>1240.3</v>
      </c>
      <c r="H360" s="19">
        <f t="shared" si="23"/>
        <v>954</v>
      </c>
      <c r="I360" t="b">
        <f t="shared" si="24"/>
        <v>0</v>
      </c>
      <c r="J360" s="4">
        <f t="shared" si="25"/>
        <v>0.30010482180293496</v>
      </c>
      <c r="M360"/>
      <c r="O360" t="s">
        <v>1362</v>
      </c>
      <c r="P360">
        <v>1464</v>
      </c>
      <c r="Q360">
        <v>1310.06</v>
      </c>
    </row>
    <row r="361" spans="1:17" ht="16.5" hidden="1" customHeight="1">
      <c r="A361" s="143" t="s">
        <v>502</v>
      </c>
      <c r="B361" s="143" t="s">
        <v>503</v>
      </c>
      <c r="C361" s="28">
        <v>636</v>
      </c>
      <c r="D361" s="19">
        <f t="shared" si="22"/>
        <v>21.2</v>
      </c>
      <c r="E361" s="5">
        <v>1158.94</v>
      </c>
      <c r="H361" s="19">
        <f t="shared" si="23"/>
        <v>1272</v>
      </c>
      <c r="I361" t="b">
        <f t="shared" si="24"/>
        <v>1</v>
      </c>
      <c r="J361" s="4">
        <f t="shared" si="25"/>
        <v>-8.8883647798742138E-2</v>
      </c>
      <c r="M361"/>
      <c r="O361" t="s">
        <v>1214</v>
      </c>
      <c r="P361">
        <v>432</v>
      </c>
      <c r="Q361">
        <v>657.51</v>
      </c>
    </row>
    <row r="362" spans="1:17" hidden="1">
      <c r="A362" s="143" t="s">
        <v>548</v>
      </c>
      <c r="B362" s="143" t="s">
        <v>549</v>
      </c>
      <c r="C362" s="28">
        <v>484</v>
      </c>
      <c r="D362" s="19">
        <f t="shared" si="22"/>
        <v>16.133333333333333</v>
      </c>
      <c r="E362" s="5">
        <v>873.32</v>
      </c>
      <c r="H362" s="19">
        <f t="shared" si="23"/>
        <v>968</v>
      </c>
      <c r="I362" t="b">
        <f t="shared" si="24"/>
        <v>1</v>
      </c>
      <c r="J362" s="4">
        <f t="shared" si="25"/>
        <v>-9.7809917355371812E-2</v>
      </c>
      <c r="O362" t="s">
        <v>1394</v>
      </c>
      <c r="P362">
        <v>1424</v>
      </c>
      <c r="Q362">
        <v>3264.21</v>
      </c>
    </row>
    <row r="363" spans="1:17" hidden="1">
      <c r="A363" s="143" t="s">
        <v>200</v>
      </c>
      <c r="B363" s="143" t="s">
        <v>201</v>
      </c>
      <c r="C363" s="28">
        <v>2003</v>
      </c>
      <c r="D363" s="19">
        <f t="shared" si="22"/>
        <v>66.766666666666666</v>
      </c>
      <c r="E363" s="5">
        <v>2500.86</v>
      </c>
      <c r="H363" s="19">
        <f t="shared" si="23"/>
        <v>4006</v>
      </c>
      <c r="I363" t="b">
        <f t="shared" ref="I363:I426" si="26">IF(E363&gt;1.2*H363,FALSE,TRUE)</f>
        <v>1</v>
      </c>
      <c r="J363" s="4">
        <f t="shared" ref="J363:J426" si="27">E363/H363-1</f>
        <v>-0.37572141787319013</v>
      </c>
      <c r="O363" t="s">
        <v>1325</v>
      </c>
      <c r="P363">
        <v>1014</v>
      </c>
      <c r="Q363">
        <v>1354.39</v>
      </c>
    </row>
    <row r="364" spans="1:17" hidden="1">
      <c r="A364" s="143" t="s">
        <v>775</v>
      </c>
      <c r="B364" s="143" t="s">
        <v>776</v>
      </c>
      <c r="C364" s="28">
        <v>0</v>
      </c>
      <c r="D364" s="19">
        <f t="shared" si="22"/>
        <v>0</v>
      </c>
      <c r="E364" s="5">
        <v>0</v>
      </c>
      <c r="H364" s="19">
        <f t="shared" si="23"/>
        <v>0</v>
      </c>
      <c r="I364" t="b">
        <f t="shared" si="26"/>
        <v>1</v>
      </c>
      <c r="J364" s="4" t="e">
        <f t="shared" si="27"/>
        <v>#DIV/0!</v>
      </c>
      <c r="O364" t="s">
        <v>1380</v>
      </c>
      <c r="P364">
        <v>1525</v>
      </c>
      <c r="Q364">
        <v>2359.86</v>
      </c>
    </row>
    <row r="365" spans="1:17" hidden="1">
      <c r="A365" s="143" t="s">
        <v>216</v>
      </c>
      <c r="B365" s="143" t="s">
        <v>217</v>
      </c>
      <c r="C365" s="28">
        <v>1857</v>
      </c>
      <c r="D365" s="19">
        <f t="shared" si="22"/>
        <v>61.9</v>
      </c>
      <c r="E365" s="5">
        <v>2909</v>
      </c>
      <c r="H365" s="19">
        <f t="shared" si="23"/>
        <v>3714</v>
      </c>
      <c r="I365" t="b">
        <f t="shared" si="26"/>
        <v>1</v>
      </c>
      <c r="J365" s="4">
        <f t="shared" si="27"/>
        <v>-0.21674744211093167</v>
      </c>
      <c r="O365" t="s">
        <v>1338</v>
      </c>
      <c r="P365">
        <v>816</v>
      </c>
      <c r="Q365">
        <v>2073.8200000000002</v>
      </c>
    </row>
    <row r="366" spans="1:17">
      <c r="A366" s="143" t="s">
        <v>677</v>
      </c>
      <c r="B366" s="143" t="s">
        <v>678</v>
      </c>
      <c r="C366" s="28">
        <v>169</v>
      </c>
      <c r="D366" s="19">
        <f t="shared" si="22"/>
        <v>5.6333333333333337</v>
      </c>
      <c r="E366" s="5">
        <v>405.63</v>
      </c>
      <c r="H366" s="19">
        <f t="shared" si="23"/>
        <v>338</v>
      </c>
      <c r="I366" t="b">
        <f t="shared" si="26"/>
        <v>0</v>
      </c>
      <c r="J366" s="4">
        <f t="shared" si="27"/>
        <v>0.2000887573964496</v>
      </c>
      <c r="L366" s="143"/>
      <c r="O366" t="s">
        <v>1370</v>
      </c>
      <c r="P366">
        <v>1682</v>
      </c>
      <c r="Q366">
        <v>580.09</v>
      </c>
    </row>
    <row r="367" spans="1:17">
      <c r="A367" s="143" t="s">
        <v>572</v>
      </c>
      <c r="B367" s="143" t="s">
        <v>573</v>
      </c>
      <c r="C367" s="28">
        <v>411</v>
      </c>
      <c r="D367" s="19">
        <f t="shared" si="22"/>
        <v>13.7</v>
      </c>
      <c r="E367" s="5">
        <v>1248.03</v>
      </c>
      <c r="H367" s="19">
        <f t="shared" si="23"/>
        <v>822</v>
      </c>
      <c r="I367" t="b">
        <f t="shared" si="26"/>
        <v>0</v>
      </c>
      <c r="J367" s="4">
        <f t="shared" si="27"/>
        <v>0.51828467153284663</v>
      </c>
      <c r="O367" t="s">
        <v>1245</v>
      </c>
      <c r="P367">
        <v>261</v>
      </c>
      <c r="Q367">
        <v>1405.71</v>
      </c>
    </row>
    <row r="368" spans="1:17" hidden="1">
      <c r="A368" s="143" t="s">
        <v>393</v>
      </c>
      <c r="B368" s="143" t="s">
        <v>394</v>
      </c>
      <c r="C368" s="28">
        <v>904</v>
      </c>
      <c r="D368" s="19">
        <f t="shared" si="22"/>
        <v>30.133333333333333</v>
      </c>
      <c r="E368" s="5">
        <v>1838.53</v>
      </c>
      <c r="H368" s="19">
        <f t="shared" si="23"/>
        <v>1808</v>
      </c>
      <c r="I368" t="b">
        <f t="shared" si="26"/>
        <v>1</v>
      </c>
      <c r="J368" s="4">
        <f t="shared" si="27"/>
        <v>1.6886061946902675E-2</v>
      </c>
      <c r="O368" t="s">
        <v>1269</v>
      </c>
      <c r="P368">
        <v>1366</v>
      </c>
      <c r="Q368">
        <v>3088.32</v>
      </c>
    </row>
    <row r="369" spans="1:17" hidden="1">
      <c r="A369" t="s">
        <v>834</v>
      </c>
      <c r="B369" t="s">
        <v>835</v>
      </c>
      <c r="C369" s="19">
        <v>5147</v>
      </c>
      <c r="D369" s="19">
        <f t="shared" si="22"/>
        <v>171.56666666666666</v>
      </c>
      <c r="E369" s="5">
        <v>4371.66</v>
      </c>
      <c r="H369" s="19">
        <f t="shared" si="23"/>
        <v>10294</v>
      </c>
      <c r="I369" t="b">
        <f t="shared" si="26"/>
        <v>1</v>
      </c>
      <c r="J369" s="4">
        <f t="shared" si="27"/>
        <v>-0.57531960365261314</v>
      </c>
      <c r="O369" t="s">
        <v>1354</v>
      </c>
      <c r="P369">
        <v>1601</v>
      </c>
      <c r="Q369">
        <v>3000.95</v>
      </c>
    </row>
    <row r="370" spans="1:17" hidden="1">
      <c r="A370" t="s">
        <v>829</v>
      </c>
      <c r="B370" t="s">
        <v>830</v>
      </c>
      <c r="C370" s="19">
        <v>44766</v>
      </c>
      <c r="D370" s="19">
        <f t="shared" si="22"/>
        <v>1492.2</v>
      </c>
      <c r="E370" s="5">
        <v>36342.639999999999</v>
      </c>
      <c r="H370" s="19">
        <f t="shared" si="23"/>
        <v>89532</v>
      </c>
      <c r="I370" t="b">
        <f t="shared" si="26"/>
        <v>1</v>
      </c>
      <c r="J370" s="4">
        <f t="shared" si="27"/>
        <v>-0.59408211589152482</v>
      </c>
      <c r="O370" t="s">
        <v>1211</v>
      </c>
      <c r="P370">
        <v>7185</v>
      </c>
      <c r="Q370">
        <v>9078.4500000000007</v>
      </c>
    </row>
    <row r="371" spans="1:17" hidden="1">
      <c r="A371" s="142" t="s">
        <v>1159</v>
      </c>
      <c r="B371" s="37" t="s">
        <v>1160</v>
      </c>
      <c r="C371">
        <v>3292</v>
      </c>
      <c r="D371" s="19">
        <f t="shared" si="22"/>
        <v>109.73333333333333</v>
      </c>
      <c r="E371" s="5">
        <v>1927.02</v>
      </c>
      <c r="H371" s="19">
        <f t="shared" si="23"/>
        <v>6584</v>
      </c>
      <c r="I371" t="b">
        <f t="shared" si="26"/>
        <v>1</v>
      </c>
      <c r="J371" s="4">
        <f t="shared" si="27"/>
        <v>-0.70731773997569869</v>
      </c>
      <c r="O371" t="s">
        <v>1323</v>
      </c>
      <c r="P371">
        <v>1016</v>
      </c>
      <c r="Q371">
        <v>2364.4699999999998</v>
      </c>
    </row>
    <row r="372" spans="1:17" hidden="1">
      <c r="A372" t="s">
        <v>1072</v>
      </c>
      <c r="B372" t="s">
        <v>1073</v>
      </c>
      <c r="C372" s="19">
        <v>718</v>
      </c>
      <c r="D372" s="19">
        <f t="shared" si="22"/>
        <v>23.933333333333334</v>
      </c>
      <c r="E372" s="5">
        <v>351.79</v>
      </c>
      <c r="H372" s="19">
        <f t="shared" si="23"/>
        <v>1436</v>
      </c>
      <c r="I372" t="b">
        <f t="shared" si="26"/>
        <v>1</v>
      </c>
      <c r="J372" s="4">
        <f t="shared" si="27"/>
        <v>-0.75502089136490247</v>
      </c>
      <c r="O372" t="s">
        <v>1236</v>
      </c>
      <c r="P372">
        <v>1074</v>
      </c>
      <c r="Q372">
        <v>1191.3399999999999</v>
      </c>
    </row>
    <row r="373" spans="1:17" hidden="1">
      <c r="A373" t="s">
        <v>1161</v>
      </c>
      <c r="B373" t="s">
        <v>1162</v>
      </c>
      <c r="C373" s="19">
        <v>3065</v>
      </c>
      <c r="D373" s="19">
        <f t="shared" si="22"/>
        <v>102.16666666666667</v>
      </c>
      <c r="E373" s="5">
        <v>7137.31</v>
      </c>
      <c r="H373" s="19">
        <f t="shared" si="23"/>
        <v>6130</v>
      </c>
      <c r="I373" t="b">
        <f t="shared" si="26"/>
        <v>1</v>
      </c>
      <c r="J373" s="4">
        <f t="shared" si="27"/>
        <v>0.16432463295269173</v>
      </c>
      <c r="P373">
        <v>0</v>
      </c>
      <c r="Q373">
        <v>0</v>
      </c>
    </row>
    <row r="374" spans="1:17" hidden="1">
      <c r="A374" t="s">
        <v>852</v>
      </c>
      <c r="B374" t="s">
        <v>853</v>
      </c>
      <c r="C374" s="19">
        <v>1137</v>
      </c>
      <c r="D374" s="19">
        <f t="shared" si="22"/>
        <v>37.9</v>
      </c>
      <c r="E374" s="5">
        <v>1445.69</v>
      </c>
      <c r="H374" s="19">
        <f t="shared" si="23"/>
        <v>2274</v>
      </c>
      <c r="I374" t="b">
        <f t="shared" si="26"/>
        <v>1</v>
      </c>
      <c r="J374" s="4">
        <f t="shared" si="27"/>
        <v>-0.36425241864555846</v>
      </c>
      <c r="O374" t="s">
        <v>1340</v>
      </c>
      <c r="P374">
        <v>539</v>
      </c>
      <c r="Q374">
        <v>1057.49</v>
      </c>
    </row>
    <row r="375" spans="1:17" hidden="1">
      <c r="A375" t="s">
        <v>1155</v>
      </c>
      <c r="B375" t="s">
        <v>1156</v>
      </c>
      <c r="C375" s="19">
        <v>9160</v>
      </c>
      <c r="D375" s="19">
        <f t="shared" si="22"/>
        <v>305.33333333333331</v>
      </c>
      <c r="E375" s="131">
        <v>6638.18</v>
      </c>
      <c r="H375" s="19">
        <f t="shared" si="23"/>
        <v>18320</v>
      </c>
      <c r="I375" t="b">
        <f t="shared" si="26"/>
        <v>1</v>
      </c>
      <c r="J375" s="4">
        <f t="shared" si="27"/>
        <v>-0.63765393013100435</v>
      </c>
      <c r="O375" t="s">
        <v>1263</v>
      </c>
      <c r="P375">
        <v>1075</v>
      </c>
      <c r="Q375">
        <v>1761.57</v>
      </c>
    </row>
    <row r="376" spans="1:17" hidden="1">
      <c r="A376" t="s">
        <v>911</v>
      </c>
      <c r="B376" t="s">
        <v>912</v>
      </c>
      <c r="C376" s="19">
        <v>2589</v>
      </c>
      <c r="D376" s="19">
        <f t="shared" si="22"/>
        <v>86.3</v>
      </c>
      <c r="E376" s="5">
        <v>1399.24</v>
      </c>
      <c r="H376" s="19">
        <f t="shared" si="23"/>
        <v>5178</v>
      </c>
      <c r="I376" t="b">
        <f t="shared" si="26"/>
        <v>1</v>
      </c>
      <c r="J376" s="4">
        <f t="shared" si="27"/>
        <v>-0.72977211278485909</v>
      </c>
      <c r="O376" t="s">
        <v>1352</v>
      </c>
      <c r="P376">
        <v>1470</v>
      </c>
      <c r="Q376">
        <v>2032.1</v>
      </c>
    </row>
    <row r="377" spans="1:17" hidden="1">
      <c r="A377" s="142" t="s">
        <v>884</v>
      </c>
      <c r="B377" s="37" t="s">
        <v>885</v>
      </c>
      <c r="C377">
        <v>652</v>
      </c>
      <c r="D377" s="19">
        <f t="shared" si="22"/>
        <v>21.733333333333334</v>
      </c>
      <c r="E377" s="5">
        <v>1071.98</v>
      </c>
      <c r="H377" s="19">
        <f t="shared" si="23"/>
        <v>1304</v>
      </c>
      <c r="I377" t="b">
        <f t="shared" si="26"/>
        <v>1</v>
      </c>
      <c r="J377" s="4">
        <f t="shared" si="27"/>
        <v>-0.17792944785276077</v>
      </c>
      <c r="O377" t="s">
        <v>1366</v>
      </c>
      <c r="P377">
        <v>1676</v>
      </c>
      <c r="Q377">
        <v>2748.23</v>
      </c>
    </row>
    <row r="378" spans="1:17" hidden="1">
      <c r="A378" t="s">
        <v>859</v>
      </c>
      <c r="B378" t="s">
        <v>860</v>
      </c>
      <c r="C378" s="19">
        <v>420</v>
      </c>
      <c r="D378" s="19">
        <f t="shared" si="22"/>
        <v>14</v>
      </c>
      <c r="E378" s="5">
        <v>863.07</v>
      </c>
      <c r="H378" s="19">
        <f t="shared" si="23"/>
        <v>840</v>
      </c>
      <c r="I378" t="b">
        <f t="shared" si="26"/>
        <v>1</v>
      </c>
      <c r="J378" s="4">
        <f t="shared" si="27"/>
        <v>2.7464285714285719E-2</v>
      </c>
      <c r="O378" t="s">
        <v>1282</v>
      </c>
      <c r="P378">
        <v>556</v>
      </c>
      <c r="Q378">
        <v>399.59</v>
      </c>
    </row>
    <row r="379" spans="1:17" hidden="1">
      <c r="A379" s="27" t="s">
        <v>891</v>
      </c>
      <c r="B379" s="27" t="s">
        <v>892</v>
      </c>
      <c r="C379" s="19">
        <v>580</v>
      </c>
      <c r="D379" s="19">
        <f t="shared" si="22"/>
        <v>19.333333333333332</v>
      </c>
      <c r="E379" s="5">
        <v>190.09</v>
      </c>
      <c r="H379" s="19">
        <f t="shared" si="23"/>
        <v>1160</v>
      </c>
      <c r="I379" t="b">
        <f t="shared" si="26"/>
        <v>1</v>
      </c>
      <c r="J379" s="4">
        <f t="shared" si="27"/>
        <v>-0.83612931034482751</v>
      </c>
      <c r="O379" t="s">
        <v>1200</v>
      </c>
      <c r="P379">
        <v>1179</v>
      </c>
      <c r="Q379">
        <v>2708.58</v>
      </c>
    </row>
    <row r="380" spans="1:17" hidden="1">
      <c r="A380" t="s">
        <v>1101</v>
      </c>
      <c r="B380" t="s">
        <v>1102</v>
      </c>
      <c r="C380" s="19">
        <v>903</v>
      </c>
      <c r="D380" s="19">
        <f t="shared" si="22"/>
        <v>30.1</v>
      </c>
      <c r="E380" s="5">
        <v>374.9</v>
      </c>
      <c r="H380" s="19">
        <f t="shared" si="23"/>
        <v>1806</v>
      </c>
      <c r="I380" t="b">
        <f t="shared" si="26"/>
        <v>1</v>
      </c>
      <c r="J380" s="4">
        <f t="shared" si="27"/>
        <v>-0.79241417497231459</v>
      </c>
      <c r="O380" t="s">
        <v>1415</v>
      </c>
      <c r="P380">
        <v>1553</v>
      </c>
      <c r="Q380">
        <v>1075</v>
      </c>
    </row>
    <row r="381" spans="1:17" hidden="1">
      <c r="A381" s="130" t="s">
        <v>1095</v>
      </c>
      <c r="B381" s="37" t="s">
        <v>1096</v>
      </c>
      <c r="C381">
        <v>3</v>
      </c>
      <c r="D381" s="19">
        <f t="shared" si="22"/>
        <v>0.1</v>
      </c>
      <c r="E381" s="5">
        <v>0</v>
      </c>
      <c r="H381" s="19">
        <f t="shared" si="23"/>
        <v>6</v>
      </c>
      <c r="I381" t="b">
        <f t="shared" si="26"/>
        <v>1</v>
      </c>
      <c r="J381" s="4">
        <f t="shared" si="27"/>
        <v>-1</v>
      </c>
      <c r="O381" t="s">
        <v>1332</v>
      </c>
      <c r="P381">
        <v>1400</v>
      </c>
      <c r="Q381">
        <v>1440.96</v>
      </c>
    </row>
    <row r="382" spans="1:17" hidden="1">
      <c r="A382" t="s">
        <v>1109</v>
      </c>
      <c r="B382" t="s">
        <v>1110</v>
      </c>
      <c r="C382" s="19">
        <v>985</v>
      </c>
      <c r="D382" s="19">
        <f t="shared" si="22"/>
        <v>32.833333333333336</v>
      </c>
      <c r="E382" s="5">
        <v>624.55999999999995</v>
      </c>
      <c r="H382" s="19">
        <f t="shared" si="23"/>
        <v>1970</v>
      </c>
      <c r="I382" t="b">
        <f t="shared" si="26"/>
        <v>1</v>
      </c>
      <c r="J382" s="4">
        <f t="shared" si="27"/>
        <v>-0.68296446700507618</v>
      </c>
      <c r="O382" t="s">
        <v>1297</v>
      </c>
      <c r="P382">
        <v>1462</v>
      </c>
      <c r="Q382">
        <v>1070.9000000000001</v>
      </c>
    </row>
    <row r="383" spans="1:17" hidden="1">
      <c r="A383" s="27" t="s">
        <v>955</v>
      </c>
      <c r="B383" s="37" t="s">
        <v>956</v>
      </c>
      <c r="C383" s="19">
        <v>645</v>
      </c>
      <c r="D383" s="19">
        <f t="shared" si="22"/>
        <v>21.5</v>
      </c>
      <c r="E383" s="5">
        <v>569.04999999999995</v>
      </c>
      <c r="H383" s="19">
        <f t="shared" si="23"/>
        <v>1290</v>
      </c>
      <c r="I383" t="b">
        <f t="shared" si="26"/>
        <v>1</v>
      </c>
      <c r="J383" s="4">
        <f t="shared" si="27"/>
        <v>-0.55887596899224812</v>
      </c>
      <c r="O383" t="s">
        <v>1392</v>
      </c>
      <c r="P383">
        <v>7031</v>
      </c>
      <c r="Q383">
        <v>6062.04</v>
      </c>
    </row>
    <row r="384" spans="1:17" hidden="1">
      <c r="A384" t="s">
        <v>1124</v>
      </c>
      <c r="B384" t="s">
        <v>1125</v>
      </c>
      <c r="C384" s="19">
        <v>802</v>
      </c>
      <c r="D384" s="19">
        <f t="shared" si="22"/>
        <v>26.733333333333334</v>
      </c>
      <c r="E384" s="5">
        <v>176.68</v>
      </c>
      <c r="H384" s="19">
        <f t="shared" si="23"/>
        <v>1604</v>
      </c>
      <c r="I384" t="b">
        <f t="shared" si="26"/>
        <v>1</v>
      </c>
      <c r="J384" s="4">
        <f t="shared" si="27"/>
        <v>-0.88985037406483791</v>
      </c>
      <c r="O384" t="s">
        <v>1413</v>
      </c>
      <c r="P384">
        <v>1743</v>
      </c>
      <c r="Q384">
        <v>2986.39</v>
      </c>
    </row>
    <row r="385" spans="1:17" hidden="1">
      <c r="A385" t="s">
        <v>854</v>
      </c>
      <c r="B385" t="s">
        <v>855</v>
      </c>
      <c r="C385" s="19">
        <v>2034</v>
      </c>
      <c r="D385" s="19">
        <f t="shared" si="22"/>
        <v>67.8</v>
      </c>
      <c r="E385" s="5">
        <v>683.2</v>
      </c>
      <c r="H385" s="19">
        <f t="shared" si="23"/>
        <v>4068</v>
      </c>
      <c r="I385" t="b">
        <f t="shared" si="26"/>
        <v>1</v>
      </c>
      <c r="J385" s="4">
        <f t="shared" si="27"/>
        <v>-0.83205506391347095</v>
      </c>
      <c r="O385" t="s">
        <v>1221</v>
      </c>
      <c r="P385">
        <v>1235</v>
      </c>
      <c r="Q385">
        <v>2031.46</v>
      </c>
    </row>
    <row r="386" spans="1:17" hidden="1">
      <c r="A386" t="s">
        <v>975</v>
      </c>
      <c r="B386" t="s">
        <v>976</v>
      </c>
      <c r="C386" s="19">
        <v>936</v>
      </c>
      <c r="D386" s="19">
        <f t="shared" si="22"/>
        <v>31.2</v>
      </c>
      <c r="E386" s="5">
        <v>0</v>
      </c>
      <c r="H386" s="19">
        <f t="shared" si="23"/>
        <v>1872</v>
      </c>
      <c r="I386" t="b">
        <f t="shared" si="26"/>
        <v>1</v>
      </c>
      <c r="J386" s="4">
        <f t="shared" si="27"/>
        <v>-1</v>
      </c>
      <c r="O386" t="s">
        <v>1604</v>
      </c>
      <c r="P386">
        <v>1</v>
      </c>
      <c r="Q386">
        <v>0</v>
      </c>
    </row>
    <row r="387" spans="1:17" hidden="1">
      <c r="A387" t="s">
        <v>1031</v>
      </c>
      <c r="B387" t="s">
        <v>1032</v>
      </c>
      <c r="C387" s="19">
        <v>2086</v>
      </c>
      <c r="D387" s="19">
        <f t="shared" ref="D387:D450" si="28">C387/30</f>
        <v>69.533333333333331</v>
      </c>
      <c r="E387" s="5">
        <v>1756.12</v>
      </c>
      <c r="H387" s="19">
        <f t="shared" ref="H387:H450" si="29">IF((C387/30)&gt;100,C387*2,C387*2)</f>
        <v>4172</v>
      </c>
      <c r="I387" t="b">
        <f t="shared" si="26"/>
        <v>1</v>
      </c>
      <c r="J387" s="4">
        <f t="shared" si="27"/>
        <v>-0.57906999041227225</v>
      </c>
      <c r="O387" t="s">
        <v>1399</v>
      </c>
      <c r="P387">
        <v>1060</v>
      </c>
      <c r="Q387">
        <v>1987.32</v>
      </c>
    </row>
    <row r="388" spans="1:17" hidden="1">
      <c r="A388" t="s">
        <v>850</v>
      </c>
      <c r="B388" t="s">
        <v>851</v>
      </c>
      <c r="C388" s="19">
        <v>1117</v>
      </c>
      <c r="D388" s="19">
        <f t="shared" si="28"/>
        <v>37.233333333333334</v>
      </c>
      <c r="E388" s="5">
        <v>1107.23</v>
      </c>
      <c r="H388" s="19">
        <f t="shared" si="29"/>
        <v>2234</v>
      </c>
      <c r="I388" t="b">
        <f t="shared" si="26"/>
        <v>1</v>
      </c>
      <c r="J388" s="4">
        <f t="shared" si="27"/>
        <v>-0.50437332139659796</v>
      </c>
      <c r="O388" t="s">
        <v>1376</v>
      </c>
      <c r="P388">
        <v>810</v>
      </c>
      <c r="Q388">
        <v>987.64</v>
      </c>
    </row>
    <row r="389" spans="1:17" hidden="1">
      <c r="A389" t="s">
        <v>961</v>
      </c>
      <c r="B389" t="s">
        <v>962</v>
      </c>
      <c r="C389" s="19">
        <v>886</v>
      </c>
      <c r="D389" s="19">
        <f t="shared" si="28"/>
        <v>29.533333333333335</v>
      </c>
      <c r="E389" s="5">
        <v>1028.22</v>
      </c>
      <c r="H389" s="19">
        <f t="shared" si="29"/>
        <v>1772</v>
      </c>
      <c r="I389" t="b">
        <f t="shared" si="26"/>
        <v>1</v>
      </c>
      <c r="J389" s="4">
        <f t="shared" si="27"/>
        <v>-0.41974040632054177</v>
      </c>
      <c r="O389" t="s">
        <v>1396</v>
      </c>
      <c r="P389">
        <v>1161</v>
      </c>
      <c r="Q389">
        <v>2264.92</v>
      </c>
    </row>
    <row r="390" spans="1:17" hidden="1">
      <c r="A390" s="27" t="s">
        <v>1044</v>
      </c>
      <c r="B390" s="27" t="s">
        <v>1045</v>
      </c>
      <c r="C390" s="19">
        <v>744</v>
      </c>
      <c r="D390" s="19">
        <f t="shared" si="28"/>
        <v>24.8</v>
      </c>
      <c r="E390" s="131">
        <v>305.93</v>
      </c>
      <c r="H390" s="19">
        <f t="shared" si="29"/>
        <v>1488</v>
      </c>
      <c r="I390" t="b">
        <f t="shared" si="26"/>
        <v>1</v>
      </c>
      <c r="J390" s="4">
        <f t="shared" si="27"/>
        <v>-0.79440188172043014</v>
      </c>
      <c r="O390" t="s">
        <v>1182</v>
      </c>
      <c r="P390">
        <v>1609</v>
      </c>
      <c r="Q390">
        <v>1661.07</v>
      </c>
    </row>
    <row r="391" spans="1:17" hidden="1">
      <c r="A391" t="s">
        <v>893</v>
      </c>
      <c r="B391" t="s">
        <v>894</v>
      </c>
      <c r="C391" s="19">
        <v>2101</v>
      </c>
      <c r="D391" s="19">
        <f t="shared" si="28"/>
        <v>70.033333333333331</v>
      </c>
      <c r="E391" s="5">
        <v>1469.59</v>
      </c>
      <c r="H391" s="19">
        <f t="shared" si="29"/>
        <v>4202</v>
      </c>
      <c r="I391" t="b">
        <f t="shared" si="26"/>
        <v>1</v>
      </c>
      <c r="J391" s="4">
        <f t="shared" si="27"/>
        <v>-0.65026415992384579</v>
      </c>
      <c r="O391" t="s">
        <v>1417</v>
      </c>
      <c r="P391">
        <v>1107</v>
      </c>
      <c r="Q391">
        <v>1110.52</v>
      </c>
    </row>
    <row r="392" spans="1:17" hidden="1">
      <c r="A392" t="s">
        <v>1147</v>
      </c>
      <c r="B392" t="s">
        <v>1148</v>
      </c>
      <c r="C392" s="19">
        <v>1518</v>
      </c>
      <c r="D392" s="19">
        <f t="shared" si="28"/>
        <v>50.6</v>
      </c>
      <c r="E392" s="5">
        <v>3463.2599999999998</v>
      </c>
      <c r="H392" s="19">
        <f t="shared" si="29"/>
        <v>3036</v>
      </c>
      <c r="I392" t="b">
        <f t="shared" si="26"/>
        <v>1</v>
      </c>
      <c r="J392" s="4">
        <f t="shared" si="27"/>
        <v>0.14073122529644255</v>
      </c>
      <c r="O392" t="s">
        <v>1291</v>
      </c>
      <c r="P392">
        <v>550</v>
      </c>
      <c r="Q392">
        <v>515.15</v>
      </c>
    </row>
    <row r="393" spans="1:17" hidden="1">
      <c r="A393" t="s">
        <v>1166</v>
      </c>
      <c r="B393" t="s">
        <v>1167</v>
      </c>
      <c r="C393" s="19">
        <v>4340</v>
      </c>
      <c r="D393" s="19">
        <f t="shared" si="28"/>
        <v>144.66666666666666</v>
      </c>
      <c r="E393" s="5">
        <v>10105.969999999999</v>
      </c>
      <c r="H393" s="19">
        <f t="shared" si="29"/>
        <v>8680</v>
      </c>
      <c r="I393" t="b">
        <f t="shared" si="26"/>
        <v>1</v>
      </c>
      <c r="J393" s="4">
        <f t="shared" si="27"/>
        <v>0.16428225806451602</v>
      </c>
      <c r="O393" t="s">
        <v>1374</v>
      </c>
      <c r="P393">
        <v>925</v>
      </c>
      <c r="Q393">
        <v>1261.25</v>
      </c>
    </row>
    <row r="394" spans="1:17" hidden="1">
      <c r="A394" t="s">
        <v>1117</v>
      </c>
      <c r="B394" t="s">
        <v>1118</v>
      </c>
      <c r="C394" s="19">
        <v>491</v>
      </c>
      <c r="D394" s="19">
        <f t="shared" si="28"/>
        <v>16.366666666666667</v>
      </c>
      <c r="E394" s="5">
        <v>0</v>
      </c>
      <c r="H394" s="19">
        <f t="shared" si="29"/>
        <v>982</v>
      </c>
      <c r="I394" t="b">
        <f t="shared" si="26"/>
        <v>1</v>
      </c>
      <c r="J394" s="4">
        <f t="shared" si="27"/>
        <v>-1</v>
      </c>
      <c r="O394" t="s">
        <v>1403</v>
      </c>
      <c r="P394">
        <v>1375</v>
      </c>
      <c r="Q394">
        <v>2480.4</v>
      </c>
    </row>
    <row r="395" spans="1:17" hidden="1">
      <c r="A395" t="s">
        <v>909</v>
      </c>
      <c r="B395" t="s">
        <v>910</v>
      </c>
      <c r="C395" s="19">
        <v>1482</v>
      </c>
      <c r="D395" s="19">
        <f t="shared" si="28"/>
        <v>49.4</v>
      </c>
      <c r="E395" s="5">
        <v>702.38</v>
      </c>
      <c r="H395" s="19">
        <f t="shared" si="29"/>
        <v>2964</v>
      </c>
      <c r="I395" t="b">
        <f t="shared" si="26"/>
        <v>1</v>
      </c>
      <c r="J395" s="4">
        <f t="shared" si="27"/>
        <v>-0.76302968960863704</v>
      </c>
      <c r="O395" t="s">
        <v>1273</v>
      </c>
      <c r="P395">
        <v>770</v>
      </c>
      <c r="Q395">
        <v>85.89</v>
      </c>
    </row>
    <row r="396" spans="1:17" hidden="1">
      <c r="A396" t="s">
        <v>1105</v>
      </c>
      <c r="B396" t="s">
        <v>1106</v>
      </c>
      <c r="C396" s="19">
        <v>1226</v>
      </c>
      <c r="D396" s="19">
        <f t="shared" si="28"/>
        <v>40.866666666666667</v>
      </c>
      <c r="E396" s="5">
        <v>1163.29</v>
      </c>
      <c r="H396" s="19">
        <f t="shared" si="29"/>
        <v>2452</v>
      </c>
      <c r="I396" t="b">
        <f t="shared" si="26"/>
        <v>1</v>
      </c>
      <c r="J396" s="4">
        <f t="shared" si="27"/>
        <v>-0.5255750407830343</v>
      </c>
      <c r="O396" t="s">
        <v>1330</v>
      </c>
      <c r="P396">
        <v>1104</v>
      </c>
      <c r="Q396">
        <v>2117</v>
      </c>
    </row>
    <row r="397" spans="1:17" hidden="1">
      <c r="A397" s="55" t="s">
        <v>963</v>
      </c>
      <c r="B397" s="37" t="s">
        <v>964</v>
      </c>
      <c r="C397" s="19">
        <v>812</v>
      </c>
      <c r="D397" s="19">
        <f t="shared" si="28"/>
        <v>27.066666666666666</v>
      </c>
      <c r="E397" s="5">
        <v>1375.16</v>
      </c>
      <c r="H397" s="19">
        <f t="shared" si="29"/>
        <v>1624</v>
      </c>
      <c r="I397" t="b">
        <f t="shared" si="26"/>
        <v>1</v>
      </c>
      <c r="J397" s="4">
        <f t="shared" si="27"/>
        <v>-0.15322660098522167</v>
      </c>
      <c r="O397" t="s">
        <v>1209</v>
      </c>
      <c r="P397">
        <v>1299</v>
      </c>
      <c r="Q397">
        <v>2181.89</v>
      </c>
    </row>
    <row r="398" spans="1:17" hidden="1">
      <c r="A398" t="s">
        <v>1153</v>
      </c>
      <c r="B398" t="s">
        <v>1154</v>
      </c>
      <c r="C398" s="19">
        <v>3170</v>
      </c>
      <c r="D398" s="19">
        <f t="shared" si="28"/>
        <v>105.66666666666667</v>
      </c>
      <c r="E398" s="5">
        <v>4688.3999999999996</v>
      </c>
      <c r="H398" s="19">
        <f t="shared" si="29"/>
        <v>6340</v>
      </c>
      <c r="I398" t="b">
        <f t="shared" si="26"/>
        <v>1</v>
      </c>
      <c r="J398" s="4">
        <f t="shared" si="27"/>
        <v>-0.26050473186119882</v>
      </c>
      <c r="O398" t="s">
        <v>1364</v>
      </c>
      <c r="P398">
        <v>930</v>
      </c>
      <c r="Q398">
        <v>2178.85</v>
      </c>
    </row>
    <row r="399" spans="1:17" hidden="1">
      <c r="A399" t="s">
        <v>1048</v>
      </c>
      <c r="B399" t="s">
        <v>1049</v>
      </c>
      <c r="C399" s="19">
        <v>486</v>
      </c>
      <c r="D399" s="19">
        <f t="shared" si="28"/>
        <v>16.2</v>
      </c>
      <c r="E399" s="5">
        <v>256.63</v>
      </c>
      <c r="H399" s="19">
        <f t="shared" si="29"/>
        <v>972</v>
      </c>
      <c r="I399" t="b">
        <f t="shared" si="26"/>
        <v>1</v>
      </c>
      <c r="J399" s="4">
        <f t="shared" si="27"/>
        <v>-0.73597736625514409</v>
      </c>
      <c r="O399" t="s">
        <v>1315</v>
      </c>
      <c r="P399">
        <v>531</v>
      </c>
      <c r="Q399">
        <v>251.56</v>
      </c>
    </row>
    <row r="400" spans="1:17" hidden="1">
      <c r="A400" t="s">
        <v>925</v>
      </c>
      <c r="B400" t="s">
        <v>926</v>
      </c>
      <c r="C400" s="19">
        <v>864</v>
      </c>
      <c r="D400" s="19">
        <f t="shared" si="28"/>
        <v>28.8</v>
      </c>
      <c r="E400" s="5">
        <v>918.92</v>
      </c>
      <c r="H400" s="19">
        <f t="shared" si="29"/>
        <v>1728</v>
      </c>
      <c r="I400" t="b">
        <f t="shared" si="26"/>
        <v>1</v>
      </c>
      <c r="J400" s="4">
        <f t="shared" si="27"/>
        <v>-0.46821759259259266</v>
      </c>
      <c r="O400" t="s">
        <v>1225</v>
      </c>
      <c r="P400">
        <v>1122</v>
      </c>
      <c r="Q400">
        <v>2440.81</v>
      </c>
    </row>
    <row r="401" spans="1:17" hidden="1">
      <c r="A401" t="s">
        <v>1058</v>
      </c>
      <c r="B401" t="s">
        <v>1059</v>
      </c>
      <c r="C401" s="19">
        <v>990</v>
      </c>
      <c r="D401" s="19">
        <f t="shared" si="28"/>
        <v>33</v>
      </c>
      <c r="E401" s="5">
        <v>1859.79</v>
      </c>
      <c r="H401" s="19">
        <f t="shared" si="29"/>
        <v>1980</v>
      </c>
      <c r="I401" t="b">
        <f t="shared" si="26"/>
        <v>1</v>
      </c>
      <c r="J401" s="4">
        <f t="shared" si="27"/>
        <v>-6.0712121212121217E-2</v>
      </c>
      <c r="O401" t="s">
        <v>1348</v>
      </c>
      <c r="P401">
        <v>325</v>
      </c>
      <c r="Q401">
        <v>978.93</v>
      </c>
    </row>
    <row r="402" spans="1:17" hidden="1">
      <c r="A402" s="27" t="s">
        <v>845</v>
      </c>
      <c r="B402" s="27" t="s">
        <v>846</v>
      </c>
      <c r="C402" s="19">
        <v>1776</v>
      </c>
      <c r="D402" s="19">
        <f t="shared" si="28"/>
        <v>59.2</v>
      </c>
      <c r="E402" s="5">
        <v>2597.09</v>
      </c>
      <c r="H402" s="19">
        <f t="shared" si="29"/>
        <v>3552</v>
      </c>
      <c r="I402" t="b">
        <f t="shared" si="26"/>
        <v>1</v>
      </c>
      <c r="J402" s="4">
        <f t="shared" si="27"/>
        <v>-0.2688372747747747</v>
      </c>
      <c r="O402" t="s">
        <v>1384</v>
      </c>
      <c r="P402">
        <v>1173</v>
      </c>
      <c r="Q402">
        <v>2045.63</v>
      </c>
    </row>
    <row r="403" spans="1:17" hidden="1">
      <c r="A403" t="s">
        <v>1128</v>
      </c>
      <c r="B403" t="s">
        <v>1129</v>
      </c>
      <c r="C403" s="19">
        <v>678</v>
      </c>
      <c r="D403" s="19">
        <f t="shared" si="28"/>
        <v>22.6</v>
      </c>
      <c r="E403" s="5">
        <v>386.88</v>
      </c>
      <c r="H403" s="19">
        <f t="shared" si="29"/>
        <v>1356</v>
      </c>
      <c r="I403" t="b">
        <f t="shared" si="26"/>
        <v>1</v>
      </c>
      <c r="J403" s="4">
        <f t="shared" si="27"/>
        <v>-0.71469026548672565</v>
      </c>
      <c r="O403" t="s">
        <v>1669</v>
      </c>
      <c r="P403">
        <v>0</v>
      </c>
      <c r="Q403">
        <v>0</v>
      </c>
    </row>
    <row r="404" spans="1:17" hidden="1">
      <c r="A404" t="s">
        <v>971</v>
      </c>
      <c r="B404" t="s">
        <v>972</v>
      </c>
      <c r="C404" s="19">
        <v>791</v>
      </c>
      <c r="D404" s="19">
        <f t="shared" si="28"/>
        <v>26.366666666666667</v>
      </c>
      <c r="E404" s="5">
        <v>662</v>
      </c>
      <c r="H404" s="19">
        <f t="shared" si="29"/>
        <v>1582</v>
      </c>
      <c r="I404" t="b">
        <f t="shared" si="26"/>
        <v>1</v>
      </c>
      <c r="J404" s="4">
        <f t="shared" si="27"/>
        <v>-0.5815423514538558</v>
      </c>
      <c r="P404">
        <v>0</v>
      </c>
      <c r="Q404">
        <v>0</v>
      </c>
    </row>
    <row r="405" spans="1:17" hidden="1">
      <c r="A405" s="55" t="s">
        <v>981</v>
      </c>
      <c r="B405" s="37" t="s">
        <v>982</v>
      </c>
      <c r="C405" s="19">
        <v>1093</v>
      </c>
      <c r="D405" s="19">
        <f t="shared" si="28"/>
        <v>36.43333333333333</v>
      </c>
      <c r="E405" s="5">
        <v>1278.44</v>
      </c>
      <c r="H405" s="19">
        <f t="shared" si="29"/>
        <v>2186</v>
      </c>
      <c r="I405" t="b">
        <f t="shared" si="26"/>
        <v>1</v>
      </c>
      <c r="J405" s="4">
        <f t="shared" si="27"/>
        <v>-0.41516925892040257</v>
      </c>
      <c r="P405">
        <v>0</v>
      </c>
      <c r="Q405">
        <v>0</v>
      </c>
    </row>
    <row r="406" spans="1:17" hidden="1">
      <c r="A406" t="s">
        <v>1013</v>
      </c>
      <c r="B406" t="s">
        <v>1014</v>
      </c>
      <c r="C406" s="19">
        <v>790</v>
      </c>
      <c r="D406" s="19">
        <f t="shared" si="28"/>
        <v>26.333333333333332</v>
      </c>
      <c r="E406" s="5">
        <v>656.08</v>
      </c>
      <c r="H406" s="19">
        <f t="shared" si="29"/>
        <v>1580</v>
      </c>
      <c r="I406" t="b">
        <f t="shared" si="26"/>
        <v>1</v>
      </c>
      <c r="J406" s="4">
        <f t="shared" si="27"/>
        <v>-0.58475949367088598</v>
      </c>
      <c r="O406" t="s">
        <v>1261</v>
      </c>
      <c r="P406">
        <v>1253</v>
      </c>
      <c r="Q406">
        <v>1938.81</v>
      </c>
    </row>
    <row r="407" spans="1:17" hidden="1">
      <c r="A407" s="54" t="s">
        <v>900</v>
      </c>
      <c r="B407" s="37" t="s">
        <v>901</v>
      </c>
      <c r="C407" s="19">
        <v>877</v>
      </c>
      <c r="D407" s="19">
        <f t="shared" si="28"/>
        <v>29.233333333333334</v>
      </c>
      <c r="E407" s="131">
        <v>1227.8399999999999</v>
      </c>
      <c r="H407" s="19">
        <f t="shared" si="29"/>
        <v>1754</v>
      </c>
      <c r="I407" t="b">
        <f t="shared" si="26"/>
        <v>1</v>
      </c>
      <c r="J407" s="4">
        <f t="shared" si="27"/>
        <v>-0.29997719498289632</v>
      </c>
      <c r="P407">
        <v>0</v>
      </c>
      <c r="Q407">
        <v>0</v>
      </c>
    </row>
    <row r="408" spans="1:17" hidden="1">
      <c r="A408" s="27" t="s">
        <v>880</v>
      </c>
      <c r="B408" s="37" t="s">
        <v>881</v>
      </c>
      <c r="C408" s="19">
        <v>621</v>
      </c>
      <c r="D408" s="19">
        <f t="shared" si="28"/>
        <v>20.7</v>
      </c>
      <c r="E408" s="5">
        <v>495.17</v>
      </c>
      <c r="H408" s="19">
        <f t="shared" si="29"/>
        <v>1242</v>
      </c>
      <c r="I408" t="b">
        <f t="shared" si="26"/>
        <v>1</v>
      </c>
      <c r="J408" s="4">
        <f t="shared" si="27"/>
        <v>-0.60131239935587755</v>
      </c>
      <c r="O408" t="s">
        <v>1293</v>
      </c>
      <c r="P408">
        <v>566</v>
      </c>
      <c r="Q408">
        <v>1224.96</v>
      </c>
    </row>
    <row r="409" spans="1:17" hidden="1">
      <c r="A409" t="s">
        <v>897</v>
      </c>
      <c r="B409" t="s">
        <v>898</v>
      </c>
      <c r="C409" s="19">
        <v>2431</v>
      </c>
      <c r="D409" s="19">
        <f t="shared" si="28"/>
        <v>81.033333333333331</v>
      </c>
      <c r="E409" s="5">
        <v>2390.73</v>
      </c>
      <c r="H409" s="19">
        <f t="shared" si="29"/>
        <v>4862</v>
      </c>
      <c r="I409" t="b">
        <f t="shared" si="26"/>
        <v>1</v>
      </c>
      <c r="J409" s="4">
        <f t="shared" si="27"/>
        <v>-0.5082825997531879</v>
      </c>
      <c r="O409" t="s">
        <v>1194</v>
      </c>
      <c r="P409">
        <v>601</v>
      </c>
      <c r="Q409">
        <v>1605.96</v>
      </c>
    </row>
    <row r="410" spans="1:17" hidden="1">
      <c r="A410" s="27" t="s">
        <v>1139</v>
      </c>
      <c r="B410" s="27" t="s">
        <v>1140</v>
      </c>
      <c r="C410" s="19">
        <v>498</v>
      </c>
      <c r="D410" s="19">
        <f t="shared" si="28"/>
        <v>16.600000000000001</v>
      </c>
      <c r="E410" s="131">
        <v>863.5</v>
      </c>
      <c r="H410" s="19">
        <f t="shared" si="29"/>
        <v>996</v>
      </c>
      <c r="I410" t="b">
        <f t="shared" si="26"/>
        <v>1</v>
      </c>
      <c r="J410" s="4">
        <f t="shared" si="27"/>
        <v>-0.13303212851405621</v>
      </c>
      <c r="O410" t="s">
        <v>1276</v>
      </c>
      <c r="P410">
        <v>375</v>
      </c>
      <c r="Q410">
        <v>652.58000000000004</v>
      </c>
    </row>
    <row r="411" spans="1:17" hidden="1">
      <c r="A411" t="s">
        <v>1074</v>
      </c>
      <c r="B411" t="s">
        <v>1075</v>
      </c>
      <c r="C411" s="19">
        <v>863</v>
      </c>
      <c r="D411" s="19">
        <f t="shared" si="28"/>
        <v>28.766666666666666</v>
      </c>
      <c r="E411" s="5">
        <v>1239.45</v>
      </c>
      <c r="H411" s="19">
        <f t="shared" si="29"/>
        <v>1726</v>
      </c>
      <c r="I411" t="b">
        <f t="shared" si="26"/>
        <v>1</v>
      </c>
      <c r="J411" s="4">
        <f t="shared" si="27"/>
        <v>-0.28189455388180762</v>
      </c>
      <c r="O411" t="s">
        <v>1289</v>
      </c>
      <c r="P411">
        <v>17</v>
      </c>
      <c r="Q411">
        <v>31</v>
      </c>
    </row>
    <row r="412" spans="1:17" hidden="1">
      <c r="A412" s="54" t="s">
        <v>865</v>
      </c>
      <c r="B412" s="37" t="s">
        <v>866</v>
      </c>
      <c r="C412">
        <v>418</v>
      </c>
      <c r="D412" s="19">
        <f t="shared" si="28"/>
        <v>13.933333333333334</v>
      </c>
      <c r="E412" s="5">
        <v>936.48</v>
      </c>
      <c r="H412" s="19">
        <f t="shared" si="29"/>
        <v>836</v>
      </c>
      <c r="I412" t="b">
        <f t="shared" si="26"/>
        <v>1</v>
      </c>
      <c r="J412" s="4">
        <f t="shared" si="27"/>
        <v>0.12019138755980863</v>
      </c>
      <c r="O412" t="s">
        <v>1243</v>
      </c>
      <c r="P412">
        <v>0</v>
      </c>
      <c r="Q412">
        <v>0</v>
      </c>
    </row>
    <row r="413" spans="1:17" hidden="1">
      <c r="A413" t="s">
        <v>847</v>
      </c>
      <c r="B413" t="s">
        <v>848</v>
      </c>
      <c r="C413" s="19">
        <v>996</v>
      </c>
      <c r="D413" s="19">
        <f t="shared" si="28"/>
        <v>33.200000000000003</v>
      </c>
      <c r="E413" s="5">
        <v>1296.17</v>
      </c>
      <c r="H413" s="19">
        <f t="shared" si="29"/>
        <v>1992</v>
      </c>
      <c r="I413" t="b">
        <f t="shared" si="26"/>
        <v>1</v>
      </c>
      <c r="J413" s="4">
        <f t="shared" si="27"/>
        <v>-0.3493122489959839</v>
      </c>
      <c r="O413" t="s">
        <v>1207</v>
      </c>
      <c r="P413">
        <v>966</v>
      </c>
      <c r="Q413">
        <v>591.04999999999995</v>
      </c>
    </row>
    <row r="414" spans="1:17" hidden="1">
      <c r="A414" t="s">
        <v>1027</v>
      </c>
      <c r="B414" t="s">
        <v>1028</v>
      </c>
      <c r="C414" s="19">
        <v>277</v>
      </c>
      <c r="D414" s="19">
        <f t="shared" si="28"/>
        <v>9.2333333333333325</v>
      </c>
      <c r="E414" s="5">
        <v>178.93</v>
      </c>
      <c r="H414" s="19">
        <f t="shared" si="29"/>
        <v>554</v>
      </c>
      <c r="I414" t="b">
        <f t="shared" si="26"/>
        <v>1</v>
      </c>
      <c r="J414" s="4">
        <f t="shared" si="27"/>
        <v>-0.6770216606498195</v>
      </c>
      <c r="O414" t="s">
        <v>1295</v>
      </c>
      <c r="P414">
        <v>22</v>
      </c>
      <c r="Q414">
        <v>26.05</v>
      </c>
    </row>
    <row r="415" spans="1:17" hidden="1">
      <c r="A415" t="s">
        <v>886</v>
      </c>
      <c r="B415" t="s">
        <v>887</v>
      </c>
      <c r="C415" s="19">
        <v>144</v>
      </c>
      <c r="D415" s="19">
        <f t="shared" si="28"/>
        <v>4.8</v>
      </c>
      <c r="E415" s="5">
        <v>41.63</v>
      </c>
      <c r="H415" s="19">
        <f t="shared" si="29"/>
        <v>288</v>
      </c>
      <c r="I415" t="b">
        <f t="shared" si="26"/>
        <v>1</v>
      </c>
      <c r="J415" s="4">
        <f t="shared" si="27"/>
        <v>-0.85545138888888883</v>
      </c>
      <c r="O415" t="s">
        <v>1342</v>
      </c>
      <c r="P415">
        <v>1292</v>
      </c>
      <c r="Q415">
        <v>1954.98</v>
      </c>
    </row>
    <row r="416" spans="1:17" hidden="1">
      <c r="A416" t="s">
        <v>973</v>
      </c>
      <c r="B416" t="s">
        <v>974</v>
      </c>
      <c r="C416" s="19">
        <v>1210</v>
      </c>
      <c r="D416" s="19">
        <f t="shared" si="28"/>
        <v>40.333333333333336</v>
      </c>
      <c r="E416" s="5">
        <v>939.85</v>
      </c>
      <c r="H416" s="19">
        <f t="shared" si="29"/>
        <v>2420</v>
      </c>
      <c r="I416" t="b">
        <f t="shared" si="26"/>
        <v>1</v>
      </c>
      <c r="J416" s="4">
        <f t="shared" si="27"/>
        <v>-0.6116322314049587</v>
      </c>
      <c r="O416" t="s">
        <v>1350</v>
      </c>
      <c r="P416">
        <v>840</v>
      </c>
      <c r="Q416">
        <v>462.91</v>
      </c>
    </row>
    <row r="417" spans="1:17" hidden="1">
      <c r="A417" s="5" t="s">
        <v>1143</v>
      </c>
      <c r="B417" t="s">
        <v>1144</v>
      </c>
      <c r="C417" s="19">
        <v>1360</v>
      </c>
      <c r="D417" s="19">
        <f t="shared" si="28"/>
        <v>45.333333333333336</v>
      </c>
      <c r="E417" s="5">
        <v>0</v>
      </c>
      <c r="H417" s="19">
        <f t="shared" si="29"/>
        <v>2720</v>
      </c>
      <c r="I417" t="b">
        <f t="shared" si="26"/>
        <v>1</v>
      </c>
      <c r="J417" s="4">
        <f t="shared" si="27"/>
        <v>-1</v>
      </c>
      <c r="O417" t="s">
        <v>1287</v>
      </c>
      <c r="P417">
        <v>142</v>
      </c>
      <c r="Q417">
        <v>0</v>
      </c>
    </row>
    <row r="418" spans="1:17" hidden="1">
      <c r="A418" t="s">
        <v>927</v>
      </c>
      <c r="B418" t="s">
        <v>928</v>
      </c>
      <c r="C418" s="19">
        <v>3281</v>
      </c>
      <c r="D418" s="19">
        <f t="shared" si="28"/>
        <v>109.36666666666666</v>
      </c>
      <c r="E418" s="5">
        <v>4528.9399999999996</v>
      </c>
      <c r="H418" s="19">
        <f t="shared" si="29"/>
        <v>6562</v>
      </c>
      <c r="I418" t="b">
        <f t="shared" si="26"/>
        <v>1</v>
      </c>
      <c r="J418" s="4">
        <f t="shared" si="27"/>
        <v>-0.30982322462663825</v>
      </c>
      <c r="O418" t="s">
        <v>1278</v>
      </c>
      <c r="P418">
        <v>131</v>
      </c>
      <c r="Q418">
        <v>513.11</v>
      </c>
    </row>
    <row r="419" spans="1:17" hidden="1">
      <c r="A419" t="s">
        <v>836</v>
      </c>
      <c r="B419" t="s">
        <v>837</v>
      </c>
      <c r="C419" s="19">
        <v>2538</v>
      </c>
      <c r="D419" s="19">
        <f t="shared" si="28"/>
        <v>84.6</v>
      </c>
      <c r="E419" s="5">
        <v>2125.27</v>
      </c>
      <c r="H419" s="19">
        <f t="shared" si="29"/>
        <v>5076</v>
      </c>
      <c r="I419" t="b">
        <f t="shared" si="26"/>
        <v>1</v>
      </c>
      <c r="J419" s="4">
        <f t="shared" si="27"/>
        <v>-0.58131008668242712</v>
      </c>
      <c r="O419" t="s">
        <v>1234</v>
      </c>
      <c r="P419">
        <v>0</v>
      </c>
      <c r="Q419">
        <v>0</v>
      </c>
    </row>
    <row r="420" spans="1:17" hidden="1">
      <c r="A420" t="s">
        <v>1019</v>
      </c>
      <c r="B420" t="s">
        <v>1020</v>
      </c>
      <c r="C420" s="19">
        <v>850</v>
      </c>
      <c r="D420" s="19">
        <f t="shared" si="28"/>
        <v>28.333333333333332</v>
      </c>
      <c r="E420" s="5">
        <v>459.42</v>
      </c>
      <c r="H420" s="19">
        <f t="shared" si="29"/>
        <v>1700</v>
      </c>
      <c r="I420" t="b">
        <f t="shared" si="26"/>
        <v>1</v>
      </c>
      <c r="J420" s="4">
        <f t="shared" si="27"/>
        <v>-0.7297529411764706</v>
      </c>
      <c r="O420" t="s">
        <v>1229</v>
      </c>
      <c r="P420">
        <v>683</v>
      </c>
      <c r="Q420">
        <v>642.48</v>
      </c>
    </row>
    <row r="421" spans="1:17" hidden="1">
      <c r="A421" t="s">
        <v>919</v>
      </c>
      <c r="B421" t="s">
        <v>920</v>
      </c>
      <c r="C421" s="19">
        <v>1182</v>
      </c>
      <c r="D421" s="19">
        <f t="shared" si="28"/>
        <v>39.4</v>
      </c>
      <c r="E421" s="131">
        <v>1002.73</v>
      </c>
      <c r="H421" s="19">
        <f t="shared" si="29"/>
        <v>2364</v>
      </c>
      <c r="I421" t="b">
        <f t="shared" si="26"/>
        <v>1</v>
      </c>
      <c r="J421" s="4">
        <f t="shared" si="27"/>
        <v>-0.57583333333333331</v>
      </c>
      <c r="O421" t="s">
        <v>1251</v>
      </c>
      <c r="P421">
        <v>276</v>
      </c>
      <c r="Q421">
        <v>0</v>
      </c>
    </row>
    <row r="422" spans="1:17" hidden="1">
      <c r="A422" t="s">
        <v>989</v>
      </c>
      <c r="B422" t="s">
        <v>990</v>
      </c>
      <c r="C422" s="19">
        <v>709</v>
      </c>
      <c r="D422" s="19">
        <f t="shared" si="28"/>
        <v>23.633333333333333</v>
      </c>
      <c r="E422" s="5">
        <v>552.99</v>
      </c>
      <c r="H422" s="19">
        <f t="shared" si="29"/>
        <v>1418</v>
      </c>
      <c r="I422" t="b">
        <f t="shared" si="26"/>
        <v>1</v>
      </c>
      <c r="J422" s="4">
        <f t="shared" si="27"/>
        <v>-0.61002115655853317</v>
      </c>
      <c r="O422" t="s">
        <v>1259</v>
      </c>
      <c r="P422">
        <v>295</v>
      </c>
      <c r="Q422">
        <v>114.7</v>
      </c>
    </row>
    <row r="423" spans="1:17" hidden="1">
      <c r="A423" t="s">
        <v>1163</v>
      </c>
      <c r="B423" t="s">
        <v>1164</v>
      </c>
      <c r="C423" s="19">
        <v>4182</v>
      </c>
      <c r="D423" s="19">
        <f t="shared" si="28"/>
        <v>139.4</v>
      </c>
      <c r="E423" s="5">
        <v>8609.49</v>
      </c>
      <c r="H423" s="19">
        <f t="shared" si="29"/>
        <v>8364</v>
      </c>
      <c r="I423" t="b">
        <f t="shared" si="26"/>
        <v>1</v>
      </c>
      <c r="J423" s="4">
        <f t="shared" si="27"/>
        <v>2.9350789096126206E-2</v>
      </c>
      <c r="O423" t="s">
        <v>1589</v>
      </c>
      <c r="P423">
        <v>279</v>
      </c>
      <c r="Q423">
        <v>0</v>
      </c>
    </row>
    <row r="424" spans="1:17" hidden="1">
      <c r="A424" t="s">
        <v>1099</v>
      </c>
      <c r="B424" t="s">
        <v>1100</v>
      </c>
      <c r="C424" s="19">
        <v>710</v>
      </c>
      <c r="D424" s="19">
        <f t="shared" si="28"/>
        <v>23.666666666666668</v>
      </c>
      <c r="E424" s="5">
        <v>422.77</v>
      </c>
      <c r="H424" s="19">
        <f t="shared" si="29"/>
        <v>1420</v>
      </c>
      <c r="I424" t="b">
        <f t="shared" si="26"/>
        <v>1</v>
      </c>
      <c r="J424" s="4">
        <f t="shared" si="27"/>
        <v>-0.70227464788732397</v>
      </c>
      <c r="O424" t="s">
        <v>1308</v>
      </c>
      <c r="P424">
        <v>1946</v>
      </c>
      <c r="Q424">
        <v>2591</v>
      </c>
    </row>
    <row r="425" spans="1:17" hidden="1">
      <c r="A425" t="s">
        <v>1039</v>
      </c>
      <c r="B425" t="s">
        <v>1040</v>
      </c>
      <c r="C425" s="19">
        <v>1074</v>
      </c>
      <c r="D425" s="19">
        <f t="shared" si="28"/>
        <v>35.799999999999997</v>
      </c>
      <c r="E425" s="131">
        <v>436.72</v>
      </c>
      <c r="H425" s="19">
        <f t="shared" si="29"/>
        <v>2148</v>
      </c>
      <c r="I425" t="b">
        <f t="shared" si="26"/>
        <v>1</v>
      </c>
      <c r="J425" s="4">
        <f t="shared" si="27"/>
        <v>-0.79668528864059596</v>
      </c>
      <c r="O425" t="s">
        <v>1409</v>
      </c>
      <c r="P425">
        <v>1462</v>
      </c>
      <c r="Q425">
        <v>2207.94</v>
      </c>
    </row>
    <row r="426" spans="1:17" hidden="1">
      <c r="A426" t="s">
        <v>856</v>
      </c>
      <c r="B426" t="s">
        <v>857</v>
      </c>
      <c r="C426" s="19">
        <v>3054</v>
      </c>
      <c r="D426" s="19">
        <f t="shared" si="28"/>
        <v>101.8</v>
      </c>
      <c r="E426" s="5">
        <v>1102.8599999999999</v>
      </c>
      <c r="H426" s="19">
        <f t="shared" si="29"/>
        <v>6108</v>
      </c>
      <c r="I426" t="b">
        <f t="shared" si="26"/>
        <v>1</v>
      </c>
      <c r="J426" s="4">
        <f t="shared" si="27"/>
        <v>-0.81944007858546164</v>
      </c>
      <c r="O426" t="s">
        <v>1390</v>
      </c>
      <c r="P426">
        <v>2083</v>
      </c>
      <c r="Q426">
        <v>2456.46</v>
      </c>
    </row>
    <row r="427" spans="1:17" hidden="1">
      <c r="A427" s="136" t="s">
        <v>840</v>
      </c>
      <c r="B427" s="37" t="s">
        <v>841</v>
      </c>
      <c r="C427" s="19">
        <v>933</v>
      </c>
      <c r="D427" s="19">
        <f t="shared" si="28"/>
        <v>31.1</v>
      </c>
      <c r="E427" s="5">
        <v>1460.04</v>
      </c>
      <c r="H427" s="19">
        <f t="shared" si="29"/>
        <v>1866</v>
      </c>
      <c r="I427" t="b">
        <f t="shared" ref="I427:I490" si="30">IF(E427&gt;1.2*H427,FALSE,TRUE)</f>
        <v>1</v>
      </c>
      <c r="J427" s="4">
        <f t="shared" ref="J427:J490" si="31">E427/H427-1</f>
        <v>-0.21755627009646306</v>
      </c>
      <c r="O427" t="s">
        <v>1300</v>
      </c>
      <c r="P427">
        <v>336</v>
      </c>
      <c r="Q427">
        <v>1014.8</v>
      </c>
    </row>
    <row r="428" spans="1:17" hidden="1">
      <c r="A428" t="s">
        <v>1080</v>
      </c>
      <c r="B428" t="s">
        <v>1081</v>
      </c>
      <c r="C428" s="19">
        <v>0</v>
      </c>
      <c r="D428" s="19">
        <f t="shared" si="28"/>
        <v>0</v>
      </c>
      <c r="E428" s="5">
        <v>0</v>
      </c>
      <c r="H428" s="19">
        <f t="shared" si="29"/>
        <v>0</v>
      </c>
      <c r="I428" t="b">
        <f t="shared" si="30"/>
        <v>1</v>
      </c>
      <c r="J428" s="4" t="e">
        <f t="shared" si="31"/>
        <v>#DIV/0!</v>
      </c>
      <c r="O428" t="s">
        <v>1378</v>
      </c>
      <c r="P428">
        <v>1332</v>
      </c>
      <c r="Q428">
        <v>1485.85</v>
      </c>
    </row>
    <row r="429" spans="1:17" hidden="1">
      <c r="A429" t="s">
        <v>921</v>
      </c>
      <c r="B429" t="s">
        <v>922</v>
      </c>
      <c r="C429" s="19">
        <v>1109</v>
      </c>
      <c r="D429" s="19">
        <f t="shared" si="28"/>
        <v>36.966666666666669</v>
      </c>
      <c r="E429" s="5">
        <v>580.1</v>
      </c>
      <c r="H429" s="19">
        <f t="shared" si="29"/>
        <v>2218</v>
      </c>
      <c r="I429" t="b">
        <f t="shared" si="30"/>
        <v>1</v>
      </c>
      <c r="J429" s="4">
        <f t="shared" si="31"/>
        <v>-0.73845807033363386</v>
      </c>
      <c r="O429" t="s">
        <v>1257</v>
      </c>
      <c r="P429">
        <v>796</v>
      </c>
      <c r="Q429">
        <v>1368.16</v>
      </c>
    </row>
    <row r="430" spans="1:17" hidden="1">
      <c r="A430" t="s">
        <v>1082</v>
      </c>
      <c r="B430" t="s">
        <v>1083</v>
      </c>
      <c r="C430" s="19">
        <v>0</v>
      </c>
      <c r="D430" s="19">
        <f t="shared" si="28"/>
        <v>0</v>
      </c>
      <c r="E430" s="5">
        <v>0</v>
      </c>
      <c r="H430" s="19">
        <f t="shared" si="29"/>
        <v>0</v>
      </c>
      <c r="I430" t="b">
        <f t="shared" si="30"/>
        <v>1</v>
      </c>
      <c r="J430" s="4" t="e">
        <f t="shared" si="31"/>
        <v>#DIV/0!</v>
      </c>
      <c r="O430" t="s">
        <v>1433</v>
      </c>
      <c r="P430">
        <v>3891</v>
      </c>
      <c r="Q430">
        <v>3675.14</v>
      </c>
    </row>
    <row r="431" spans="1:17" hidden="1">
      <c r="A431" s="54" t="s">
        <v>875</v>
      </c>
      <c r="B431" s="37" t="s">
        <v>876</v>
      </c>
      <c r="C431">
        <v>570</v>
      </c>
      <c r="D431" s="19">
        <f t="shared" si="28"/>
        <v>19</v>
      </c>
      <c r="E431" s="5">
        <v>658.06</v>
      </c>
      <c r="H431" s="19">
        <f t="shared" si="29"/>
        <v>1140</v>
      </c>
      <c r="I431" t="b">
        <f t="shared" si="30"/>
        <v>1</v>
      </c>
      <c r="J431" s="4">
        <f t="shared" si="31"/>
        <v>-0.42275438596491233</v>
      </c>
      <c r="O431" t="s">
        <v>1302</v>
      </c>
      <c r="P431">
        <v>1452</v>
      </c>
      <c r="Q431">
        <v>3178.29</v>
      </c>
    </row>
    <row r="432" spans="1:17" hidden="1">
      <c r="A432" t="s">
        <v>1052</v>
      </c>
      <c r="B432" t="s">
        <v>1053</v>
      </c>
      <c r="C432" s="19">
        <v>718</v>
      </c>
      <c r="D432" s="19">
        <f t="shared" si="28"/>
        <v>23.933333333333334</v>
      </c>
      <c r="E432" s="5">
        <v>333.26</v>
      </c>
      <c r="H432" s="19">
        <f t="shared" si="29"/>
        <v>1436</v>
      </c>
      <c r="I432" t="b">
        <f t="shared" si="30"/>
        <v>1</v>
      </c>
      <c r="J432" s="4">
        <f t="shared" si="31"/>
        <v>-0.76792479108635092</v>
      </c>
      <c r="O432" t="s">
        <v>1346</v>
      </c>
      <c r="P432">
        <v>1547</v>
      </c>
      <c r="Q432">
        <v>2379.5700000000002</v>
      </c>
    </row>
    <row r="433" spans="1:17" hidden="1">
      <c r="A433" t="s">
        <v>1084</v>
      </c>
      <c r="B433" t="s">
        <v>1085</v>
      </c>
      <c r="C433" s="19">
        <v>0</v>
      </c>
      <c r="D433" s="19">
        <f t="shared" si="28"/>
        <v>0</v>
      </c>
      <c r="E433" s="5">
        <v>0</v>
      </c>
      <c r="H433" s="19">
        <f t="shared" si="29"/>
        <v>0</v>
      </c>
      <c r="I433" t="b">
        <f t="shared" si="30"/>
        <v>1</v>
      </c>
      <c r="J433" s="4" t="e">
        <f t="shared" si="31"/>
        <v>#DIV/0!</v>
      </c>
      <c r="O433" t="s">
        <v>1334</v>
      </c>
      <c r="P433">
        <v>303</v>
      </c>
      <c r="Q433">
        <v>0</v>
      </c>
    </row>
    <row r="434" spans="1:17" hidden="1">
      <c r="A434" t="s">
        <v>1070</v>
      </c>
      <c r="B434" t="s">
        <v>1071</v>
      </c>
      <c r="C434" s="19">
        <v>480</v>
      </c>
      <c r="D434" s="19">
        <f t="shared" si="28"/>
        <v>16</v>
      </c>
      <c r="E434" s="5">
        <v>137.13999999999999</v>
      </c>
      <c r="H434" s="19">
        <f t="shared" si="29"/>
        <v>960</v>
      </c>
      <c r="I434" t="b">
        <f t="shared" si="30"/>
        <v>1</v>
      </c>
      <c r="J434" s="4">
        <f t="shared" si="31"/>
        <v>-0.85714583333333338</v>
      </c>
      <c r="O434" t="s">
        <v>1188</v>
      </c>
      <c r="P434">
        <v>1797</v>
      </c>
      <c r="Q434">
        <v>1445.79</v>
      </c>
    </row>
    <row r="435" spans="1:17" hidden="1">
      <c r="A435" t="s">
        <v>1076</v>
      </c>
      <c r="B435" t="s">
        <v>1077</v>
      </c>
      <c r="C435" s="19">
        <v>344</v>
      </c>
      <c r="D435" s="19">
        <f t="shared" si="28"/>
        <v>11.466666666666667</v>
      </c>
      <c r="E435" s="5">
        <v>98.5</v>
      </c>
      <c r="H435" s="19">
        <f t="shared" si="29"/>
        <v>688</v>
      </c>
      <c r="I435" t="b">
        <f t="shared" si="30"/>
        <v>1</v>
      </c>
      <c r="J435" s="4">
        <f t="shared" si="31"/>
        <v>-0.85683139534883723</v>
      </c>
      <c r="O435" t="s">
        <v>1285</v>
      </c>
      <c r="P435">
        <v>313</v>
      </c>
      <c r="Q435">
        <v>201.38</v>
      </c>
    </row>
    <row r="436" spans="1:17" hidden="1">
      <c r="A436" t="s">
        <v>1062</v>
      </c>
      <c r="B436" t="s">
        <v>1063</v>
      </c>
      <c r="C436" s="19">
        <v>461</v>
      </c>
      <c r="D436" s="19">
        <f t="shared" si="28"/>
        <v>15.366666666666667</v>
      </c>
      <c r="E436" s="5">
        <v>230.3</v>
      </c>
      <c r="H436" s="19">
        <f t="shared" si="29"/>
        <v>922</v>
      </c>
      <c r="I436" t="b">
        <f t="shared" si="30"/>
        <v>1</v>
      </c>
      <c r="J436" s="4">
        <f t="shared" si="31"/>
        <v>-0.75021691973969629</v>
      </c>
      <c r="O436" t="s">
        <v>1249</v>
      </c>
      <c r="P436">
        <v>742</v>
      </c>
      <c r="Q436">
        <v>704.89</v>
      </c>
    </row>
    <row r="437" spans="1:17" hidden="1">
      <c r="A437" t="s">
        <v>1046</v>
      </c>
      <c r="B437" t="s">
        <v>1047</v>
      </c>
      <c r="C437" s="19">
        <v>148</v>
      </c>
      <c r="D437" s="19">
        <f t="shared" si="28"/>
        <v>4.9333333333333336</v>
      </c>
      <c r="E437" s="5">
        <v>91.11</v>
      </c>
      <c r="H437" s="19">
        <f t="shared" si="29"/>
        <v>296</v>
      </c>
      <c r="I437" t="b">
        <f t="shared" si="30"/>
        <v>1</v>
      </c>
      <c r="J437" s="4">
        <f t="shared" si="31"/>
        <v>-0.69219594594594591</v>
      </c>
      <c r="O437" t="s">
        <v>1319</v>
      </c>
      <c r="P437">
        <v>356</v>
      </c>
      <c r="Q437">
        <v>199.27</v>
      </c>
    </row>
    <row r="438" spans="1:17" hidden="1">
      <c r="A438" t="s">
        <v>895</v>
      </c>
      <c r="B438" t="s">
        <v>896</v>
      </c>
      <c r="C438" s="19">
        <v>677</v>
      </c>
      <c r="D438" s="19">
        <f t="shared" si="28"/>
        <v>22.566666666666666</v>
      </c>
      <c r="E438" s="131">
        <v>255.47</v>
      </c>
      <c r="H438" s="19">
        <f t="shared" si="29"/>
        <v>1354</v>
      </c>
      <c r="I438" t="b">
        <f t="shared" si="30"/>
        <v>1</v>
      </c>
      <c r="J438" s="4">
        <f t="shared" si="31"/>
        <v>-0.81132200886262928</v>
      </c>
      <c r="O438" t="s">
        <v>1321</v>
      </c>
      <c r="P438">
        <v>1874</v>
      </c>
      <c r="Q438">
        <v>3772.22</v>
      </c>
    </row>
    <row r="439" spans="1:17" hidden="1">
      <c r="A439" t="s">
        <v>1107</v>
      </c>
      <c r="B439" t="s">
        <v>1108</v>
      </c>
      <c r="C439" s="19">
        <v>458</v>
      </c>
      <c r="D439" s="19">
        <f t="shared" si="28"/>
        <v>15.266666666666667</v>
      </c>
      <c r="E439" s="5">
        <v>145.28</v>
      </c>
      <c r="H439" s="19">
        <f t="shared" si="29"/>
        <v>916</v>
      </c>
      <c r="I439" t="b">
        <f t="shared" si="30"/>
        <v>1</v>
      </c>
      <c r="J439" s="4">
        <f t="shared" si="31"/>
        <v>-0.84139737991266372</v>
      </c>
      <c r="O439" t="s">
        <v>1280</v>
      </c>
      <c r="P439">
        <v>434</v>
      </c>
      <c r="Q439">
        <v>676.99</v>
      </c>
    </row>
    <row r="440" spans="1:17" hidden="1">
      <c r="A440" t="s">
        <v>1115</v>
      </c>
      <c r="B440" t="s">
        <v>1116</v>
      </c>
      <c r="C440" s="19">
        <v>714</v>
      </c>
      <c r="D440" s="19">
        <f t="shared" si="28"/>
        <v>23.8</v>
      </c>
      <c r="E440" s="5">
        <v>388.15</v>
      </c>
      <c r="H440" s="19">
        <f t="shared" si="29"/>
        <v>1428</v>
      </c>
      <c r="I440" t="b">
        <f t="shared" si="30"/>
        <v>1</v>
      </c>
      <c r="J440" s="4">
        <f t="shared" si="31"/>
        <v>-0.728186274509804</v>
      </c>
      <c r="O440" t="s">
        <v>1203</v>
      </c>
      <c r="P440">
        <v>922</v>
      </c>
      <c r="Q440">
        <v>615.99</v>
      </c>
    </row>
    <row r="441" spans="1:17" hidden="1">
      <c r="A441" s="142" t="s">
        <v>1078</v>
      </c>
      <c r="B441" s="27" t="s">
        <v>1079</v>
      </c>
      <c r="C441">
        <v>0</v>
      </c>
      <c r="D441" s="19">
        <f t="shared" si="28"/>
        <v>0</v>
      </c>
      <c r="E441" s="5">
        <v>0</v>
      </c>
      <c r="H441" s="19">
        <f t="shared" si="29"/>
        <v>0</v>
      </c>
      <c r="I441" t="b">
        <f t="shared" si="30"/>
        <v>1</v>
      </c>
      <c r="J441" s="4" t="e">
        <f t="shared" si="31"/>
        <v>#DIV/0!</v>
      </c>
      <c r="O441" t="s">
        <v>1407</v>
      </c>
      <c r="P441">
        <v>1303</v>
      </c>
      <c r="Q441">
        <v>976.48</v>
      </c>
    </row>
    <row r="442" spans="1:17" hidden="1">
      <c r="A442" t="s">
        <v>915</v>
      </c>
      <c r="B442" t="s">
        <v>916</v>
      </c>
      <c r="C442" s="19">
        <v>1474</v>
      </c>
      <c r="D442" s="19">
        <f t="shared" si="28"/>
        <v>49.133333333333333</v>
      </c>
      <c r="E442" s="5">
        <v>1373.23</v>
      </c>
      <c r="H442" s="19">
        <f t="shared" si="29"/>
        <v>2948</v>
      </c>
      <c r="I442" t="b">
        <f t="shared" si="30"/>
        <v>1</v>
      </c>
      <c r="J442" s="4">
        <f t="shared" si="31"/>
        <v>-0.53418249660786976</v>
      </c>
      <c r="O442" t="s">
        <v>1356</v>
      </c>
      <c r="P442">
        <v>1967</v>
      </c>
      <c r="Q442">
        <v>2669.32</v>
      </c>
    </row>
    <row r="443" spans="1:17" hidden="1">
      <c r="A443" t="s">
        <v>923</v>
      </c>
      <c r="B443" t="s">
        <v>924</v>
      </c>
      <c r="C443" s="19">
        <v>665</v>
      </c>
      <c r="D443" s="19">
        <f t="shared" si="28"/>
        <v>22.166666666666668</v>
      </c>
      <c r="E443" s="5">
        <v>571.95000000000005</v>
      </c>
      <c r="H443" s="19">
        <f t="shared" si="29"/>
        <v>1330</v>
      </c>
      <c r="I443" t="b">
        <f t="shared" si="30"/>
        <v>1</v>
      </c>
      <c r="J443" s="4">
        <f t="shared" si="31"/>
        <v>-0.56996240601503756</v>
      </c>
      <c r="O443" t="s">
        <v>1219</v>
      </c>
      <c r="P443">
        <v>2648</v>
      </c>
      <c r="Q443">
        <v>1533.95</v>
      </c>
    </row>
    <row r="444" spans="1:17" hidden="1">
      <c r="A444" t="s">
        <v>942</v>
      </c>
      <c r="B444" t="s">
        <v>943</v>
      </c>
      <c r="C444" s="19">
        <v>426</v>
      </c>
      <c r="D444" s="19">
        <f t="shared" si="28"/>
        <v>14.2</v>
      </c>
      <c r="E444" s="5">
        <v>662.09</v>
      </c>
      <c r="H444" s="19">
        <f t="shared" si="29"/>
        <v>852</v>
      </c>
      <c r="I444" t="b">
        <f t="shared" si="30"/>
        <v>1</v>
      </c>
      <c r="J444" s="4">
        <f t="shared" si="31"/>
        <v>-0.22289906103286383</v>
      </c>
      <c r="O444" t="s">
        <v>1271</v>
      </c>
      <c r="P444">
        <v>1099</v>
      </c>
      <c r="Q444">
        <v>1681.39</v>
      </c>
    </row>
    <row r="445" spans="1:17" hidden="1">
      <c r="A445" t="s">
        <v>983</v>
      </c>
      <c r="B445" t="s">
        <v>984</v>
      </c>
      <c r="C445" s="19">
        <v>707</v>
      </c>
      <c r="D445" s="19">
        <f t="shared" si="28"/>
        <v>23.566666666666666</v>
      </c>
      <c r="E445" s="5">
        <v>375.79</v>
      </c>
      <c r="H445" s="19">
        <f t="shared" si="29"/>
        <v>1414</v>
      </c>
      <c r="I445" t="b">
        <f t="shared" si="30"/>
        <v>1</v>
      </c>
      <c r="J445" s="4">
        <f t="shared" si="31"/>
        <v>-0.73423620933521927</v>
      </c>
      <c r="O445" t="s">
        <v>1411</v>
      </c>
      <c r="P445">
        <v>3298</v>
      </c>
      <c r="Q445">
        <v>6920.57</v>
      </c>
    </row>
    <row r="446" spans="1:17" hidden="1">
      <c r="A446" t="s">
        <v>951</v>
      </c>
      <c r="B446" t="s">
        <v>952</v>
      </c>
      <c r="C446" s="19">
        <v>782</v>
      </c>
      <c r="D446" s="19">
        <f t="shared" si="28"/>
        <v>26.066666666666666</v>
      </c>
      <c r="E446" s="5">
        <v>538.47</v>
      </c>
      <c r="H446" s="19">
        <f t="shared" si="29"/>
        <v>1564</v>
      </c>
      <c r="I446" t="b">
        <f t="shared" si="30"/>
        <v>1</v>
      </c>
      <c r="J446" s="4">
        <f t="shared" si="31"/>
        <v>-0.65570971867007666</v>
      </c>
      <c r="O446" t="s">
        <v>1310</v>
      </c>
      <c r="P446">
        <v>355</v>
      </c>
      <c r="Q446">
        <v>1017.38</v>
      </c>
    </row>
    <row r="447" spans="1:17" hidden="1">
      <c r="A447" t="s">
        <v>1103</v>
      </c>
      <c r="B447" t="s">
        <v>1104</v>
      </c>
      <c r="C447" s="19">
        <v>661</v>
      </c>
      <c r="D447" s="19">
        <f t="shared" si="28"/>
        <v>22.033333333333335</v>
      </c>
      <c r="E447" s="5">
        <v>904.2</v>
      </c>
      <c r="H447" s="19">
        <f t="shared" si="29"/>
        <v>1322</v>
      </c>
      <c r="I447" t="b">
        <f t="shared" si="30"/>
        <v>1</v>
      </c>
      <c r="J447" s="4">
        <f t="shared" si="31"/>
        <v>-0.31603630862329801</v>
      </c>
      <c r="O447" t="s">
        <v>1428</v>
      </c>
      <c r="P447">
        <v>4192</v>
      </c>
      <c r="Q447">
        <v>3703.72</v>
      </c>
    </row>
    <row r="448" spans="1:17" hidden="1">
      <c r="A448" t="s">
        <v>907</v>
      </c>
      <c r="B448" t="s">
        <v>908</v>
      </c>
      <c r="C448" s="19">
        <v>1938</v>
      </c>
      <c r="D448" s="19">
        <f t="shared" si="28"/>
        <v>64.599999999999994</v>
      </c>
      <c r="E448" s="5">
        <v>1580.19</v>
      </c>
      <c r="H448" s="19">
        <f t="shared" si="29"/>
        <v>3876</v>
      </c>
      <c r="I448" t="b">
        <f t="shared" si="30"/>
        <v>1</v>
      </c>
      <c r="J448" s="4">
        <f t="shared" si="31"/>
        <v>-0.59231424148606804</v>
      </c>
      <c r="O448" t="s">
        <v>1431</v>
      </c>
      <c r="P448">
        <v>5893</v>
      </c>
      <c r="Q448">
        <v>4482.1899999999996</v>
      </c>
    </row>
    <row r="449" spans="1:17" hidden="1">
      <c r="A449" t="s">
        <v>1005</v>
      </c>
      <c r="B449" t="s">
        <v>1006</v>
      </c>
      <c r="C449" s="19">
        <v>573</v>
      </c>
      <c r="D449" s="19">
        <f t="shared" si="28"/>
        <v>19.100000000000001</v>
      </c>
      <c r="E449" s="5">
        <v>633.41999999999996</v>
      </c>
      <c r="H449" s="19">
        <f t="shared" si="29"/>
        <v>1146</v>
      </c>
      <c r="I449" t="b">
        <f t="shared" si="30"/>
        <v>1</v>
      </c>
      <c r="J449" s="4">
        <f t="shared" si="31"/>
        <v>-0.44727748691099478</v>
      </c>
      <c r="O449" t="s">
        <v>1265</v>
      </c>
      <c r="P449">
        <v>1168</v>
      </c>
      <c r="Q449">
        <v>1022.36</v>
      </c>
    </row>
    <row r="450" spans="1:17" hidden="1">
      <c r="A450" t="s">
        <v>1111</v>
      </c>
      <c r="B450" t="s">
        <v>1112</v>
      </c>
      <c r="C450" s="19">
        <v>655</v>
      </c>
      <c r="D450" s="19">
        <f t="shared" si="28"/>
        <v>21.833333333333332</v>
      </c>
      <c r="E450" s="5">
        <v>366.52</v>
      </c>
      <c r="H450" s="19">
        <f t="shared" si="29"/>
        <v>1310</v>
      </c>
      <c r="I450" t="b">
        <f t="shared" si="30"/>
        <v>1</v>
      </c>
      <c r="J450" s="4">
        <f t="shared" si="31"/>
        <v>-0.72021374045801534</v>
      </c>
      <c r="O450" t="s">
        <v>1405</v>
      </c>
      <c r="P450">
        <v>660</v>
      </c>
      <c r="Q450">
        <v>1099.67</v>
      </c>
    </row>
    <row r="451" spans="1:17" hidden="1">
      <c r="A451" t="s">
        <v>1035</v>
      </c>
      <c r="B451" s="27" t="s">
        <v>1036</v>
      </c>
      <c r="C451" s="19">
        <v>973</v>
      </c>
      <c r="D451" s="19">
        <f t="shared" ref="D451:D514" si="32">C451/30</f>
        <v>32.43333333333333</v>
      </c>
      <c r="E451" s="5">
        <v>1213.6199999999999</v>
      </c>
      <c r="H451" s="19">
        <f t="shared" ref="H451:H514" si="33">IF((C451/30)&gt;100,C451*2,C451*2)</f>
        <v>1946</v>
      </c>
      <c r="I451" t="b">
        <f t="shared" si="30"/>
        <v>1</v>
      </c>
      <c r="J451" s="4">
        <f t="shared" si="31"/>
        <v>-0.37635149023638237</v>
      </c>
      <c r="O451" t="s">
        <v>1255</v>
      </c>
      <c r="P451">
        <v>1341</v>
      </c>
      <c r="Q451">
        <v>2691.33</v>
      </c>
    </row>
    <row r="452" spans="1:17" hidden="1">
      <c r="A452" t="s">
        <v>1003</v>
      </c>
      <c r="B452" t="s">
        <v>1004</v>
      </c>
      <c r="C452" s="19">
        <v>796</v>
      </c>
      <c r="D452" s="19">
        <f t="shared" si="32"/>
        <v>26.533333333333335</v>
      </c>
      <c r="E452" s="5">
        <v>744.98</v>
      </c>
      <c r="H452" s="19">
        <f t="shared" si="33"/>
        <v>1592</v>
      </c>
      <c r="I452" t="b">
        <f t="shared" si="30"/>
        <v>1</v>
      </c>
      <c r="J452" s="4">
        <f t="shared" si="31"/>
        <v>-0.53204773869346733</v>
      </c>
      <c r="O452" t="s">
        <v>1317</v>
      </c>
      <c r="P452">
        <v>3129</v>
      </c>
      <c r="Q452">
        <v>2951.94</v>
      </c>
    </row>
    <row r="453" spans="1:17" hidden="1">
      <c r="A453" t="s">
        <v>1066</v>
      </c>
      <c r="B453" t="s">
        <v>1067</v>
      </c>
      <c r="C453" s="19">
        <v>395</v>
      </c>
      <c r="D453" s="19">
        <f t="shared" si="32"/>
        <v>13.166666666666666</v>
      </c>
      <c r="E453" s="5">
        <v>129.30000000000001</v>
      </c>
      <c r="H453" s="19">
        <f t="shared" si="33"/>
        <v>790</v>
      </c>
      <c r="I453" t="b">
        <f t="shared" si="30"/>
        <v>1</v>
      </c>
      <c r="J453" s="4">
        <f t="shared" si="31"/>
        <v>-0.83632911392405063</v>
      </c>
      <c r="O453" t="s">
        <v>1424</v>
      </c>
      <c r="P453">
        <v>3780</v>
      </c>
      <c r="Q453">
        <v>6358.12</v>
      </c>
    </row>
    <row r="454" spans="1:17" hidden="1">
      <c r="A454" t="s">
        <v>1113</v>
      </c>
      <c r="B454" s="27" t="s">
        <v>1114</v>
      </c>
      <c r="C454" s="19">
        <v>711</v>
      </c>
      <c r="D454" s="19">
        <f t="shared" si="32"/>
        <v>23.7</v>
      </c>
      <c r="E454" s="5">
        <v>350.3</v>
      </c>
      <c r="H454" s="19">
        <f t="shared" si="33"/>
        <v>1422</v>
      </c>
      <c r="I454" t="b">
        <f t="shared" si="30"/>
        <v>1</v>
      </c>
      <c r="J454" s="4">
        <f t="shared" si="31"/>
        <v>-0.75365682137834034</v>
      </c>
      <c r="O454" t="s">
        <v>1176</v>
      </c>
      <c r="P454">
        <v>4424</v>
      </c>
      <c r="Q454">
        <v>4518.8</v>
      </c>
    </row>
    <row r="455" spans="1:17" hidden="1">
      <c r="A455" t="s">
        <v>1145</v>
      </c>
      <c r="B455" t="s">
        <v>1146</v>
      </c>
      <c r="C455" s="19">
        <v>848</v>
      </c>
      <c r="D455" s="19">
        <f t="shared" si="32"/>
        <v>28.266666666666666</v>
      </c>
      <c r="E455" s="5">
        <v>1625.12</v>
      </c>
      <c r="H455" s="19">
        <f t="shared" si="33"/>
        <v>1696</v>
      </c>
      <c r="I455" t="b">
        <f t="shared" si="30"/>
        <v>1</v>
      </c>
      <c r="J455" s="4">
        <f t="shared" si="31"/>
        <v>-4.1792452830188731E-2</v>
      </c>
      <c r="O455" t="s">
        <v>1223</v>
      </c>
      <c r="P455">
        <v>910</v>
      </c>
      <c r="Q455">
        <v>2003.82</v>
      </c>
    </row>
    <row r="456" spans="1:17" hidden="1">
      <c r="A456" t="s">
        <v>913</v>
      </c>
      <c r="B456" t="s">
        <v>914</v>
      </c>
      <c r="C456" s="19">
        <v>1071</v>
      </c>
      <c r="D456" s="19">
        <f t="shared" si="32"/>
        <v>35.700000000000003</v>
      </c>
      <c r="E456" s="5">
        <v>592.04999999999995</v>
      </c>
      <c r="H456" s="19">
        <f t="shared" si="33"/>
        <v>2142</v>
      </c>
      <c r="I456" t="b">
        <f t="shared" si="30"/>
        <v>1</v>
      </c>
      <c r="J456" s="4">
        <f t="shared" si="31"/>
        <v>-0.72359943977591046</v>
      </c>
    </row>
    <row r="457" spans="1:17" hidden="1">
      <c r="A457" t="s">
        <v>977</v>
      </c>
      <c r="B457" t="s">
        <v>978</v>
      </c>
      <c r="C457" s="19">
        <v>1098</v>
      </c>
      <c r="D457" s="19">
        <f t="shared" si="32"/>
        <v>36.6</v>
      </c>
      <c r="E457" s="5">
        <v>604.21</v>
      </c>
      <c r="H457" s="19">
        <f t="shared" si="33"/>
        <v>2196</v>
      </c>
      <c r="I457" t="b">
        <f t="shared" si="30"/>
        <v>1</v>
      </c>
      <c r="J457" s="4">
        <f t="shared" si="31"/>
        <v>-0.72485883424408015</v>
      </c>
    </row>
    <row r="458" spans="1:17" hidden="1">
      <c r="A458" s="24" t="s">
        <v>957</v>
      </c>
      <c r="B458" s="23" t="s">
        <v>958</v>
      </c>
      <c r="C458" s="19">
        <v>668</v>
      </c>
      <c r="D458" s="19">
        <f t="shared" si="32"/>
        <v>22.266666666666666</v>
      </c>
      <c r="E458" s="5">
        <v>587.72</v>
      </c>
      <c r="H458" s="19">
        <f t="shared" si="33"/>
        <v>1336</v>
      </c>
      <c r="I458" t="b">
        <f t="shared" si="30"/>
        <v>1</v>
      </c>
      <c r="J458" s="4">
        <f t="shared" si="31"/>
        <v>-0.56008982035928145</v>
      </c>
    </row>
    <row r="459" spans="1:17" hidden="1">
      <c r="A459" t="s">
        <v>905</v>
      </c>
      <c r="B459" t="s">
        <v>906</v>
      </c>
      <c r="C459" s="19">
        <v>754</v>
      </c>
      <c r="D459" s="19">
        <f t="shared" si="32"/>
        <v>25.133333333333333</v>
      </c>
      <c r="E459" s="5">
        <v>179.87</v>
      </c>
      <c r="H459" s="19">
        <f t="shared" si="33"/>
        <v>1508</v>
      </c>
      <c r="I459" t="b">
        <f t="shared" si="30"/>
        <v>1</v>
      </c>
      <c r="J459" s="4">
        <f t="shared" si="31"/>
        <v>-0.88072281167108757</v>
      </c>
    </row>
    <row r="460" spans="1:17" hidden="1">
      <c r="A460" t="s">
        <v>959</v>
      </c>
      <c r="B460" t="s">
        <v>960</v>
      </c>
      <c r="C460" s="19">
        <v>801</v>
      </c>
      <c r="D460" s="19">
        <f t="shared" si="32"/>
        <v>26.7</v>
      </c>
      <c r="E460" s="5">
        <v>342.26</v>
      </c>
      <c r="H460" s="19">
        <f t="shared" si="33"/>
        <v>1602</v>
      </c>
      <c r="I460" t="b">
        <f t="shared" si="30"/>
        <v>1</v>
      </c>
      <c r="J460" s="4">
        <f t="shared" si="31"/>
        <v>-0.78635455680399502</v>
      </c>
    </row>
    <row r="461" spans="1:17" hidden="1">
      <c r="A461" t="s">
        <v>1055</v>
      </c>
      <c r="B461" t="s">
        <v>1056</v>
      </c>
      <c r="C461" s="19">
        <v>452</v>
      </c>
      <c r="D461" s="19">
        <f t="shared" si="32"/>
        <v>15.066666666666666</v>
      </c>
      <c r="E461" s="5">
        <v>70.459999999999994</v>
      </c>
      <c r="H461" s="19">
        <f t="shared" si="33"/>
        <v>904</v>
      </c>
      <c r="I461" t="b">
        <f t="shared" si="30"/>
        <v>1</v>
      </c>
      <c r="J461" s="4">
        <f t="shared" si="31"/>
        <v>-0.9220575221238938</v>
      </c>
    </row>
    <row r="462" spans="1:17" hidden="1">
      <c r="A462" t="s">
        <v>873</v>
      </c>
      <c r="B462" t="s">
        <v>874</v>
      </c>
      <c r="C462" s="19">
        <v>2485</v>
      </c>
      <c r="D462" s="19">
        <f t="shared" si="32"/>
        <v>82.833333333333329</v>
      </c>
      <c r="E462" s="5">
        <v>1332.6</v>
      </c>
      <c r="H462" s="19">
        <f t="shared" si="33"/>
        <v>4970</v>
      </c>
      <c r="I462" t="b">
        <f t="shared" si="30"/>
        <v>1</v>
      </c>
      <c r="J462" s="4">
        <f t="shared" si="31"/>
        <v>-0.7318712273641852</v>
      </c>
    </row>
    <row r="463" spans="1:17" hidden="1">
      <c r="A463" t="s">
        <v>1025</v>
      </c>
      <c r="B463" t="s">
        <v>1026</v>
      </c>
      <c r="C463" s="19">
        <v>535</v>
      </c>
      <c r="D463" s="19">
        <f t="shared" si="32"/>
        <v>17.833333333333332</v>
      </c>
      <c r="E463" s="5">
        <v>126.46</v>
      </c>
      <c r="H463" s="19">
        <f t="shared" si="33"/>
        <v>1070</v>
      </c>
      <c r="I463" t="b">
        <f t="shared" si="30"/>
        <v>1</v>
      </c>
      <c r="J463" s="4">
        <f t="shared" si="31"/>
        <v>-0.88181308411214954</v>
      </c>
    </row>
    <row r="464" spans="1:17" hidden="1">
      <c r="A464" t="s">
        <v>936</v>
      </c>
      <c r="B464" t="s">
        <v>937</v>
      </c>
      <c r="C464" s="19">
        <v>801</v>
      </c>
      <c r="D464" s="19">
        <f t="shared" si="32"/>
        <v>26.7</v>
      </c>
      <c r="E464" s="5">
        <v>584.39</v>
      </c>
      <c r="H464" s="19">
        <f t="shared" si="33"/>
        <v>1602</v>
      </c>
      <c r="I464" t="b">
        <f t="shared" si="30"/>
        <v>1</v>
      </c>
      <c r="J464" s="4">
        <f t="shared" si="31"/>
        <v>-0.6352122347066167</v>
      </c>
    </row>
    <row r="465" spans="1:10" hidden="1">
      <c r="A465" t="s">
        <v>1029</v>
      </c>
      <c r="B465" t="s">
        <v>1030</v>
      </c>
      <c r="C465" s="19">
        <v>792</v>
      </c>
      <c r="D465" s="19">
        <f t="shared" si="32"/>
        <v>26.4</v>
      </c>
      <c r="E465" s="5">
        <v>662.42</v>
      </c>
      <c r="H465" s="19">
        <f t="shared" si="33"/>
        <v>1584</v>
      </c>
      <c r="I465" t="b">
        <f t="shared" si="30"/>
        <v>1</v>
      </c>
      <c r="J465" s="4">
        <f t="shared" si="31"/>
        <v>-0.58180555555555558</v>
      </c>
    </row>
    <row r="466" spans="1:10" hidden="1">
      <c r="A466" t="s">
        <v>1009</v>
      </c>
      <c r="B466" t="s">
        <v>1010</v>
      </c>
      <c r="C466" s="19">
        <v>501</v>
      </c>
      <c r="D466" s="19">
        <f t="shared" si="32"/>
        <v>16.7</v>
      </c>
      <c r="E466" s="5">
        <v>245.85</v>
      </c>
      <c r="H466" s="19">
        <f t="shared" si="33"/>
        <v>1002</v>
      </c>
      <c r="I466" t="b">
        <f t="shared" si="30"/>
        <v>1</v>
      </c>
      <c r="J466" s="4">
        <f t="shared" si="31"/>
        <v>-0.75464071856287429</v>
      </c>
    </row>
    <row r="467" spans="1:10" hidden="1">
      <c r="A467" t="s">
        <v>967</v>
      </c>
      <c r="B467" t="s">
        <v>968</v>
      </c>
      <c r="C467" s="19">
        <v>732</v>
      </c>
      <c r="D467" s="19">
        <f t="shared" si="32"/>
        <v>24.4</v>
      </c>
      <c r="E467" s="5">
        <v>397.84</v>
      </c>
      <c r="H467" s="19">
        <f t="shared" si="33"/>
        <v>1464</v>
      </c>
      <c r="I467" t="b">
        <f t="shared" si="30"/>
        <v>1</v>
      </c>
      <c r="J467" s="4">
        <f t="shared" si="31"/>
        <v>-0.72825136612021857</v>
      </c>
    </row>
    <row r="468" spans="1:10" hidden="1">
      <c r="A468" t="s">
        <v>1064</v>
      </c>
      <c r="B468" t="s">
        <v>1065</v>
      </c>
      <c r="C468" s="19">
        <v>800</v>
      </c>
      <c r="D468" s="19">
        <f t="shared" si="32"/>
        <v>26.666666666666668</v>
      </c>
      <c r="E468" s="5">
        <v>547.70000000000005</v>
      </c>
      <c r="H468" s="19">
        <f t="shared" si="33"/>
        <v>1600</v>
      </c>
      <c r="I468" t="b">
        <f t="shared" si="30"/>
        <v>1</v>
      </c>
      <c r="J468" s="4">
        <f t="shared" si="31"/>
        <v>-0.65768749999999998</v>
      </c>
    </row>
    <row r="469" spans="1:10" hidden="1">
      <c r="A469" t="s">
        <v>1023</v>
      </c>
      <c r="B469" t="s">
        <v>1024</v>
      </c>
      <c r="C469" s="19">
        <v>1179</v>
      </c>
      <c r="D469" s="19">
        <f t="shared" si="32"/>
        <v>39.299999999999997</v>
      </c>
      <c r="E469" s="5">
        <v>1104.24</v>
      </c>
      <c r="H469" s="19">
        <f t="shared" si="33"/>
        <v>2358</v>
      </c>
      <c r="I469" t="b">
        <f t="shared" si="30"/>
        <v>1</v>
      </c>
      <c r="J469" s="4">
        <f t="shared" si="31"/>
        <v>-0.53170483460559792</v>
      </c>
    </row>
    <row r="470" spans="1:10" hidden="1">
      <c r="A470" t="s">
        <v>1033</v>
      </c>
      <c r="B470" t="s">
        <v>1034</v>
      </c>
      <c r="C470" s="19">
        <v>256</v>
      </c>
      <c r="D470" s="19">
        <f t="shared" si="32"/>
        <v>8.5333333333333332</v>
      </c>
      <c r="E470" s="5">
        <v>143.26</v>
      </c>
      <c r="H470" s="19">
        <f t="shared" si="33"/>
        <v>512</v>
      </c>
      <c r="I470" t="b">
        <f t="shared" si="30"/>
        <v>1</v>
      </c>
      <c r="J470" s="4">
        <f t="shared" si="31"/>
        <v>-0.72019531250000002</v>
      </c>
    </row>
    <row r="471" spans="1:10" hidden="1">
      <c r="A471" t="s">
        <v>965</v>
      </c>
      <c r="B471" t="s">
        <v>966</v>
      </c>
      <c r="C471" s="19">
        <v>1201</v>
      </c>
      <c r="D471" s="19">
        <f t="shared" si="32"/>
        <v>40.033333333333331</v>
      </c>
      <c r="E471" s="5">
        <v>1300.6099999999999</v>
      </c>
      <c r="H471" s="19">
        <f t="shared" si="33"/>
        <v>2402</v>
      </c>
      <c r="I471" t="b">
        <f t="shared" si="30"/>
        <v>1</v>
      </c>
      <c r="J471" s="4">
        <f t="shared" si="31"/>
        <v>-0.45853039134054963</v>
      </c>
    </row>
    <row r="472" spans="1:10" hidden="1">
      <c r="A472" t="s">
        <v>903</v>
      </c>
      <c r="B472" t="s">
        <v>904</v>
      </c>
      <c r="C472" s="19">
        <v>1148</v>
      </c>
      <c r="D472" s="19">
        <f t="shared" si="32"/>
        <v>38.266666666666666</v>
      </c>
      <c r="E472" s="5">
        <v>286.56</v>
      </c>
      <c r="H472" s="19">
        <f t="shared" si="33"/>
        <v>2296</v>
      </c>
      <c r="I472" t="b">
        <f t="shared" si="30"/>
        <v>1</v>
      </c>
      <c r="J472" s="4">
        <f t="shared" si="31"/>
        <v>-0.87519163763066199</v>
      </c>
    </row>
    <row r="473" spans="1:10" hidden="1">
      <c r="A473" t="s">
        <v>998</v>
      </c>
      <c r="B473" t="s">
        <v>999</v>
      </c>
      <c r="C473" s="19">
        <v>617</v>
      </c>
      <c r="D473" s="19">
        <f t="shared" si="32"/>
        <v>20.566666666666666</v>
      </c>
      <c r="E473" s="5">
        <v>507.56</v>
      </c>
      <c r="H473" s="19">
        <f t="shared" si="33"/>
        <v>1234</v>
      </c>
      <c r="I473" t="b">
        <f t="shared" si="30"/>
        <v>1</v>
      </c>
      <c r="J473" s="4">
        <f t="shared" si="31"/>
        <v>-0.5886871961102107</v>
      </c>
    </row>
    <row r="474" spans="1:10" hidden="1">
      <c r="A474" t="s">
        <v>1037</v>
      </c>
      <c r="B474" t="s">
        <v>1038</v>
      </c>
      <c r="C474" s="19">
        <v>708</v>
      </c>
      <c r="D474" s="19">
        <f t="shared" si="32"/>
        <v>23.6</v>
      </c>
      <c r="E474" s="5">
        <v>429.44</v>
      </c>
      <c r="H474" s="19">
        <f t="shared" si="33"/>
        <v>1416</v>
      </c>
      <c r="I474" t="b">
        <f t="shared" si="30"/>
        <v>1</v>
      </c>
      <c r="J474" s="4">
        <f t="shared" si="31"/>
        <v>-0.69672316384180788</v>
      </c>
    </row>
    <row r="475" spans="1:10" hidden="1">
      <c r="A475" t="s">
        <v>843</v>
      </c>
      <c r="B475" t="s">
        <v>844</v>
      </c>
      <c r="C475" s="19">
        <v>660</v>
      </c>
      <c r="D475" s="19">
        <f t="shared" si="32"/>
        <v>22</v>
      </c>
      <c r="E475" s="5">
        <v>1287.74</v>
      </c>
      <c r="H475" s="19">
        <f t="shared" si="33"/>
        <v>1320</v>
      </c>
      <c r="I475" t="b">
        <f t="shared" si="30"/>
        <v>1</v>
      </c>
      <c r="J475" s="4">
        <f t="shared" si="31"/>
        <v>-2.4439393939393983E-2</v>
      </c>
    </row>
    <row r="476" spans="1:10" hidden="1">
      <c r="A476" s="54" t="s">
        <v>1021</v>
      </c>
      <c r="B476" s="37" t="s">
        <v>1022</v>
      </c>
      <c r="C476">
        <v>0</v>
      </c>
      <c r="D476" s="19">
        <f t="shared" si="32"/>
        <v>0</v>
      </c>
      <c r="E476" s="5">
        <v>0</v>
      </c>
      <c r="H476" s="19">
        <f t="shared" si="33"/>
        <v>0</v>
      </c>
      <c r="I476" t="b">
        <f t="shared" si="30"/>
        <v>1</v>
      </c>
      <c r="J476" s="4" t="e">
        <f t="shared" si="31"/>
        <v>#DIV/0!</v>
      </c>
    </row>
    <row r="477" spans="1:10" hidden="1">
      <c r="A477" s="130" t="s">
        <v>996</v>
      </c>
      <c r="B477" s="37" t="s">
        <v>997</v>
      </c>
      <c r="C477">
        <v>116</v>
      </c>
      <c r="D477" s="19">
        <f t="shared" si="32"/>
        <v>3.8666666666666667</v>
      </c>
      <c r="E477" s="5">
        <v>5.18</v>
      </c>
      <c r="H477" s="19">
        <f t="shared" si="33"/>
        <v>232</v>
      </c>
      <c r="I477" t="b">
        <f t="shared" si="30"/>
        <v>1</v>
      </c>
      <c r="J477" s="4">
        <f t="shared" si="31"/>
        <v>-0.97767241379310343</v>
      </c>
    </row>
    <row r="478" spans="1:10" hidden="1">
      <c r="A478" t="s">
        <v>861</v>
      </c>
      <c r="B478" t="s">
        <v>862</v>
      </c>
      <c r="C478" s="19">
        <v>1609</v>
      </c>
      <c r="D478" s="19">
        <f t="shared" si="32"/>
        <v>53.633333333333333</v>
      </c>
      <c r="E478" s="5">
        <v>1930.63</v>
      </c>
      <c r="H478" s="19">
        <f t="shared" si="33"/>
        <v>3218</v>
      </c>
      <c r="I478" t="b">
        <f t="shared" si="30"/>
        <v>1</v>
      </c>
      <c r="J478" s="4">
        <f t="shared" si="31"/>
        <v>-0.40005282784338092</v>
      </c>
    </row>
    <row r="479" spans="1:10" hidden="1">
      <c r="A479" t="s">
        <v>1133</v>
      </c>
      <c r="B479" t="s">
        <v>1134</v>
      </c>
      <c r="C479" s="19">
        <v>1013</v>
      </c>
      <c r="D479" s="19">
        <f t="shared" si="32"/>
        <v>33.766666666666666</v>
      </c>
      <c r="E479" s="5">
        <v>1165.3800000000001</v>
      </c>
      <c r="H479" s="19">
        <f t="shared" si="33"/>
        <v>2026</v>
      </c>
      <c r="I479" t="b">
        <f t="shared" si="30"/>
        <v>1</v>
      </c>
      <c r="J479" s="4">
        <f t="shared" si="31"/>
        <v>-0.42478775913129319</v>
      </c>
    </row>
    <row r="480" spans="1:10" hidden="1">
      <c r="A480" t="s">
        <v>932</v>
      </c>
      <c r="B480" t="s">
        <v>933</v>
      </c>
      <c r="C480" s="19">
        <v>1216</v>
      </c>
      <c r="D480" s="19">
        <f t="shared" si="32"/>
        <v>40.533333333333331</v>
      </c>
      <c r="E480" s="5">
        <v>384.87</v>
      </c>
      <c r="H480" s="19">
        <f t="shared" si="33"/>
        <v>2432</v>
      </c>
      <c r="I480" t="b">
        <f t="shared" si="30"/>
        <v>1</v>
      </c>
      <c r="J480" s="4">
        <f t="shared" si="31"/>
        <v>-0.84174753289473681</v>
      </c>
    </row>
    <row r="481" spans="1:10" hidden="1">
      <c r="A481" s="27" t="s">
        <v>938</v>
      </c>
      <c r="B481" s="27" t="s">
        <v>939</v>
      </c>
      <c r="C481" s="19">
        <v>507</v>
      </c>
      <c r="D481" s="19">
        <f t="shared" si="32"/>
        <v>16.899999999999999</v>
      </c>
      <c r="E481" s="5">
        <v>785.63</v>
      </c>
      <c r="H481" s="19">
        <f t="shared" si="33"/>
        <v>1014</v>
      </c>
      <c r="I481" t="b">
        <f t="shared" si="30"/>
        <v>1</v>
      </c>
      <c r="J481" s="4">
        <f t="shared" si="31"/>
        <v>-0.22521696252465484</v>
      </c>
    </row>
    <row r="482" spans="1:10" hidden="1">
      <c r="A482" s="5" t="s">
        <v>1001</v>
      </c>
      <c r="B482" t="s">
        <v>1002</v>
      </c>
      <c r="C482" s="19">
        <v>770</v>
      </c>
      <c r="D482" s="19">
        <f t="shared" si="32"/>
        <v>25.666666666666668</v>
      </c>
      <c r="E482" s="5">
        <v>639.98</v>
      </c>
      <c r="H482" s="19">
        <f t="shared" si="33"/>
        <v>1540</v>
      </c>
      <c r="I482" t="b">
        <f t="shared" si="30"/>
        <v>1</v>
      </c>
      <c r="J482" s="4">
        <f t="shared" si="31"/>
        <v>-0.58442857142857141</v>
      </c>
    </row>
    <row r="483" spans="1:10" hidden="1">
      <c r="A483" t="s">
        <v>1149</v>
      </c>
      <c r="B483" t="s">
        <v>1150</v>
      </c>
      <c r="C483" s="19">
        <v>1552</v>
      </c>
      <c r="D483" s="19">
        <f t="shared" si="32"/>
        <v>51.733333333333334</v>
      </c>
      <c r="E483" s="5">
        <v>2570.36</v>
      </c>
      <c r="H483" s="19">
        <f t="shared" si="33"/>
        <v>3104</v>
      </c>
      <c r="I483" t="b">
        <f t="shared" si="30"/>
        <v>1</v>
      </c>
      <c r="J483" s="4">
        <f t="shared" si="31"/>
        <v>-0.17192010309278349</v>
      </c>
    </row>
    <row r="484" spans="1:10" hidden="1">
      <c r="A484" s="5" t="s">
        <v>1097</v>
      </c>
      <c r="B484" s="27" t="s">
        <v>1098</v>
      </c>
      <c r="C484" s="19">
        <v>654</v>
      </c>
      <c r="D484" s="19">
        <f t="shared" si="32"/>
        <v>21.8</v>
      </c>
      <c r="E484" s="5">
        <v>271.95999999999998</v>
      </c>
      <c r="H484" s="19">
        <f t="shared" si="33"/>
        <v>1308</v>
      </c>
      <c r="I484" t="b">
        <f t="shared" si="30"/>
        <v>1</v>
      </c>
      <c r="J484" s="4">
        <f t="shared" si="31"/>
        <v>-0.79207951070336391</v>
      </c>
    </row>
    <row r="485" spans="1:10" hidden="1">
      <c r="A485" t="s">
        <v>1137</v>
      </c>
      <c r="B485" t="s">
        <v>1138</v>
      </c>
      <c r="C485" s="19">
        <v>1465</v>
      </c>
      <c r="D485" s="19">
        <f t="shared" si="32"/>
        <v>48.833333333333336</v>
      </c>
      <c r="E485" s="5">
        <v>635.21</v>
      </c>
      <c r="H485" s="19">
        <f t="shared" si="33"/>
        <v>2930</v>
      </c>
      <c r="I485" t="b">
        <f t="shared" si="30"/>
        <v>1</v>
      </c>
      <c r="J485" s="4">
        <f t="shared" si="31"/>
        <v>-0.78320477815699663</v>
      </c>
    </row>
    <row r="486" spans="1:10" hidden="1">
      <c r="A486" t="s">
        <v>1017</v>
      </c>
      <c r="B486" t="s">
        <v>1018</v>
      </c>
      <c r="C486" s="19">
        <v>1152</v>
      </c>
      <c r="D486" s="19">
        <f t="shared" si="32"/>
        <v>38.4</v>
      </c>
      <c r="E486" s="5">
        <v>738.43</v>
      </c>
      <c r="H486" s="19">
        <f t="shared" si="33"/>
        <v>2304</v>
      </c>
      <c r="I486" t="b">
        <f t="shared" si="30"/>
        <v>1</v>
      </c>
      <c r="J486" s="4">
        <f t="shared" si="31"/>
        <v>-0.67950086805555565</v>
      </c>
    </row>
    <row r="487" spans="1:10" hidden="1">
      <c r="A487" t="s">
        <v>1141</v>
      </c>
      <c r="B487" t="s">
        <v>1142</v>
      </c>
      <c r="C487" s="19">
        <v>1115</v>
      </c>
      <c r="D487" s="19">
        <f t="shared" si="32"/>
        <v>37.166666666666664</v>
      </c>
      <c r="E487" s="5">
        <v>1713</v>
      </c>
      <c r="H487" s="19">
        <f t="shared" si="33"/>
        <v>2230</v>
      </c>
      <c r="I487" t="b">
        <f t="shared" si="30"/>
        <v>1</v>
      </c>
      <c r="J487" s="4">
        <f t="shared" si="31"/>
        <v>-0.23183856502242151</v>
      </c>
    </row>
    <row r="488" spans="1:10" hidden="1">
      <c r="A488" t="s">
        <v>1126</v>
      </c>
      <c r="B488" t="s">
        <v>1127</v>
      </c>
      <c r="C488" s="19">
        <v>771</v>
      </c>
      <c r="D488" s="19">
        <f t="shared" si="32"/>
        <v>25.7</v>
      </c>
      <c r="E488" s="5">
        <v>628.02</v>
      </c>
      <c r="H488" s="19">
        <f t="shared" si="33"/>
        <v>1542</v>
      </c>
      <c r="I488" t="b">
        <f t="shared" si="30"/>
        <v>1</v>
      </c>
      <c r="J488" s="4">
        <f t="shared" si="31"/>
        <v>-0.59272373540856038</v>
      </c>
    </row>
    <row r="489" spans="1:10" hidden="1">
      <c r="A489" t="s">
        <v>867</v>
      </c>
      <c r="B489" t="s">
        <v>868</v>
      </c>
      <c r="C489" s="19">
        <v>2221</v>
      </c>
      <c r="D489" s="19">
        <f>C489/30</f>
        <v>74.033333333333331</v>
      </c>
      <c r="E489" s="5">
        <v>1429.45</v>
      </c>
      <c r="H489" s="19">
        <f t="shared" si="33"/>
        <v>4442</v>
      </c>
      <c r="I489" t="b">
        <f t="shared" si="30"/>
        <v>1</v>
      </c>
      <c r="J489" s="4">
        <f t="shared" si="31"/>
        <v>-0.67819675821701941</v>
      </c>
    </row>
    <row r="490" spans="1:10" hidden="1">
      <c r="A490" s="27" t="s">
        <v>1050</v>
      </c>
      <c r="B490" s="37" t="s">
        <v>1051</v>
      </c>
      <c r="C490" s="19">
        <v>902</v>
      </c>
      <c r="D490" s="19">
        <f t="shared" si="32"/>
        <v>30.066666666666666</v>
      </c>
      <c r="E490" s="5">
        <v>1010.73</v>
      </c>
      <c r="H490" s="19">
        <f t="shared" si="33"/>
        <v>1804</v>
      </c>
      <c r="I490" t="b">
        <f t="shared" si="30"/>
        <v>1</v>
      </c>
      <c r="J490" s="4">
        <f t="shared" si="31"/>
        <v>-0.43972838137472281</v>
      </c>
    </row>
    <row r="491" spans="1:10" hidden="1">
      <c r="A491" s="130" t="s">
        <v>838</v>
      </c>
      <c r="B491" s="37" t="s">
        <v>839</v>
      </c>
      <c r="C491">
        <v>274</v>
      </c>
      <c r="D491" s="19">
        <f t="shared" si="32"/>
        <v>9.1333333333333329</v>
      </c>
      <c r="E491" s="5">
        <v>349.82</v>
      </c>
      <c r="H491" s="19">
        <f t="shared" si="33"/>
        <v>548</v>
      </c>
      <c r="I491" t="b">
        <f t="shared" ref="I491:I554" si="34">IF(E491&gt;1.2*H491,FALSE,TRUE)</f>
        <v>1</v>
      </c>
      <c r="J491" s="4">
        <f t="shared" ref="J491:J554" si="35">E491/H491-1</f>
        <v>-0.36164233576642335</v>
      </c>
    </row>
    <row r="492" spans="1:10" hidden="1">
      <c r="A492" s="24" t="s">
        <v>991</v>
      </c>
      <c r="B492" s="23" t="s">
        <v>992</v>
      </c>
      <c r="C492" s="19">
        <v>1507</v>
      </c>
      <c r="D492" s="19">
        <f t="shared" si="32"/>
        <v>50.233333333333334</v>
      </c>
      <c r="E492" s="5">
        <v>2488.0700000000002</v>
      </c>
      <c r="H492" s="19">
        <f t="shared" si="33"/>
        <v>3014</v>
      </c>
      <c r="I492" t="b">
        <f t="shared" si="34"/>
        <v>1</v>
      </c>
      <c r="J492" s="4">
        <f t="shared" si="35"/>
        <v>-0.17449568679495686</v>
      </c>
    </row>
    <row r="493" spans="1:10" hidden="1">
      <c r="A493" s="27" t="s">
        <v>953</v>
      </c>
      <c r="B493" s="27" t="s">
        <v>954</v>
      </c>
      <c r="C493" s="19">
        <v>3850</v>
      </c>
      <c r="D493" s="19">
        <f t="shared" si="32"/>
        <v>128.33333333333334</v>
      </c>
      <c r="E493" s="5">
        <v>2752.71</v>
      </c>
      <c r="H493" s="19">
        <f t="shared" si="33"/>
        <v>7700</v>
      </c>
      <c r="I493" t="b">
        <f t="shared" si="34"/>
        <v>1</v>
      </c>
      <c r="J493" s="4">
        <f t="shared" si="35"/>
        <v>-0.64250519480519475</v>
      </c>
    </row>
    <row r="494" spans="1:10" hidden="1">
      <c r="A494" s="24" t="s">
        <v>1015</v>
      </c>
      <c r="B494" s="23" t="s">
        <v>1016</v>
      </c>
      <c r="C494" s="19">
        <v>924</v>
      </c>
      <c r="D494" s="19">
        <f t="shared" si="32"/>
        <v>30.8</v>
      </c>
      <c r="E494" s="5">
        <v>552.72</v>
      </c>
      <c r="H494" s="19">
        <f t="shared" si="33"/>
        <v>1848</v>
      </c>
      <c r="I494" t="b">
        <f t="shared" si="34"/>
        <v>1</v>
      </c>
      <c r="J494" s="4">
        <f t="shared" si="35"/>
        <v>-0.70090909090909093</v>
      </c>
    </row>
    <row r="495" spans="1:10" hidden="1">
      <c r="A495" t="s">
        <v>940</v>
      </c>
      <c r="B495" t="s">
        <v>941</v>
      </c>
      <c r="C495" s="19">
        <v>1302</v>
      </c>
      <c r="D495" s="19">
        <f t="shared" si="32"/>
        <v>43.4</v>
      </c>
      <c r="E495" s="5">
        <v>714.73</v>
      </c>
      <c r="H495" s="19">
        <f t="shared" si="33"/>
        <v>2604</v>
      </c>
      <c r="I495" t="b">
        <f t="shared" si="34"/>
        <v>1</v>
      </c>
      <c r="J495" s="4">
        <f t="shared" si="35"/>
        <v>-0.72552611367127495</v>
      </c>
    </row>
    <row r="496" spans="1:10" hidden="1">
      <c r="A496" t="s">
        <v>1135</v>
      </c>
      <c r="B496" t="s">
        <v>1136</v>
      </c>
      <c r="C496" s="19">
        <v>964</v>
      </c>
      <c r="D496" s="19">
        <f t="shared" si="32"/>
        <v>32.133333333333333</v>
      </c>
      <c r="E496" s="5">
        <v>304.82</v>
      </c>
      <c r="H496" s="19">
        <f t="shared" si="33"/>
        <v>1928</v>
      </c>
      <c r="I496" t="b">
        <f t="shared" si="34"/>
        <v>1</v>
      </c>
      <c r="J496" s="4">
        <f t="shared" si="35"/>
        <v>-0.8418983402489626</v>
      </c>
    </row>
    <row r="497" spans="1:10" hidden="1">
      <c r="A497" t="s">
        <v>946</v>
      </c>
      <c r="B497" t="s">
        <v>947</v>
      </c>
      <c r="C497" s="19">
        <v>445</v>
      </c>
      <c r="D497" s="19">
        <f t="shared" si="32"/>
        <v>14.833333333333334</v>
      </c>
      <c r="E497" s="5">
        <v>343.45</v>
      </c>
      <c r="H497" s="19">
        <f t="shared" si="33"/>
        <v>890</v>
      </c>
      <c r="I497" t="b">
        <f t="shared" si="34"/>
        <v>1</v>
      </c>
      <c r="J497" s="4">
        <f t="shared" si="35"/>
        <v>-0.61410112359550562</v>
      </c>
    </row>
    <row r="498" spans="1:10" hidden="1">
      <c r="A498" t="s">
        <v>948</v>
      </c>
      <c r="B498" t="s">
        <v>949</v>
      </c>
      <c r="C498" s="19">
        <v>613</v>
      </c>
      <c r="D498" s="19">
        <f t="shared" si="32"/>
        <v>20.433333333333334</v>
      </c>
      <c r="E498" s="5">
        <v>949.84</v>
      </c>
      <c r="H498" s="19">
        <f t="shared" si="33"/>
        <v>1226</v>
      </c>
      <c r="I498" t="b">
        <f t="shared" si="34"/>
        <v>1</v>
      </c>
      <c r="J498" s="4">
        <f t="shared" si="35"/>
        <v>-0.22525285481239798</v>
      </c>
    </row>
    <row r="499" spans="1:10" hidden="1">
      <c r="A499" s="130" t="s">
        <v>985</v>
      </c>
      <c r="B499" s="37" t="s">
        <v>986</v>
      </c>
      <c r="C499">
        <v>1377</v>
      </c>
      <c r="D499" s="19">
        <f t="shared" si="32"/>
        <v>45.9</v>
      </c>
      <c r="E499" s="5">
        <v>1202.32</v>
      </c>
      <c r="H499" s="19">
        <f t="shared" si="33"/>
        <v>2754</v>
      </c>
      <c r="I499" t="b">
        <f t="shared" si="34"/>
        <v>1</v>
      </c>
      <c r="J499" s="4">
        <f t="shared" si="35"/>
        <v>-0.56342774146695718</v>
      </c>
    </row>
    <row r="500" spans="1:10" hidden="1">
      <c r="A500" s="37" t="s">
        <v>1007</v>
      </c>
      <c r="B500" s="37" t="s">
        <v>1008</v>
      </c>
      <c r="C500" s="19">
        <v>415</v>
      </c>
      <c r="D500" s="19">
        <f t="shared" si="32"/>
        <v>13.833333333333334</v>
      </c>
      <c r="E500" s="5">
        <v>112.53</v>
      </c>
      <c r="H500" s="19">
        <f t="shared" si="33"/>
        <v>830</v>
      </c>
      <c r="I500" t="b">
        <f t="shared" si="34"/>
        <v>1</v>
      </c>
      <c r="J500" s="4">
        <f t="shared" si="35"/>
        <v>-0.86442168674698794</v>
      </c>
    </row>
    <row r="501" spans="1:10" hidden="1">
      <c r="A501" t="s">
        <v>870</v>
      </c>
      <c r="B501" t="s">
        <v>871</v>
      </c>
      <c r="C501" s="19">
        <v>741</v>
      </c>
      <c r="D501" s="19">
        <f t="shared" si="32"/>
        <v>24.7</v>
      </c>
      <c r="E501" s="5">
        <v>887.28</v>
      </c>
      <c r="H501" s="19">
        <f t="shared" si="33"/>
        <v>1482</v>
      </c>
      <c r="I501" t="b">
        <f t="shared" si="34"/>
        <v>1</v>
      </c>
      <c r="J501" s="4">
        <f t="shared" si="35"/>
        <v>-0.40129554655870447</v>
      </c>
    </row>
    <row r="502" spans="1:10" hidden="1">
      <c r="A502" t="s">
        <v>863</v>
      </c>
      <c r="B502" t="s">
        <v>864</v>
      </c>
      <c r="C502" s="19">
        <v>2285</v>
      </c>
      <c r="D502" s="19">
        <f t="shared" si="32"/>
        <v>76.166666666666671</v>
      </c>
      <c r="E502" s="5">
        <v>2219.42</v>
      </c>
      <c r="H502" s="19">
        <f t="shared" si="33"/>
        <v>4570</v>
      </c>
      <c r="I502" t="b">
        <f t="shared" si="34"/>
        <v>1</v>
      </c>
      <c r="J502" s="4">
        <f t="shared" si="35"/>
        <v>-0.51435010940919035</v>
      </c>
    </row>
    <row r="503" spans="1:10" hidden="1">
      <c r="A503" t="s">
        <v>832</v>
      </c>
      <c r="B503" t="s">
        <v>833</v>
      </c>
      <c r="C503" s="19">
        <v>3904</v>
      </c>
      <c r="D503" s="19">
        <f t="shared" si="32"/>
        <v>130.13333333333333</v>
      </c>
      <c r="E503" s="5">
        <v>1513.42</v>
      </c>
      <c r="H503" s="19">
        <f t="shared" si="33"/>
        <v>7808</v>
      </c>
      <c r="I503" t="b">
        <f t="shared" si="34"/>
        <v>1</v>
      </c>
      <c r="J503" s="4">
        <f t="shared" si="35"/>
        <v>-0.80617059426229509</v>
      </c>
    </row>
    <row r="504" spans="1:10" hidden="1">
      <c r="A504" s="27" t="s">
        <v>1068</v>
      </c>
      <c r="B504" s="27" t="s">
        <v>1069</v>
      </c>
      <c r="C504" s="19">
        <v>708</v>
      </c>
      <c r="D504" s="19">
        <f t="shared" si="32"/>
        <v>23.6</v>
      </c>
      <c r="E504" s="5">
        <v>1136.3699999999999</v>
      </c>
      <c r="H504" s="19">
        <f t="shared" si="33"/>
        <v>1416</v>
      </c>
      <c r="I504" t="b">
        <f t="shared" si="34"/>
        <v>1</v>
      </c>
      <c r="J504" s="4">
        <f t="shared" si="35"/>
        <v>-0.19747881355932206</v>
      </c>
    </row>
    <row r="505" spans="1:10" hidden="1">
      <c r="A505" t="s">
        <v>1151</v>
      </c>
      <c r="B505" t="s">
        <v>1152</v>
      </c>
      <c r="C505" s="19">
        <v>4376</v>
      </c>
      <c r="D505" s="19">
        <f t="shared" si="32"/>
        <v>145.86666666666667</v>
      </c>
      <c r="E505" s="5">
        <v>8688.24</v>
      </c>
      <c r="H505" s="19">
        <f t="shared" si="33"/>
        <v>8752</v>
      </c>
      <c r="I505" t="b">
        <f t="shared" si="34"/>
        <v>1</v>
      </c>
      <c r="J505" s="4">
        <f t="shared" si="35"/>
        <v>-7.285191956124315E-3</v>
      </c>
    </row>
    <row r="506" spans="1:10" hidden="1">
      <c r="A506" t="s">
        <v>882</v>
      </c>
      <c r="B506" t="s">
        <v>883</v>
      </c>
      <c r="C506" s="19">
        <v>697</v>
      </c>
      <c r="D506" s="19">
        <f t="shared" si="32"/>
        <v>23.233333333333334</v>
      </c>
      <c r="E506" s="5">
        <v>1239.44</v>
      </c>
      <c r="H506" s="19">
        <f t="shared" si="33"/>
        <v>1394</v>
      </c>
      <c r="I506" t="b">
        <f t="shared" si="34"/>
        <v>1</v>
      </c>
      <c r="J506" s="4">
        <f t="shared" si="35"/>
        <v>-0.11087517934002866</v>
      </c>
    </row>
    <row r="507" spans="1:10" hidden="1">
      <c r="A507" s="54" t="s">
        <v>917</v>
      </c>
      <c r="B507" s="37" t="s">
        <v>918</v>
      </c>
      <c r="C507" s="19">
        <v>221</v>
      </c>
      <c r="D507" s="19">
        <f t="shared" si="32"/>
        <v>7.3666666666666663</v>
      </c>
      <c r="E507" s="5">
        <v>242.76</v>
      </c>
      <c r="H507" s="19">
        <f t="shared" si="33"/>
        <v>442</v>
      </c>
      <c r="I507" t="b">
        <f t="shared" si="34"/>
        <v>1</v>
      </c>
      <c r="J507" s="4">
        <f t="shared" si="35"/>
        <v>-0.45076923076923081</v>
      </c>
    </row>
    <row r="508" spans="1:10" hidden="1">
      <c r="A508" s="54" t="s">
        <v>993</v>
      </c>
      <c r="B508" s="37" t="s">
        <v>994</v>
      </c>
      <c r="C508" s="19">
        <v>620</v>
      </c>
      <c r="D508" s="19">
        <f t="shared" si="32"/>
        <v>20.666666666666668</v>
      </c>
      <c r="E508" s="5">
        <v>1385.34</v>
      </c>
      <c r="H508" s="19">
        <f t="shared" si="33"/>
        <v>1240</v>
      </c>
      <c r="I508" t="b">
        <f t="shared" si="34"/>
        <v>1</v>
      </c>
      <c r="J508" s="4">
        <f t="shared" si="35"/>
        <v>0.11720967741935473</v>
      </c>
    </row>
    <row r="509" spans="1:10" hidden="1">
      <c r="A509" s="54" t="s">
        <v>987</v>
      </c>
      <c r="B509" s="37" t="s">
        <v>988</v>
      </c>
      <c r="C509" s="19">
        <v>354</v>
      </c>
      <c r="D509" s="19">
        <f t="shared" si="32"/>
        <v>11.8</v>
      </c>
      <c r="E509" s="5">
        <v>847.69</v>
      </c>
      <c r="H509" s="19">
        <f t="shared" si="33"/>
        <v>708</v>
      </c>
      <c r="I509" t="b">
        <f t="shared" si="34"/>
        <v>1</v>
      </c>
      <c r="J509" s="4">
        <f t="shared" si="35"/>
        <v>0.19730225988700578</v>
      </c>
    </row>
    <row r="510" spans="1:10" hidden="1">
      <c r="A510" s="54" t="s">
        <v>1121</v>
      </c>
      <c r="B510" s="37" t="s">
        <v>1122</v>
      </c>
      <c r="C510" s="19">
        <v>853</v>
      </c>
      <c r="D510" s="19">
        <f t="shared" si="32"/>
        <v>28.433333333333334</v>
      </c>
      <c r="E510" s="5">
        <v>1487.78</v>
      </c>
      <c r="H510" s="19">
        <f t="shared" si="33"/>
        <v>1706</v>
      </c>
      <c r="I510" t="b">
        <f t="shared" si="34"/>
        <v>1</v>
      </c>
      <c r="J510" s="4">
        <f t="shared" si="35"/>
        <v>-0.12791324736225085</v>
      </c>
    </row>
    <row r="511" spans="1:10">
      <c r="A511" s="54" t="s">
        <v>878</v>
      </c>
      <c r="B511" s="37" t="s">
        <v>879</v>
      </c>
      <c r="C511" s="19">
        <v>198</v>
      </c>
      <c r="D511" s="19">
        <f t="shared" si="32"/>
        <v>6.6</v>
      </c>
      <c r="E511" s="5">
        <v>664.72</v>
      </c>
      <c r="H511" s="19">
        <f t="shared" si="33"/>
        <v>396</v>
      </c>
      <c r="I511" t="b">
        <f t="shared" si="34"/>
        <v>0</v>
      </c>
      <c r="J511" s="4">
        <f t="shared" si="35"/>
        <v>0.67858585858585863</v>
      </c>
    </row>
    <row r="512" spans="1:10" hidden="1">
      <c r="A512" s="54" t="s">
        <v>1086</v>
      </c>
      <c r="B512" s="37" t="s">
        <v>1087</v>
      </c>
      <c r="C512" s="19">
        <v>387</v>
      </c>
      <c r="D512" s="19">
        <f t="shared" si="32"/>
        <v>12.9</v>
      </c>
      <c r="E512" s="5">
        <v>808.89</v>
      </c>
      <c r="H512" s="19">
        <f t="shared" si="33"/>
        <v>774</v>
      </c>
      <c r="I512" t="b">
        <f t="shared" si="34"/>
        <v>1</v>
      </c>
      <c r="J512" s="4">
        <f t="shared" si="35"/>
        <v>4.5077519379844944E-2</v>
      </c>
    </row>
    <row r="513" spans="1:10">
      <c r="A513" s="136" t="s">
        <v>1089</v>
      </c>
      <c r="B513" s="37" t="s">
        <v>1090</v>
      </c>
      <c r="C513" s="19">
        <v>42</v>
      </c>
      <c r="D513" s="19">
        <f t="shared" si="32"/>
        <v>1.4</v>
      </c>
      <c r="E513" s="5">
        <v>135.93</v>
      </c>
      <c r="H513" s="19">
        <f t="shared" si="33"/>
        <v>84</v>
      </c>
      <c r="I513" t="b">
        <f t="shared" si="34"/>
        <v>0</v>
      </c>
      <c r="J513" s="4">
        <f t="shared" si="35"/>
        <v>0.61821428571428583</v>
      </c>
    </row>
    <row r="514" spans="1:10">
      <c r="A514" s="136" t="s">
        <v>1091</v>
      </c>
      <c r="B514" s="37" t="s">
        <v>1092</v>
      </c>
      <c r="C514" s="19">
        <v>64</v>
      </c>
      <c r="D514" s="19">
        <f t="shared" si="32"/>
        <v>2.1333333333333333</v>
      </c>
      <c r="E514" s="5">
        <v>266.36</v>
      </c>
      <c r="H514" s="19">
        <f t="shared" si="33"/>
        <v>128</v>
      </c>
      <c r="I514" t="b">
        <f t="shared" si="34"/>
        <v>0</v>
      </c>
      <c r="J514" s="4">
        <f t="shared" si="35"/>
        <v>1.0809375000000001</v>
      </c>
    </row>
    <row r="515" spans="1:10">
      <c r="A515" s="54" t="s">
        <v>1093</v>
      </c>
      <c r="B515" s="37" t="s">
        <v>1094</v>
      </c>
      <c r="C515" s="19">
        <v>328</v>
      </c>
      <c r="D515" s="19">
        <f t="shared" ref="D515:D556" si="36">C515/30</f>
        <v>10.933333333333334</v>
      </c>
      <c r="E515" s="5">
        <v>1263.01</v>
      </c>
      <c r="H515" s="19">
        <f t="shared" ref="H515:H578" si="37">IF((C515/30)&gt;100,C515*2,C515*2)</f>
        <v>656</v>
      </c>
      <c r="I515" t="b">
        <f t="shared" si="34"/>
        <v>0</v>
      </c>
      <c r="J515" s="4">
        <f t="shared" si="35"/>
        <v>0.92532012195121949</v>
      </c>
    </row>
    <row r="516" spans="1:10" hidden="1">
      <c r="A516" t="s">
        <v>1430</v>
      </c>
      <c r="B516" t="s">
        <v>1431</v>
      </c>
      <c r="C516">
        <v>3442</v>
      </c>
      <c r="D516" s="19">
        <f t="shared" si="36"/>
        <v>114.73333333333333</v>
      </c>
      <c r="E516" s="5">
        <v>1324.5</v>
      </c>
      <c r="H516" s="19">
        <f t="shared" si="37"/>
        <v>6884</v>
      </c>
      <c r="I516" t="b">
        <f t="shared" si="34"/>
        <v>1</v>
      </c>
      <c r="J516" s="4">
        <f t="shared" si="35"/>
        <v>-0.80759732713538646</v>
      </c>
    </row>
    <row r="517" spans="1:10" hidden="1">
      <c r="A517" t="s">
        <v>1389</v>
      </c>
      <c r="B517" t="s">
        <v>1390</v>
      </c>
      <c r="C517">
        <v>1060</v>
      </c>
      <c r="D517" s="19">
        <f t="shared" si="36"/>
        <v>35.333333333333336</v>
      </c>
      <c r="E517" s="5">
        <v>325.48</v>
      </c>
      <c r="H517" s="19">
        <f t="shared" si="37"/>
        <v>2120</v>
      </c>
      <c r="I517" t="b">
        <f t="shared" si="34"/>
        <v>1</v>
      </c>
      <c r="J517" s="4">
        <f t="shared" si="35"/>
        <v>-0.84647169811320755</v>
      </c>
    </row>
    <row r="518" spans="1:10" hidden="1">
      <c r="A518" t="s">
        <v>1187</v>
      </c>
      <c r="B518" t="s">
        <v>1188</v>
      </c>
      <c r="C518">
        <v>2051</v>
      </c>
      <c r="D518" s="19">
        <f t="shared" si="36"/>
        <v>68.36666666666666</v>
      </c>
      <c r="E518" s="5">
        <v>1798.87</v>
      </c>
      <c r="H518" s="19">
        <f t="shared" si="37"/>
        <v>4102</v>
      </c>
      <c r="I518" t="b">
        <f t="shared" si="34"/>
        <v>1</v>
      </c>
      <c r="J518" s="4">
        <f t="shared" si="35"/>
        <v>-0.56146513895660655</v>
      </c>
    </row>
    <row r="519" spans="1:10" hidden="1">
      <c r="A519" t="s">
        <v>1311</v>
      </c>
      <c r="B519" t="s">
        <v>1312</v>
      </c>
      <c r="C519">
        <v>3598</v>
      </c>
      <c r="D519" s="19">
        <f t="shared" si="36"/>
        <v>119.93333333333334</v>
      </c>
      <c r="E519" s="5">
        <v>2646.5</v>
      </c>
      <c r="H519" s="19">
        <f t="shared" si="37"/>
        <v>7196</v>
      </c>
      <c r="I519" t="b">
        <f t="shared" si="34"/>
        <v>1</v>
      </c>
      <c r="J519" s="4">
        <f t="shared" si="35"/>
        <v>-0.63222623679822121</v>
      </c>
    </row>
    <row r="520" spans="1:10" hidden="1">
      <c r="A520" s="55" t="s">
        <v>1387</v>
      </c>
      <c r="B520" s="37" t="s">
        <v>1388</v>
      </c>
      <c r="C520">
        <v>1317</v>
      </c>
      <c r="D520" s="19">
        <f t="shared" si="36"/>
        <v>43.9</v>
      </c>
      <c r="E520" s="5">
        <v>1370.33</v>
      </c>
      <c r="H520" s="19">
        <f t="shared" si="37"/>
        <v>2634</v>
      </c>
      <c r="I520" t="b">
        <f t="shared" si="34"/>
        <v>1</v>
      </c>
      <c r="J520" s="4">
        <f t="shared" si="35"/>
        <v>-0.47975322703113144</v>
      </c>
    </row>
    <row r="521" spans="1:10" hidden="1">
      <c r="A521" t="s">
        <v>1371</v>
      </c>
      <c r="B521" t="s">
        <v>1372</v>
      </c>
      <c r="C521">
        <v>2670</v>
      </c>
      <c r="D521" s="19">
        <f t="shared" si="36"/>
        <v>89</v>
      </c>
      <c r="E521" s="5">
        <v>2704.24</v>
      </c>
      <c r="H521" s="19">
        <f t="shared" si="37"/>
        <v>5340</v>
      </c>
      <c r="I521" t="b">
        <f t="shared" si="34"/>
        <v>1</v>
      </c>
      <c r="J521" s="4">
        <f t="shared" si="35"/>
        <v>-0.49358801498127347</v>
      </c>
    </row>
    <row r="522" spans="1:10" hidden="1">
      <c r="A522" t="s">
        <v>1296</v>
      </c>
      <c r="B522" t="s">
        <v>1297</v>
      </c>
      <c r="C522">
        <v>1157</v>
      </c>
      <c r="D522" s="19">
        <f t="shared" si="36"/>
        <v>38.56666666666667</v>
      </c>
      <c r="E522" s="5">
        <v>526.24</v>
      </c>
      <c r="H522" s="19">
        <f t="shared" si="37"/>
        <v>2314</v>
      </c>
      <c r="I522" t="b">
        <f t="shared" si="34"/>
        <v>1</v>
      </c>
      <c r="J522" s="4">
        <f t="shared" si="35"/>
        <v>-0.77258426966292137</v>
      </c>
    </row>
    <row r="523" spans="1:10" hidden="1">
      <c r="A523" t="s">
        <v>1208</v>
      </c>
      <c r="B523" t="s">
        <v>1209</v>
      </c>
      <c r="C523">
        <v>1566</v>
      </c>
      <c r="D523" s="19">
        <f t="shared" si="36"/>
        <v>52.2</v>
      </c>
      <c r="E523" s="5">
        <v>1962.36</v>
      </c>
      <c r="H523" s="19">
        <f t="shared" si="37"/>
        <v>3132</v>
      </c>
      <c r="I523" t="b">
        <f t="shared" si="34"/>
        <v>1</v>
      </c>
      <c r="J523" s="4">
        <f t="shared" si="35"/>
        <v>-0.37344827586206897</v>
      </c>
    </row>
    <row r="524" spans="1:10" hidden="1">
      <c r="A524" t="s">
        <v>1226</v>
      </c>
      <c r="B524" t="s">
        <v>1227</v>
      </c>
      <c r="C524">
        <v>2344</v>
      </c>
      <c r="D524" s="19">
        <f t="shared" si="36"/>
        <v>78.13333333333334</v>
      </c>
      <c r="E524" s="5">
        <v>2027.99</v>
      </c>
      <c r="H524" s="19">
        <f t="shared" si="37"/>
        <v>4688</v>
      </c>
      <c r="I524" t="b">
        <f t="shared" si="34"/>
        <v>1</v>
      </c>
      <c r="J524" s="4">
        <f t="shared" si="35"/>
        <v>-0.56740827645051195</v>
      </c>
    </row>
    <row r="525" spans="1:10" hidden="1">
      <c r="A525" t="s">
        <v>1423</v>
      </c>
      <c r="B525" t="s">
        <v>1424</v>
      </c>
      <c r="C525">
        <v>2854</v>
      </c>
      <c r="D525" s="19">
        <f t="shared" si="36"/>
        <v>95.13333333333334</v>
      </c>
      <c r="E525" s="5">
        <v>3330.89</v>
      </c>
      <c r="H525" s="19">
        <f t="shared" si="37"/>
        <v>5708</v>
      </c>
      <c r="I525" t="b">
        <f t="shared" si="34"/>
        <v>1</v>
      </c>
      <c r="J525" s="4">
        <f t="shared" si="35"/>
        <v>-0.41645234758234062</v>
      </c>
    </row>
    <row r="526" spans="1:10" hidden="1">
      <c r="A526" t="s">
        <v>1218</v>
      </c>
      <c r="B526" t="s">
        <v>1219</v>
      </c>
      <c r="C526">
        <v>2312</v>
      </c>
      <c r="D526" s="19">
        <f t="shared" si="36"/>
        <v>77.066666666666663</v>
      </c>
      <c r="E526" s="5">
        <v>1412.19</v>
      </c>
      <c r="H526" s="19">
        <f t="shared" si="37"/>
        <v>4624</v>
      </c>
      <c r="I526" t="b">
        <f t="shared" si="34"/>
        <v>1</v>
      </c>
      <c r="J526" s="4">
        <f t="shared" si="35"/>
        <v>-0.6945955882352941</v>
      </c>
    </row>
    <row r="527" spans="1:10" hidden="1">
      <c r="A527" s="54" t="s">
        <v>1367</v>
      </c>
      <c r="B527" s="37" t="s">
        <v>1368</v>
      </c>
      <c r="C527">
        <v>2218</v>
      </c>
      <c r="D527" s="19">
        <f t="shared" si="36"/>
        <v>73.933333333333337</v>
      </c>
      <c r="E527" s="5">
        <v>5303.19</v>
      </c>
      <c r="H527" s="19">
        <f t="shared" si="37"/>
        <v>4436</v>
      </c>
      <c r="I527" t="b">
        <f t="shared" si="34"/>
        <v>1</v>
      </c>
      <c r="J527" s="4">
        <f t="shared" si="35"/>
        <v>0.19548917944093769</v>
      </c>
    </row>
    <row r="528" spans="1:10" hidden="1">
      <c r="A528" t="s">
        <v>1359</v>
      </c>
      <c r="B528" t="s">
        <v>1360</v>
      </c>
      <c r="C528">
        <v>1843</v>
      </c>
      <c r="D528" s="19">
        <f t="shared" si="36"/>
        <v>61.43333333333333</v>
      </c>
      <c r="E528" s="5">
        <v>1915.18</v>
      </c>
      <c r="H528" s="19">
        <f t="shared" si="37"/>
        <v>3686</v>
      </c>
      <c r="I528" t="b">
        <f t="shared" si="34"/>
        <v>1</v>
      </c>
      <c r="J528" s="4">
        <f t="shared" si="35"/>
        <v>-0.48041779706999455</v>
      </c>
    </row>
    <row r="529" spans="1:10" hidden="1">
      <c r="A529" t="s">
        <v>1260</v>
      </c>
      <c r="B529" t="s">
        <v>1261</v>
      </c>
      <c r="C529">
        <v>1213</v>
      </c>
      <c r="D529" s="19">
        <f t="shared" si="36"/>
        <v>40.43333333333333</v>
      </c>
      <c r="E529" s="5">
        <v>1432.76</v>
      </c>
      <c r="H529" s="19">
        <f t="shared" si="37"/>
        <v>2426</v>
      </c>
      <c r="I529" t="b">
        <f t="shared" si="34"/>
        <v>1</v>
      </c>
      <c r="J529" s="4">
        <f t="shared" si="35"/>
        <v>-0.40941467436108825</v>
      </c>
    </row>
    <row r="530" spans="1:10" hidden="1">
      <c r="A530" t="s">
        <v>1264</v>
      </c>
      <c r="B530" t="s">
        <v>1265</v>
      </c>
      <c r="C530">
        <v>991</v>
      </c>
      <c r="D530" s="19">
        <f t="shared" si="36"/>
        <v>33.033333333333331</v>
      </c>
      <c r="E530" s="5">
        <v>898.36</v>
      </c>
      <c r="H530" s="19">
        <f t="shared" si="37"/>
        <v>1982</v>
      </c>
      <c r="I530" t="b">
        <f t="shared" si="34"/>
        <v>1</v>
      </c>
      <c r="J530" s="4">
        <f t="shared" si="35"/>
        <v>-0.54674066599394555</v>
      </c>
    </row>
    <row r="531" spans="1:10" hidden="1">
      <c r="A531" t="s">
        <v>1385</v>
      </c>
      <c r="B531" t="s">
        <v>1386</v>
      </c>
      <c r="C531">
        <v>1938</v>
      </c>
      <c r="D531" s="19">
        <f t="shared" si="36"/>
        <v>64.599999999999994</v>
      </c>
      <c r="E531" s="5">
        <v>1088.33</v>
      </c>
      <c r="H531" s="19">
        <f t="shared" si="37"/>
        <v>3876</v>
      </c>
      <c r="I531" t="b">
        <f t="shared" si="34"/>
        <v>1</v>
      </c>
      <c r="J531" s="4">
        <f t="shared" si="35"/>
        <v>-0.71921310629514967</v>
      </c>
    </row>
    <row r="532" spans="1:10" hidden="1">
      <c r="A532" s="54" t="s">
        <v>1177</v>
      </c>
      <c r="B532" s="37" t="s">
        <v>1178</v>
      </c>
      <c r="C532">
        <v>1289</v>
      </c>
      <c r="D532" s="19">
        <f t="shared" si="36"/>
        <v>42.966666666666669</v>
      </c>
      <c r="E532" s="5">
        <v>807.75</v>
      </c>
      <c r="H532" s="19">
        <f t="shared" si="37"/>
        <v>2578</v>
      </c>
      <c r="I532" t="b">
        <f t="shared" si="34"/>
        <v>1</v>
      </c>
      <c r="J532" s="4">
        <f t="shared" si="35"/>
        <v>-0.6866757176105508</v>
      </c>
    </row>
    <row r="533" spans="1:10" hidden="1">
      <c r="A533" t="s">
        <v>1324</v>
      </c>
      <c r="B533" t="s">
        <v>1325</v>
      </c>
      <c r="C533">
        <v>1180</v>
      </c>
      <c r="D533" s="19">
        <f t="shared" si="36"/>
        <v>39.333333333333336</v>
      </c>
      <c r="E533" s="5">
        <v>1210.3</v>
      </c>
      <c r="H533" s="19">
        <f t="shared" si="37"/>
        <v>2360</v>
      </c>
      <c r="I533" t="b">
        <f t="shared" si="34"/>
        <v>1</v>
      </c>
      <c r="J533" s="4">
        <f t="shared" si="35"/>
        <v>-0.48716101694915259</v>
      </c>
    </row>
    <row r="534" spans="1:10" hidden="1">
      <c r="A534" t="s">
        <v>1410</v>
      </c>
      <c r="B534" t="s">
        <v>1411</v>
      </c>
      <c r="C534">
        <v>1670</v>
      </c>
      <c r="D534" s="19">
        <f t="shared" si="36"/>
        <v>55.666666666666664</v>
      </c>
      <c r="E534" s="5">
        <v>2199.11</v>
      </c>
      <c r="H534" s="19">
        <f t="shared" si="37"/>
        <v>3340</v>
      </c>
      <c r="I534" t="b">
        <f t="shared" si="34"/>
        <v>1</v>
      </c>
      <c r="J534" s="4">
        <f t="shared" si="35"/>
        <v>-0.3415838323353293</v>
      </c>
    </row>
    <row r="535" spans="1:10" hidden="1">
      <c r="A535" t="s">
        <v>1379</v>
      </c>
      <c r="B535" t="s">
        <v>1380</v>
      </c>
      <c r="C535">
        <v>1065</v>
      </c>
      <c r="D535" s="19">
        <f t="shared" si="36"/>
        <v>35.5</v>
      </c>
      <c r="E535" s="5">
        <v>937.71</v>
      </c>
      <c r="H535" s="19">
        <f t="shared" si="37"/>
        <v>2130</v>
      </c>
      <c r="I535" t="b">
        <f t="shared" si="34"/>
        <v>1</v>
      </c>
      <c r="J535" s="4">
        <f t="shared" si="35"/>
        <v>-0.55976056338028168</v>
      </c>
    </row>
    <row r="536" spans="1:10" hidden="1">
      <c r="A536" t="s">
        <v>1365</v>
      </c>
      <c r="B536" t="s">
        <v>1366</v>
      </c>
      <c r="C536">
        <v>1773</v>
      </c>
      <c r="D536" s="19">
        <f t="shared" si="36"/>
        <v>59.1</v>
      </c>
      <c r="E536" s="5">
        <v>1282.8800000000001</v>
      </c>
      <c r="H536" s="19">
        <f t="shared" si="37"/>
        <v>3546</v>
      </c>
      <c r="I536" t="b">
        <f t="shared" si="34"/>
        <v>1</v>
      </c>
      <c r="J536" s="4">
        <f t="shared" si="35"/>
        <v>-0.63821771009588257</v>
      </c>
    </row>
    <row r="537" spans="1:10" hidden="1">
      <c r="A537" t="s">
        <v>1404</v>
      </c>
      <c r="B537" t="s">
        <v>1405</v>
      </c>
      <c r="C537">
        <v>191</v>
      </c>
      <c r="D537" s="19">
        <f t="shared" si="36"/>
        <v>6.3666666666666663</v>
      </c>
      <c r="E537" s="5">
        <v>257</v>
      </c>
      <c r="H537" s="19">
        <f t="shared" si="37"/>
        <v>382</v>
      </c>
      <c r="I537" t="b">
        <f t="shared" si="34"/>
        <v>1</v>
      </c>
      <c r="J537" s="4">
        <f t="shared" si="35"/>
        <v>-0.32722513089005234</v>
      </c>
    </row>
    <row r="538" spans="1:10" hidden="1">
      <c r="A538" t="s">
        <v>1301</v>
      </c>
      <c r="B538" t="s">
        <v>1302</v>
      </c>
      <c r="C538">
        <v>920</v>
      </c>
      <c r="D538" s="19">
        <f t="shared" si="36"/>
        <v>30.666666666666668</v>
      </c>
      <c r="E538" s="5">
        <v>424.34</v>
      </c>
      <c r="H538" s="19">
        <f t="shared" si="37"/>
        <v>1840</v>
      </c>
      <c r="I538" t="b">
        <f t="shared" si="34"/>
        <v>1</v>
      </c>
      <c r="J538" s="4">
        <f t="shared" si="35"/>
        <v>-0.76938043478260876</v>
      </c>
    </row>
    <row r="539" spans="1:10" hidden="1">
      <c r="A539" t="s">
        <v>1406</v>
      </c>
      <c r="B539" t="s">
        <v>1407</v>
      </c>
      <c r="C539">
        <v>767</v>
      </c>
      <c r="D539" s="19">
        <f t="shared" si="36"/>
        <v>25.566666666666666</v>
      </c>
      <c r="E539" s="5">
        <v>447.11</v>
      </c>
      <c r="H539" s="19">
        <f t="shared" si="37"/>
        <v>1534</v>
      </c>
      <c r="I539" t="b">
        <f t="shared" si="34"/>
        <v>1</v>
      </c>
      <c r="J539" s="4">
        <f t="shared" si="35"/>
        <v>-0.70853324641460236</v>
      </c>
    </row>
    <row r="540" spans="1:10" hidden="1">
      <c r="A540" t="s">
        <v>1268</v>
      </c>
      <c r="B540" t="s">
        <v>1269</v>
      </c>
      <c r="C540">
        <v>1396</v>
      </c>
      <c r="D540" s="19">
        <f t="shared" si="36"/>
        <v>46.533333333333331</v>
      </c>
      <c r="E540" s="5">
        <v>1966.27</v>
      </c>
      <c r="H540" s="19">
        <f t="shared" si="37"/>
        <v>2792</v>
      </c>
      <c r="I540" t="b">
        <f t="shared" si="34"/>
        <v>1</v>
      </c>
      <c r="J540" s="4">
        <f t="shared" si="35"/>
        <v>-0.29574856733524357</v>
      </c>
    </row>
    <row r="541" spans="1:10" hidden="1">
      <c r="A541" t="s">
        <v>1307</v>
      </c>
      <c r="B541" t="s">
        <v>1308</v>
      </c>
      <c r="C541">
        <v>1682</v>
      </c>
      <c r="D541" s="19">
        <f t="shared" si="36"/>
        <v>56.06666666666667</v>
      </c>
      <c r="E541" s="5">
        <v>910.49</v>
      </c>
      <c r="H541" s="19">
        <f t="shared" si="37"/>
        <v>3364</v>
      </c>
      <c r="I541" t="b">
        <f t="shared" si="34"/>
        <v>1</v>
      </c>
      <c r="J541" s="4">
        <f t="shared" si="35"/>
        <v>-0.72934304399524374</v>
      </c>
    </row>
    <row r="542" spans="1:10">
      <c r="A542" s="54" t="s">
        <v>1240</v>
      </c>
      <c r="B542" s="27" t="s">
        <v>1241</v>
      </c>
      <c r="C542">
        <v>800</v>
      </c>
      <c r="D542" s="19">
        <f t="shared" si="36"/>
        <v>26.666666666666668</v>
      </c>
      <c r="E542" s="5">
        <v>2246.34</v>
      </c>
      <c r="H542" s="19">
        <f t="shared" si="37"/>
        <v>1600</v>
      </c>
      <c r="I542" t="b">
        <f t="shared" si="34"/>
        <v>0</v>
      </c>
      <c r="J542" s="4">
        <f t="shared" si="35"/>
        <v>0.4039625</v>
      </c>
    </row>
    <row r="543" spans="1:10" hidden="1">
      <c r="A543" t="s">
        <v>1316</v>
      </c>
      <c r="B543" t="s">
        <v>1317</v>
      </c>
      <c r="C543">
        <v>2780</v>
      </c>
      <c r="D543" s="19">
        <f t="shared" si="36"/>
        <v>92.666666666666671</v>
      </c>
      <c r="E543" s="5">
        <v>2056.31</v>
      </c>
      <c r="H543" s="19">
        <f t="shared" si="37"/>
        <v>5560</v>
      </c>
      <c r="I543" t="b">
        <f t="shared" si="34"/>
        <v>1</v>
      </c>
      <c r="J543" s="4">
        <f t="shared" si="35"/>
        <v>-0.63016007194244605</v>
      </c>
    </row>
    <row r="544" spans="1:10" hidden="1">
      <c r="A544" t="s">
        <v>1216</v>
      </c>
      <c r="B544" t="s">
        <v>1217</v>
      </c>
      <c r="C544">
        <v>1121</v>
      </c>
      <c r="D544" s="19">
        <f t="shared" si="36"/>
        <v>37.366666666666667</v>
      </c>
      <c r="E544" s="5">
        <v>857.19</v>
      </c>
      <c r="H544" s="19">
        <f t="shared" si="37"/>
        <v>2242</v>
      </c>
      <c r="I544" t="b">
        <f t="shared" si="34"/>
        <v>1</v>
      </c>
      <c r="J544" s="4">
        <f t="shared" si="35"/>
        <v>-0.61766726137377337</v>
      </c>
    </row>
    <row r="545" spans="1:10" hidden="1">
      <c r="A545" t="s">
        <v>1373</v>
      </c>
      <c r="B545" t="s">
        <v>1374</v>
      </c>
      <c r="C545">
        <v>664</v>
      </c>
      <c r="D545" s="19">
        <f t="shared" si="36"/>
        <v>22.133333333333333</v>
      </c>
      <c r="E545" s="5">
        <v>1104.6500000000001</v>
      </c>
      <c r="H545" s="19">
        <f t="shared" si="37"/>
        <v>1328</v>
      </c>
      <c r="I545" t="b">
        <f t="shared" si="34"/>
        <v>1</v>
      </c>
      <c r="J545" s="4">
        <f t="shared" si="35"/>
        <v>-0.16818524096385534</v>
      </c>
    </row>
    <row r="546" spans="1:10" hidden="1">
      <c r="A546" t="s">
        <v>1270</v>
      </c>
      <c r="B546" t="s">
        <v>1271</v>
      </c>
      <c r="C546">
        <v>630</v>
      </c>
      <c r="D546" s="19">
        <f t="shared" si="36"/>
        <v>21</v>
      </c>
      <c r="E546" s="5">
        <v>932.39</v>
      </c>
      <c r="H546" s="19">
        <f t="shared" si="37"/>
        <v>1260</v>
      </c>
      <c r="I546" t="b">
        <f t="shared" si="34"/>
        <v>1</v>
      </c>
      <c r="J546" s="4">
        <f t="shared" si="35"/>
        <v>-0.26000793650793652</v>
      </c>
    </row>
    <row r="547" spans="1:10" hidden="1">
      <c r="A547" t="s">
        <v>1272</v>
      </c>
      <c r="B547" t="s">
        <v>1273</v>
      </c>
      <c r="C547">
        <v>63</v>
      </c>
      <c r="D547" s="19">
        <f t="shared" si="36"/>
        <v>2.1</v>
      </c>
      <c r="E547" s="5">
        <v>3.28</v>
      </c>
      <c r="H547" s="19">
        <f t="shared" si="37"/>
        <v>126</v>
      </c>
      <c r="I547" t="b">
        <f t="shared" si="34"/>
        <v>1</v>
      </c>
      <c r="J547" s="4">
        <f t="shared" si="35"/>
        <v>-0.97396825396825393</v>
      </c>
    </row>
    <row r="548" spans="1:10" hidden="1">
      <c r="A548" t="s">
        <v>1333</v>
      </c>
      <c r="B548" t="s">
        <v>1334</v>
      </c>
      <c r="C548">
        <v>194</v>
      </c>
      <c r="D548" s="19">
        <f t="shared" si="36"/>
        <v>6.4666666666666668</v>
      </c>
      <c r="E548" s="5">
        <v>0</v>
      </c>
      <c r="H548" s="19">
        <f t="shared" si="37"/>
        <v>388</v>
      </c>
      <c r="I548" t="b">
        <f t="shared" si="34"/>
        <v>1</v>
      </c>
      <c r="J548" s="4">
        <f t="shared" si="35"/>
        <v>-1</v>
      </c>
    </row>
    <row r="549" spans="1:10" hidden="1">
      <c r="A549" t="s">
        <v>1329</v>
      </c>
      <c r="B549" t="s">
        <v>1330</v>
      </c>
      <c r="C549">
        <v>905</v>
      </c>
      <c r="D549" s="19">
        <f t="shared" si="36"/>
        <v>30.166666666666668</v>
      </c>
      <c r="E549" s="5">
        <v>1092.29</v>
      </c>
      <c r="H549" s="19">
        <f t="shared" si="37"/>
        <v>1810</v>
      </c>
      <c r="I549" t="b">
        <f t="shared" si="34"/>
        <v>1</v>
      </c>
      <c r="J549" s="4">
        <f t="shared" si="35"/>
        <v>-0.39652486187845304</v>
      </c>
    </row>
    <row r="550" spans="1:10" hidden="1">
      <c r="A550" t="s">
        <v>1237</v>
      </c>
      <c r="B550" t="s">
        <v>1238</v>
      </c>
      <c r="C550">
        <v>829</v>
      </c>
      <c r="D550" s="19">
        <f t="shared" si="36"/>
        <v>27.633333333333333</v>
      </c>
      <c r="E550" s="5">
        <v>1308.0899999999999</v>
      </c>
      <c r="H550" s="19">
        <f t="shared" si="37"/>
        <v>1658</v>
      </c>
      <c r="I550" t="b">
        <f t="shared" si="34"/>
        <v>1</v>
      </c>
      <c r="J550" s="4">
        <f t="shared" si="35"/>
        <v>-0.21104342581423408</v>
      </c>
    </row>
    <row r="551" spans="1:10" hidden="1">
      <c r="A551" t="s">
        <v>1369</v>
      </c>
      <c r="B551" t="s">
        <v>1370</v>
      </c>
      <c r="C551">
        <v>991</v>
      </c>
      <c r="D551" s="19">
        <f t="shared" si="36"/>
        <v>33.033333333333331</v>
      </c>
      <c r="E551" s="5">
        <v>529.38</v>
      </c>
      <c r="H551" s="19">
        <f t="shared" si="37"/>
        <v>1982</v>
      </c>
      <c r="I551" t="b">
        <f t="shared" si="34"/>
        <v>1</v>
      </c>
      <c r="J551" s="4">
        <f t="shared" si="35"/>
        <v>-0.73290615539858728</v>
      </c>
    </row>
    <row r="552" spans="1:10" hidden="1">
      <c r="A552" t="s">
        <v>1341</v>
      </c>
      <c r="B552" t="s">
        <v>1342</v>
      </c>
      <c r="C552">
        <v>951</v>
      </c>
      <c r="D552" s="19">
        <f t="shared" si="36"/>
        <v>31.7</v>
      </c>
      <c r="E552" s="5">
        <v>717.58</v>
      </c>
      <c r="H552" s="19">
        <f t="shared" si="37"/>
        <v>1902</v>
      </c>
      <c r="I552" t="b">
        <f t="shared" si="34"/>
        <v>1</v>
      </c>
      <c r="J552" s="4">
        <f t="shared" si="35"/>
        <v>-0.62272344900105148</v>
      </c>
    </row>
    <row r="553" spans="1:10" hidden="1">
      <c r="A553" t="s">
        <v>1408</v>
      </c>
      <c r="B553" t="s">
        <v>1409</v>
      </c>
      <c r="C553">
        <v>752</v>
      </c>
      <c r="D553" s="19">
        <f t="shared" si="36"/>
        <v>25.066666666666666</v>
      </c>
      <c r="E553" s="5">
        <v>744.49</v>
      </c>
      <c r="H553" s="19">
        <f t="shared" si="37"/>
        <v>1504</v>
      </c>
      <c r="I553" t="b">
        <f t="shared" si="34"/>
        <v>1</v>
      </c>
      <c r="J553" s="4">
        <f t="shared" si="35"/>
        <v>-0.50499335106382981</v>
      </c>
    </row>
    <row r="554" spans="1:10" hidden="1">
      <c r="A554" s="27" t="s">
        <v>1299</v>
      </c>
      <c r="B554" s="27" t="s">
        <v>1300</v>
      </c>
      <c r="C554">
        <v>167</v>
      </c>
      <c r="D554" s="19">
        <f t="shared" si="36"/>
        <v>5.5666666666666664</v>
      </c>
      <c r="E554" s="5">
        <v>329.47</v>
      </c>
      <c r="H554" s="19">
        <f t="shared" si="37"/>
        <v>334</v>
      </c>
      <c r="I554" t="b">
        <f t="shared" si="34"/>
        <v>1</v>
      </c>
      <c r="J554" s="4">
        <f t="shared" si="35"/>
        <v>-1.3562874251496937E-2</v>
      </c>
    </row>
    <row r="555" spans="1:10" hidden="1">
      <c r="A555" t="s">
        <v>1206</v>
      </c>
      <c r="B555" t="s">
        <v>1207</v>
      </c>
      <c r="C555">
        <v>1177</v>
      </c>
      <c r="D555" s="19">
        <f t="shared" si="36"/>
        <v>39.233333333333334</v>
      </c>
      <c r="E555" s="5">
        <v>705.01</v>
      </c>
      <c r="H555" s="19">
        <f t="shared" si="37"/>
        <v>2354</v>
      </c>
      <c r="I555" t="b">
        <f t="shared" ref="I555:I557" si="38">IF(E555&gt;1.2*H555,FALSE,TRUE)</f>
        <v>1</v>
      </c>
      <c r="J555" s="4">
        <f t="shared" ref="J555:J557" si="39">E555/H555-1</f>
        <v>-0.70050552251486831</v>
      </c>
    </row>
    <row r="556" spans="1:10" hidden="1">
      <c r="A556" t="s">
        <v>1254</v>
      </c>
      <c r="B556" t="s">
        <v>1255</v>
      </c>
      <c r="C556">
        <v>880</v>
      </c>
      <c r="D556" s="19">
        <f t="shared" si="36"/>
        <v>29.333333333333332</v>
      </c>
      <c r="E556" s="5">
        <v>537.94000000000005</v>
      </c>
      <c r="H556" s="19">
        <f t="shared" si="37"/>
        <v>1760</v>
      </c>
      <c r="I556" t="b">
        <f t="shared" si="38"/>
        <v>1</v>
      </c>
      <c r="J556" s="4">
        <f t="shared" si="39"/>
        <v>-0.69435227272727262</v>
      </c>
    </row>
    <row r="557" spans="1:10" hidden="1">
      <c r="A557" s="54" t="s">
        <v>1252</v>
      </c>
      <c r="B557" s="37" t="s">
        <v>1253</v>
      </c>
      <c r="C557">
        <v>452</v>
      </c>
      <c r="D557" s="19">
        <f>C557/30</f>
        <v>15.066666666666666</v>
      </c>
      <c r="E557" s="5">
        <v>552.80999999999995</v>
      </c>
      <c r="H557" s="19">
        <f t="shared" si="37"/>
        <v>904</v>
      </c>
      <c r="I557" t="b">
        <f t="shared" si="38"/>
        <v>1</v>
      </c>
      <c r="J557" s="4">
        <f t="shared" si="39"/>
        <v>-0.38848451327433631</v>
      </c>
    </row>
    <row r="558" spans="1:10" hidden="1">
      <c r="A558" t="s">
        <v>1351</v>
      </c>
      <c r="B558" t="s">
        <v>1352</v>
      </c>
      <c r="C558">
        <v>1404</v>
      </c>
      <c r="D558" s="19">
        <f t="shared" ref="D558:D621" si="40">C558/30</f>
        <v>46.8</v>
      </c>
      <c r="E558" s="131">
        <v>1087.28</v>
      </c>
      <c r="H558" s="19">
        <f t="shared" si="37"/>
        <v>2808</v>
      </c>
      <c r="I558" t="b">
        <f t="shared" ref="I558:I621" si="41">IF(E558&gt;1.2*H558,FALSE,TRUE)</f>
        <v>1</v>
      </c>
      <c r="J558" s="4">
        <f t="shared" ref="J558:J621" si="42">E558/H558-1</f>
        <v>-0.61279202279202283</v>
      </c>
    </row>
    <row r="559" spans="1:10" hidden="1">
      <c r="A559" t="s">
        <v>1248</v>
      </c>
      <c r="B559" t="s">
        <v>1249</v>
      </c>
      <c r="C559">
        <v>644</v>
      </c>
      <c r="D559" s="19">
        <f t="shared" si="40"/>
        <v>21.466666666666665</v>
      </c>
      <c r="E559" s="131">
        <v>464.36</v>
      </c>
      <c r="H559" s="19">
        <f t="shared" si="37"/>
        <v>1288</v>
      </c>
      <c r="I559" t="b">
        <f t="shared" si="41"/>
        <v>1</v>
      </c>
      <c r="J559" s="4">
        <f t="shared" si="42"/>
        <v>-0.63947204968944105</v>
      </c>
    </row>
    <row r="560" spans="1:10" hidden="1">
      <c r="A560" t="s">
        <v>1275</v>
      </c>
      <c r="B560" t="s">
        <v>1276</v>
      </c>
      <c r="C560">
        <v>0</v>
      </c>
      <c r="D560" s="19">
        <f t="shared" si="40"/>
        <v>0</v>
      </c>
      <c r="E560" s="131">
        <v>0</v>
      </c>
      <c r="H560" s="19">
        <f t="shared" si="37"/>
        <v>0</v>
      </c>
      <c r="I560" t="b">
        <f t="shared" si="41"/>
        <v>1</v>
      </c>
      <c r="J560" s="4" t="e">
        <f t="shared" si="42"/>
        <v>#DIV/0!</v>
      </c>
    </row>
    <row r="561" spans="1:10" hidden="1">
      <c r="A561" t="s">
        <v>1246</v>
      </c>
      <c r="B561" t="s">
        <v>1247</v>
      </c>
      <c r="C561">
        <v>1091</v>
      </c>
      <c r="D561" s="19">
        <f t="shared" si="40"/>
        <v>36.366666666666667</v>
      </c>
      <c r="E561" s="131">
        <v>1273.1099999999999</v>
      </c>
      <c r="H561" s="19">
        <f t="shared" si="37"/>
        <v>2182</v>
      </c>
      <c r="I561" t="b">
        <f t="shared" si="41"/>
        <v>1</v>
      </c>
      <c r="J561" s="4">
        <f t="shared" si="42"/>
        <v>-0.41653987167736028</v>
      </c>
    </row>
    <row r="562" spans="1:10" hidden="1">
      <c r="A562" t="s">
        <v>1363</v>
      </c>
      <c r="B562" t="s">
        <v>1364</v>
      </c>
      <c r="C562">
        <v>800</v>
      </c>
      <c r="D562" s="19">
        <f t="shared" si="40"/>
        <v>26.666666666666668</v>
      </c>
      <c r="E562" s="131">
        <v>994.72</v>
      </c>
      <c r="H562" s="19">
        <f t="shared" si="37"/>
        <v>1600</v>
      </c>
      <c r="I562" t="b">
        <f t="shared" si="41"/>
        <v>1</v>
      </c>
      <c r="J562" s="4">
        <f t="shared" si="42"/>
        <v>-0.37829999999999997</v>
      </c>
    </row>
    <row r="563" spans="1:10" hidden="1">
      <c r="A563" s="27" t="s">
        <v>1347</v>
      </c>
      <c r="B563" s="27" t="s">
        <v>1348</v>
      </c>
      <c r="C563">
        <v>249</v>
      </c>
      <c r="D563" s="19">
        <f t="shared" si="40"/>
        <v>8.3000000000000007</v>
      </c>
      <c r="E563" s="131">
        <v>123.49</v>
      </c>
      <c r="H563" s="19">
        <f t="shared" si="37"/>
        <v>498</v>
      </c>
      <c r="I563" t="b">
        <f t="shared" si="41"/>
        <v>1</v>
      </c>
      <c r="J563" s="4">
        <f t="shared" si="42"/>
        <v>-0.75202811244979917</v>
      </c>
    </row>
    <row r="564" spans="1:10" hidden="1">
      <c r="A564" s="55" t="s">
        <v>1277</v>
      </c>
      <c r="B564" s="37" t="s">
        <v>1278</v>
      </c>
      <c r="C564">
        <v>0</v>
      </c>
      <c r="D564" s="19">
        <f t="shared" si="40"/>
        <v>0</v>
      </c>
      <c r="E564" s="131">
        <v>0</v>
      </c>
      <c r="H564" s="19">
        <f t="shared" si="37"/>
        <v>0</v>
      </c>
      <c r="I564" t="b">
        <f t="shared" si="41"/>
        <v>1</v>
      </c>
      <c r="J564" s="4" t="e">
        <f t="shared" si="42"/>
        <v>#DIV/0!</v>
      </c>
    </row>
    <row r="565" spans="1:10" hidden="1">
      <c r="A565" s="54" t="s">
        <v>1327</v>
      </c>
      <c r="B565" s="37" t="s">
        <v>1328</v>
      </c>
      <c r="C565">
        <v>855</v>
      </c>
      <c r="D565" s="19">
        <f t="shared" si="40"/>
        <v>28.5</v>
      </c>
      <c r="E565" s="131">
        <v>317.42</v>
      </c>
      <c r="H565" s="19">
        <f t="shared" si="37"/>
        <v>1710</v>
      </c>
      <c r="I565" t="b">
        <f t="shared" si="41"/>
        <v>1</v>
      </c>
      <c r="J565" s="4">
        <f t="shared" si="42"/>
        <v>-0.81437426900584797</v>
      </c>
    </row>
    <row r="566" spans="1:10" hidden="1">
      <c r="A566" s="37" t="s">
        <v>1353</v>
      </c>
      <c r="B566" s="37" t="s">
        <v>1354</v>
      </c>
      <c r="C566">
        <v>744</v>
      </c>
      <c r="D566" s="19">
        <f t="shared" si="40"/>
        <v>24.8</v>
      </c>
      <c r="E566" s="131">
        <v>1054.8</v>
      </c>
      <c r="H566" s="19">
        <f t="shared" si="37"/>
        <v>1488</v>
      </c>
      <c r="I566" t="b">
        <f t="shared" si="41"/>
        <v>1</v>
      </c>
      <c r="J566" s="4">
        <f t="shared" si="42"/>
        <v>-0.29112903225806452</v>
      </c>
    </row>
    <row r="567" spans="1:10" hidden="1">
      <c r="A567" t="s">
        <v>1361</v>
      </c>
      <c r="B567" t="s">
        <v>1362</v>
      </c>
      <c r="C567">
        <v>924</v>
      </c>
      <c r="D567" s="19">
        <f t="shared" si="40"/>
        <v>30.8</v>
      </c>
      <c r="E567" s="131">
        <v>562.15</v>
      </c>
      <c r="H567" s="19">
        <f t="shared" si="37"/>
        <v>1848</v>
      </c>
      <c r="I567" t="b">
        <f t="shared" si="41"/>
        <v>1</v>
      </c>
      <c r="J567" s="4">
        <f t="shared" si="42"/>
        <v>-0.69580627705627707</v>
      </c>
    </row>
    <row r="568" spans="1:10" hidden="1">
      <c r="A568" t="s">
        <v>1290</v>
      </c>
      <c r="B568" t="s">
        <v>1291</v>
      </c>
      <c r="C568">
        <v>0</v>
      </c>
      <c r="D568" s="19">
        <f t="shared" si="40"/>
        <v>0</v>
      </c>
      <c r="E568" s="131">
        <v>0</v>
      </c>
      <c r="H568" s="19">
        <f t="shared" si="37"/>
        <v>0</v>
      </c>
      <c r="I568" t="b">
        <f t="shared" si="41"/>
        <v>1</v>
      </c>
      <c r="J568" s="4" t="e">
        <f t="shared" si="42"/>
        <v>#DIV/0!</v>
      </c>
    </row>
    <row r="569" spans="1:10" hidden="1">
      <c r="A569" t="s">
        <v>1427</v>
      </c>
      <c r="B569" t="s">
        <v>1428</v>
      </c>
      <c r="C569">
        <v>2915</v>
      </c>
      <c r="D569" s="19">
        <f t="shared" si="40"/>
        <v>97.166666666666671</v>
      </c>
      <c r="E569" s="131">
        <v>753.57</v>
      </c>
      <c r="H569" s="19">
        <f t="shared" si="37"/>
        <v>5830</v>
      </c>
      <c r="I569" t="b">
        <f t="shared" si="41"/>
        <v>1</v>
      </c>
      <c r="J569" s="4">
        <f t="shared" si="42"/>
        <v>-0.87074271012006865</v>
      </c>
    </row>
    <row r="570" spans="1:10" hidden="1">
      <c r="A570" s="54" t="s">
        <v>1183</v>
      </c>
      <c r="B570" s="37" t="s">
        <v>1184</v>
      </c>
      <c r="C570">
        <v>757</v>
      </c>
      <c r="D570" s="19">
        <f t="shared" si="40"/>
        <v>25.233333333333334</v>
      </c>
      <c r="E570" s="131">
        <v>942.23</v>
      </c>
      <c r="H570" s="19">
        <f t="shared" si="37"/>
        <v>1514</v>
      </c>
      <c r="I570" t="b">
        <f t="shared" si="41"/>
        <v>1</v>
      </c>
      <c r="J570" s="4">
        <f t="shared" si="42"/>
        <v>-0.37765521796565393</v>
      </c>
    </row>
    <row r="571" spans="1:10" hidden="1">
      <c r="A571" t="s">
        <v>1213</v>
      </c>
      <c r="B571" t="s">
        <v>1214</v>
      </c>
      <c r="C571">
        <v>664</v>
      </c>
      <c r="D571" s="19">
        <f t="shared" si="40"/>
        <v>22.133333333333333</v>
      </c>
      <c r="E571" s="131">
        <v>1088.6400000000001</v>
      </c>
      <c r="H571" s="19">
        <f t="shared" si="37"/>
        <v>1328</v>
      </c>
      <c r="I571" t="b">
        <f t="shared" si="41"/>
        <v>1</v>
      </c>
      <c r="J571" s="4">
        <f t="shared" si="42"/>
        <v>-0.18024096385542165</v>
      </c>
    </row>
    <row r="572" spans="1:10" hidden="1">
      <c r="A572" t="s">
        <v>1233</v>
      </c>
      <c r="B572" t="s">
        <v>1234</v>
      </c>
      <c r="C572">
        <v>391</v>
      </c>
      <c r="D572" s="19">
        <f t="shared" si="40"/>
        <v>13.033333333333333</v>
      </c>
      <c r="E572" s="131">
        <v>76.83</v>
      </c>
      <c r="H572" s="19">
        <f t="shared" si="37"/>
        <v>782</v>
      </c>
      <c r="I572" t="b">
        <f t="shared" si="41"/>
        <v>1</v>
      </c>
      <c r="J572" s="4">
        <f t="shared" si="42"/>
        <v>-0.90175191815856781</v>
      </c>
    </row>
    <row r="573" spans="1:10" hidden="1">
      <c r="A573" t="s">
        <v>1235</v>
      </c>
      <c r="B573" t="s">
        <v>1236</v>
      </c>
      <c r="C573">
        <v>783</v>
      </c>
      <c r="D573" s="19">
        <f t="shared" si="40"/>
        <v>26.1</v>
      </c>
      <c r="E573" s="131">
        <v>582.94000000000005</v>
      </c>
      <c r="H573" s="19">
        <f t="shared" si="37"/>
        <v>1566</v>
      </c>
      <c r="I573" t="b">
        <f t="shared" si="41"/>
        <v>1</v>
      </c>
      <c r="J573" s="4">
        <f t="shared" si="42"/>
        <v>-0.62775223499361421</v>
      </c>
    </row>
    <row r="574" spans="1:10" hidden="1">
      <c r="A574" t="s">
        <v>1377</v>
      </c>
      <c r="B574" t="s">
        <v>1378</v>
      </c>
      <c r="C574">
        <v>966</v>
      </c>
      <c r="D574" s="19">
        <f t="shared" si="40"/>
        <v>32.200000000000003</v>
      </c>
      <c r="E574" s="131">
        <v>342.16</v>
      </c>
      <c r="H574" s="19">
        <f t="shared" si="37"/>
        <v>1932</v>
      </c>
      <c r="I574" t="b">
        <f t="shared" si="41"/>
        <v>1</v>
      </c>
      <c r="J574" s="4">
        <f t="shared" si="42"/>
        <v>-0.82289855072463769</v>
      </c>
    </row>
    <row r="575" spans="1:10" hidden="1">
      <c r="A575" t="s">
        <v>1292</v>
      </c>
      <c r="B575" t="s">
        <v>1293</v>
      </c>
      <c r="C575">
        <v>246</v>
      </c>
      <c r="D575" s="19">
        <f t="shared" si="40"/>
        <v>8.1999999999999993</v>
      </c>
      <c r="E575" s="131">
        <v>348.63</v>
      </c>
      <c r="H575" s="19">
        <f t="shared" si="37"/>
        <v>492</v>
      </c>
      <c r="I575" t="b">
        <f t="shared" si="41"/>
        <v>1</v>
      </c>
      <c r="J575" s="4">
        <f t="shared" si="42"/>
        <v>-0.29140243902439023</v>
      </c>
    </row>
    <row r="576" spans="1:10" hidden="1">
      <c r="A576" t="s">
        <v>1250</v>
      </c>
      <c r="B576" t="s">
        <v>1251</v>
      </c>
      <c r="C576">
        <v>257</v>
      </c>
      <c r="D576" s="19">
        <f t="shared" si="40"/>
        <v>8.5666666666666664</v>
      </c>
      <c r="E576" s="131">
        <v>0</v>
      </c>
      <c r="H576" s="19">
        <f t="shared" si="37"/>
        <v>514</v>
      </c>
      <c r="I576" t="b">
        <f t="shared" si="41"/>
        <v>1</v>
      </c>
      <c r="J576" s="4">
        <f t="shared" si="42"/>
        <v>-1</v>
      </c>
    </row>
    <row r="577" spans="1:10" hidden="1">
      <c r="A577" t="s">
        <v>1258</v>
      </c>
      <c r="B577" t="s">
        <v>1259</v>
      </c>
      <c r="C577">
        <v>260</v>
      </c>
      <c r="D577" s="19">
        <f t="shared" si="40"/>
        <v>8.6666666666666661</v>
      </c>
      <c r="E577" s="131">
        <v>237.15</v>
      </c>
      <c r="H577" s="19">
        <f t="shared" si="37"/>
        <v>520</v>
      </c>
      <c r="I577" t="b">
        <f t="shared" si="41"/>
        <v>1</v>
      </c>
      <c r="J577" s="4">
        <f t="shared" si="42"/>
        <v>-0.54394230769230767</v>
      </c>
    </row>
    <row r="578" spans="1:10" hidden="1">
      <c r="A578" t="s">
        <v>1202</v>
      </c>
      <c r="B578" t="s">
        <v>1203</v>
      </c>
      <c r="C578">
        <v>59</v>
      </c>
      <c r="D578" s="19">
        <f t="shared" si="40"/>
        <v>1.9666666666666666</v>
      </c>
      <c r="E578" s="131">
        <v>15.55</v>
      </c>
      <c r="H578" s="19">
        <f t="shared" si="37"/>
        <v>118</v>
      </c>
      <c r="I578" t="b">
        <f t="shared" si="41"/>
        <v>1</v>
      </c>
      <c r="J578" s="4">
        <f t="shared" si="42"/>
        <v>-0.86822033898305084</v>
      </c>
    </row>
    <row r="579" spans="1:10" hidden="1">
      <c r="A579" s="54" t="s">
        <v>1189</v>
      </c>
      <c r="B579" t="s">
        <v>1190</v>
      </c>
      <c r="C579">
        <v>272</v>
      </c>
      <c r="D579" s="19">
        <f t="shared" si="40"/>
        <v>9.0666666666666664</v>
      </c>
      <c r="E579" s="131">
        <v>386.11</v>
      </c>
      <c r="H579" s="19">
        <f t="shared" ref="H579:H641" si="43">IF((C579/30)&gt;100,C579*2,C579*2)</f>
        <v>544</v>
      </c>
      <c r="I579" t="b">
        <f t="shared" si="41"/>
        <v>1</v>
      </c>
      <c r="J579" s="4">
        <f t="shared" si="42"/>
        <v>-0.29023897058823522</v>
      </c>
    </row>
    <row r="580" spans="1:10" hidden="1">
      <c r="A580" t="s">
        <v>1416</v>
      </c>
      <c r="B580" t="s">
        <v>1417</v>
      </c>
      <c r="C580">
        <v>627</v>
      </c>
      <c r="D580" s="19">
        <f t="shared" si="40"/>
        <v>20.9</v>
      </c>
      <c r="E580" s="131">
        <v>285.66000000000003</v>
      </c>
      <c r="H580" s="19">
        <f t="shared" si="43"/>
        <v>1254</v>
      </c>
      <c r="I580" t="b">
        <f t="shared" si="41"/>
        <v>1</v>
      </c>
      <c r="J580" s="4">
        <f t="shared" si="42"/>
        <v>-0.772200956937799</v>
      </c>
    </row>
    <row r="581" spans="1:10" hidden="1">
      <c r="A581" t="s">
        <v>1412</v>
      </c>
      <c r="B581" t="s">
        <v>1413</v>
      </c>
      <c r="C581">
        <v>917</v>
      </c>
      <c r="D581" s="19">
        <f t="shared" si="40"/>
        <v>30.566666666666666</v>
      </c>
      <c r="E581" s="131">
        <v>1011.76</v>
      </c>
      <c r="H581" s="19">
        <f t="shared" si="43"/>
        <v>1834</v>
      </c>
      <c r="I581" t="b">
        <f t="shared" si="41"/>
        <v>1</v>
      </c>
      <c r="J581" s="4">
        <f t="shared" si="42"/>
        <v>-0.4483315158124318</v>
      </c>
    </row>
    <row r="582" spans="1:10" hidden="1">
      <c r="A582" t="s">
        <v>1256</v>
      </c>
      <c r="B582" t="s">
        <v>1257</v>
      </c>
      <c r="C582">
        <v>586</v>
      </c>
      <c r="D582" s="19">
        <f t="shared" si="40"/>
        <v>19.533333333333335</v>
      </c>
      <c r="E582" s="131">
        <v>575.20000000000005</v>
      </c>
      <c r="H582" s="19">
        <f t="shared" si="43"/>
        <v>1172</v>
      </c>
      <c r="I582" t="b">
        <f t="shared" si="41"/>
        <v>1</v>
      </c>
      <c r="J582" s="4">
        <f t="shared" si="42"/>
        <v>-0.5092150170648464</v>
      </c>
    </row>
    <row r="583" spans="1:10">
      <c r="A583" s="54" t="s">
        <v>1244</v>
      </c>
      <c r="B583" s="37" t="s">
        <v>1245</v>
      </c>
      <c r="C583">
        <v>258</v>
      </c>
      <c r="D583" s="19">
        <f t="shared" si="40"/>
        <v>8.6</v>
      </c>
      <c r="E583" s="131">
        <v>874.98</v>
      </c>
      <c r="H583" s="19">
        <f t="shared" si="43"/>
        <v>516</v>
      </c>
      <c r="I583" t="b">
        <f t="shared" si="41"/>
        <v>0</v>
      </c>
      <c r="J583" s="4">
        <f t="shared" si="42"/>
        <v>0.69569767441860475</v>
      </c>
    </row>
    <row r="584" spans="1:10" hidden="1">
      <c r="A584" t="s">
        <v>1228</v>
      </c>
      <c r="B584" t="s">
        <v>1229</v>
      </c>
      <c r="C584">
        <v>775</v>
      </c>
      <c r="D584" s="19">
        <f t="shared" si="40"/>
        <v>25.833333333333332</v>
      </c>
      <c r="E584" s="131">
        <v>615.9</v>
      </c>
      <c r="H584" s="19">
        <f t="shared" si="43"/>
        <v>1550</v>
      </c>
      <c r="I584" t="b">
        <f t="shared" si="41"/>
        <v>1</v>
      </c>
      <c r="J584" s="4">
        <f t="shared" si="42"/>
        <v>-0.60264516129032253</v>
      </c>
    </row>
    <row r="585" spans="1:10" hidden="1">
      <c r="A585" t="s">
        <v>1294</v>
      </c>
      <c r="B585" t="s">
        <v>1295</v>
      </c>
      <c r="C585">
        <v>11</v>
      </c>
      <c r="D585" s="19">
        <f t="shared" si="40"/>
        <v>0.36666666666666664</v>
      </c>
      <c r="E585" s="131">
        <v>20.62</v>
      </c>
      <c r="H585" s="19">
        <f t="shared" si="43"/>
        <v>22</v>
      </c>
      <c r="I585" t="b">
        <f t="shared" si="41"/>
        <v>1</v>
      </c>
      <c r="J585" s="4">
        <f t="shared" si="42"/>
        <v>-6.2727272727272632E-2</v>
      </c>
    </row>
    <row r="586" spans="1:10" hidden="1">
      <c r="A586" t="s">
        <v>1309</v>
      </c>
      <c r="B586" t="s">
        <v>1310</v>
      </c>
      <c r="C586">
        <v>245</v>
      </c>
      <c r="D586" s="19">
        <f t="shared" si="40"/>
        <v>8.1666666666666661</v>
      </c>
      <c r="E586" s="131">
        <v>337.58</v>
      </c>
      <c r="H586" s="19">
        <f t="shared" si="43"/>
        <v>490</v>
      </c>
      <c r="I586" t="b">
        <f t="shared" si="41"/>
        <v>1</v>
      </c>
      <c r="J586" s="4">
        <f t="shared" si="42"/>
        <v>-0.3110612244897959</v>
      </c>
    </row>
    <row r="587" spans="1:10" hidden="1">
      <c r="A587" t="s">
        <v>1335</v>
      </c>
      <c r="B587" t="s">
        <v>1336</v>
      </c>
      <c r="C587">
        <v>458</v>
      </c>
      <c r="D587" s="19">
        <f t="shared" si="40"/>
        <v>15.266666666666667</v>
      </c>
      <c r="E587" s="131">
        <v>421.77</v>
      </c>
      <c r="H587" s="19">
        <f t="shared" si="43"/>
        <v>916</v>
      </c>
      <c r="I587" t="b">
        <f t="shared" si="41"/>
        <v>1</v>
      </c>
      <c r="J587" s="4">
        <f t="shared" si="42"/>
        <v>-0.53955240174672492</v>
      </c>
    </row>
    <row r="588" spans="1:10" hidden="1">
      <c r="A588" t="s">
        <v>1279</v>
      </c>
      <c r="B588" t="s">
        <v>1280</v>
      </c>
      <c r="C588">
        <v>0</v>
      </c>
      <c r="D588" s="19">
        <f t="shared" si="40"/>
        <v>0</v>
      </c>
      <c r="E588" s="131">
        <v>0</v>
      </c>
      <c r="H588" s="19">
        <f t="shared" si="43"/>
        <v>0</v>
      </c>
      <c r="I588" t="b">
        <f t="shared" si="41"/>
        <v>1</v>
      </c>
      <c r="J588" s="4" t="e">
        <f t="shared" si="42"/>
        <v>#DIV/0!</v>
      </c>
    </row>
    <row r="589" spans="1:10" hidden="1">
      <c r="A589" t="s">
        <v>1281</v>
      </c>
      <c r="B589" t="s">
        <v>1282</v>
      </c>
      <c r="C589">
        <v>0</v>
      </c>
      <c r="D589" s="19">
        <f t="shared" si="40"/>
        <v>0</v>
      </c>
      <c r="E589" s="131">
        <v>0</v>
      </c>
      <c r="H589" s="19">
        <f t="shared" si="43"/>
        <v>0</v>
      </c>
      <c r="I589" t="b">
        <f t="shared" si="41"/>
        <v>1</v>
      </c>
      <c r="J589" s="4" t="e">
        <f t="shared" si="42"/>
        <v>#DIV/0!</v>
      </c>
    </row>
    <row r="590" spans="1:10" hidden="1">
      <c r="A590" t="s">
        <v>1284</v>
      </c>
      <c r="B590" t="s">
        <v>1285</v>
      </c>
      <c r="C590">
        <v>0</v>
      </c>
      <c r="D590" s="19">
        <f t="shared" si="40"/>
        <v>0</v>
      </c>
      <c r="E590" s="131">
        <v>0</v>
      </c>
      <c r="H590" s="19">
        <f t="shared" si="43"/>
        <v>0</v>
      </c>
      <c r="I590" t="b">
        <f t="shared" si="41"/>
        <v>1</v>
      </c>
      <c r="J590" s="4" t="e">
        <f t="shared" si="42"/>
        <v>#DIV/0!</v>
      </c>
    </row>
    <row r="591" spans="1:10" hidden="1">
      <c r="A591" t="s">
        <v>1286</v>
      </c>
      <c r="B591" t="s">
        <v>1287</v>
      </c>
      <c r="C591">
        <v>0</v>
      </c>
      <c r="D591" s="19">
        <f t="shared" si="40"/>
        <v>0</v>
      </c>
      <c r="E591" s="131">
        <v>0</v>
      </c>
      <c r="H591" s="19">
        <f t="shared" si="43"/>
        <v>0</v>
      </c>
      <c r="I591" t="b">
        <f t="shared" si="41"/>
        <v>1</v>
      </c>
      <c r="J591" s="4" t="e">
        <f t="shared" si="42"/>
        <v>#DIV/0!</v>
      </c>
    </row>
    <row r="592" spans="1:10" hidden="1">
      <c r="A592" t="s">
        <v>1288</v>
      </c>
      <c r="B592" t="s">
        <v>1289</v>
      </c>
      <c r="C592">
        <v>0</v>
      </c>
      <c r="D592" s="19">
        <f t="shared" si="40"/>
        <v>0</v>
      </c>
      <c r="E592" s="131">
        <v>0</v>
      </c>
      <c r="H592" s="19">
        <f t="shared" si="43"/>
        <v>0</v>
      </c>
      <c r="I592" t="b">
        <f t="shared" si="41"/>
        <v>1</v>
      </c>
      <c r="J592" s="4" t="e">
        <f t="shared" si="42"/>
        <v>#DIV/0!</v>
      </c>
    </row>
    <row r="593" spans="1:10">
      <c r="A593" s="37" t="s">
        <v>1357</v>
      </c>
      <c r="B593" s="37" t="s">
        <v>1358</v>
      </c>
      <c r="C593">
        <v>336</v>
      </c>
      <c r="D593" s="19">
        <f t="shared" si="40"/>
        <v>11.2</v>
      </c>
      <c r="E593" s="131">
        <v>943.45</v>
      </c>
      <c r="H593" s="19">
        <f t="shared" si="43"/>
        <v>672</v>
      </c>
      <c r="I593" t="b">
        <f t="shared" si="41"/>
        <v>0</v>
      </c>
      <c r="J593" s="4">
        <f t="shared" si="42"/>
        <v>0.40394345238095242</v>
      </c>
    </row>
    <row r="594" spans="1:10" hidden="1">
      <c r="A594" t="s">
        <v>1242</v>
      </c>
      <c r="B594" t="s">
        <v>1243</v>
      </c>
      <c r="C594">
        <v>58</v>
      </c>
      <c r="D594" s="19">
        <f t="shared" si="40"/>
        <v>1.9333333333333333</v>
      </c>
      <c r="E594" s="131">
        <v>24.15</v>
      </c>
      <c r="H594" s="19">
        <f t="shared" si="43"/>
        <v>116</v>
      </c>
      <c r="I594" t="b">
        <f t="shared" si="41"/>
        <v>1</v>
      </c>
      <c r="J594" s="4">
        <f t="shared" si="42"/>
        <v>-0.79181034482758617</v>
      </c>
    </row>
    <row r="595" spans="1:10" hidden="1">
      <c r="A595" t="s">
        <v>1421</v>
      </c>
      <c r="B595" t="s">
        <v>1422</v>
      </c>
      <c r="C595">
        <v>3680</v>
      </c>
      <c r="D595" s="19">
        <f t="shared" si="40"/>
        <v>122.66666666666667</v>
      </c>
      <c r="E595" s="131">
        <v>5816.31</v>
      </c>
      <c r="H595" s="19">
        <f t="shared" si="43"/>
        <v>7360</v>
      </c>
      <c r="I595" t="b">
        <f t="shared" si="41"/>
        <v>1</v>
      </c>
      <c r="J595" s="4">
        <f t="shared" si="42"/>
        <v>-0.20974048913043475</v>
      </c>
    </row>
    <row r="596" spans="1:10">
      <c r="A596" s="27" t="s">
        <v>1193</v>
      </c>
      <c r="B596" t="s">
        <v>1194</v>
      </c>
      <c r="C596">
        <v>135</v>
      </c>
      <c r="D596" s="19">
        <f t="shared" si="40"/>
        <v>4.5</v>
      </c>
      <c r="E596" s="131">
        <v>363.33</v>
      </c>
      <c r="H596" s="19">
        <f t="shared" si="43"/>
        <v>270</v>
      </c>
      <c r="I596" t="b">
        <f t="shared" si="41"/>
        <v>0</v>
      </c>
      <c r="J596" s="4">
        <f t="shared" si="42"/>
        <v>0.34566666666666657</v>
      </c>
    </row>
    <row r="597" spans="1:10" hidden="1">
      <c r="A597" s="55" t="s">
        <v>1224</v>
      </c>
      <c r="B597" s="37" t="s">
        <v>1225</v>
      </c>
      <c r="C597">
        <v>555</v>
      </c>
      <c r="D597" s="19">
        <f t="shared" si="40"/>
        <v>18.5</v>
      </c>
      <c r="E597" s="131">
        <v>961.12</v>
      </c>
      <c r="H597" s="19">
        <f t="shared" si="43"/>
        <v>1110</v>
      </c>
      <c r="I597" t="b">
        <f t="shared" si="41"/>
        <v>1</v>
      </c>
      <c r="J597" s="4">
        <f t="shared" si="42"/>
        <v>-0.13412612612612618</v>
      </c>
    </row>
    <row r="598" spans="1:10" hidden="1">
      <c r="A598" t="s">
        <v>1355</v>
      </c>
      <c r="B598" t="s">
        <v>1356</v>
      </c>
      <c r="C598">
        <v>847</v>
      </c>
      <c r="D598" s="19">
        <f t="shared" si="40"/>
        <v>28.233333333333334</v>
      </c>
      <c r="E598" s="131">
        <v>358.69</v>
      </c>
      <c r="H598" s="19">
        <f t="shared" si="43"/>
        <v>1694</v>
      </c>
      <c r="I598" t="b">
        <f t="shared" si="41"/>
        <v>1</v>
      </c>
      <c r="J598" s="4">
        <f t="shared" si="42"/>
        <v>-0.78825855962219604</v>
      </c>
    </row>
    <row r="599" spans="1:10" hidden="1">
      <c r="A599" t="s">
        <v>1393</v>
      </c>
      <c r="B599" t="s">
        <v>1394</v>
      </c>
      <c r="C599">
        <v>1407</v>
      </c>
      <c r="D599" s="19">
        <f t="shared" si="40"/>
        <v>46.9</v>
      </c>
      <c r="E599" s="131">
        <v>1608.82</v>
      </c>
      <c r="H599" s="19">
        <f t="shared" si="43"/>
        <v>2814</v>
      </c>
      <c r="I599" t="b">
        <f t="shared" si="41"/>
        <v>1</v>
      </c>
      <c r="J599" s="4">
        <f t="shared" si="42"/>
        <v>-0.42828002842928214</v>
      </c>
    </row>
    <row r="600" spans="1:10" hidden="1">
      <c r="A600" t="s">
        <v>1402</v>
      </c>
      <c r="B600" t="s">
        <v>1403</v>
      </c>
      <c r="C600">
        <v>1802</v>
      </c>
      <c r="D600" s="19">
        <f t="shared" si="40"/>
        <v>60.06666666666667</v>
      </c>
      <c r="E600" s="131">
        <v>1881.81</v>
      </c>
      <c r="H600" s="19">
        <f t="shared" si="43"/>
        <v>3604</v>
      </c>
      <c r="I600" t="b">
        <f t="shared" si="41"/>
        <v>1</v>
      </c>
      <c r="J600" s="4">
        <f t="shared" si="42"/>
        <v>-0.47785516093229741</v>
      </c>
    </row>
    <row r="601" spans="1:10" hidden="1">
      <c r="A601" t="s">
        <v>1395</v>
      </c>
      <c r="B601" t="s">
        <v>1396</v>
      </c>
      <c r="C601">
        <v>960</v>
      </c>
      <c r="D601" s="19">
        <f t="shared" si="40"/>
        <v>32</v>
      </c>
      <c r="E601" s="131">
        <v>922.55</v>
      </c>
      <c r="H601" s="19">
        <f t="shared" si="43"/>
        <v>1920</v>
      </c>
      <c r="I601" t="b">
        <f t="shared" si="41"/>
        <v>1</v>
      </c>
      <c r="J601" s="4">
        <f t="shared" si="42"/>
        <v>-0.51950520833333336</v>
      </c>
    </row>
    <row r="602" spans="1:10" hidden="1">
      <c r="A602" s="55" t="s">
        <v>1303</v>
      </c>
      <c r="B602" s="37" t="s">
        <v>1304</v>
      </c>
      <c r="C602">
        <v>1635</v>
      </c>
      <c r="D602" s="19">
        <f t="shared" si="40"/>
        <v>54.5</v>
      </c>
      <c r="E602" s="131">
        <v>1809.6</v>
      </c>
      <c r="H602" s="19">
        <f t="shared" si="43"/>
        <v>3270</v>
      </c>
      <c r="I602" t="b">
        <f t="shared" si="41"/>
        <v>1</v>
      </c>
      <c r="J602" s="4">
        <f t="shared" si="42"/>
        <v>-0.44660550458715598</v>
      </c>
    </row>
    <row r="603" spans="1:10" hidden="1">
      <c r="A603" t="s">
        <v>1222</v>
      </c>
      <c r="B603" t="s">
        <v>1223</v>
      </c>
      <c r="C603">
        <v>871</v>
      </c>
      <c r="D603" s="19">
        <f t="shared" si="40"/>
        <v>29.033333333333335</v>
      </c>
      <c r="E603" s="131">
        <v>656.8</v>
      </c>
      <c r="H603" s="19">
        <f t="shared" si="43"/>
        <v>1742</v>
      </c>
      <c r="I603" t="b">
        <f t="shared" si="41"/>
        <v>1</v>
      </c>
      <c r="J603" s="4">
        <f t="shared" si="42"/>
        <v>-0.62296211251435141</v>
      </c>
    </row>
    <row r="604" spans="1:10" hidden="1">
      <c r="A604" t="s">
        <v>1339</v>
      </c>
      <c r="B604" t="s">
        <v>1340</v>
      </c>
      <c r="C604">
        <v>667</v>
      </c>
      <c r="D604" s="19">
        <f t="shared" si="40"/>
        <v>22.233333333333334</v>
      </c>
      <c r="E604" s="131">
        <v>292.32</v>
      </c>
      <c r="H604" s="19">
        <f t="shared" si="43"/>
        <v>1334</v>
      </c>
      <c r="I604" t="b">
        <f t="shared" si="41"/>
        <v>1</v>
      </c>
      <c r="J604" s="4">
        <f t="shared" si="42"/>
        <v>-0.78086956521739137</v>
      </c>
    </row>
    <row r="605" spans="1:10" hidden="1">
      <c r="A605" t="s">
        <v>1199</v>
      </c>
      <c r="B605" t="s">
        <v>1200</v>
      </c>
      <c r="C605">
        <v>1404</v>
      </c>
      <c r="D605" s="19">
        <f t="shared" si="40"/>
        <v>46.8</v>
      </c>
      <c r="E605" s="131">
        <v>2568.7199999999998</v>
      </c>
      <c r="H605" s="19">
        <f t="shared" si="43"/>
        <v>2808</v>
      </c>
      <c r="I605" t="b">
        <f t="shared" si="41"/>
        <v>1</v>
      </c>
      <c r="J605" s="4">
        <f t="shared" si="42"/>
        <v>-8.5213675213675288E-2</v>
      </c>
    </row>
    <row r="606" spans="1:10" hidden="1">
      <c r="A606" t="s">
        <v>1381</v>
      </c>
      <c r="B606" t="s">
        <v>1382</v>
      </c>
      <c r="C606">
        <v>1326</v>
      </c>
      <c r="D606" s="19">
        <f t="shared" si="40"/>
        <v>44.2</v>
      </c>
      <c r="E606" s="131">
        <v>1081.48</v>
      </c>
      <c r="H606" s="19">
        <f t="shared" si="43"/>
        <v>2652</v>
      </c>
      <c r="I606" t="b">
        <f t="shared" si="41"/>
        <v>1</v>
      </c>
      <c r="J606" s="4">
        <f t="shared" si="42"/>
        <v>-0.59220211161387626</v>
      </c>
    </row>
    <row r="607" spans="1:10" hidden="1">
      <c r="A607" t="s">
        <v>1314</v>
      </c>
      <c r="B607" t="s">
        <v>1315</v>
      </c>
      <c r="C607">
        <v>410</v>
      </c>
      <c r="D607" s="19">
        <f t="shared" si="40"/>
        <v>13.666666666666666</v>
      </c>
      <c r="E607" s="131">
        <v>553.35</v>
      </c>
      <c r="H607" s="19">
        <f t="shared" si="43"/>
        <v>820</v>
      </c>
      <c r="I607" t="b">
        <f t="shared" si="41"/>
        <v>1</v>
      </c>
      <c r="J607" s="4">
        <f t="shared" si="42"/>
        <v>-0.3251829268292683</v>
      </c>
    </row>
    <row r="608" spans="1:10" hidden="1">
      <c r="A608" s="54" t="s">
        <v>1305</v>
      </c>
      <c r="B608" s="37" t="s">
        <v>1306</v>
      </c>
      <c r="C608">
        <v>576</v>
      </c>
      <c r="D608" s="19">
        <f t="shared" si="40"/>
        <v>19.2</v>
      </c>
      <c r="E608" s="131">
        <v>421.34</v>
      </c>
      <c r="H608" s="19">
        <f t="shared" si="43"/>
        <v>1152</v>
      </c>
      <c r="I608" t="b">
        <f t="shared" si="41"/>
        <v>1</v>
      </c>
      <c r="J608" s="4">
        <f t="shared" si="42"/>
        <v>-0.63425347222222217</v>
      </c>
    </row>
    <row r="609" spans="1:10" hidden="1">
      <c r="A609" t="s">
        <v>1400</v>
      </c>
      <c r="B609" t="s">
        <v>1401</v>
      </c>
      <c r="C609">
        <v>797</v>
      </c>
      <c r="D609" s="19">
        <f t="shared" si="40"/>
        <v>26.566666666666666</v>
      </c>
      <c r="E609" s="131">
        <v>1093.3499999999999</v>
      </c>
      <c r="H609" s="19">
        <f t="shared" si="43"/>
        <v>1594</v>
      </c>
      <c r="I609" t="b">
        <f t="shared" si="41"/>
        <v>1</v>
      </c>
      <c r="J609" s="4">
        <f t="shared" si="42"/>
        <v>-0.31408406524466759</v>
      </c>
    </row>
    <row r="610" spans="1:10" hidden="1">
      <c r="A610" t="s">
        <v>1414</v>
      </c>
      <c r="B610" t="s">
        <v>1415</v>
      </c>
      <c r="C610">
        <v>1265</v>
      </c>
      <c r="D610" s="19">
        <f t="shared" si="40"/>
        <v>42.166666666666664</v>
      </c>
      <c r="E610" s="131">
        <v>535.71</v>
      </c>
      <c r="H610" s="19">
        <f t="shared" si="43"/>
        <v>2530</v>
      </c>
      <c r="I610" t="b">
        <f t="shared" si="41"/>
        <v>1</v>
      </c>
      <c r="J610" s="4">
        <f t="shared" si="42"/>
        <v>-0.78825691699604739</v>
      </c>
    </row>
    <row r="611" spans="1:10" hidden="1">
      <c r="A611" t="s">
        <v>1318</v>
      </c>
      <c r="B611" t="s">
        <v>1319</v>
      </c>
      <c r="C611">
        <v>323</v>
      </c>
      <c r="D611" s="19">
        <f t="shared" si="40"/>
        <v>10.766666666666667</v>
      </c>
      <c r="E611" s="131">
        <v>147.53</v>
      </c>
      <c r="H611" s="19">
        <f t="shared" si="43"/>
        <v>646</v>
      </c>
      <c r="I611" t="b">
        <f t="shared" si="41"/>
        <v>1</v>
      </c>
      <c r="J611" s="4">
        <f t="shared" si="42"/>
        <v>-0.77162538699690408</v>
      </c>
    </row>
    <row r="612" spans="1:10" hidden="1">
      <c r="A612" t="s">
        <v>1375</v>
      </c>
      <c r="B612" t="s">
        <v>1376</v>
      </c>
      <c r="C612">
        <v>675</v>
      </c>
      <c r="D612" s="19">
        <f t="shared" si="40"/>
        <v>22.5</v>
      </c>
      <c r="E612" s="131">
        <v>404.4</v>
      </c>
      <c r="H612" s="19">
        <f t="shared" si="43"/>
        <v>1350</v>
      </c>
      <c r="I612" t="b">
        <f t="shared" si="41"/>
        <v>1</v>
      </c>
      <c r="J612" s="4">
        <f t="shared" si="42"/>
        <v>-0.70044444444444443</v>
      </c>
    </row>
    <row r="613" spans="1:10" hidden="1">
      <c r="A613" t="s">
        <v>1337</v>
      </c>
      <c r="B613" t="s">
        <v>1338</v>
      </c>
      <c r="C613">
        <v>911</v>
      </c>
      <c r="D613" s="19">
        <f t="shared" si="40"/>
        <v>30.366666666666667</v>
      </c>
      <c r="E613" s="131">
        <v>1017.16</v>
      </c>
      <c r="H613" s="19">
        <f t="shared" si="43"/>
        <v>1822</v>
      </c>
      <c r="I613" t="b">
        <f t="shared" si="41"/>
        <v>1</v>
      </c>
      <c r="J613" s="4">
        <f t="shared" si="42"/>
        <v>-0.44173435784851811</v>
      </c>
    </row>
    <row r="614" spans="1:10" hidden="1">
      <c r="A614" t="s">
        <v>1345</v>
      </c>
      <c r="B614" t="s">
        <v>1346</v>
      </c>
      <c r="C614">
        <v>1076</v>
      </c>
      <c r="D614" s="19">
        <f t="shared" si="40"/>
        <v>35.866666666666667</v>
      </c>
      <c r="E614" s="131">
        <v>1594.1</v>
      </c>
      <c r="H614" s="19">
        <f t="shared" si="43"/>
        <v>2152</v>
      </c>
      <c r="I614" t="b">
        <f t="shared" si="41"/>
        <v>1</v>
      </c>
      <c r="J614" s="4">
        <f t="shared" si="42"/>
        <v>-0.25924721189591082</v>
      </c>
    </row>
    <row r="615" spans="1:10" hidden="1">
      <c r="A615" s="27" t="s">
        <v>1383</v>
      </c>
      <c r="B615" s="27" t="s">
        <v>1384</v>
      </c>
      <c r="C615">
        <v>1270</v>
      </c>
      <c r="D615" s="19">
        <f t="shared" si="40"/>
        <v>42.333333333333336</v>
      </c>
      <c r="E615" s="131">
        <v>1492.08</v>
      </c>
      <c r="H615" s="19">
        <f t="shared" si="43"/>
        <v>2540</v>
      </c>
      <c r="I615" t="b">
        <f t="shared" si="41"/>
        <v>1</v>
      </c>
      <c r="J615" s="4">
        <f t="shared" si="42"/>
        <v>-0.41256692913385828</v>
      </c>
    </row>
    <row r="616" spans="1:10" hidden="1">
      <c r="A616" t="s">
        <v>1322</v>
      </c>
      <c r="B616" t="s">
        <v>1323</v>
      </c>
      <c r="C616">
        <v>1419</v>
      </c>
      <c r="D616" s="19">
        <f t="shared" si="40"/>
        <v>47.3</v>
      </c>
      <c r="E616" s="131">
        <v>1639.82</v>
      </c>
      <c r="H616" s="19">
        <f t="shared" si="43"/>
        <v>2838</v>
      </c>
      <c r="I616" t="b">
        <f t="shared" si="41"/>
        <v>1</v>
      </c>
      <c r="J616" s="4">
        <f t="shared" si="42"/>
        <v>-0.42219168428470755</v>
      </c>
    </row>
    <row r="617" spans="1:10" hidden="1">
      <c r="A617" t="s">
        <v>1331</v>
      </c>
      <c r="B617" t="s">
        <v>1332</v>
      </c>
      <c r="C617">
        <v>1430</v>
      </c>
      <c r="D617" s="19">
        <f t="shared" si="40"/>
        <v>47.666666666666664</v>
      </c>
      <c r="E617" s="131">
        <v>1408.95</v>
      </c>
      <c r="H617" s="19">
        <f t="shared" si="43"/>
        <v>2860</v>
      </c>
      <c r="I617" t="b">
        <f t="shared" si="41"/>
        <v>1</v>
      </c>
      <c r="J617" s="4">
        <f t="shared" si="42"/>
        <v>-0.50736013986013984</v>
      </c>
    </row>
    <row r="618" spans="1:10" hidden="1">
      <c r="A618" t="s">
        <v>1320</v>
      </c>
      <c r="B618" t="s">
        <v>1321</v>
      </c>
      <c r="C618">
        <v>897</v>
      </c>
      <c r="D618" s="19">
        <f t="shared" si="40"/>
        <v>29.9</v>
      </c>
      <c r="E618" s="131">
        <v>459.29</v>
      </c>
      <c r="H618" s="19">
        <f t="shared" si="43"/>
        <v>1794</v>
      </c>
      <c r="I618" t="b">
        <f t="shared" si="41"/>
        <v>1</v>
      </c>
      <c r="J618" s="4">
        <f t="shared" si="42"/>
        <v>-0.7439855072463768</v>
      </c>
    </row>
    <row r="619" spans="1:10" hidden="1">
      <c r="A619" t="s">
        <v>1262</v>
      </c>
      <c r="B619" t="s">
        <v>1263</v>
      </c>
      <c r="C619">
        <v>921</v>
      </c>
      <c r="D619" s="19">
        <f t="shared" si="40"/>
        <v>30.7</v>
      </c>
      <c r="E619" s="131">
        <v>608.41</v>
      </c>
      <c r="H619" s="19">
        <f t="shared" si="43"/>
        <v>1842</v>
      </c>
      <c r="I619" t="b">
        <f t="shared" si="41"/>
        <v>1</v>
      </c>
      <c r="J619" s="4">
        <f t="shared" si="42"/>
        <v>-0.66970141150922913</v>
      </c>
    </row>
    <row r="620" spans="1:10" hidden="1">
      <c r="A620" t="s">
        <v>1398</v>
      </c>
      <c r="B620" t="s">
        <v>1399</v>
      </c>
      <c r="C620">
        <v>773</v>
      </c>
      <c r="D620" s="19">
        <f t="shared" si="40"/>
        <v>25.766666666666666</v>
      </c>
      <c r="E620" s="131">
        <v>477.98</v>
      </c>
      <c r="H620" s="19">
        <f t="shared" si="43"/>
        <v>1546</v>
      </c>
      <c r="I620" t="b">
        <f t="shared" si="41"/>
        <v>1</v>
      </c>
      <c r="J620" s="4">
        <f t="shared" si="42"/>
        <v>-0.69082794307891326</v>
      </c>
    </row>
    <row r="621" spans="1:10" hidden="1">
      <c r="A621" t="s">
        <v>1220</v>
      </c>
      <c r="B621" t="s">
        <v>1221</v>
      </c>
      <c r="C621">
        <v>608</v>
      </c>
      <c r="D621" s="19">
        <f t="shared" si="40"/>
        <v>20.266666666666666</v>
      </c>
      <c r="E621" s="131">
        <v>924.57</v>
      </c>
      <c r="H621" s="19">
        <f t="shared" si="43"/>
        <v>1216</v>
      </c>
      <c r="I621" t="b">
        <f t="shared" si="41"/>
        <v>1</v>
      </c>
      <c r="J621" s="4">
        <f t="shared" si="42"/>
        <v>-0.23966282894736834</v>
      </c>
    </row>
    <row r="622" spans="1:10" hidden="1">
      <c r="A622" t="s">
        <v>1230</v>
      </c>
      <c r="B622" t="s">
        <v>1231</v>
      </c>
      <c r="C622">
        <v>3338</v>
      </c>
      <c r="D622" s="19">
        <f t="shared" ref="D622:D640" si="44">C622/30</f>
        <v>111.26666666666667</v>
      </c>
      <c r="E622" s="131">
        <v>1680.62</v>
      </c>
      <c r="H622" s="19">
        <f t="shared" si="43"/>
        <v>6676</v>
      </c>
      <c r="I622" t="b">
        <f t="shared" ref="I622:I641" si="45">IF(E622&gt;1.2*H622,FALSE,TRUE)</f>
        <v>1</v>
      </c>
      <c r="J622" s="4">
        <f t="shared" ref="J622:J641" si="46">E622/H622-1</f>
        <v>-0.74825943678849605</v>
      </c>
    </row>
    <row r="623" spans="1:10" hidden="1">
      <c r="A623" s="54" t="s">
        <v>1191</v>
      </c>
      <c r="B623" s="141" t="s">
        <v>1192</v>
      </c>
      <c r="C623">
        <v>360</v>
      </c>
      <c r="D623" s="19">
        <f t="shared" si="44"/>
        <v>12</v>
      </c>
      <c r="E623" s="131">
        <v>743.89</v>
      </c>
      <c r="H623" s="19">
        <f t="shared" si="43"/>
        <v>720</v>
      </c>
      <c r="I623" t="b">
        <f t="shared" si="45"/>
        <v>1</v>
      </c>
      <c r="J623" s="4">
        <f t="shared" si="46"/>
        <v>3.3180555555555546E-2</v>
      </c>
    </row>
    <row r="624" spans="1:10" hidden="1">
      <c r="A624" s="54" t="s">
        <v>1185</v>
      </c>
      <c r="B624" s="37" t="s">
        <v>1186</v>
      </c>
      <c r="C624">
        <v>738</v>
      </c>
      <c r="D624" s="19">
        <f t="shared" si="44"/>
        <v>24.6</v>
      </c>
      <c r="E624" s="131">
        <v>1481.98</v>
      </c>
      <c r="H624" s="19">
        <f t="shared" si="43"/>
        <v>1476</v>
      </c>
      <c r="I624" t="b">
        <f t="shared" si="45"/>
        <v>1</v>
      </c>
      <c r="J624" s="4">
        <f t="shared" si="46"/>
        <v>4.051490514905165E-3</v>
      </c>
    </row>
    <row r="625" spans="1:10" hidden="1">
      <c r="A625" t="s">
        <v>1349</v>
      </c>
      <c r="B625" t="s">
        <v>1350</v>
      </c>
      <c r="C625">
        <v>899</v>
      </c>
      <c r="D625" s="19">
        <f t="shared" si="44"/>
        <v>29.966666666666665</v>
      </c>
      <c r="E625" s="131">
        <v>529.74</v>
      </c>
      <c r="H625" s="19">
        <f t="shared" si="43"/>
        <v>1798</v>
      </c>
      <c r="I625" t="b">
        <f t="shared" si="45"/>
        <v>1</v>
      </c>
      <c r="J625" s="4">
        <f t="shared" si="46"/>
        <v>-0.7053726362625139</v>
      </c>
    </row>
    <row r="626" spans="1:10" hidden="1">
      <c r="A626" t="s">
        <v>1432</v>
      </c>
      <c r="B626" t="s">
        <v>1433</v>
      </c>
      <c r="C626">
        <v>3058</v>
      </c>
      <c r="D626" s="19">
        <f t="shared" si="44"/>
        <v>101.93333333333334</v>
      </c>
      <c r="E626" s="131">
        <v>2964.9</v>
      </c>
      <c r="H626" s="19">
        <f t="shared" si="43"/>
        <v>6116</v>
      </c>
      <c r="I626" t="b">
        <f t="shared" si="45"/>
        <v>1</v>
      </c>
      <c r="J626" s="4">
        <f t="shared" si="46"/>
        <v>-0.515222367560497</v>
      </c>
    </row>
    <row r="627" spans="1:10">
      <c r="A627" s="54" t="s">
        <v>963</v>
      </c>
      <c r="B627" s="37" t="s">
        <v>1418</v>
      </c>
      <c r="C627">
        <v>721</v>
      </c>
      <c r="D627" s="19">
        <f t="shared" si="44"/>
        <v>24.033333333333335</v>
      </c>
      <c r="E627" s="131">
        <v>2406.75</v>
      </c>
      <c r="H627" s="19">
        <f t="shared" si="43"/>
        <v>1442</v>
      </c>
      <c r="I627" t="b">
        <f t="shared" si="45"/>
        <v>0</v>
      </c>
      <c r="J627" s="4">
        <f t="shared" si="46"/>
        <v>0.66903606102635238</v>
      </c>
    </row>
    <row r="628" spans="1:10" hidden="1">
      <c r="A628" t="s">
        <v>1391</v>
      </c>
      <c r="B628" t="s">
        <v>1392</v>
      </c>
      <c r="C628">
        <v>4729</v>
      </c>
      <c r="D628" s="19">
        <f t="shared" si="44"/>
        <v>157.63333333333333</v>
      </c>
      <c r="E628" s="131">
        <v>3256.45</v>
      </c>
      <c r="H628" s="19">
        <f t="shared" si="43"/>
        <v>9458</v>
      </c>
      <c r="I628" t="b">
        <f t="shared" si="45"/>
        <v>1</v>
      </c>
      <c r="J628" s="4">
        <f t="shared" si="46"/>
        <v>-0.6556935927257348</v>
      </c>
    </row>
    <row r="629" spans="1:10" hidden="1">
      <c r="A629" s="54" t="s">
        <v>1419</v>
      </c>
      <c r="B629" s="37" t="s">
        <v>1420</v>
      </c>
      <c r="C629">
        <v>599</v>
      </c>
      <c r="D629" s="19">
        <f t="shared" si="44"/>
        <v>19.966666666666665</v>
      </c>
      <c r="E629" s="131">
        <v>1384.59</v>
      </c>
      <c r="H629" s="19">
        <f t="shared" si="43"/>
        <v>1198</v>
      </c>
      <c r="I629" t="b">
        <f t="shared" si="45"/>
        <v>1</v>
      </c>
      <c r="J629" s="4">
        <f t="shared" si="46"/>
        <v>0.15575125208681118</v>
      </c>
    </row>
    <row r="630" spans="1:10" hidden="1">
      <c r="A630" t="s">
        <v>1181</v>
      </c>
      <c r="B630" t="s">
        <v>1182</v>
      </c>
      <c r="C630">
        <v>1506</v>
      </c>
      <c r="D630" s="19">
        <f t="shared" si="44"/>
        <v>50.2</v>
      </c>
      <c r="E630" s="131">
        <v>1323.8</v>
      </c>
      <c r="H630" s="19">
        <f t="shared" si="43"/>
        <v>3012</v>
      </c>
      <c r="I630" t="b">
        <f t="shared" si="45"/>
        <v>1</v>
      </c>
      <c r="J630" s="4">
        <f t="shared" si="46"/>
        <v>-0.5604913678618858</v>
      </c>
    </row>
    <row r="631" spans="1:10" hidden="1">
      <c r="A631" t="s">
        <v>1175</v>
      </c>
      <c r="B631" t="s">
        <v>1176</v>
      </c>
      <c r="C631">
        <v>4469</v>
      </c>
      <c r="D631" s="19">
        <f t="shared" si="44"/>
        <v>148.96666666666667</v>
      </c>
      <c r="E631" s="131">
        <v>2843.57</v>
      </c>
      <c r="H631" s="19">
        <f t="shared" si="43"/>
        <v>8938</v>
      </c>
      <c r="I631" t="b">
        <f t="shared" si="45"/>
        <v>1</v>
      </c>
      <c r="J631" s="4">
        <f t="shared" si="46"/>
        <v>-0.68185611993734607</v>
      </c>
    </row>
    <row r="632" spans="1:10" hidden="1">
      <c r="A632" t="s">
        <v>1210</v>
      </c>
      <c r="B632" t="s">
        <v>1211</v>
      </c>
      <c r="C632">
        <v>5219</v>
      </c>
      <c r="D632" s="19">
        <f t="shared" si="44"/>
        <v>173.96666666666667</v>
      </c>
      <c r="E632" s="131">
        <v>3246.94</v>
      </c>
      <c r="H632" s="19">
        <f t="shared" si="43"/>
        <v>10438</v>
      </c>
      <c r="I632" t="b">
        <f t="shared" si="45"/>
        <v>1</v>
      </c>
      <c r="J632" s="4">
        <f t="shared" si="46"/>
        <v>-0.6889308296608545</v>
      </c>
    </row>
    <row r="633" spans="1:10" hidden="1">
      <c r="A633" s="54" t="s">
        <v>1266</v>
      </c>
      <c r="B633" t="s">
        <v>1267</v>
      </c>
      <c r="C633">
        <v>4366</v>
      </c>
      <c r="D633" s="19">
        <f t="shared" si="44"/>
        <v>145.53333333333333</v>
      </c>
      <c r="E633" s="131">
        <v>6580.92</v>
      </c>
      <c r="H633" s="19">
        <f t="shared" si="43"/>
        <v>8732</v>
      </c>
      <c r="I633" t="b">
        <f t="shared" si="45"/>
        <v>1</v>
      </c>
      <c r="J633" s="4">
        <f t="shared" si="46"/>
        <v>-0.24634448007329357</v>
      </c>
    </row>
    <row r="634" spans="1:10" hidden="1">
      <c r="A634" t="s">
        <v>1179</v>
      </c>
      <c r="B634" t="s">
        <v>1180</v>
      </c>
      <c r="C634">
        <v>3539</v>
      </c>
      <c r="D634" s="19">
        <f t="shared" si="44"/>
        <v>117.96666666666667</v>
      </c>
      <c r="E634" s="131">
        <v>3089.21</v>
      </c>
      <c r="H634" s="19">
        <f t="shared" si="43"/>
        <v>7078</v>
      </c>
      <c r="I634" t="b">
        <f t="shared" si="45"/>
        <v>1</v>
      </c>
      <c r="J634" s="4">
        <f t="shared" si="46"/>
        <v>-0.56354761231986439</v>
      </c>
    </row>
    <row r="635" spans="1:10" hidden="1">
      <c r="A635" t="s">
        <v>1171</v>
      </c>
      <c r="B635" t="s">
        <v>1172</v>
      </c>
      <c r="C635">
        <v>10984</v>
      </c>
      <c r="D635" s="19">
        <f t="shared" si="44"/>
        <v>366.13333333333333</v>
      </c>
      <c r="E635" s="131">
        <v>8101.28</v>
      </c>
      <c r="H635" s="19">
        <f t="shared" si="43"/>
        <v>21968</v>
      </c>
      <c r="I635" t="b">
        <f t="shared" si="45"/>
        <v>1</v>
      </c>
      <c r="J635" s="4">
        <f t="shared" si="46"/>
        <v>-0.63122359796067007</v>
      </c>
    </row>
    <row r="636" spans="1:10">
      <c r="A636" s="142" t="s">
        <v>1425</v>
      </c>
      <c r="B636" s="37" t="s">
        <v>1426</v>
      </c>
      <c r="C636">
        <v>173</v>
      </c>
      <c r="D636" s="19">
        <f t="shared" si="44"/>
        <v>5.7666666666666666</v>
      </c>
      <c r="E636" s="131">
        <v>770.56</v>
      </c>
      <c r="H636" s="19">
        <f t="shared" si="43"/>
        <v>346</v>
      </c>
      <c r="I636" t="b">
        <f t="shared" si="45"/>
        <v>0</v>
      </c>
      <c r="J636" s="4">
        <f t="shared" si="46"/>
        <v>1.2270520231213871</v>
      </c>
    </row>
    <row r="637" spans="1:10">
      <c r="A637" s="142" t="s">
        <v>1343</v>
      </c>
      <c r="B637" s="37" t="s">
        <v>1344</v>
      </c>
      <c r="C637">
        <v>153</v>
      </c>
      <c r="D637" s="19">
        <f t="shared" si="44"/>
        <v>5.0999999999999996</v>
      </c>
      <c r="E637" s="131">
        <v>382.73</v>
      </c>
      <c r="H637" s="19">
        <f t="shared" si="43"/>
        <v>306</v>
      </c>
      <c r="I637" t="b">
        <f t="shared" si="45"/>
        <v>0</v>
      </c>
      <c r="J637" s="4">
        <f t="shared" si="46"/>
        <v>0.25075163398692824</v>
      </c>
    </row>
    <row r="638" spans="1:10">
      <c r="A638" s="144" t="s">
        <v>1195</v>
      </c>
      <c r="B638" s="144" t="s">
        <v>1196</v>
      </c>
      <c r="C638">
        <v>283</v>
      </c>
      <c r="D638" s="19">
        <f t="shared" si="44"/>
        <v>9.4333333333333336</v>
      </c>
      <c r="E638" s="131">
        <v>1221.47</v>
      </c>
      <c r="H638" s="19">
        <f t="shared" si="43"/>
        <v>566</v>
      </c>
      <c r="I638" t="b">
        <f t="shared" si="45"/>
        <v>0</v>
      </c>
      <c r="J638" s="4">
        <f t="shared" si="46"/>
        <v>1.1580742049469963</v>
      </c>
    </row>
    <row r="639" spans="1:10" hidden="1">
      <c r="A639" s="144" t="s">
        <v>1204</v>
      </c>
      <c r="B639" s="144" t="s">
        <v>1205</v>
      </c>
      <c r="C639">
        <v>394</v>
      </c>
      <c r="D639" s="19">
        <f t="shared" si="44"/>
        <v>13.133333333333333</v>
      </c>
      <c r="E639" s="131">
        <v>80.12</v>
      </c>
      <c r="H639" s="19">
        <f t="shared" si="43"/>
        <v>788</v>
      </c>
      <c r="I639" t="b">
        <f t="shared" si="45"/>
        <v>1</v>
      </c>
      <c r="J639" s="4">
        <f t="shared" si="46"/>
        <v>-0.89832487309644671</v>
      </c>
    </row>
    <row r="640" spans="1:10" hidden="1">
      <c r="A640" s="54" t="s">
        <v>1197</v>
      </c>
      <c r="B640" s="37" t="s">
        <v>1198</v>
      </c>
      <c r="C640">
        <v>361</v>
      </c>
      <c r="D640" s="19">
        <f t="shared" si="44"/>
        <v>12.033333333333333</v>
      </c>
      <c r="E640" s="131">
        <v>449.81</v>
      </c>
      <c r="H640" s="19">
        <f t="shared" si="43"/>
        <v>722</v>
      </c>
      <c r="I640" t="b">
        <f t="shared" si="45"/>
        <v>1</v>
      </c>
      <c r="J640" s="4">
        <f t="shared" si="46"/>
        <v>-0.37699445983379498</v>
      </c>
    </row>
    <row r="641" spans="8:10">
      <c r="H641" s="19"/>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2026-01-22T20:06:37Z</dcterms:modified>
  <cp:category/>
  <cp:contentStatus/>
</cp:coreProperties>
</file>